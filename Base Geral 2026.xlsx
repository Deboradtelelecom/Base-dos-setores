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fcc8b606fb5c666/Área de Trabalho/DTEL_Custos/"/>
    </mc:Choice>
  </mc:AlternateContent>
  <xr:revisionPtr revIDLastSave="283" documentId="11_407F283D620BF73E9BB538880339CF0943F616FD" xr6:coauthVersionLast="47" xr6:coauthVersionMax="47" xr10:uidLastSave="{A3CDD49A-C285-4728-A709-634EA7CC0B16}"/>
  <bookViews>
    <workbookView xWindow="-108" yWindow="-108" windowWidth="23256" windowHeight="12456" tabRatio="786" firstSheet="1" activeTab="3" xr2:uid="{00000000-000D-0000-FFFF-FFFF00000000}"/>
  </bookViews>
  <sheets>
    <sheet name="Resumo" sheetId="1" r:id="rId1"/>
    <sheet name="Base Setores" sheetId="2" r:id="rId2"/>
    <sheet name="Comercial" sheetId="3" r:id="rId3"/>
    <sheet name="Reembolso Geral" sheetId="4" r:id="rId4"/>
    <sheet name="Parâmetro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8" i="2" l="1"/>
  <c r="T216" i="3"/>
  <c r="Q216" i="3"/>
  <c r="N216" i="3"/>
  <c r="K216" i="3"/>
  <c r="H216" i="3"/>
  <c r="E216" i="3"/>
  <c r="B216" i="3"/>
  <c r="B206" i="3"/>
  <c r="B205" i="3"/>
  <c r="K201" i="3"/>
  <c r="K200" i="3"/>
  <c r="T199" i="3"/>
  <c r="E199" i="3"/>
  <c r="T198" i="3"/>
  <c r="Q198" i="3"/>
  <c r="H198" i="3"/>
  <c r="E198" i="3"/>
  <c r="Q197" i="3"/>
  <c r="N197" i="3"/>
  <c r="H197" i="3"/>
  <c r="N196" i="3"/>
  <c r="T192" i="3"/>
  <c r="Q192" i="3"/>
  <c r="N192" i="3"/>
  <c r="K192" i="3"/>
  <c r="B192" i="3"/>
  <c r="T191" i="3"/>
  <c r="Q191" i="3"/>
  <c r="N191" i="3"/>
  <c r="K191" i="3"/>
  <c r="H191" i="3"/>
  <c r="E191" i="3"/>
  <c r="B191" i="3"/>
  <c r="T190" i="3"/>
  <c r="Q190" i="3"/>
  <c r="N190" i="3"/>
  <c r="K190" i="3"/>
  <c r="H190" i="3"/>
  <c r="E190" i="3"/>
  <c r="B190" i="3"/>
  <c r="T189" i="3"/>
  <c r="T207" i="3" s="1"/>
  <c r="T218" i="3" s="1"/>
  <c r="Q189" i="3"/>
  <c r="Q207" i="3" s="1"/>
  <c r="Q218" i="3" s="1"/>
  <c r="G966" i="4" s="1"/>
  <c r="H966" i="4" s="1"/>
  <c r="N189" i="3"/>
  <c r="N207" i="3" s="1"/>
  <c r="N218" i="3" s="1"/>
  <c r="K189" i="3"/>
  <c r="K207" i="3" s="1"/>
  <c r="K218" i="3" s="1"/>
  <c r="H189" i="3"/>
  <c r="E189" i="3"/>
  <c r="B189" i="3"/>
  <c r="B207" i="3" s="1"/>
  <c r="B218" i="3" s="1"/>
  <c r="H188" i="3"/>
  <c r="H207" i="3" s="1"/>
  <c r="H218" i="3" s="1"/>
  <c r="E188" i="3"/>
  <c r="E207" i="3" s="1"/>
  <c r="E218" i="3" s="1"/>
  <c r="T161" i="3"/>
  <c r="Q161" i="3"/>
  <c r="N161" i="3"/>
  <c r="K161" i="3"/>
  <c r="H161" i="3"/>
  <c r="E161" i="3"/>
  <c r="B161" i="3"/>
  <c r="B150" i="3"/>
  <c r="B149" i="3"/>
  <c r="K142" i="3"/>
  <c r="K141" i="3"/>
  <c r="T140" i="3"/>
  <c r="H140" i="3"/>
  <c r="E140" i="3"/>
  <c r="T139" i="3"/>
  <c r="Q139" i="3"/>
  <c r="H139" i="3"/>
  <c r="E139" i="3"/>
  <c r="Q138" i="3"/>
  <c r="N138" i="3"/>
  <c r="N137" i="3"/>
  <c r="T133" i="3"/>
  <c r="Q133" i="3"/>
  <c r="N133" i="3"/>
  <c r="K133" i="3"/>
  <c r="B133" i="3"/>
  <c r="T132" i="3"/>
  <c r="Q132" i="3"/>
  <c r="N132" i="3"/>
  <c r="K132" i="3"/>
  <c r="H132" i="3"/>
  <c r="E132" i="3"/>
  <c r="B132" i="3"/>
  <c r="T131" i="3"/>
  <c r="Q131" i="3"/>
  <c r="N131" i="3"/>
  <c r="K131" i="3"/>
  <c r="H131" i="3"/>
  <c r="E131" i="3"/>
  <c r="B131" i="3"/>
  <c r="T130" i="3"/>
  <c r="T151" i="3" s="1"/>
  <c r="T163" i="3" s="1"/>
  <c r="Q130" i="3"/>
  <c r="Q151" i="3" s="1"/>
  <c r="Q163" i="3" s="1"/>
  <c r="G724" i="4" s="1"/>
  <c r="H724" i="4" s="1"/>
  <c r="N130" i="3"/>
  <c r="N151" i="3" s="1"/>
  <c r="N163" i="3" s="1"/>
  <c r="G612" i="4" s="1"/>
  <c r="H612" i="4" s="1"/>
  <c r="K130" i="3"/>
  <c r="K151" i="3" s="1"/>
  <c r="K163" i="3" s="1"/>
  <c r="H130" i="3"/>
  <c r="H151" i="3" s="1"/>
  <c r="H163" i="3" s="1"/>
  <c r="E130" i="3"/>
  <c r="B130" i="3"/>
  <c r="B151" i="3" s="1"/>
  <c r="B163" i="3" s="1"/>
  <c r="H129" i="3"/>
  <c r="E129" i="3"/>
  <c r="E151" i="3" s="1"/>
  <c r="E163" i="3" s="1"/>
  <c r="B91" i="3"/>
  <c r="B90" i="3"/>
  <c r="K83" i="3"/>
  <c r="K82" i="3"/>
  <c r="H82" i="3"/>
  <c r="T81" i="3"/>
  <c r="H81" i="3"/>
  <c r="E81" i="3"/>
  <c r="T80" i="3"/>
  <c r="Q80" i="3"/>
  <c r="E80" i="3"/>
  <c r="Q79" i="3"/>
  <c r="N79" i="3"/>
  <c r="N78" i="3"/>
  <c r="T74" i="3"/>
  <c r="Q74" i="3"/>
  <c r="N74" i="3"/>
  <c r="K74" i="3"/>
  <c r="B74" i="3"/>
  <c r="T73" i="3"/>
  <c r="Q73" i="3"/>
  <c r="N73" i="3"/>
  <c r="K73" i="3"/>
  <c r="H73" i="3"/>
  <c r="E73" i="3"/>
  <c r="B73" i="3"/>
  <c r="T72" i="3"/>
  <c r="Q72" i="3"/>
  <c r="N72" i="3"/>
  <c r="K72" i="3"/>
  <c r="H72" i="3"/>
  <c r="E72" i="3"/>
  <c r="B72" i="3"/>
  <c r="T71" i="3"/>
  <c r="Q71" i="3"/>
  <c r="N71" i="3"/>
  <c r="K71" i="3"/>
  <c r="H71" i="3"/>
  <c r="E71" i="3"/>
  <c r="B71" i="3"/>
  <c r="H70" i="3"/>
  <c r="E70" i="3"/>
  <c r="B32" i="3"/>
  <c r="B31" i="3"/>
  <c r="K24" i="3"/>
  <c r="K23" i="3"/>
  <c r="H23" i="3"/>
  <c r="T22" i="3"/>
  <c r="H22" i="3"/>
  <c r="T21" i="3"/>
  <c r="Q21" i="3"/>
  <c r="E21" i="3"/>
  <c r="Q20" i="3"/>
  <c r="N20" i="3"/>
  <c r="E20" i="3"/>
  <c r="N19" i="3"/>
  <c r="T15" i="3"/>
  <c r="Q15" i="3"/>
  <c r="N15" i="3"/>
  <c r="K15" i="3"/>
  <c r="B15" i="3"/>
  <c r="T14" i="3"/>
  <c r="Q14" i="3"/>
  <c r="N14" i="3"/>
  <c r="K14" i="3"/>
  <c r="H14" i="3"/>
  <c r="E14" i="3"/>
  <c r="B14" i="3"/>
  <c r="T13" i="3"/>
  <c r="Q13" i="3"/>
  <c r="N13" i="3"/>
  <c r="K13" i="3"/>
  <c r="H13" i="3"/>
  <c r="E13" i="3"/>
  <c r="B13" i="3"/>
  <c r="H12" i="3"/>
  <c r="E12" i="3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J615" i="2" s="1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J67" i="2" s="1"/>
  <c r="F53" i="2"/>
  <c r="F52" i="2"/>
  <c r="F51" i="2"/>
  <c r="F50" i="2"/>
  <c r="F49" i="2"/>
  <c r="F48" i="2"/>
  <c r="F47" i="2"/>
  <c r="F46" i="2"/>
  <c r="J39" i="2" s="1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4" i="4"/>
  <c r="H832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2" i="4"/>
  <c r="H751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4" i="4"/>
  <c r="H572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17" i="2" l="1"/>
  <c r="J358" i="2"/>
  <c r="J511" i="2"/>
  <c r="J444" i="2"/>
  <c r="J461" i="2"/>
  <c r="J306" i="2"/>
  <c r="J250" i="2"/>
  <c r="J209" i="2"/>
  <c r="J1749" i="2"/>
  <c r="J529" i="2"/>
  <c r="J315" i="2"/>
  <c r="J16" i="2"/>
  <c r="J50" i="2"/>
  <c r="J163" i="2"/>
  <c r="J521" i="2"/>
  <c r="J695" i="2"/>
  <c r="J291" i="2"/>
  <c r="J1577" i="2"/>
  <c r="J91" i="2"/>
  <c r="J122" i="2"/>
  <c r="J26" i="2"/>
  <c r="J327" i="2"/>
  <c r="J520" i="2"/>
  <c r="J86" i="2"/>
  <c r="J81" i="2"/>
  <c r="J154" i="2"/>
  <c r="J186" i="2"/>
  <c r="J1101" i="2"/>
  <c r="J1501" i="2"/>
  <c r="J242" i="2"/>
  <c r="J282" i="2"/>
  <c r="J421" i="2"/>
  <c r="J274" i="2"/>
  <c r="J131" i="2"/>
  <c r="J218" i="2"/>
  <c r="J311" i="2"/>
  <c r="J338" i="2"/>
  <c r="J415" i="2"/>
  <c r="J177" i="2"/>
  <c r="J201" i="2"/>
  <c r="J195" i="2"/>
  <c r="J265" i="2"/>
  <c r="J347" i="2"/>
  <c r="J354" i="2"/>
  <c r="J447" i="2"/>
  <c r="J479" i="2"/>
  <c r="J137" i="2"/>
  <c r="J102" i="2"/>
  <c r="J135" i="2"/>
  <c r="J145" i="2"/>
  <c r="J187" i="2"/>
  <c r="J259" i="2"/>
  <c r="J263" i="2"/>
  <c r="J273" i="2"/>
  <c r="J449" i="2"/>
  <c r="J663" i="2"/>
  <c r="J1121" i="2"/>
  <c r="J1356" i="2"/>
  <c r="J226" i="2"/>
  <c r="J326" i="2"/>
  <c r="J51" i="2"/>
  <c r="J41" i="2"/>
  <c r="J233" i="2"/>
  <c r="J453" i="2"/>
  <c r="J537" i="2"/>
  <c r="J1621" i="2"/>
  <c r="J89" i="2"/>
  <c r="J182" i="2"/>
  <c r="J227" i="2"/>
  <c r="J269" i="2"/>
  <c r="J342" i="2"/>
  <c r="J448" i="2"/>
  <c r="J457" i="2"/>
  <c r="J467" i="2"/>
  <c r="J1397" i="2"/>
  <c r="J90" i="2"/>
  <c r="J255" i="2"/>
  <c r="J330" i="2"/>
  <c r="J49" i="2"/>
  <c r="J105" i="2"/>
  <c r="J190" i="2"/>
  <c r="J241" i="2"/>
  <c r="J82" i="2"/>
  <c r="J113" i="2"/>
  <c r="J222" i="2"/>
  <c r="J297" i="2"/>
  <c r="J339" i="2"/>
  <c r="J451" i="2"/>
  <c r="J536" i="2"/>
  <c r="J623" i="2"/>
  <c r="J639" i="2"/>
  <c r="J63" i="2"/>
  <c r="J198" i="2"/>
  <c r="J234" i="2"/>
  <c r="J35" i="2"/>
  <c r="J231" i="2"/>
  <c r="J30" i="2"/>
  <c r="J99" i="2"/>
  <c r="J139" i="2"/>
  <c r="J261" i="2"/>
  <c r="J310" i="2"/>
  <c r="J167" i="2"/>
  <c r="J301" i="2"/>
  <c r="J305" i="2"/>
  <c r="J343" i="2"/>
  <c r="J440" i="2"/>
  <c r="J121" i="2"/>
  <c r="J298" i="2"/>
  <c r="J58" i="2"/>
  <c r="J107" i="2"/>
  <c r="J138" i="2"/>
  <c r="J294" i="2"/>
  <c r="J331" i="2"/>
  <c r="J456" i="2"/>
  <c r="J517" i="2"/>
  <c r="J1057" i="2"/>
  <c r="J631" i="2"/>
  <c r="J907" i="2"/>
  <c r="J5" i="2"/>
  <c r="J9" i="2"/>
  <c r="J13" i="2"/>
  <c r="J32" i="2"/>
  <c r="J28" i="2"/>
  <c r="J20" i="2"/>
  <c r="J24" i="2"/>
  <c r="J22" i="2"/>
  <c r="J31" i="2"/>
  <c r="J45" i="2"/>
  <c r="J54" i="2"/>
  <c r="J77" i="2"/>
  <c r="J95" i="2"/>
  <c r="J109" i="2"/>
  <c r="J120" i="2"/>
  <c r="J112" i="2"/>
  <c r="J124" i="2"/>
  <c r="J116" i="2"/>
  <c r="J118" i="2"/>
  <c r="J127" i="2"/>
  <c r="J141" i="2"/>
  <c r="J164" i="2"/>
  <c r="J156" i="2"/>
  <c r="J152" i="2"/>
  <c r="J144" i="2"/>
  <c r="J168" i="2"/>
  <c r="J160" i="2"/>
  <c r="J148" i="2"/>
  <c r="J150" i="2"/>
  <c r="J159" i="2"/>
  <c r="J173" i="2"/>
  <c r="J191" i="2"/>
  <c r="J205" i="2"/>
  <c r="J216" i="2"/>
  <c r="J208" i="2"/>
  <c r="J220" i="2"/>
  <c r="J212" i="2"/>
  <c r="J214" i="2"/>
  <c r="J223" i="2"/>
  <c r="J237" i="2"/>
  <c r="J246" i="2"/>
  <c r="J278" i="2"/>
  <c r="J287" i="2"/>
  <c r="J490" i="2"/>
  <c r="J482" i="2"/>
  <c r="J474" i="2"/>
  <c r="J486" i="2"/>
  <c r="J478" i="2"/>
  <c r="J470" i="2"/>
  <c r="J483" i="2"/>
  <c r="J487" i="2"/>
  <c r="J473" i="2"/>
  <c r="J477" i="2"/>
  <c r="J481" i="2"/>
  <c r="J472" i="2"/>
  <c r="J485" i="2"/>
  <c r="J476" i="2"/>
  <c r="J489" i="2"/>
  <c r="J480" i="2"/>
  <c r="J471" i="2"/>
  <c r="J484" i="2"/>
  <c r="J475" i="2"/>
  <c r="J877" i="2"/>
  <c r="J884" i="2"/>
  <c r="J883" i="2"/>
  <c r="J876" i="2"/>
  <c r="J68" i="2"/>
  <c r="J64" i="2"/>
  <c r="J56" i="2"/>
  <c r="J72" i="2"/>
  <c r="J60" i="2"/>
  <c r="J252" i="2"/>
  <c r="J244" i="2"/>
  <c r="J256" i="2"/>
  <c r="J248" i="2"/>
  <c r="J27" i="2"/>
  <c r="J73" i="2"/>
  <c r="J123" i="2"/>
  <c r="J169" i="2"/>
  <c r="J219" i="2"/>
  <c r="J2" i="2"/>
  <c r="J10" i="2"/>
  <c r="J23" i="2"/>
  <c r="J46" i="2"/>
  <c r="J69" i="2"/>
  <c r="J84" i="2"/>
  <c r="J76" i="2"/>
  <c r="J88" i="2"/>
  <c r="J80" i="2"/>
  <c r="J78" i="2"/>
  <c r="J87" i="2"/>
  <c r="J101" i="2"/>
  <c r="J110" i="2"/>
  <c r="J119" i="2"/>
  <c r="J133" i="2"/>
  <c r="J142" i="2"/>
  <c r="J151" i="2"/>
  <c r="J165" i="2"/>
  <c r="J180" i="2"/>
  <c r="J172" i="2"/>
  <c r="J184" i="2"/>
  <c r="J176" i="2"/>
  <c r="J174" i="2"/>
  <c r="J183" i="2"/>
  <c r="J197" i="2"/>
  <c r="J206" i="2"/>
  <c r="J215" i="2"/>
  <c r="J229" i="2"/>
  <c r="J238" i="2"/>
  <c r="J247" i="2"/>
  <c r="J270" i="2"/>
  <c r="J279" i="2"/>
  <c r="J293" i="2"/>
  <c r="J325" i="2"/>
  <c r="J321" i="2"/>
  <c r="J317" i="2"/>
  <c r="J313" i="2"/>
  <c r="J309" i="2"/>
  <c r="J324" i="2"/>
  <c r="J316" i="2"/>
  <c r="J308" i="2"/>
  <c r="J304" i="2"/>
  <c r="J296" i="2"/>
  <c r="J320" i="2"/>
  <c r="J312" i="2"/>
  <c r="J300" i="2"/>
  <c r="J302" i="2"/>
  <c r="J369" i="2"/>
  <c r="J365" i="2"/>
  <c r="J361" i="2"/>
  <c r="J357" i="2"/>
  <c r="J353" i="2"/>
  <c r="J349" i="2"/>
  <c r="J368" i="2"/>
  <c r="J360" i="2"/>
  <c r="J352" i="2"/>
  <c r="J364" i="2"/>
  <c r="J356" i="2"/>
  <c r="J363" i="2"/>
  <c r="J367" i="2"/>
  <c r="J359" i="2"/>
  <c r="J366" i="2"/>
  <c r="J671" i="2"/>
  <c r="J155" i="2"/>
  <c r="J210" i="2"/>
  <c r="J322" i="2"/>
  <c r="J506" i="2"/>
  <c r="J498" i="2"/>
  <c r="J510" i="2"/>
  <c r="J502" i="2"/>
  <c r="J494" i="2"/>
  <c r="J501" i="2"/>
  <c r="J492" i="2"/>
  <c r="J505" i="2"/>
  <c r="J496" i="2"/>
  <c r="J500" i="2"/>
  <c r="J509" i="2"/>
  <c r="J491" i="2"/>
  <c r="J504" i="2"/>
  <c r="J495" i="2"/>
  <c r="J508" i="2"/>
  <c r="J499" i="2"/>
  <c r="J503" i="2"/>
  <c r="J507" i="2"/>
  <c r="J493" i="2"/>
  <c r="J6" i="2"/>
  <c r="J14" i="2"/>
  <c r="J37" i="2"/>
  <c r="J55" i="2"/>
  <c r="J19" i="2"/>
  <c r="J33" i="2"/>
  <c r="J42" i="2"/>
  <c r="J65" i="2"/>
  <c r="J74" i="2"/>
  <c r="J83" i="2"/>
  <c r="J97" i="2"/>
  <c r="J106" i="2"/>
  <c r="J115" i="2"/>
  <c r="J129" i="2"/>
  <c r="J147" i="2"/>
  <c r="J161" i="2"/>
  <c r="J170" i="2"/>
  <c r="J179" i="2"/>
  <c r="J193" i="2"/>
  <c r="J202" i="2"/>
  <c r="J211" i="2"/>
  <c r="J225" i="2"/>
  <c r="J243" i="2"/>
  <c r="J257" i="2"/>
  <c r="J272" i="2"/>
  <c r="J264" i="2"/>
  <c r="J260" i="2"/>
  <c r="J268" i="2"/>
  <c r="J266" i="2"/>
  <c r="J275" i="2"/>
  <c r="J289" i="2"/>
  <c r="J307" i="2"/>
  <c r="J318" i="2"/>
  <c r="J323" i="2"/>
  <c r="J334" i="2"/>
  <c r="J350" i="2"/>
  <c r="J355" i="2"/>
  <c r="J465" i="2"/>
  <c r="J679" i="2"/>
  <c r="J869" i="2"/>
  <c r="J59" i="2"/>
  <c r="J114" i="2"/>
  <c r="J251" i="2"/>
  <c r="J283" i="2"/>
  <c r="J3" i="2"/>
  <c r="J7" i="2"/>
  <c r="J11" i="2"/>
  <c r="J15" i="2"/>
  <c r="J29" i="2"/>
  <c r="J48" i="2"/>
  <c r="J40" i="2"/>
  <c r="J52" i="2"/>
  <c r="J44" i="2"/>
  <c r="J36" i="2"/>
  <c r="J38" i="2"/>
  <c r="J47" i="2"/>
  <c r="J61" i="2"/>
  <c r="J70" i="2"/>
  <c r="J79" i="2"/>
  <c r="J93" i="2"/>
  <c r="J111" i="2"/>
  <c r="J125" i="2"/>
  <c r="J136" i="2"/>
  <c r="J128" i="2"/>
  <c r="J140" i="2"/>
  <c r="J132" i="2"/>
  <c r="J134" i="2"/>
  <c r="J143" i="2"/>
  <c r="J157" i="2"/>
  <c r="J166" i="2"/>
  <c r="J175" i="2"/>
  <c r="J189" i="2"/>
  <c r="J207" i="2"/>
  <c r="J221" i="2"/>
  <c r="J236" i="2"/>
  <c r="J232" i="2"/>
  <c r="J224" i="2"/>
  <c r="J240" i="2"/>
  <c r="J228" i="2"/>
  <c r="J230" i="2"/>
  <c r="J239" i="2"/>
  <c r="J253" i="2"/>
  <c r="J262" i="2"/>
  <c r="J271" i="2"/>
  <c r="J285" i="2"/>
  <c r="J303" i="2"/>
  <c r="J345" i="2"/>
  <c r="J341" i="2"/>
  <c r="J337" i="2"/>
  <c r="J333" i="2"/>
  <c r="J329" i="2"/>
  <c r="J344" i="2"/>
  <c r="J340" i="2"/>
  <c r="J332" i="2"/>
  <c r="J348" i="2"/>
  <c r="J336" i="2"/>
  <c r="J328" i="2"/>
  <c r="J362" i="2"/>
  <c r="J389" i="2"/>
  <c r="J385" i="2"/>
  <c r="J381" i="2"/>
  <c r="J377" i="2"/>
  <c r="J373" i="2"/>
  <c r="J388" i="2"/>
  <c r="J380" i="2"/>
  <c r="J376" i="2"/>
  <c r="J392" i="2"/>
  <c r="J384" i="2"/>
  <c r="J372" i="2"/>
  <c r="J387" i="2"/>
  <c r="J379" i="2"/>
  <c r="J371" i="2"/>
  <c r="J391" i="2"/>
  <c r="J383" i="2"/>
  <c r="J375" i="2"/>
  <c r="J390" i="2"/>
  <c r="J386" i="2"/>
  <c r="J382" i="2"/>
  <c r="J378" i="2"/>
  <c r="J374" i="2"/>
  <c r="J370" i="2"/>
  <c r="J405" i="2"/>
  <c r="J401" i="2"/>
  <c r="J397" i="2"/>
  <c r="J393" i="2"/>
  <c r="J404" i="2"/>
  <c r="J396" i="2"/>
  <c r="J413" i="2"/>
  <c r="J400" i="2"/>
  <c r="J408" i="2"/>
  <c r="J403" i="2"/>
  <c r="J395" i="2"/>
  <c r="J412" i="2"/>
  <c r="J399" i="2"/>
  <c r="J416" i="2"/>
  <c r="J407" i="2"/>
  <c r="J411" i="2"/>
  <c r="J402" i="2"/>
  <c r="J398" i="2"/>
  <c r="J394" i="2"/>
  <c r="J425" i="2"/>
  <c r="J424" i="2"/>
  <c r="J488" i="2"/>
  <c r="J711" i="2"/>
  <c r="J288" i="2"/>
  <c r="J280" i="2"/>
  <c r="J292" i="2"/>
  <c r="J284" i="2"/>
  <c r="J276" i="2"/>
  <c r="J146" i="2"/>
  <c r="J178" i="2"/>
  <c r="J34" i="2"/>
  <c r="J57" i="2"/>
  <c r="J75" i="2"/>
  <c r="J98" i="2"/>
  <c r="J130" i="2"/>
  <c r="J153" i="2"/>
  <c r="J162" i="2"/>
  <c r="J171" i="2"/>
  <c r="J185" i="2"/>
  <c r="J200" i="2"/>
  <c r="J196" i="2"/>
  <c r="J188" i="2"/>
  <c r="J204" i="2"/>
  <c r="J192" i="2"/>
  <c r="J194" i="2"/>
  <c r="J203" i="2"/>
  <c r="J217" i="2"/>
  <c r="J235" i="2"/>
  <c r="J249" i="2"/>
  <c r="J258" i="2"/>
  <c r="J267" i="2"/>
  <c r="J281" i="2"/>
  <c r="J290" i="2"/>
  <c r="J299" i="2"/>
  <c r="J314" i="2"/>
  <c r="J319" i="2"/>
  <c r="J335" i="2"/>
  <c r="J346" i="2"/>
  <c r="J351" i="2"/>
  <c r="J562" i="2"/>
  <c r="J554" i="2"/>
  <c r="J558" i="2"/>
  <c r="J550" i="2"/>
  <c r="J561" i="2"/>
  <c r="J557" i="2"/>
  <c r="J553" i="2"/>
  <c r="J549" i="2"/>
  <c r="J564" i="2"/>
  <c r="J559" i="2"/>
  <c r="J548" i="2"/>
  <c r="J563" i="2"/>
  <c r="J552" i="2"/>
  <c r="J551" i="2"/>
  <c r="J556" i="2"/>
  <c r="J560" i="2"/>
  <c r="J555" i="2"/>
  <c r="J578" i="2"/>
  <c r="J570" i="2"/>
  <c r="J574" i="2"/>
  <c r="J566" i="2"/>
  <c r="J577" i="2"/>
  <c r="J573" i="2"/>
  <c r="J569" i="2"/>
  <c r="J565" i="2"/>
  <c r="J575" i="2"/>
  <c r="J579" i="2"/>
  <c r="J568" i="2"/>
  <c r="J567" i="2"/>
  <c r="J572" i="2"/>
  <c r="J576" i="2"/>
  <c r="J571" i="2"/>
  <c r="J602" i="2"/>
  <c r="J594" i="2"/>
  <c r="J586" i="2"/>
  <c r="J598" i="2"/>
  <c r="J590" i="2"/>
  <c r="J582" i="2"/>
  <c r="J605" i="2"/>
  <c r="J601" i="2"/>
  <c r="J597" i="2"/>
  <c r="J593" i="2"/>
  <c r="J589" i="2"/>
  <c r="J585" i="2"/>
  <c r="J581" i="2"/>
  <c r="J596" i="2"/>
  <c r="J591" i="2"/>
  <c r="J580" i="2"/>
  <c r="J600" i="2"/>
  <c r="J595" i="2"/>
  <c r="J584" i="2"/>
  <c r="J604" i="2"/>
  <c r="J583" i="2"/>
  <c r="J599" i="2"/>
  <c r="J588" i="2"/>
  <c r="J603" i="2"/>
  <c r="J592" i="2"/>
  <c r="J587" i="2"/>
  <c r="J660" i="2"/>
  <c r="J656" i="2"/>
  <c r="J652" i="2"/>
  <c r="J658" i="2"/>
  <c r="J650" i="2"/>
  <c r="J654" i="2"/>
  <c r="J646" i="2"/>
  <c r="J657" i="2"/>
  <c r="J653" i="2"/>
  <c r="J649" i="2"/>
  <c r="J645" i="2"/>
  <c r="J644" i="2"/>
  <c r="J655" i="2"/>
  <c r="J648" i="2"/>
  <c r="J659" i="2"/>
  <c r="J647" i="2"/>
  <c r="J651" i="2"/>
  <c r="J18" i="2"/>
  <c r="J25" i="2"/>
  <c r="J43" i="2"/>
  <c r="J66" i="2"/>
  <c r="J4" i="2"/>
  <c r="J8" i="2"/>
  <c r="J12" i="2"/>
  <c r="J21" i="2"/>
  <c r="J53" i="2"/>
  <c r="J62" i="2"/>
  <c r="J71" i="2"/>
  <c r="J85" i="2"/>
  <c r="J108" i="2"/>
  <c r="J100" i="2"/>
  <c r="J92" i="2"/>
  <c r="J104" i="2"/>
  <c r="J96" i="2"/>
  <c r="J94" i="2"/>
  <c r="J103" i="2"/>
  <c r="J117" i="2"/>
  <c r="J126" i="2"/>
  <c r="J149" i="2"/>
  <c r="J158" i="2"/>
  <c r="J181" i="2"/>
  <c r="J199" i="2"/>
  <c r="J213" i="2"/>
  <c r="J245" i="2"/>
  <c r="J254" i="2"/>
  <c r="J277" i="2"/>
  <c r="J286" i="2"/>
  <c r="J295" i="2"/>
  <c r="J433" i="2"/>
  <c r="J497" i="2"/>
  <c r="J531" i="2"/>
  <c r="J540" i="2"/>
  <c r="J675" i="2"/>
  <c r="J691" i="2"/>
  <c r="J420" i="2"/>
  <c r="J429" i="2"/>
  <c r="J443" i="2"/>
  <c r="J452" i="2"/>
  <c r="J516" i="2"/>
  <c r="J525" i="2"/>
  <c r="J539" i="2"/>
  <c r="J544" i="2"/>
  <c r="J608" i="2"/>
  <c r="J619" i="2"/>
  <c r="J624" i="2"/>
  <c r="J635" i="2"/>
  <c r="J640" i="2"/>
  <c r="J683" i="2"/>
  <c r="J785" i="2"/>
  <c r="J961" i="2"/>
  <c r="J1493" i="2"/>
  <c r="J439" i="2"/>
  <c r="J512" i="2"/>
  <c r="J535" i="2"/>
  <c r="J642" i="2"/>
  <c r="J634" i="2"/>
  <c r="J626" i="2"/>
  <c r="J638" i="2"/>
  <c r="J630" i="2"/>
  <c r="J641" i="2"/>
  <c r="J637" i="2"/>
  <c r="J633" i="2"/>
  <c r="J629" i="2"/>
  <c r="J625" i="2"/>
  <c r="J708" i="2"/>
  <c r="J704" i="2"/>
  <c r="J700" i="2"/>
  <c r="J706" i="2"/>
  <c r="J698" i="2"/>
  <c r="J710" i="2"/>
  <c r="J702" i="2"/>
  <c r="J709" i="2"/>
  <c r="J705" i="2"/>
  <c r="J701" i="2"/>
  <c r="J697" i="2"/>
  <c r="J703" i="2"/>
  <c r="J760" i="2"/>
  <c r="J756" i="2"/>
  <c r="J752" i="2"/>
  <c r="J748" i="2"/>
  <c r="J744" i="2"/>
  <c r="J740" i="2"/>
  <c r="J736" i="2"/>
  <c r="J763" i="2"/>
  <c r="J759" i="2"/>
  <c r="J755" i="2"/>
  <c r="J751" i="2"/>
  <c r="J747" i="2"/>
  <c r="J743" i="2"/>
  <c r="J739" i="2"/>
  <c r="J735" i="2"/>
  <c r="J762" i="2"/>
  <c r="J754" i="2"/>
  <c r="J746" i="2"/>
  <c r="J738" i="2"/>
  <c r="J758" i="2"/>
  <c r="J750" i="2"/>
  <c r="J742" i="2"/>
  <c r="J734" i="2"/>
  <c r="J761" i="2"/>
  <c r="J757" i="2"/>
  <c r="J753" i="2"/>
  <c r="J749" i="2"/>
  <c r="J745" i="2"/>
  <c r="J741" i="2"/>
  <c r="J737" i="2"/>
  <c r="J733" i="2"/>
  <c r="J784" i="2"/>
  <c r="J780" i="2"/>
  <c r="J776" i="2"/>
  <c r="J772" i="2"/>
  <c r="J768" i="2"/>
  <c r="J764" i="2"/>
  <c r="J783" i="2"/>
  <c r="J779" i="2"/>
  <c r="J775" i="2"/>
  <c r="J771" i="2"/>
  <c r="J767" i="2"/>
  <c r="J778" i="2"/>
  <c r="J770" i="2"/>
  <c r="J782" i="2"/>
  <c r="J774" i="2"/>
  <c r="J766" i="2"/>
  <c r="J773" i="2"/>
  <c r="J769" i="2"/>
  <c r="J765" i="2"/>
  <c r="J973" i="2"/>
  <c r="J1347" i="2"/>
  <c r="J434" i="2"/>
  <c r="J430" i="2"/>
  <c r="J426" i="2"/>
  <c r="J422" i="2"/>
  <c r="J418" i="2"/>
  <c r="J438" i="2"/>
  <c r="J435" i="2"/>
  <c r="J620" i="2"/>
  <c r="J522" i="2"/>
  <c r="J514" i="2"/>
  <c r="J526" i="2"/>
  <c r="J518" i="2"/>
  <c r="J636" i="2"/>
  <c r="J850" i="2"/>
  <c r="J849" i="2"/>
  <c r="J840" i="2"/>
  <c r="J836" i="2"/>
  <c r="J832" i="2"/>
  <c r="J853" i="2"/>
  <c r="J843" i="2"/>
  <c r="J839" i="2"/>
  <c r="J835" i="2"/>
  <c r="J831" i="2"/>
  <c r="J852" i="2"/>
  <c r="J847" i="2"/>
  <c r="J842" i="2"/>
  <c r="J838" i="2"/>
  <c r="J834" i="2"/>
  <c r="J830" i="2"/>
  <c r="J841" i="2"/>
  <c r="J837" i="2"/>
  <c r="J833" i="2"/>
  <c r="J845" i="2"/>
  <c r="J851" i="2"/>
  <c r="J1457" i="2"/>
  <c r="J1481" i="2"/>
  <c r="J1489" i="2"/>
  <c r="J1717" i="2"/>
  <c r="J1713" i="2"/>
  <c r="J417" i="2"/>
  <c r="J431" i="2"/>
  <c r="J466" i="2"/>
  <c r="J458" i="2"/>
  <c r="J462" i="2"/>
  <c r="J454" i="2"/>
  <c r="J463" i="2"/>
  <c r="J513" i="2"/>
  <c r="J527" i="2"/>
  <c r="J829" i="2"/>
  <c r="J929" i="2"/>
  <c r="J1117" i="2"/>
  <c r="J1129" i="2"/>
  <c r="J1377" i="2"/>
  <c r="J1372" i="2"/>
  <c r="J1381" i="2"/>
  <c r="J1376" i="2"/>
  <c r="J1365" i="2"/>
  <c r="J1380" i="2"/>
  <c r="J1369" i="2"/>
  <c r="J1364" i="2"/>
  <c r="J1373" i="2"/>
  <c r="J1368" i="2"/>
  <c r="J1617" i="2"/>
  <c r="J1641" i="2"/>
  <c r="J1649" i="2"/>
  <c r="J445" i="2"/>
  <c r="J468" i="2"/>
  <c r="J532" i="2"/>
  <c r="J547" i="2"/>
  <c r="J618" i="2"/>
  <c r="J610" i="2"/>
  <c r="J622" i="2"/>
  <c r="J614" i="2"/>
  <c r="J606" i="2"/>
  <c r="J621" i="2"/>
  <c r="J617" i="2"/>
  <c r="J613" i="2"/>
  <c r="J609" i="2"/>
  <c r="J611" i="2"/>
  <c r="J616" i="2"/>
  <c r="J627" i="2"/>
  <c r="J632" i="2"/>
  <c r="J643" i="2"/>
  <c r="J676" i="2"/>
  <c r="J672" i="2"/>
  <c r="J668" i="2"/>
  <c r="J664" i="2"/>
  <c r="J674" i="2"/>
  <c r="J666" i="2"/>
  <c r="J678" i="2"/>
  <c r="J670" i="2"/>
  <c r="J662" i="2"/>
  <c r="J677" i="2"/>
  <c r="J673" i="2"/>
  <c r="J669" i="2"/>
  <c r="J665" i="2"/>
  <c r="J661" i="2"/>
  <c r="J667" i="2"/>
  <c r="J699" i="2"/>
  <c r="J846" i="2"/>
  <c r="J1001" i="2"/>
  <c r="J1585" i="2"/>
  <c r="J1693" i="2"/>
  <c r="J427" i="2"/>
  <c r="J436" i="2"/>
  <c r="J450" i="2"/>
  <c r="J442" i="2"/>
  <c r="J446" i="2"/>
  <c r="J459" i="2"/>
  <c r="J523" i="2"/>
  <c r="J410" i="2"/>
  <c r="J406" i="2"/>
  <c r="J414" i="2"/>
  <c r="J409" i="2"/>
  <c r="J423" i="2"/>
  <c r="J432" i="2"/>
  <c r="J441" i="2"/>
  <c r="J455" i="2"/>
  <c r="J464" i="2"/>
  <c r="J519" i="2"/>
  <c r="J528" i="2"/>
  <c r="J696" i="2"/>
  <c r="J692" i="2"/>
  <c r="J688" i="2"/>
  <c r="J684" i="2"/>
  <c r="J680" i="2"/>
  <c r="J690" i="2"/>
  <c r="J682" i="2"/>
  <c r="J694" i="2"/>
  <c r="J686" i="2"/>
  <c r="J693" i="2"/>
  <c r="J689" i="2"/>
  <c r="J685" i="2"/>
  <c r="J681" i="2"/>
  <c r="J687" i="2"/>
  <c r="J732" i="2"/>
  <c r="J728" i="2"/>
  <c r="J724" i="2"/>
  <c r="J720" i="2"/>
  <c r="J716" i="2"/>
  <c r="J712" i="2"/>
  <c r="J731" i="2"/>
  <c r="J727" i="2"/>
  <c r="J723" i="2"/>
  <c r="J719" i="2"/>
  <c r="J715" i="2"/>
  <c r="J730" i="2"/>
  <c r="J722" i="2"/>
  <c r="J714" i="2"/>
  <c r="J726" i="2"/>
  <c r="J718" i="2"/>
  <c r="J729" i="2"/>
  <c r="J725" i="2"/>
  <c r="J721" i="2"/>
  <c r="J717" i="2"/>
  <c r="J713" i="2"/>
  <c r="J828" i="2"/>
  <c r="J824" i="2"/>
  <c r="J820" i="2"/>
  <c r="J816" i="2"/>
  <c r="J812" i="2"/>
  <c r="J808" i="2"/>
  <c r="J827" i="2"/>
  <c r="J823" i="2"/>
  <c r="J819" i="2"/>
  <c r="J815" i="2"/>
  <c r="J811" i="2"/>
  <c r="J807" i="2"/>
  <c r="J826" i="2"/>
  <c r="J818" i="2"/>
  <c r="J810" i="2"/>
  <c r="J822" i="2"/>
  <c r="J814" i="2"/>
  <c r="J860" i="2"/>
  <c r="J893" i="2"/>
  <c r="J1029" i="2"/>
  <c r="J1025" i="2"/>
  <c r="J1425" i="2"/>
  <c r="J1429" i="2"/>
  <c r="J419" i="2"/>
  <c r="J428" i="2"/>
  <c r="J437" i="2"/>
  <c r="J460" i="2"/>
  <c r="J469" i="2"/>
  <c r="J515" i="2"/>
  <c r="J524" i="2"/>
  <c r="J546" i="2"/>
  <c r="J538" i="2"/>
  <c r="J530" i="2"/>
  <c r="J542" i="2"/>
  <c r="J534" i="2"/>
  <c r="J545" i="2"/>
  <c r="J541" i="2"/>
  <c r="J533" i="2"/>
  <c r="J543" i="2"/>
  <c r="J607" i="2"/>
  <c r="J612" i="2"/>
  <c r="J628" i="2"/>
  <c r="J707" i="2"/>
  <c r="J804" i="2"/>
  <c r="J800" i="2"/>
  <c r="J796" i="2"/>
  <c r="J792" i="2"/>
  <c r="J788" i="2"/>
  <c r="J803" i="2"/>
  <c r="J799" i="2"/>
  <c r="J795" i="2"/>
  <c r="J791" i="2"/>
  <c r="J787" i="2"/>
  <c r="J802" i="2"/>
  <c r="J794" i="2"/>
  <c r="J786" i="2"/>
  <c r="J806" i="2"/>
  <c r="J798" i="2"/>
  <c r="J790" i="2"/>
  <c r="J805" i="2"/>
  <c r="J801" i="2"/>
  <c r="J797" i="2"/>
  <c r="J793" i="2"/>
  <c r="J789" i="2"/>
  <c r="J911" i="2"/>
  <c r="J1081" i="2"/>
  <c r="J1097" i="2"/>
  <c r="J1089" i="2"/>
  <c r="J901" i="2"/>
  <c r="J892" i="2"/>
  <c r="J1388" i="2"/>
  <c r="J1392" i="2"/>
  <c r="J1385" i="2"/>
  <c r="J1384" i="2"/>
  <c r="J1529" i="2"/>
  <c r="J1521" i="2"/>
  <c r="J1525" i="2"/>
  <c r="J1569" i="2"/>
  <c r="J1581" i="2"/>
  <c r="J1653" i="2"/>
  <c r="J777" i="2"/>
  <c r="J781" i="2"/>
  <c r="J809" i="2"/>
  <c r="J813" i="2"/>
  <c r="J817" i="2"/>
  <c r="J821" i="2"/>
  <c r="J825" i="2"/>
  <c r="J905" i="2"/>
  <c r="J941" i="2"/>
  <c r="J949" i="2"/>
  <c r="J1681" i="2"/>
  <c r="J1409" i="2"/>
  <c r="J1421" i="2"/>
  <c r="J1601" i="2"/>
  <c r="J1633" i="2"/>
  <c r="J864" i="2"/>
  <c r="J909" i="2"/>
  <c r="J1005" i="2"/>
  <c r="J1041" i="2"/>
  <c r="J1396" i="2"/>
  <c r="J1505" i="2"/>
  <c r="J1645" i="2"/>
  <c r="J1465" i="2"/>
  <c r="J1461" i="2"/>
  <c r="J861" i="2"/>
  <c r="J1033" i="2"/>
  <c r="J1045" i="2"/>
  <c r="J1449" i="2"/>
  <c r="J985" i="2"/>
  <c r="J993" i="2"/>
  <c r="J1069" i="2"/>
  <c r="J1359" i="2"/>
  <c r="J1485" i="2"/>
  <c r="J1565" i="2"/>
  <c r="J1557" i="2"/>
  <c r="J1661" i="2"/>
  <c r="J1709" i="2"/>
  <c r="J867" i="2"/>
  <c r="J925" i="2"/>
  <c r="J1401" i="2"/>
  <c r="J1597" i="2"/>
  <c r="J1589" i="2"/>
  <c r="J1609" i="2"/>
  <c r="J856" i="2"/>
  <c r="J865" i="2"/>
  <c r="J879" i="2"/>
  <c r="J888" i="2"/>
  <c r="J897" i="2"/>
  <c r="J917" i="2"/>
  <c r="J940" i="2"/>
  <c r="J932" i="2"/>
  <c r="J944" i="2"/>
  <c r="J936" i="2"/>
  <c r="J928" i="2"/>
  <c r="J947" i="2"/>
  <c r="J939" i="2"/>
  <c r="J931" i="2"/>
  <c r="J943" i="2"/>
  <c r="J935" i="2"/>
  <c r="J946" i="2"/>
  <c r="J938" i="2"/>
  <c r="J930" i="2"/>
  <c r="J942" i="2"/>
  <c r="J934" i="2"/>
  <c r="J981" i="2"/>
  <c r="J1013" i="2"/>
  <c r="J1077" i="2"/>
  <c r="J1109" i="2"/>
  <c r="J875" i="2"/>
  <c r="J937" i="2"/>
  <c r="J956" i="2"/>
  <c r="J948" i="2"/>
  <c r="J960" i="2"/>
  <c r="J952" i="2"/>
  <c r="J963" i="2"/>
  <c r="J955" i="2"/>
  <c r="J959" i="2"/>
  <c r="J951" i="2"/>
  <c r="J958" i="2"/>
  <c r="J962" i="2"/>
  <c r="J954" i="2"/>
  <c r="J950" i="2"/>
  <c r="J969" i="2"/>
  <c r="J1060" i="2"/>
  <c r="J1052" i="2"/>
  <c r="J1044" i="2"/>
  <c r="J1056" i="2"/>
  <c r="J1048" i="2"/>
  <c r="J1055" i="2"/>
  <c r="J1047" i="2"/>
  <c r="J1059" i="2"/>
  <c r="J1051" i="2"/>
  <c r="J1043" i="2"/>
  <c r="J1058" i="2"/>
  <c r="J1050" i="2"/>
  <c r="J1054" i="2"/>
  <c r="J1046" i="2"/>
  <c r="J1065" i="2"/>
  <c r="J844" i="2"/>
  <c r="J848" i="2"/>
  <c r="J857" i="2"/>
  <c r="J871" i="2"/>
  <c r="J880" i="2"/>
  <c r="J889" i="2"/>
  <c r="J902" i="2"/>
  <c r="J894" i="2"/>
  <c r="J906" i="2"/>
  <c r="J898" i="2"/>
  <c r="J903" i="2"/>
  <c r="J913" i="2"/>
  <c r="J957" i="2"/>
  <c r="J989" i="2"/>
  <c r="J1012" i="2"/>
  <c r="J1004" i="2"/>
  <c r="J1016" i="2"/>
  <c r="J1008" i="2"/>
  <c r="J1015" i="2"/>
  <c r="J1007" i="2"/>
  <c r="J1011" i="2"/>
  <c r="J1003" i="2"/>
  <c r="J1014" i="2"/>
  <c r="J1002" i="2"/>
  <c r="J1010" i="2"/>
  <c r="J1006" i="2"/>
  <c r="J1021" i="2"/>
  <c r="J1053" i="2"/>
  <c r="J1085" i="2"/>
  <c r="J1116" i="2"/>
  <c r="J1108" i="2"/>
  <c r="J1100" i="2"/>
  <c r="J1112" i="2"/>
  <c r="J1104" i="2"/>
  <c r="J1111" i="2"/>
  <c r="J1103" i="2"/>
  <c r="J1115" i="2"/>
  <c r="J1107" i="2"/>
  <c r="J1099" i="2"/>
  <c r="J1114" i="2"/>
  <c r="J1102" i="2"/>
  <c r="J1110" i="2"/>
  <c r="J1106" i="2"/>
  <c r="J1098" i="2"/>
  <c r="J1197" i="2"/>
  <c r="J1193" i="2"/>
  <c r="J1189" i="2"/>
  <c r="J1185" i="2"/>
  <c r="J1181" i="2"/>
  <c r="J1177" i="2"/>
  <c r="J1173" i="2"/>
  <c r="J1196" i="2"/>
  <c r="J1188" i="2"/>
  <c r="J1180" i="2"/>
  <c r="J1172" i="2"/>
  <c r="J1200" i="2"/>
  <c r="J1192" i="2"/>
  <c r="J1184" i="2"/>
  <c r="J1176" i="2"/>
  <c r="J1199" i="2"/>
  <c r="J1191" i="2"/>
  <c r="J1183" i="2"/>
  <c r="J1175" i="2"/>
  <c r="J1195" i="2"/>
  <c r="J1187" i="2"/>
  <c r="J1179" i="2"/>
  <c r="J1171" i="2"/>
  <c r="J1194" i="2"/>
  <c r="J1186" i="2"/>
  <c r="J1178" i="2"/>
  <c r="J1170" i="2"/>
  <c r="J1198" i="2"/>
  <c r="J1190" i="2"/>
  <c r="J1182" i="2"/>
  <c r="J1174" i="2"/>
  <c r="J1221" i="2"/>
  <c r="J1217" i="2"/>
  <c r="J1213" i="2"/>
  <c r="J1209" i="2"/>
  <c r="J1205" i="2"/>
  <c r="J1201" i="2"/>
  <c r="J1220" i="2"/>
  <c r="J1212" i="2"/>
  <c r="J1204" i="2"/>
  <c r="J1216" i="2"/>
  <c r="J1208" i="2"/>
  <c r="J1215" i="2"/>
  <c r="J1207" i="2"/>
  <c r="J1219" i="2"/>
  <c r="J1211" i="2"/>
  <c r="J1203" i="2"/>
  <c r="J1222" i="2"/>
  <c r="J1214" i="2"/>
  <c r="J1206" i="2"/>
  <c r="J1218" i="2"/>
  <c r="J1210" i="2"/>
  <c r="J1202" i="2"/>
  <c r="J1241" i="2"/>
  <c r="J1237" i="2"/>
  <c r="J1233" i="2"/>
  <c r="J1229" i="2"/>
  <c r="J1225" i="2"/>
  <c r="J1236" i="2"/>
  <c r="J1228" i="2"/>
  <c r="J1240" i="2"/>
  <c r="J1232" i="2"/>
  <c r="J1224" i="2"/>
  <c r="J1239" i="2"/>
  <c r="J1231" i="2"/>
  <c r="J1223" i="2"/>
  <c r="J1243" i="2"/>
  <c r="J1235" i="2"/>
  <c r="J1227" i="2"/>
  <c r="J1242" i="2"/>
  <c r="J1234" i="2"/>
  <c r="J1238" i="2"/>
  <c r="J1230" i="2"/>
  <c r="J1226" i="2"/>
  <c r="J1325" i="2"/>
  <c r="J1321" i="2"/>
  <c r="J1317" i="2"/>
  <c r="J1313" i="2"/>
  <c r="J1324" i="2"/>
  <c r="J1320" i="2"/>
  <c r="J1316" i="2"/>
  <c r="J1315" i="2"/>
  <c r="J1327" i="2"/>
  <c r="J1323" i="2"/>
  <c r="J1319" i="2"/>
  <c r="J1326" i="2"/>
  <c r="J1322" i="2"/>
  <c r="J1318" i="2"/>
  <c r="J1314" i="2"/>
  <c r="J1338" i="2"/>
  <c r="J1342" i="2"/>
  <c r="J1337" i="2"/>
  <c r="J1333" i="2"/>
  <c r="J1329" i="2"/>
  <c r="J1341" i="2"/>
  <c r="J1336" i="2"/>
  <c r="J1332" i="2"/>
  <c r="J1328" i="2"/>
  <c r="J1340" i="2"/>
  <c r="J1335" i="2"/>
  <c r="J1331" i="2"/>
  <c r="J1339" i="2"/>
  <c r="J1343" i="2"/>
  <c r="J1334" i="2"/>
  <c r="J1330" i="2"/>
  <c r="J1552" i="2"/>
  <c r="J1548" i="2"/>
  <c r="J1544" i="2"/>
  <c r="J1540" i="2"/>
  <c r="J1536" i="2"/>
  <c r="J1551" i="2"/>
  <c r="J1543" i="2"/>
  <c r="J1535" i="2"/>
  <c r="J1547" i="2"/>
  <c r="J1539" i="2"/>
  <c r="J1546" i="2"/>
  <c r="J1538" i="2"/>
  <c r="J1550" i="2"/>
  <c r="J1542" i="2"/>
  <c r="J1537" i="2"/>
  <c r="J1549" i="2"/>
  <c r="J1541" i="2"/>
  <c r="J1553" i="2"/>
  <c r="J1545" i="2"/>
  <c r="J885" i="2"/>
  <c r="J899" i="2"/>
  <c r="J945" i="2"/>
  <c r="J977" i="2"/>
  <c r="J1009" i="2"/>
  <c r="J1073" i="2"/>
  <c r="J1105" i="2"/>
  <c r="J1133" i="2"/>
  <c r="J1132" i="2"/>
  <c r="J1124" i="2"/>
  <c r="J1128" i="2"/>
  <c r="J1120" i="2"/>
  <c r="J1127" i="2"/>
  <c r="J1119" i="2"/>
  <c r="J1131" i="2"/>
  <c r="J1123" i="2"/>
  <c r="J1130" i="2"/>
  <c r="J1122" i="2"/>
  <c r="J1126" i="2"/>
  <c r="J1118" i="2"/>
  <c r="J1744" i="2"/>
  <c r="J1736" i="2"/>
  <c r="J1728" i="2"/>
  <c r="J1748" i="2"/>
  <c r="J1740" i="2"/>
  <c r="J1732" i="2"/>
  <c r="J1743" i="2"/>
  <c r="J1735" i="2"/>
  <c r="J1747" i="2"/>
  <c r="J1739" i="2"/>
  <c r="J1731" i="2"/>
  <c r="J1746" i="2"/>
  <c r="J1738" i="2"/>
  <c r="J1730" i="2"/>
  <c r="J1742" i="2"/>
  <c r="J1734" i="2"/>
  <c r="J1729" i="2"/>
  <c r="J1741" i="2"/>
  <c r="J1733" i="2"/>
  <c r="J1745" i="2"/>
  <c r="J1737" i="2"/>
  <c r="J866" i="2"/>
  <c r="J858" i="2"/>
  <c r="J874" i="2"/>
  <c r="J870" i="2"/>
  <c r="J862" i="2"/>
  <c r="J854" i="2"/>
  <c r="J863" i="2"/>
  <c r="J872" i="2"/>
  <c r="J881" i="2"/>
  <c r="J895" i="2"/>
  <c r="J904" i="2"/>
  <c r="J933" i="2"/>
  <c r="J965" i="2"/>
  <c r="J997" i="2"/>
  <c r="J1061" i="2"/>
  <c r="J1093" i="2"/>
  <c r="J1125" i="2"/>
  <c r="J1685" i="2"/>
  <c r="J859" i="2"/>
  <c r="J868" i="2"/>
  <c r="J891" i="2"/>
  <c r="J900" i="2"/>
  <c r="J924" i="2"/>
  <c r="J916" i="2"/>
  <c r="J912" i="2"/>
  <c r="J920" i="2"/>
  <c r="J908" i="2"/>
  <c r="J923" i="2"/>
  <c r="J927" i="2"/>
  <c r="J919" i="2"/>
  <c r="J922" i="2"/>
  <c r="J918" i="2"/>
  <c r="J914" i="2"/>
  <c r="J910" i="2"/>
  <c r="J926" i="2"/>
  <c r="J915" i="2"/>
  <c r="J921" i="2"/>
  <c r="J953" i="2"/>
  <c r="J980" i="2"/>
  <c r="J972" i="2"/>
  <c r="J964" i="2"/>
  <c r="J984" i="2"/>
  <c r="J976" i="2"/>
  <c r="J968" i="2"/>
  <c r="J979" i="2"/>
  <c r="J971" i="2"/>
  <c r="J983" i="2"/>
  <c r="J975" i="2"/>
  <c r="J967" i="2"/>
  <c r="J974" i="2"/>
  <c r="J966" i="2"/>
  <c r="J982" i="2"/>
  <c r="J978" i="2"/>
  <c r="J970" i="2"/>
  <c r="J1017" i="2"/>
  <c r="J1049" i="2"/>
  <c r="J1076" i="2"/>
  <c r="J1068" i="2"/>
  <c r="J1080" i="2"/>
  <c r="J1072" i="2"/>
  <c r="J1064" i="2"/>
  <c r="J1079" i="2"/>
  <c r="J1071" i="2"/>
  <c r="J1063" i="2"/>
  <c r="J1075" i="2"/>
  <c r="J1067" i="2"/>
  <c r="J1078" i="2"/>
  <c r="J1066" i="2"/>
  <c r="J1074" i="2"/>
  <c r="J1070" i="2"/>
  <c r="J1062" i="2"/>
  <c r="J1113" i="2"/>
  <c r="J1697" i="2"/>
  <c r="J855" i="2"/>
  <c r="J873" i="2"/>
  <c r="J886" i="2"/>
  <c r="J878" i="2"/>
  <c r="J890" i="2"/>
  <c r="J882" i="2"/>
  <c r="J887" i="2"/>
  <c r="J896" i="2"/>
  <c r="J996" i="2"/>
  <c r="J988" i="2"/>
  <c r="J1000" i="2"/>
  <c r="J992" i="2"/>
  <c r="J999" i="2"/>
  <c r="J987" i="2"/>
  <c r="J995" i="2"/>
  <c r="J991" i="2"/>
  <c r="J994" i="2"/>
  <c r="J986" i="2"/>
  <c r="J998" i="2"/>
  <c r="J990" i="2"/>
  <c r="J1036" i="2"/>
  <c r="J1028" i="2"/>
  <c r="J1020" i="2"/>
  <c r="J1040" i="2"/>
  <c r="J1032" i="2"/>
  <c r="J1024" i="2"/>
  <c r="J1039" i="2"/>
  <c r="J1031" i="2"/>
  <c r="J1023" i="2"/>
  <c r="J1035" i="2"/>
  <c r="J1027" i="2"/>
  <c r="J1019" i="2"/>
  <c r="J1038" i="2"/>
  <c r="J1030" i="2"/>
  <c r="J1022" i="2"/>
  <c r="J1042" i="2"/>
  <c r="J1034" i="2"/>
  <c r="J1026" i="2"/>
  <c r="J1018" i="2"/>
  <c r="J1037" i="2"/>
  <c r="J1092" i="2"/>
  <c r="J1084" i="2"/>
  <c r="J1096" i="2"/>
  <c r="J1088" i="2"/>
  <c r="J1095" i="2"/>
  <c r="J1087" i="2"/>
  <c r="J1091" i="2"/>
  <c r="J1083" i="2"/>
  <c r="J1094" i="2"/>
  <c r="J1086" i="2"/>
  <c r="J1090" i="2"/>
  <c r="J1082" i="2"/>
  <c r="J1145" i="2"/>
  <c r="J1141" i="2"/>
  <c r="J1137" i="2"/>
  <c r="J1148" i="2"/>
  <c r="J1140" i="2"/>
  <c r="J1144" i="2"/>
  <c r="J1136" i="2"/>
  <c r="J1143" i="2"/>
  <c r="J1135" i="2"/>
  <c r="J1147" i="2"/>
  <c r="J1139" i="2"/>
  <c r="J1142" i="2"/>
  <c r="J1146" i="2"/>
  <c r="J1138" i="2"/>
  <c r="J1134" i="2"/>
  <c r="J1169" i="2"/>
  <c r="J1165" i="2"/>
  <c r="J1161" i="2"/>
  <c r="J1157" i="2"/>
  <c r="J1153" i="2"/>
  <c r="J1149" i="2"/>
  <c r="J1164" i="2"/>
  <c r="J1156" i="2"/>
  <c r="J1168" i="2"/>
  <c r="J1160" i="2"/>
  <c r="J1152" i="2"/>
  <c r="J1167" i="2"/>
  <c r="J1159" i="2"/>
  <c r="J1151" i="2"/>
  <c r="J1163" i="2"/>
  <c r="J1155" i="2"/>
  <c r="J1158" i="2"/>
  <c r="J1150" i="2"/>
  <c r="J1166" i="2"/>
  <c r="J1162" i="2"/>
  <c r="J1154" i="2"/>
  <c r="J1265" i="2"/>
  <c r="J1261" i="2"/>
  <c r="J1257" i="2"/>
  <c r="J1253" i="2"/>
  <c r="J1249" i="2"/>
  <c r="J1245" i="2"/>
  <c r="J1260" i="2"/>
  <c r="J1252" i="2"/>
  <c r="J1244" i="2"/>
  <c r="J1264" i="2"/>
  <c r="J1256" i="2"/>
  <c r="J1248" i="2"/>
  <c r="J1263" i="2"/>
  <c r="J1255" i="2"/>
  <c r="J1247" i="2"/>
  <c r="J1259" i="2"/>
  <c r="J1251" i="2"/>
  <c r="J1262" i="2"/>
  <c r="J1250" i="2"/>
  <c r="J1266" i="2"/>
  <c r="J1258" i="2"/>
  <c r="J1254" i="2"/>
  <c r="J1246" i="2"/>
  <c r="J1289" i="2"/>
  <c r="J1285" i="2"/>
  <c r="J1281" i="2"/>
  <c r="J1277" i="2"/>
  <c r="J1273" i="2"/>
  <c r="J1269" i="2"/>
  <c r="J1284" i="2"/>
  <c r="J1276" i="2"/>
  <c r="J1268" i="2"/>
  <c r="J1288" i="2"/>
  <c r="J1280" i="2"/>
  <c r="J1272" i="2"/>
  <c r="J1283" i="2"/>
  <c r="J1279" i="2"/>
  <c r="J1271" i="2"/>
  <c r="J1287" i="2"/>
  <c r="J1275" i="2"/>
  <c r="J1267" i="2"/>
  <c r="J1290" i="2"/>
  <c r="J1278" i="2"/>
  <c r="J1270" i="2"/>
  <c r="J1286" i="2"/>
  <c r="J1282" i="2"/>
  <c r="J1274" i="2"/>
  <c r="J1309" i="2"/>
  <c r="J1305" i="2"/>
  <c r="J1301" i="2"/>
  <c r="J1297" i="2"/>
  <c r="J1293" i="2"/>
  <c r="J1308" i="2"/>
  <c r="J1300" i="2"/>
  <c r="J1292" i="2"/>
  <c r="J1312" i="2"/>
  <c r="J1304" i="2"/>
  <c r="J1296" i="2"/>
  <c r="J1307" i="2"/>
  <c r="J1299" i="2"/>
  <c r="J1291" i="2"/>
  <c r="J1311" i="2"/>
  <c r="J1303" i="2"/>
  <c r="J1295" i="2"/>
  <c r="J1310" i="2"/>
  <c r="J1306" i="2"/>
  <c r="J1302" i="2"/>
  <c r="J1298" i="2"/>
  <c r="J1294" i="2"/>
  <c r="J1352" i="2"/>
  <c r="J1361" i="2"/>
  <c r="J1379" i="2"/>
  <c r="J1371" i="2"/>
  <c r="J1383" i="2"/>
  <c r="J1375" i="2"/>
  <c r="J1367" i="2"/>
  <c r="J1378" i="2"/>
  <c r="J1370" i="2"/>
  <c r="J1382" i="2"/>
  <c r="J1374" i="2"/>
  <c r="J1366" i="2"/>
  <c r="J1417" i="2"/>
  <c r="J1513" i="2"/>
  <c r="J1673" i="2"/>
  <c r="J1705" i="2"/>
  <c r="J1348" i="2"/>
  <c r="J1357" i="2"/>
  <c r="J1393" i="2"/>
  <c r="J1405" i="2"/>
  <c r="J1437" i="2"/>
  <c r="J1469" i="2"/>
  <c r="J1496" i="2"/>
  <c r="J1492" i="2"/>
  <c r="J1488" i="2"/>
  <c r="J1484" i="2"/>
  <c r="J1480" i="2"/>
  <c r="J1495" i="2"/>
  <c r="J1487" i="2"/>
  <c r="J1491" i="2"/>
  <c r="J1483" i="2"/>
  <c r="J1494" i="2"/>
  <c r="J1490" i="2"/>
  <c r="J1498" i="2"/>
  <c r="J1486" i="2"/>
  <c r="J1482" i="2"/>
  <c r="J1533" i="2"/>
  <c r="J1636" i="2"/>
  <c r="J1632" i="2"/>
  <c r="J1628" i="2"/>
  <c r="J1624" i="2"/>
  <c r="J1620" i="2"/>
  <c r="J1616" i="2"/>
  <c r="J1612" i="2"/>
  <c r="J1608" i="2"/>
  <c r="J1631" i="2"/>
  <c r="J1623" i="2"/>
  <c r="J1615" i="2"/>
  <c r="J1607" i="2"/>
  <c r="J1635" i="2"/>
  <c r="J1627" i="2"/>
  <c r="J1619" i="2"/>
  <c r="J1611" i="2"/>
  <c r="J1630" i="2"/>
  <c r="J1622" i="2"/>
  <c r="J1614" i="2"/>
  <c r="J1634" i="2"/>
  <c r="J1626" i="2"/>
  <c r="J1618" i="2"/>
  <c r="J1610" i="2"/>
  <c r="J1629" i="2"/>
  <c r="J1724" i="2"/>
  <c r="J1720" i="2"/>
  <c r="J1716" i="2"/>
  <c r="J1712" i="2"/>
  <c r="J1708" i="2"/>
  <c r="J1704" i="2"/>
  <c r="J1727" i="2"/>
  <c r="J1719" i="2"/>
  <c r="J1711" i="2"/>
  <c r="J1723" i="2"/>
  <c r="J1715" i="2"/>
  <c r="J1707" i="2"/>
  <c r="J1710" i="2"/>
  <c r="J1726" i="2"/>
  <c r="J1722" i="2"/>
  <c r="J1718" i="2"/>
  <c r="J1714" i="2"/>
  <c r="J1706" i="2"/>
  <c r="J1725" i="2"/>
  <c r="J1344" i="2"/>
  <c r="J1353" i="2"/>
  <c r="J1452" i="2"/>
  <c r="J1448" i="2"/>
  <c r="J1444" i="2"/>
  <c r="J1440" i="2"/>
  <c r="J1443" i="2"/>
  <c r="J1451" i="2"/>
  <c r="J1447" i="2"/>
  <c r="J1439" i="2"/>
  <c r="J1442" i="2"/>
  <c r="J1450" i="2"/>
  <c r="J1446" i="2"/>
  <c r="J1438" i="2"/>
  <c r="J1516" i="2"/>
  <c r="J1512" i="2"/>
  <c r="J1508" i="2"/>
  <c r="J1504" i="2"/>
  <c r="J1500" i="2"/>
  <c r="J1503" i="2"/>
  <c r="J1515" i="2"/>
  <c r="J1511" i="2"/>
  <c r="J1507" i="2"/>
  <c r="J1499" i="2"/>
  <c r="J1514" i="2"/>
  <c r="J1506" i="2"/>
  <c r="J1510" i="2"/>
  <c r="J1502" i="2"/>
  <c r="J1680" i="2"/>
  <c r="J1676" i="2"/>
  <c r="J1672" i="2"/>
  <c r="J1668" i="2"/>
  <c r="J1664" i="2"/>
  <c r="J1660" i="2"/>
  <c r="J1679" i="2"/>
  <c r="J1671" i="2"/>
  <c r="J1663" i="2"/>
  <c r="J1675" i="2"/>
  <c r="J1667" i="2"/>
  <c r="J1678" i="2"/>
  <c r="J1670" i="2"/>
  <c r="J1662" i="2"/>
  <c r="J1674" i="2"/>
  <c r="J1666" i="2"/>
  <c r="J1349" i="2"/>
  <c r="J1363" i="2"/>
  <c r="J1389" i="2"/>
  <c r="J1413" i="2"/>
  <c r="J1445" i="2"/>
  <c r="J1477" i="2"/>
  <c r="J1509" i="2"/>
  <c r="J1568" i="2"/>
  <c r="J1564" i="2"/>
  <c r="J1560" i="2"/>
  <c r="J1556" i="2"/>
  <c r="J1567" i="2"/>
  <c r="J1559" i="2"/>
  <c r="J1563" i="2"/>
  <c r="J1555" i="2"/>
  <c r="J1570" i="2"/>
  <c r="J1558" i="2"/>
  <c r="J1554" i="2"/>
  <c r="J1566" i="2"/>
  <c r="J1562" i="2"/>
  <c r="J1573" i="2"/>
  <c r="J1604" i="2"/>
  <c r="J1600" i="2"/>
  <c r="J1596" i="2"/>
  <c r="J1592" i="2"/>
  <c r="J1588" i="2"/>
  <c r="J1599" i="2"/>
  <c r="J1591" i="2"/>
  <c r="J1603" i="2"/>
  <c r="J1595" i="2"/>
  <c r="J1587" i="2"/>
  <c r="J1606" i="2"/>
  <c r="J1602" i="2"/>
  <c r="J1594" i="2"/>
  <c r="J1586" i="2"/>
  <c r="J1598" i="2"/>
  <c r="J1590" i="2"/>
  <c r="J1605" i="2"/>
  <c r="J1637" i="2"/>
  <c r="J1669" i="2"/>
  <c r="J1700" i="2"/>
  <c r="J1696" i="2"/>
  <c r="J1692" i="2"/>
  <c r="J1688" i="2"/>
  <c r="J1684" i="2"/>
  <c r="J1703" i="2"/>
  <c r="J1695" i="2"/>
  <c r="J1687" i="2"/>
  <c r="J1699" i="2"/>
  <c r="J1691" i="2"/>
  <c r="J1683" i="2"/>
  <c r="J1702" i="2"/>
  <c r="J1694" i="2"/>
  <c r="J1686" i="2"/>
  <c r="J1698" i="2"/>
  <c r="J1690" i="2"/>
  <c r="J1682" i="2"/>
  <c r="J1701" i="2"/>
  <c r="J1345" i="2"/>
  <c r="J1433" i="2"/>
  <c r="J1497" i="2"/>
  <c r="J1561" i="2"/>
  <c r="J1584" i="2"/>
  <c r="J1580" i="2"/>
  <c r="J1576" i="2"/>
  <c r="J1572" i="2"/>
  <c r="J1583" i="2"/>
  <c r="J1575" i="2"/>
  <c r="J1579" i="2"/>
  <c r="J1571" i="2"/>
  <c r="J1578" i="2"/>
  <c r="J1582" i="2"/>
  <c r="J1574" i="2"/>
  <c r="J1593" i="2"/>
  <c r="J1625" i="2"/>
  <c r="J1656" i="2"/>
  <c r="J1652" i="2"/>
  <c r="J1648" i="2"/>
  <c r="J1644" i="2"/>
  <c r="J1640" i="2"/>
  <c r="J1655" i="2"/>
  <c r="J1647" i="2"/>
  <c r="J1639" i="2"/>
  <c r="J1659" i="2"/>
  <c r="J1651" i="2"/>
  <c r="J1643" i="2"/>
  <c r="J1654" i="2"/>
  <c r="J1646" i="2"/>
  <c r="J1638" i="2"/>
  <c r="J1658" i="2"/>
  <c r="J1650" i="2"/>
  <c r="J1642" i="2"/>
  <c r="J1657" i="2"/>
  <c r="J1689" i="2"/>
  <c r="J1721" i="2"/>
  <c r="J1362" i="2"/>
  <c r="J1354" i="2"/>
  <c r="J1346" i="2"/>
  <c r="J1358" i="2"/>
  <c r="J1350" i="2"/>
  <c r="J1355" i="2"/>
  <c r="J1420" i="2"/>
  <c r="J1416" i="2"/>
  <c r="J1412" i="2"/>
  <c r="J1408" i="2"/>
  <c r="J1404" i="2"/>
  <c r="J1400" i="2"/>
  <c r="J1419" i="2"/>
  <c r="J1411" i="2"/>
  <c r="J1403" i="2"/>
  <c r="J1415" i="2"/>
  <c r="J1407" i="2"/>
  <c r="J1418" i="2"/>
  <c r="J1410" i="2"/>
  <c r="J1402" i="2"/>
  <c r="J1414" i="2"/>
  <c r="J1406" i="2"/>
  <c r="J1453" i="2"/>
  <c r="J1517" i="2"/>
  <c r="J1613" i="2"/>
  <c r="J1677" i="2"/>
  <c r="J1351" i="2"/>
  <c r="J1360" i="2"/>
  <c r="J1395" i="2"/>
  <c r="J1387" i="2"/>
  <c r="J1399" i="2"/>
  <c r="J1391" i="2"/>
  <c r="J1394" i="2"/>
  <c r="J1386" i="2"/>
  <c r="J1398" i="2"/>
  <c r="J1390" i="2"/>
  <c r="J1436" i="2"/>
  <c r="J1432" i="2"/>
  <c r="J1428" i="2"/>
  <c r="J1424" i="2"/>
  <c r="J1435" i="2"/>
  <c r="J1427" i="2"/>
  <c r="J1431" i="2"/>
  <c r="J1423" i="2"/>
  <c r="J1434" i="2"/>
  <c r="J1426" i="2"/>
  <c r="J1430" i="2"/>
  <c r="J1422" i="2"/>
  <c r="J1441" i="2"/>
  <c r="J1476" i="2"/>
  <c r="J1472" i="2"/>
  <c r="J1468" i="2"/>
  <c r="J1464" i="2"/>
  <c r="J1460" i="2"/>
  <c r="J1456" i="2"/>
  <c r="J1479" i="2"/>
  <c r="J1471" i="2"/>
  <c r="J1463" i="2"/>
  <c r="J1455" i="2"/>
  <c r="J1475" i="2"/>
  <c r="J1467" i="2"/>
  <c r="J1459" i="2"/>
  <c r="J1478" i="2"/>
  <c r="J1470" i="2"/>
  <c r="J1462" i="2"/>
  <c r="J1454" i="2"/>
  <c r="J1474" i="2"/>
  <c r="J1466" i="2"/>
  <c r="J1458" i="2"/>
  <c r="J1473" i="2"/>
  <c r="J1532" i="2"/>
  <c r="J1528" i="2"/>
  <c r="J1524" i="2"/>
  <c r="J1520" i="2"/>
  <c r="J1527" i="2"/>
  <c r="J1519" i="2"/>
  <c r="J1531" i="2"/>
  <c r="J1523" i="2"/>
  <c r="J1526" i="2"/>
  <c r="J1518" i="2"/>
  <c r="J1534" i="2"/>
  <c r="J1530" i="2"/>
  <c r="J1522" i="2"/>
  <c r="J1665" i="2"/>
  <c r="G575" i="4"/>
  <c r="H575" i="4" s="1"/>
  <c r="G611" i="4"/>
  <c r="H611" i="4" s="1"/>
  <c r="G648" i="4"/>
  <c r="H648" i="4" s="1"/>
  <c r="G536" i="4"/>
  <c r="H536" i="4" s="1"/>
  <c r="G723" i="4"/>
  <c r="H723" i="4" s="1"/>
  <c r="G577" i="4"/>
  <c r="H577" i="4" s="1"/>
  <c r="G750" i="4"/>
  <c r="H750" i="4" s="1"/>
  <c r="G690" i="4"/>
  <c r="H690" i="4" s="1"/>
  <c r="G576" i="4"/>
  <c r="H576" i="4" s="1"/>
  <c r="G571" i="4"/>
  <c r="H571" i="4" s="1"/>
  <c r="G835" i="4"/>
  <c r="H835" i="4" s="1"/>
  <c r="G800" i="4"/>
  <c r="H800" i="4" s="1"/>
  <c r="G868" i="4"/>
  <c r="H868" i="4" s="1"/>
  <c r="G837" i="4"/>
  <c r="H837" i="4" s="1"/>
  <c r="G831" i="4"/>
  <c r="H831" i="4" s="1"/>
  <c r="G936" i="4"/>
  <c r="H936" i="4" s="1"/>
  <c r="G900" i="4"/>
  <c r="H900" i="4" s="1"/>
  <c r="G987" i="4"/>
  <c r="H987" i="4" s="1"/>
  <c r="G836" i="4"/>
  <c r="H836" i="4" s="1"/>
  <c r="G899" i="4"/>
  <c r="H899" i="4" s="1"/>
  <c r="G749" i="4"/>
  <c r="H749" i="4" s="1"/>
  <c r="G649" i="4"/>
  <c r="H649" i="4" s="1"/>
  <c r="G753" i="4"/>
  <c r="H753" i="4" s="1"/>
  <c r="G573" i="4"/>
  <c r="H573" i="4" s="1"/>
  <c r="G535" i="4"/>
  <c r="H535" i="4" s="1"/>
  <c r="G799" i="4"/>
  <c r="H799" i="4" s="1"/>
  <c r="G833" i="4"/>
  <c r="H833" i="4" s="1"/>
  <c r="H1028" i="4" l="1"/>
</calcChain>
</file>

<file path=xl/sharedStrings.xml><?xml version="1.0" encoding="utf-8"?>
<sst xmlns="http://schemas.openxmlformats.org/spreadsheetml/2006/main" count="13866" uniqueCount="744">
  <si>
    <t>PAINEL DE CUSTOS — GRUPO DTEL</t>
  </si>
  <si>
    <t>MES_BLOCO</t>
  </si>
  <si>
    <t>OFFSET</t>
  </si>
  <si>
    <t>ABRIL/2026</t>
  </si>
  <si>
    <t>Selecione o mês:</t>
  </si>
  <si>
    <t>MAIO/2026</t>
  </si>
  <si>
    <t>JUNHO/2026</t>
  </si>
  <si>
    <t>Adm atendimento</t>
  </si>
  <si>
    <t>JULHO/2026</t>
  </si>
  <si>
    <t>Comercial corporativo</t>
  </si>
  <si>
    <t>Compras</t>
  </si>
  <si>
    <t>Configuração</t>
  </si>
  <si>
    <t>Contabilidade</t>
  </si>
  <si>
    <t>Desenvolvimento</t>
  </si>
  <si>
    <t>DP</t>
  </si>
  <si>
    <t>Engenharia - Adm Engenharia</t>
  </si>
  <si>
    <t>Engenharia - Equipe de Josadark</t>
  </si>
  <si>
    <t>Engenharia - Equipe de Leonardo</t>
  </si>
  <si>
    <t>Estoque</t>
  </si>
  <si>
    <t>Financeiro</t>
  </si>
  <si>
    <t>Fique móvel</t>
  </si>
  <si>
    <t>Jurídico</t>
  </si>
  <si>
    <t>Logistica</t>
  </si>
  <si>
    <t>Marketing</t>
  </si>
  <si>
    <t>Qualidade</t>
  </si>
  <si>
    <t>Relacionamento</t>
  </si>
  <si>
    <t>RH</t>
  </si>
  <si>
    <t>Seg. do trabalho</t>
  </si>
  <si>
    <t>Tic</t>
  </si>
  <si>
    <t>TOTAL SETORES</t>
  </si>
  <si>
    <t>COMERCIAL — POR EMPRESA</t>
  </si>
  <si>
    <t>TOTAL</t>
  </si>
  <si>
    <t>DTEL</t>
  </si>
  <si>
    <t>DX2</t>
  </si>
  <si>
    <t>VOICE NET</t>
  </si>
  <si>
    <t>SOARES E SILVA</t>
  </si>
  <si>
    <t>SOARES E LINS</t>
  </si>
  <si>
    <t>SOUZA E SILVA</t>
  </si>
  <si>
    <t>LITORAL NET</t>
  </si>
  <si>
    <t>TOTAL COMERCIAL</t>
  </si>
  <si>
    <t>REEMBOLSO GERAL</t>
  </si>
  <si>
    <t>TOTAL GERAL DO MÊS</t>
  </si>
  <si>
    <t>MÊS</t>
  </si>
  <si>
    <t>SETOR</t>
  </si>
  <si>
    <t>DESPESA</t>
  </si>
  <si>
    <t>QTD</t>
  </si>
  <si>
    <t>VALOR UN.</t>
  </si>
  <si>
    <t>VALOR TOTAL</t>
  </si>
  <si>
    <t>OBS</t>
  </si>
  <si>
    <t>Nº CLIENTES</t>
  </si>
  <si>
    <t>BASE DE CLIENTES</t>
  </si>
  <si>
    <t>CUSTO UNIT. / CLIENTE (R$)</t>
  </si>
  <si>
    <t>TOTAL (respeita o filtro):</t>
  </si>
  <si>
    <t>Folha trabalhista</t>
  </si>
  <si>
    <t>Clientes, com H&amp;A</t>
  </si>
  <si>
    <t>Seg. Trabalho</t>
  </si>
  <si>
    <t>EMAIL</t>
  </si>
  <si>
    <t>Linhas moveis fique movel</t>
  </si>
  <si>
    <t>Gympass</t>
  </si>
  <si>
    <t>Stargrid</t>
  </si>
  <si>
    <t>Rescisões</t>
  </si>
  <si>
    <t>Fardamento</t>
  </si>
  <si>
    <t>Fardamento substituição</t>
  </si>
  <si>
    <t>Exames médicos</t>
  </si>
  <si>
    <t>Mat. uso coletivo</t>
  </si>
  <si>
    <t>Total dos itens (Materiais dos setores.xlsx)</t>
  </si>
  <si>
    <t>Mat. Escritório</t>
  </si>
  <si>
    <t>Alimentação</t>
  </si>
  <si>
    <t>C.O.E</t>
  </si>
  <si>
    <t>Clientes</t>
  </si>
  <si>
    <t>Exames medicos</t>
  </si>
  <si>
    <t>Linhas moveis vivo</t>
  </si>
  <si>
    <t>Impressora</t>
  </si>
  <si>
    <t>Rescisões Trabalhistas</t>
  </si>
  <si>
    <t>Fardamento novo</t>
  </si>
  <si>
    <t>Mat. Escritorio</t>
  </si>
  <si>
    <t>Linhas moveis claro</t>
  </si>
  <si>
    <t>Datlo</t>
  </si>
  <si>
    <t>Agendor (valido por 3 meses)</t>
  </si>
  <si>
    <t>Dynamics (f001796)</t>
  </si>
  <si>
    <t>Suporte tecnico SALES</t>
  </si>
  <si>
    <t>Salesforce</t>
  </si>
  <si>
    <t>Clientes, menos H&amp;A</t>
  </si>
  <si>
    <t>Combustível</t>
  </si>
  <si>
    <t>Vexpense</t>
  </si>
  <si>
    <t>Viagens comerciais</t>
  </si>
  <si>
    <t>Hospedagem</t>
  </si>
  <si>
    <t>Email</t>
  </si>
  <si>
    <t>exames medicos</t>
  </si>
  <si>
    <t>Vexpenses</t>
  </si>
  <si>
    <t>Cursos</t>
  </si>
  <si>
    <t>Despesas consultoria secran (F004466)</t>
  </si>
  <si>
    <t>Software exclusivo gci net dividido com dp</t>
  </si>
  <si>
    <t>Funcionários do mês</t>
  </si>
  <si>
    <t>Linhas moveis Fique movel</t>
  </si>
  <si>
    <t>Mat. escritorio</t>
  </si>
  <si>
    <t>Software exclusivo Kairos F000102</t>
  </si>
  <si>
    <t>Software exclusivo GCINET/contab. F000629</t>
  </si>
  <si>
    <t>Software exclusivo B2D(Arquivar) F001214</t>
  </si>
  <si>
    <t>Folha Trabalhista</t>
  </si>
  <si>
    <t>Folha trabalhista Engenharia</t>
  </si>
  <si>
    <t>Software midia local</t>
  </si>
  <si>
    <t>Epi substituição</t>
  </si>
  <si>
    <t xml:space="preserve">Epi novo </t>
  </si>
  <si>
    <t>Devolução de EPI</t>
  </si>
  <si>
    <t>Anuidade responsavel tecnico CREA</t>
  </si>
  <si>
    <t>Estacionamento</t>
  </si>
  <si>
    <t>Combustivel engenharia</t>
  </si>
  <si>
    <t>Folha Trabalhista Manutenção Predial, eletrica, refrigeração, serviços gerais, obras, cozinha</t>
  </si>
  <si>
    <t>Combustível manutenção predial</t>
  </si>
  <si>
    <t>Combustível obras</t>
  </si>
  <si>
    <t>Rescisões Trabahistas</t>
  </si>
  <si>
    <t>Folha Trabalhista Lançamento, fusão</t>
  </si>
  <si>
    <t>stargrid</t>
  </si>
  <si>
    <t>Rescisões trabalhistas</t>
  </si>
  <si>
    <t>Combustível fusão</t>
  </si>
  <si>
    <t>Combustível lançamento</t>
  </si>
  <si>
    <t>Epi</t>
  </si>
  <si>
    <t>Software</t>
  </si>
  <si>
    <t>Software sap F001018</t>
  </si>
  <si>
    <t>Linhas moveis dtel movel</t>
  </si>
  <si>
    <t>Combustivel</t>
  </si>
  <si>
    <t>Materiais Epi</t>
  </si>
  <si>
    <t>Software Full time F001616</t>
  </si>
  <si>
    <t>Useflow F001129</t>
  </si>
  <si>
    <t>Outdoor</t>
  </si>
  <si>
    <t>Obvio brasil</t>
  </si>
  <si>
    <t>Melhor plano (f002022)</t>
  </si>
  <si>
    <t>Software Reclame aqui F000743</t>
  </si>
  <si>
    <t>Epi novo</t>
  </si>
  <si>
    <t>Rádio tabocas  F000520</t>
  </si>
  <si>
    <t>Radio digital fm F001712</t>
  </si>
  <si>
    <t>Patrocinio</t>
  </si>
  <si>
    <t>Endomarketing</t>
  </si>
  <si>
    <t>Software Qualyteam F001839</t>
  </si>
  <si>
    <t>Software Selbetti(monitoria) F002704</t>
  </si>
  <si>
    <t>Software USEALL (f004668)</t>
  </si>
  <si>
    <t>Ferramentas de trabalho</t>
  </si>
  <si>
    <t>Fardamento subistituição</t>
  </si>
  <si>
    <t>Mat uso coletivo</t>
  </si>
  <si>
    <t>Software exclusivo fiber school (F001194)</t>
  </si>
  <si>
    <t>Software RH1000 (F002431)</t>
  </si>
  <si>
    <t xml:space="preserve">Vexpenses </t>
  </si>
  <si>
    <t>Higienização de fardamento</t>
  </si>
  <si>
    <t>Integração/alimentação</t>
  </si>
  <si>
    <t>Passagem</t>
  </si>
  <si>
    <t>Telefonia de entrada Algar</t>
  </si>
  <si>
    <t>Software MATRIX (f000892)</t>
  </si>
  <si>
    <t>Dlocal (trafego pago)</t>
  </si>
  <si>
    <t>F001026</t>
  </si>
  <si>
    <t>Google brasil (trafego pago)</t>
  </si>
  <si>
    <t>F000039</t>
  </si>
  <si>
    <t>Lorensi marketing (f000987)</t>
  </si>
  <si>
    <t>E-mail</t>
  </si>
  <si>
    <t>chip</t>
  </si>
  <si>
    <t>Segurança trabalho</t>
  </si>
  <si>
    <t>SMS</t>
  </si>
  <si>
    <t>sms ref. a março</t>
  </si>
  <si>
    <t>Disparos feito pela meta</t>
  </si>
  <si>
    <t>pago pelo vexpense</t>
  </si>
  <si>
    <t>Mat de uso coletivo</t>
  </si>
  <si>
    <t>Mat de escritorio</t>
  </si>
  <si>
    <t>EPIS</t>
  </si>
  <si>
    <t>Médico do trabalho (F001836bizzweb) (F003395 jr pericia) (f003382)</t>
  </si>
  <si>
    <t>Software topsapp</t>
  </si>
  <si>
    <t>Software  Lincenciamento G2</t>
  </si>
  <si>
    <t xml:space="preserve">Software Movidesk </t>
  </si>
  <si>
    <t>Gerenciador de email(F001164)</t>
  </si>
  <si>
    <t>Software pulsus</t>
  </si>
  <si>
    <t>Folha (17 colab.) - Folha trabalhista.xlsx</t>
  </si>
  <si>
    <t>Valor fixo replicado de abril</t>
  </si>
  <si>
    <t>Taxa por colaborador (Custos do reembolso.xlsx)</t>
  </si>
  <si>
    <t>Preenchido do arquivo RH (MAIO/2026) - entrega de fardamento</t>
  </si>
  <si>
    <t>Exames (CUSTO DE SEGURANÇA -abr.xlsx)</t>
  </si>
  <si>
    <t>Folha (14 colab.) - Folha trabalhista.xlsx</t>
  </si>
  <si>
    <t>Clientes, menos H&amp;A/DX2/Souza e Silva</t>
  </si>
  <si>
    <t>Folha (10 colab.) - Folha trabalhista.xlsx</t>
  </si>
  <si>
    <t>Folha (4 colab.) - Folha trabalhista.xlsx</t>
  </si>
  <si>
    <t>Folha (9 colab.) - Folha trabalhista.xlsx</t>
  </si>
  <si>
    <t>Folha (5 colab.) - Folha trabalhista.xlsx</t>
  </si>
  <si>
    <t>Folha (7 colab.) - Folha trabalhista.xlsx</t>
  </si>
  <si>
    <t>Folha (11 colab.) - Folha trabalhista.xlsx</t>
  </si>
  <si>
    <t>Software Midia local (F000092)</t>
  </si>
  <si>
    <t>Software ronda sistema eletronico</t>
  </si>
  <si>
    <t>Folha (16 colab.) - Folha trabalhista.xlsx</t>
  </si>
  <si>
    <t>Folha (2 colab.) - Folha trabalhista.xlsx</t>
  </si>
  <si>
    <t>Folha (12 colab.) - Folha trabalhista.xlsx</t>
  </si>
  <si>
    <t>Folha (8 colab.) - Folha trabalhista.xlsx</t>
  </si>
  <si>
    <t>Software Qualyteam F001839(não vai ter mais)</t>
  </si>
  <si>
    <t>Telefonia móvel</t>
  </si>
  <si>
    <t>ornamentação da central</t>
  </si>
  <si>
    <t>Folha (6 colab.) - Folha trabalhista.xlsx</t>
  </si>
  <si>
    <t>Valor fixo replicado do mês anterior</t>
  </si>
  <si>
    <t>Folha (15 colab.) - Folha trabalhista base setores.xlsx</t>
  </si>
  <si>
    <t>Folha (11 colab.) - Folha trabalhista base setores.xlsx</t>
  </si>
  <si>
    <t>Folha (4 colab.) - Folha trabalhista base setores.xlsx</t>
  </si>
  <si>
    <t>Folha (10 colab.) - Folha trabalhista base setores.xlsx</t>
  </si>
  <si>
    <t>Folha (5 colab.) - Folha trabalhista base setores.xlsx</t>
  </si>
  <si>
    <t>Folha (7 colab.) - Folha trabalhista base setores.xlsx</t>
  </si>
  <si>
    <t>Software midia local (F000092)</t>
  </si>
  <si>
    <t>Folha (16 colab.) - Folha trabalhista base setores.xlsx</t>
  </si>
  <si>
    <t>Folha (2 colab.) - Folha trabalhista base setores.xlsx</t>
  </si>
  <si>
    <t>Folha (19 colab.) - Folha trabalhista base setores.xlsx</t>
  </si>
  <si>
    <t>Folha (12 colab.) - Folha trabalhista base setores.xlsx</t>
  </si>
  <si>
    <t>Folha (9 colab.) - Folha trabalhista base setores.xlsx</t>
  </si>
  <si>
    <t>Folha (8 colab.) - Folha trabalhista base setores.xlsx</t>
  </si>
  <si>
    <t>Preenchido do arquivo RH (JULHO/2026) - entrega de fardamento</t>
  </si>
  <si>
    <t>Folha (14 colab.) - Folha trabalhista base setores.xlsx</t>
  </si>
  <si>
    <t>Despesas consultoria (honorarios contabeis)</t>
  </si>
  <si>
    <t>Folha (13 colab.) - Folha trabalhista base setores.xlsx</t>
  </si>
  <si>
    <t>Software de geolocalização(Midia local)</t>
  </si>
  <si>
    <t>Engenharia - Obras e manutenção predial</t>
  </si>
  <si>
    <t>Folha (49 colab.) - Folha trabalhista base setores.xlsx</t>
  </si>
  <si>
    <t>Engenharia - Equipe lançamento e fusão</t>
  </si>
  <si>
    <t>Folha (30 colab.) - Folha trabalhista base setores.xlsx</t>
  </si>
  <si>
    <t>Folha (17 colab.) - Folha trabalhista base setores.xlsx</t>
  </si>
  <si>
    <t>Folha (3 colab.) - Folha trabalhista base setores.xlsx</t>
  </si>
  <si>
    <t>Folha (6 colab.) - Folha trabalhista base setores.xlsx</t>
  </si>
  <si>
    <t>Folha (121 colab.) - Folha trabalhista base setores.xlsx</t>
  </si>
  <si>
    <t>COMERCIAL — ABRIL 2026</t>
  </si>
  <si>
    <t>Soares e lins</t>
  </si>
  <si>
    <t>Souza e Silva</t>
  </si>
  <si>
    <t>Custos comerciais</t>
  </si>
  <si>
    <t>Valores</t>
  </si>
  <si>
    <t>Valores de alimentação fora o mês</t>
  </si>
  <si>
    <t>Despesas Trabalhistas extra folha</t>
  </si>
  <si>
    <t>Marketing direto</t>
  </si>
  <si>
    <t>E-mail do departamento (1 email)</t>
  </si>
  <si>
    <t>E-mail do departamento (4 email)</t>
  </si>
  <si>
    <t>E-mail do departamento (2 email)</t>
  </si>
  <si>
    <t>E-mail do departamento (11 emails)</t>
  </si>
  <si>
    <t>Folha Trabalhista com impostos do mês</t>
  </si>
  <si>
    <t>E-mail do departamento</t>
  </si>
  <si>
    <t>Vale Transporte</t>
  </si>
  <si>
    <t>Linhas moveis (FIQUE MÓVEL)</t>
  </si>
  <si>
    <t>KM Rodado R$ Vexpenses</t>
  </si>
  <si>
    <t>Despesas com RH</t>
  </si>
  <si>
    <t>Despesas com DP</t>
  </si>
  <si>
    <t>Despesas com SST</t>
  </si>
  <si>
    <t>Despesas SST exames</t>
  </si>
  <si>
    <t>Novo Fardamento</t>
  </si>
  <si>
    <t>Devolução fardamento</t>
  </si>
  <si>
    <t>Devolução de fardamento</t>
  </si>
  <si>
    <t>Substituição extra de Fardamento</t>
  </si>
  <si>
    <t>Combustivel de TIAGO</t>
  </si>
  <si>
    <t>Combustivel RENAN RAFAEL</t>
  </si>
  <si>
    <t>Devoulução de fardamento</t>
  </si>
  <si>
    <t>Consumo de combustivel 4 VANs</t>
  </si>
  <si>
    <t>Combustivel CARLOS ROBERTO</t>
  </si>
  <si>
    <t>Consumo de combustível jefferson</t>
  </si>
  <si>
    <t>Combustivel Jose gabriel</t>
  </si>
  <si>
    <t>Combustível Alvaro (kombi)</t>
  </si>
  <si>
    <t xml:space="preserve">Discador </t>
  </si>
  <si>
    <t>Consumo de combustível Camila Cordeiro</t>
  </si>
  <si>
    <t>Total</t>
  </si>
  <si>
    <t>Combustivel Tarcizio</t>
  </si>
  <si>
    <t>Consumo de combustível KATHERINE</t>
  </si>
  <si>
    <t>Combustivel de Nedson(executivo)</t>
  </si>
  <si>
    <t>Combustivel jean pereira(executivo)</t>
  </si>
  <si>
    <t>Combustivel Elthon</t>
  </si>
  <si>
    <t>Combustivel Manoel lopes(executivo)</t>
  </si>
  <si>
    <t>Combustivel rayanne meneses(executivo)</t>
  </si>
  <si>
    <t>Combustivel myllena kelly (executiva)</t>
  </si>
  <si>
    <t>Combustivel Denise kelline</t>
  </si>
  <si>
    <t>Combustivel joyce rayanna</t>
  </si>
  <si>
    <t>Combustivel Djalma (executivo)</t>
  </si>
  <si>
    <t>Nº Colaboradores</t>
  </si>
  <si>
    <t>Qtd. analise</t>
  </si>
  <si>
    <t>Vendas instaladas</t>
  </si>
  <si>
    <t>Upgrade</t>
  </si>
  <si>
    <t>Receita vendas instaladas</t>
  </si>
  <si>
    <t>Receita upgrade</t>
  </si>
  <si>
    <t>Soma de Receita</t>
  </si>
  <si>
    <t>Valor da venda despesas/qtd instalada</t>
  </si>
  <si>
    <t>SST</t>
  </si>
  <si>
    <t>GYMPASS</t>
  </si>
  <si>
    <t>STARGRID</t>
  </si>
  <si>
    <t>no valor de folha não entra os vendedores registrados no mês, pois não fizeram vendas no mês anterior</t>
  </si>
  <si>
    <t>vendas inst. do pap e executivo, selecionar na planilha do analitico pela empresa do vendedor</t>
  </si>
  <si>
    <t>COMERCIAL — MAIO 2026 (preencher)</t>
  </si>
  <si>
    <t>E-mail do departamento (1)</t>
  </si>
  <si>
    <t>Combustivel de van</t>
  </si>
  <si>
    <t>FIQUE MOVEL</t>
  </si>
  <si>
    <t>COMERCIAL — JUNHO 2026 (preencher)</t>
  </si>
  <si>
    <t>Combustivel de van Matheus ordonho</t>
  </si>
  <si>
    <t>COMERCIAL — JULHO 2026 (preencher)</t>
  </si>
  <si>
    <t>E-mail do departamento (3 email)</t>
  </si>
  <si>
    <t>Combustivel de van jose Mateus ordonho</t>
  </si>
  <si>
    <t>Consumo de combustível jefferson de freitas</t>
  </si>
  <si>
    <t>devem entrar a equipe de gabriel, lucas e michelangelo</t>
  </si>
  <si>
    <t>Descrição</t>
  </si>
  <si>
    <t>Setor/ Departamento</t>
  </si>
  <si>
    <t>Competência</t>
  </si>
  <si>
    <t>Empresa</t>
  </si>
  <si>
    <t>QTD referência</t>
  </si>
  <si>
    <t>Valor uni.</t>
  </si>
  <si>
    <t>Valor total</t>
  </si>
  <si>
    <t>FORMA DE CÁLCULO</t>
  </si>
  <si>
    <t>Despesa do consultor PEDRO GREGO</t>
  </si>
  <si>
    <t>Comercial</t>
  </si>
  <si>
    <t>despesa trabalhista e combustível do consultor dividido pelo total de vendas (cliente 12195,12634,12408)</t>
  </si>
  <si>
    <t>Transporte de produtos</t>
  </si>
  <si>
    <t>Frota</t>
  </si>
  <si>
    <t>transportes entre CD01 e empresas no rateio da rota</t>
  </si>
  <si>
    <t>Adm atendimento presencial</t>
  </si>
  <si>
    <t>Adm Atendimento</t>
  </si>
  <si>
    <t>H&amp;A</t>
  </si>
  <si>
    <t xml:space="preserve">Cálculo por número de clientes ativos </t>
  </si>
  <si>
    <t>E-mail Dtel</t>
  </si>
  <si>
    <t>TIC</t>
  </si>
  <si>
    <t>Utilização de email corporativo</t>
  </si>
  <si>
    <t>Vendas da equipe voicenet P/ SOARES E LINS</t>
  </si>
  <si>
    <t>Soares &amp; Lins</t>
  </si>
  <si>
    <t xml:space="preserve">Vendas instaladas </t>
  </si>
  <si>
    <t>KM rodado para serviços técnicos da S&amp;L para DTEL</t>
  </si>
  <si>
    <t>Instalação</t>
  </si>
  <si>
    <t xml:space="preserve">Deslocamento de equipes </t>
  </si>
  <si>
    <t>Conselho Regional De Enfermagem De Alagoas</t>
  </si>
  <si>
    <t>Licitação</t>
  </si>
  <si>
    <t>Soares e Silva</t>
  </si>
  <si>
    <t>mensalidade recebida pela H&amp;A (parcela abril)</t>
  </si>
  <si>
    <t>Fardamentos</t>
  </si>
  <si>
    <t>Souza &amp; Silva</t>
  </si>
  <si>
    <t>Solicitações de fardamentos administrativos</t>
  </si>
  <si>
    <t>Despesa do consultor PAULO MELO</t>
  </si>
  <si>
    <t>Voicenet</t>
  </si>
  <si>
    <t xml:space="preserve">despesa trabalhista e combustivel do consultor dividido pelo total de vendas(cliente 15826, 15746) </t>
  </si>
  <si>
    <t>Vendas do site Mundiale</t>
  </si>
  <si>
    <t>Dtel Telecom</t>
  </si>
  <si>
    <t>Vendas instaladas do impulsionamento site mundiale (VENDAS MUNDIALE - MAIO 2026.xlsx)</t>
  </si>
  <si>
    <t xml:space="preserve">Vendas da equipe Dtel porta a porta </t>
  </si>
  <si>
    <t>Abastecimento</t>
  </si>
  <si>
    <t>Abastecimento da van da dx2 com cartao Dtel</t>
  </si>
  <si>
    <t>Adm Qualidade</t>
  </si>
  <si>
    <t>KM rodado para serviços técnicos Dtel p/ S&amp;L</t>
  </si>
  <si>
    <t>Deslocamento de equipes dtel</t>
  </si>
  <si>
    <t>despesa trabalhista e combustivel dividida pela quantidade de vendas(cliente 15745,15735)</t>
  </si>
  <si>
    <t xml:space="preserve">Comissão de manutenção da Totum </t>
  </si>
  <si>
    <t>Conselho regional de farmacia do estado de PE</t>
  </si>
  <si>
    <t>Treinamentos/integração</t>
  </si>
  <si>
    <t>despesa de alimentação de colaboradores em integração</t>
  </si>
  <si>
    <t>Reembolso por receita recebida</t>
  </si>
  <si>
    <t>Administrativo</t>
  </si>
  <si>
    <t>Taxa de administração de 6% e 1% de utilização da marca</t>
  </si>
  <si>
    <t>Vendas da equipe Dx2 porta a porta p/ Dtel</t>
  </si>
  <si>
    <t>Troca de Oleo e Filtro</t>
  </si>
  <si>
    <t>manutenção veicular</t>
  </si>
  <si>
    <t>KM rodado para serviços técnicos S&amp;L para DTEL</t>
  </si>
  <si>
    <t xml:space="preserve">Deslocamento de equipes soares e lins </t>
  </si>
  <si>
    <t>Consultas e análises de crédito</t>
  </si>
  <si>
    <t xml:space="preserve">vendas cadastradas e consultadas pelo argos </t>
  </si>
  <si>
    <t>Vendas da equipe da Voicenet para S &amp; L</t>
  </si>
  <si>
    <t>Conselho regional de farmacia dos estado de pernambuco</t>
  </si>
  <si>
    <t xml:space="preserve">Imposto pago pela h&amp;a, pelo recebimento da licitação </t>
  </si>
  <si>
    <t>Vendas da equipe DX2 porta a porta P/ H&amp;A</t>
  </si>
  <si>
    <t>Equipamentos de Segurança</t>
  </si>
  <si>
    <t>Devolução de Crédito</t>
  </si>
  <si>
    <t>Serviços técnicos da Dtel para S&amp;L</t>
  </si>
  <si>
    <t xml:space="preserve">Serviços da equipe técnica </t>
  </si>
  <si>
    <t>Despesa do consultor BARTOLOMEU</t>
  </si>
  <si>
    <t>despesa trabalhista e combustÍvel do consultor dividido pelo total de vendas (cliente 11663,11670,11886)</t>
  </si>
  <si>
    <t>Vendas da equipe Dtel porta a porta</t>
  </si>
  <si>
    <t>Vendas da equipe H&amp;A porta a porta P/ DX2</t>
  </si>
  <si>
    <t>Manutenção predial</t>
  </si>
  <si>
    <t>Manutenção</t>
  </si>
  <si>
    <t>Serviços executados para verificação de tacaimbó, e manut. de alarme e sensor loja pesqueira, despesa com comb. e colab.</t>
  </si>
  <si>
    <t>EPI, EPC, Fardamento</t>
  </si>
  <si>
    <t>Rastreamento veicular</t>
  </si>
  <si>
    <t>rastreamento dos veículos</t>
  </si>
  <si>
    <t>Serviços técnicos da S&amp;L para DTEL</t>
  </si>
  <si>
    <t>despesa trabalhista e combustÍvel dividida pela quantidade de vendas(cliente 12023,11614)</t>
  </si>
  <si>
    <t>Solon araújo</t>
  </si>
  <si>
    <t>Vendas da equipe H&amp;A p/ voice</t>
  </si>
  <si>
    <t>Vendas da equipe VOICENET porta a porta P/  DX2</t>
  </si>
  <si>
    <t>Despesa com combust. e colaborador para manutenção de ar condicionado do estoque</t>
  </si>
  <si>
    <t>Supervisor JOSUE DE MOURA SILVA JUNIOR</t>
  </si>
  <si>
    <t>Despesa dividida entre s&amp;l e dtel pelo supervisor JOSUE estar assumindo as bases</t>
  </si>
  <si>
    <t>despesa trabalhista e combustÍvel dividida pela quantidade de vendas (cliente 11395,11810)</t>
  </si>
  <si>
    <t>Vendas da equipe voicenet p/ Solon</t>
  </si>
  <si>
    <t>Km rodado Segurança e Saúde do Trabalho dtel p/ H&amp;a</t>
  </si>
  <si>
    <t>Deslocamento da equipe para Horas cursos de normas e reciclagem ou visitas</t>
  </si>
  <si>
    <t>Serviços executados</t>
  </si>
  <si>
    <t>Despesa do coordenador TIAGO, pela gestão da equipe</t>
  </si>
  <si>
    <t>despesa com combustÍvel e utilização de veÍculo dx2</t>
  </si>
  <si>
    <t>KM rodado para serviços técnicos Dx2 p/ soares e silva</t>
  </si>
  <si>
    <t>Vendas da equipe Voicenet para Dtel</t>
  </si>
  <si>
    <t>crédito por despesa com combustível e utilização de veÍculo dx2</t>
  </si>
  <si>
    <t>Serviços de configuração e suporte ao Técnico</t>
  </si>
  <si>
    <t>Saude e segurança no trabalho</t>
  </si>
  <si>
    <t>Rateio do departamento (despesa por colaborador, mês de jan fev e março)</t>
  </si>
  <si>
    <t>despesa trabalhista e pela quantidade de vendas</t>
  </si>
  <si>
    <t>Soares e silva</t>
  </si>
  <si>
    <t>Abastecimento de 2 veiculos</t>
  </si>
  <si>
    <t>Serviços técnicos da Dx2 p/ soares e silva</t>
  </si>
  <si>
    <t>Serviços das equipes técnicas</t>
  </si>
  <si>
    <t>Serviços executados, despesa com combustÍvel e colaborador para reforma pop b, e passagem de tubulação de condensadora</t>
  </si>
  <si>
    <t>Material de escritório</t>
  </si>
  <si>
    <t>Atendimento</t>
  </si>
  <si>
    <t>Capa de carnê</t>
  </si>
  <si>
    <t>Crédito por participação do coordenador na base h&amp;a e soares e silva</t>
  </si>
  <si>
    <t>Serviços prestados pela equipe Segurança do trabalho dtel p/ h&amp;a</t>
  </si>
  <si>
    <t>Serviços da equipe para Horas cursos de normas e reciclagem ou visitas</t>
  </si>
  <si>
    <t>Vendas da equipe Dtel porta a porta p/ Soares e silva</t>
  </si>
  <si>
    <t>Locação de veículos</t>
  </si>
  <si>
    <t xml:space="preserve">Veiculos Dtel emprestado para serviços 2 carros </t>
  </si>
  <si>
    <t>KM rodado para serviços técnicos dx2 p/ Solon</t>
  </si>
  <si>
    <t>Serviços das equipes dx2 p/ solon</t>
  </si>
  <si>
    <t>Despesa com material, combust, e colaborador para manut. de ar, e manut. de telhado</t>
  </si>
  <si>
    <t>Material de uso coletivo</t>
  </si>
  <si>
    <t>Água mineral</t>
  </si>
  <si>
    <t>Conselho regional de enfermagem de PE</t>
  </si>
  <si>
    <t>Saldo restante de reembolso</t>
  </si>
  <si>
    <t>Parcela de reembolso gerado menor que o valor enviado no email de reembolso de março</t>
  </si>
  <si>
    <t>Vendas da equipe H&amp;A para Soares e Silva</t>
  </si>
  <si>
    <t>Manutenção de veiculo</t>
  </si>
  <si>
    <t>Serviços técnicos da Dx2 p/ Solon</t>
  </si>
  <si>
    <t>Serviços das equipes técnicas Dx2 p/ solon</t>
  </si>
  <si>
    <t xml:space="preserve">Serviços executados </t>
  </si>
  <si>
    <t>Promotor autonomo Erika sonara</t>
  </si>
  <si>
    <t>Comissionamento de vendas realizadas na h&amp;a paga pela Dtel fev.</t>
  </si>
  <si>
    <t>71 Batalhão De Infantaria Motorizado</t>
  </si>
  <si>
    <t xml:space="preserve">EPI, EPC, Fardamento </t>
  </si>
  <si>
    <t>Vendas da equipe soares e lins porta a porta p/ Soares e silva</t>
  </si>
  <si>
    <t>KM rodado para serviços técnicos Souza e Silva p/ Solon</t>
  </si>
  <si>
    <t>Deslocamento de equipes da DTEL</t>
  </si>
  <si>
    <t>Serviços executados despesas com comb. e colaborador para urgencia na base</t>
  </si>
  <si>
    <t>Vendas instaladas do impulsionamento site mundiale</t>
  </si>
  <si>
    <t>Porta panfleto</t>
  </si>
  <si>
    <t>Km rodado Segurança e Saúde do Trabalho dtel p/ soares e lins</t>
  </si>
  <si>
    <t>Vendas da equipe Soares e Silva p/ DTEL</t>
  </si>
  <si>
    <t>Serviços técnicos da Souza p/ Solon</t>
  </si>
  <si>
    <t>Serviços das equipes técnicas Dtel</t>
  </si>
  <si>
    <t>despesa trabalhista e combustível do consultor dividido pelo total de vendas (cliente 29895,29928,29948,29974,29930)</t>
  </si>
  <si>
    <t>Serviços prestados pela equipe Segurança do trabalho</t>
  </si>
  <si>
    <t>KM rodado para serviços técnicos Souza e silva p/ soares e silva</t>
  </si>
  <si>
    <t>despesa trabalhista e combustível do consultor dividido pelo total de vendas(cliente 30172,29955,30042)</t>
  </si>
  <si>
    <t>despesa trabalhista e combustível do consultor dividido pelo total de vendas (cliente 28304,27900)</t>
  </si>
  <si>
    <t>despesa trabalhista e combustível do consultor dividido pelo total de vendas (ciente 29740,30064,30038,30076)</t>
  </si>
  <si>
    <t>Setor de Desenvolvimento</t>
  </si>
  <si>
    <t>despesa trabalhista e combustível dividida pela quantidade de vendas(cliente 28844)</t>
  </si>
  <si>
    <t>Serviços técnicos da Souza e silva p/ soares e silva</t>
  </si>
  <si>
    <t>Uso mútuo de Postes</t>
  </si>
  <si>
    <t>Engenharia</t>
  </si>
  <si>
    <t>Contrato das empresas que está em nome da Dtel</t>
  </si>
  <si>
    <t>despesa com combustÍvel e utilização de veiculo dx2</t>
  </si>
  <si>
    <t>Agua mineral</t>
  </si>
  <si>
    <t>Km rodado Segurança e Saúde do Trabalho soares e silva p/ Dtel</t>
  </si>
  <si>
    <t>despesa trabalhista e combustível dividida pela quantidade de vendas (cliente 28561,28511,28473,28474)</t>
  </si>
  <si>
    <t>Despesa do coordenador TARCIZIO, pela gestão da equipe</t>
  </si>
  <si>
    <t>despesa com combustivel e utilização carro dtel</t>
  </si>
  <si>
    <t>Troca de Óleo e Filtro</t>
  </si>
  <si>
    <t>Serviços das equipes técnicas da Dtel</t>
  </si>
  <si>
    <t>despesa trabalhista dividida pela quantidade de vendas</t>
  </si>
  <si>
    <t>Km rodado Segurança e Saúde do Trabalho soares e silva p/ LITORAL</t>
  </si>
  <si>
    <t>Caixa de resma</t>
  </si>
  <si>
    <t>Reboque de carro</t>
  </si>
  <si>
    <t>Gestão Regional MICHELANGELO</t>
  </si>
  <si>
    <t>Serviços prestados pela equipe Segurança do trabalho soares e silva p/ dtel</t>
  </si>
  <si>
    <t>Vendas da equipe da soares e lins para Solon</t>
  </si>
  <si>
    <t>KM rodado para serviços técnicos Dtel para Voicenet</t>
  </si>
  <si>
    <t>Deslocamento de equipes</t>
  </si>
  <si>
    <t>Vendas da equipe H&amp;A P/ VOICENET</t>
  </si>
  <si>
    <t>Serviços prestados pela equipe Segurança do trabalho soares e silva p/ LITORAL</t>
  </si>
  <si>
    <t>Despesas da equipe de Engenharia</t>
  </si>
  <si>
    <t>Combustível, alimentação</t>
  </si>
  <si>
    <t>KM rodado para serviços técnicos Voicenet p/ Dtel</t>
  </si>
  <si>
    <t>Serviços realizados pelo estoque</t>
  </si>
  <si>
    <t>Serviços de marcação de equipamentos</t>
  </si>
  <si>
    <t>Vendas da equipe H&amp;A para Dtel</t>
  </si>
  <si>
    <t>Relacionamento Dtel</t>
  </si>
  <si>
    <t>Cálculo por número de clientes ativos</t>
  </si>
  <si>
    <t>Vendas da equipe Litoral p/ Dtel</t>
  </si>
  <si>
    <t>Panfletos</t>
  </si>
  <si>
    <t>Serviços técnicos da Dtel para voice net</t>
  </si>
  <si>
    <t>Despesas com seleção, treinamentos...</t>
  </si>
  <si>
    <t>Vendas da equipe DX2 para H&amp;A</t>
  </si>
  <si>
    <t>Vendas da equipe Voicenet p/ Solon</t>
  </si>
  <si>
    <t>Abastecimento de veiculos</t>
  </si>
  <si>
    <t>Serviços técnicos da voicenet p/ Dtel</t>
  </si>
  <si>
    <t>Vendas da equipe H&amp;A para soares e silva</t>
  </si>
  <si>
    <t>Câmara de vereadores-Vitória de Stº Antão</t>
  </si>
  <si>
    <t>mensalidade recebida pela H&amp;A (parcela maio)</t>
  </si>
  <si>
    <t>Vendas da equipe H&amp;A para Dx2</t>
  </si>
  <si>
    <t>Serviços do C.O.E distribuição de serviços</t>
  </si>
  <si>
    <t>C.O.E.</t>
  </si>
  <si>
    <t>Horas trabalhas em serviços realizado da oficina Dtel p/ soares e silva</t>
  </si>
  <si>
    <t>despesa trabalhista e combustível do consultor dividido pelo total de vendas (9691,9772,9805)</t>
  </si>
  <si>
    <t>Conselho Regional de Enfermagem de Pernambuco - Coren PE</t>
  </si>
  <si>
    <t xml:space="preserve">despesa trabalhista e combustivel dividida pela quantidade de vendas </t>
  </si>
  <si>
    <t>KM rodado para serviços técnicos Dx2 p/ Soares &amp; silva</t>
  </si>
  <si>
    <t>Serviços das equipes dx2 p/ soares e silva</t>
  </si>
  <si>
    <t xml:space="preserve">despesa trabalhista e combustivel do consultor dividido pelo total de vendas </t>
  </si>
  <si>
    <t>Horas trabalhas em serviços realizado da oficina Dtel p/ litoral</t>
  </si>
  <si>
    <t>despesa com combustível e utilização carro dtel</t>
  </si>
  <si>
    <t>Serviços técnicos da Dx2 p/ Soares &amp; Silva</t>
  </si>
  <si>
    <t>Serviços das equipes técnicas Dx2 p/ soares e silva</t>
  </si>
  <si>
    <t>FUNDO MUNICIPAL DE ASSISTÊNCIA SOCIAL DE PRIMAVERA</t>
  </si>
  <si>
    <t>KM rodado para serviços técnicos DX2 para SOLON</t>
  </si>
  <si>
    <t>Fundo Municipal De Saude De Primavera</t>
  </si>
  <si>
    <t>despesa trabalhista e combustível do consultor dividido pelo total de vendas(cliente 7777)</t>
  </si>
  <si>
    <t>Serviços técnicos da DX2 P/ SOLON</t>
  </si>
  <si>
    <t>Municipio De Primavera</t>
  </si>
  <si>
    <t>Vendas da equipe Souza e silva p/ DTEL</t>
  </si>
  <si>
    <t>Km rodado Segurança e Saúde do Trabalho dtel p/ voice net</t>
  </si>
  <si>
    <t>Veiculos Dtel emprestado para serviços na DX2 (2 carros)</t>
  </si>
  <si>
    <t>km rodado da equipe DX2 para H&amp;A</t>
  </si>
  <si>
    <t>Vendas da equipe Soares e lins p/ Dtel</t>
  </si>
  <si>
    <t>Despesa com integração/alimentação</t>
  </si>
  <si>
    <t>AGÊNCIA REGULADORA DOS SERVIÇOS PÚBLICOS DO ESTADO DE ALAGOAS - ARSAL</t>
  </si>
  <si>
    <t>mensalidade recebida pela Dtel (parcela abril)</t>
  </si>
  <si>
    <t xml:space="preserve">despesa trabalhista e combustível do consultor dividido pelo total de vendas </t>
  </si>
  <si>
    <t>Serviços técnicos da DX2 P/ H&amp;A</t>
  </si>
  <si>
    <t>Vendas da equipe Soares e lins p/ solon</t>
  </si>
  <si>
    <t xml:space="preserve">Imposto pago pela h&amp;a sob o recebimento da licitação </t>
  </si>
  <si>
    <t>despesa trabalhista e combustivel dividida pela quantidade de vendas (cliente 15595)</t>
  </si>
  <si>
    <t>vendas cadastradas e consultadas pelo argos (Consultas e analise de credito - Maio26.xlsx)</t>
  </si>
  <si>
    <t>Preenchido da planilha de materiais (materiais recebidos em 05-2026.xlsx)</t>
  </si>
  <si>
    <t>Serviços para verificação de tacaimbó, e projeto de expansão de pesqueira</t>
  </si>
  <si>
    <t>EPI/Equipamentos do mês (CUSTO DE SEGURANÇA - MAIO26.xlsx)</t>
  </si>
  <si>
    <t>mensalidade recebida pela H&amp;A (parcela junho)</t>
  </si>
  <si>
    <t>Despesa com combust. e colaborador para manutenção de ar condicionado e instalação de led da fachada</t>
  </si>
  <si>
    <t>Serviços executados, despesa com combustÍvel e colaborador inst. dos aramados do pop novo, troca de retificadora</t>
  </si>
  <si>
    <t>Serviços executados em projeto neoenergia (800 pontos)</t>
  </si>
  <si>
    <t>Dx2</t>
  </si>
  <si>
    <t>Vendas instaladas do impulsionamento site mundiale (VENDAS MUNDIALE - junho26.xlsx)</t>
  </si>
  <si>
    <t>vendas cadastradas e consultadas pelo argos (Consultas e analise de credito - junho26.xlsx)</t>
  </si>
  <si>
    <t>Preenchido da planilha de materiais (materiais recebidos em 06-2026.xlsx)</t>
  </si>
  <si>
    <t>Despesa com alimentação da itinerante pap</t>
  </si>
  <si>
    <t>Crédito por despesa com alimentação da equipe Dx2, em inauguração de loja h&amp;a</t>
  </si>
  <si>
    <t>Despesa da van DX2</t>
  </si>
  <si>
    <t xml:space="preserve">Crédito por despesa com combustivel da van </t>
  </si>
  <si>
    <t>Crédito por despesa com combustível e utilização de veÍculo dx2</t>
  </si>
  <si>
    <t>Vendas comercial varejo.xlsx (maio/2026)</t>
  </si>
  <si>
    <t>Transporte de produtos - Frota.xlsx (referente junho/2026)</t>
  </si>
  <si>
    <t>Referente MAIO/2026 - não cobrado em maio</t>
  </si>
  <si>
    <t>Transporte de produtos - Frota.xlsx (referente maio/2026)</t>
  </si>
  <si>
    <t>KM rodado para serviços técnicos DX2 p/ Soares &amp; silva</t>
  </si>
  <si>
    <t>Serviços técnicos da DX2 p/ Soares &amp; Silva</t>
  </si>
  <si>
    <t>EPI/Equipamentos do mês (CUSTO DE SEGURANÇA - JUN26.xlsx)</t>
  </si>
  <si>
    <t>despesa com combustÍvel e utilização da van dx2</t>
  </si>
  <si>
    <t>despesa com alimentação da equipe Dx2, em inauguração de loja h&amp;a</t>
  </si>
  <si>
    <t>Fundo Municipal de assistencia social de primavera</t>
  </si>
  <si>
    <t>EPI/Equipamentos do mês</t>
  </si>
  <si>
    <t>despesa trabalhista e combustível do consultor dividido pelo total de vendas</t>
  </si>
  <si>
    <t xml:space="preserve">EPI/Equipamentos do mês </t>
  </si>
  <si>
    <t xml:space="preserve">despesa trabalhista e combustÍvel do consultor dividido pelo total de vendas </t>
  </si>
  <si>
    <t>despesa trabalhista e combustÍvel dividida pela quantidade de vendas</t>
  </si>
  <si>
    <t xml:space="preserve">despesa trabalhista e combustÍvel dividida pela quantidade de vendas </t>
  </si>
  <si>
    <t>Vendas da equipe voicenet porta a porta p/ Soares e silva</t>
  </si>
  <si>
    <t>Agência reguladora dos serviços públicos do estado de Alagoas - ARSAL</t>
  </si>
  <si>
    <t>mensalidade recebida pela Dtel (parcela junho)</t>
  </si>
  <si>
    <t xml:space="preserve">Vendas instaladas do impulsionamento site mundiale </t>
  </si>
  <si>
    <t>Serviços prestados pela equipe Segurança do trabalho soares e silva p/ litoral</t>
  </si>
  <si>
    <t>despesa trabalhista e combustível dividida pela quantidade de vendas</t>
  </si>
  <si>
    <t xml:space="preserve">despesa trabalhista e combustível dividida pela quantidade de vendas </t>
  </si>
  <si>
    <t>despesa trabalhista e combustivel do consultor dividido pelo total de vendas</t>
  </si>
  <si>
    <t>despesa trabalhista e combustivel dividida pela quantidade de vendas</t>
  </si>
  <si>
    <t>Vendas da equipe da Voicenet para soares e silva</t>
  </si>
  <si>
    <t>Manutenção de veículo</t>
  </si>
  <si>
    <t>vendas cadastradas e consultadas pelo argos (Consulta e analise de crédito - Jul26.xlsx)</t>
  </si>
  <si>
    <t>Vendas instaladas do impulsionamento site mundiale (VENDAS MUNDIALE jul26.xlsx)</t>
  </si>
  <si>
    <t>Vendas comercial varejo.xlsx (junho/2026)</t>
  </si>
  <si>
    <t xml:space="preserve">Transporte de produtos - Frota.xlsx </t>
  </si>
  <si>
    <t>Despesa com combust. e colaborador para verificação obra tacaimbó</t>
  </si>
  <si>
    <t>EPI/Equipamentos do mês (CUSTO DE SEGURANÇA - JUl26.xlsx)</t>
  </si>
  <si>
    <t>mensalidade recebida pela H&amp;A (parcela julho)</t>
  </si>
  <si>
    <t>Despesa com material, combust., e colaborador para finalização pop b maceió</t>
  </si>
  <si>
    <t>Serviços prestados pela equipe Seg. soares e silva p/ dtel</t>
  </si>
  <si>
    <t>Vendas da equipe solon p/ Dtel</t>
  </si>
  <si>
    <t>vendas cadastradas e consultadas pelo argos</t>
  </si>
  <si>
    <t>Vendas comercial varejo</t>
  </si>
  <si>
    <t xml:space="preserve">Transporte de produtos </t>
  </si>
  <si>
    <t>Serviços técnicos da Dtel para voicenet</t>
  </si>
  <si>
    <t>Despesa com combust. e colaborador para verificação edf estação madalena</t>
  </si>
  <si>
    <t>Custo do setor de vendas corporativo</t>
  </si>
  <si>
    <t>Despesa da equipe do corporativo</t>
  </si>
  <si>
    <t>INFORMAÇÕES ADICIONAIS POR SETOR (clientes, custo por cliente/funcionário, observações — nada foi descartado)</t>
  </si>
  <si>
    <t>[A17] Total</t>
  </si>
  <si>
    <t>[D17] fórmula original: =SUBTOTAL(109,D2:D16)</t>
  </si>
  <si>
    <t>[C18] Total clientes grupo dtel, com h&amp;a</t>
  </si>
  <si>
    <t>[D18] 189453</t>
  </si>
  <si>
    <t>[D19] 0.19</t>
  </si>
  <si>
    <t>[A18] Total</t>
  </si>
  <si>
    <t>[C18] fórmula original: =SUBTOTAL(109,C2:C17)</t>
  </si>
  <si>
    <t>[D18] fórmula original: =SUBTOTAL(109,D2:D17)</t>
  </si>
  <si>
    <t>[A19] nº de clientes menos h&amp;a e dx2, e souza e silva pois estão fazendo a distribuição dos serviços</t>
  </si>
  <si>
    <t>[D19] 165302</t>
  </si>
  <si>
    <t>[A20] custo por clientes</t>
  </si>
  <si>
    <t>[B20] fórmula original: =Tabela5643[[#Totals],[Total]]/D19</t>
  </si>
  <si>
    <t>[A22] obs: exames medicos sera do mês anterior</t>
  </si>
  <si>
    <t>[A23] Total</t>
  </si>
  <si>
    <t>[D23] fórmula original: =SUBTOTAL(109,D2:D22)</t>
  </si>
  <si>
    <t>[C24] Total clientes grupo dtel, com h&amp;a</t>
  </si>
  <si>
    <t>[D24] 189453</t>
  </si>
  <si>
    <t>[D25] fórmula original: =Tabela533[[#Totals],[TOTAL]]/D24</t>
  </si>
  <si>
    <t>[A22] Total</t>
  </si>
  <si>
    <t>[C22] fórmula original: =SUBTOTAL(109,C2:C21)</t>
  </si>
  <si>
    <t>[D22] fórmula original: =SUBTOTAL(109,D2:D21)</t>
  </si>
  <si>
    <t>[C23] Custo por n° de clientes</t>
  </si>
  <si>
    <t>[D23] fórmula original: =Tabela56457[[#Totals],[Total]]/B24</t>
  </si>
  <si>
    <t>[A24] Clientes, menos h&amp;a</t>
  </si>
  <si>
    <t>[B24] 176152</t>
  </si>
  <si>
    <t>[C19] nº cliente com h&amp;a</t>
  </si>
  <si>
    <t>[D19] 189453</t>
  </si>
  <si>
    <t>[B20] fórmula original: =D18/D19</t>
  </si>
  <si>
    <t>[F1] EMPRESA</t>
  </si>
  <si>
    <t>[G1] Nº DE CLIENTES</t>
  </si>
  <si>
    <t>[H1] custo por empresa</t>
  </si>
  <si>
    <t>[F2] DTEL TELECOM</t>
  </si>
  <si>
    <t>[G2] 136433</t>
  </si>
  <si>
    <t>[H2] fórmula original: =G2*$D$24</t>
  </si>
  <si>
    <t>[F3] DX2 TELECOMUNICAÇÕES</t>
  </si>
  <si>
    <t>[G3] 6164</t>
  </si>
  <si>
    <t>[H3] fórmula original: =G3*$D$24</t>
  </si>
  <si>
    <t>[F4] SOARES E SILVA</t>
  </si>
  <si>
    <t>[G4] 6366</t>
  </si>
  <si>
    <t>[H4] fórmula original: =G4*$D$24</t>
  </si>
  <si>
    <t>[F5] SOLON ARAUJO</t>
  </si>
  <si>
    <t>[G5] 14154</t>
  </si>
  <si>
    <t>[H5] fórmula original: =G5*$D$24</t>
  </si>
  <si>
    <t>[F6] SOUZA E SILVA</t>
  </si>
  <si>
    <t>[G6] 4686</t>
  </si>
  <si>
    <t>[H6] fórmula original: =G6*$D$24</t>
  </si>
  <si>
    <t>[F7] SOARES &amp; LINS</t>
  </si>
  <si>
    <t>[G7] 3564</t>
  </si>
  <si>
    <t>[H7] fórmula original: =G7*$D$24</t>
  </si>
  <si>
    <t>[F8] VOICENET</t>
  </si>
  <si>
    <t>[G8] 4785</t>
  </si>
  <si>
    <t>[H8] fórmula original: =G8*$D$24</t>
  </si>
  <si>
    <t>[F9] Total</t>
  </si>
  <si>
    <t>[G9] fórmula original: =SUBTOTAL(109,G2:G8)</t>
  </si>
  <si>
    <t>[H9] fórmula original: =SUBTOTAL(109,H2:H8)</t>
  </si>
  <si>
    <t>[C23] fórmula original: =SUBTOTAL(109,C2:C22)</t>
  </si>
  <si>
    <t>[A24] Custo por cliente menos h&amp;a</t>
  </si>
  <si>
    <t>[D24] fórmula original: =Tabela53[[#Totals],[TOTAL]]/Tabela6[[#Totals],[Nº DE CLIENTES]]</t>
  </si>
  <si>
    <t>[F1] luiz eduardo pereira de lima</t>
  </si>
  <si>
    <t>[F2] antonio roberto dias frutuoso junior</t>
  </si>
  <si>
    <t>[F3] BRUNO SANTOS</t>
  </si>
  <si>
    <t>[F4] arthur joaquim</t>
  </si>
  <si>
    <t xml:space="preserve">[F5] RENAN ALCANTARA </t>
  </si>
  <si>
    <t>[F8] exames medico são sempre do mes anterior</t>
  </si>
  <si>
    <t>[B18] 0</t>
  </si>
  <si>
    <t>[C19] clientes, com h&amp;a</t>
  </si>
  <si>
    <t>[A20] Custo por nº de clientes</t>
  </si>
  <si>
    <t>[B20] fórmula original: =Tabela56457343[[#Totals],[Total]]/D19</t>
  </si>
  <si>
    <t>[A19] Total</t>
  </si>
  <si>
    <t>[C19] fórmula original: =SUBTOTAL(109,C2:C18)</t>
  </si>
  <si>
    <t>[D19] fórmula original: =SUBTOTAL(109,D2:D18)</t>
  </si>
  <si>
    <t>[F19] qtd func. do mês</t>
  </si>
  <si>
    <t>[G19] custo por func.</t>
  </si>
  <si>
    <t>[F20] 1007</t>
  </si>
  <si>
    <t>[G20] fórmula original: =Tabela1[[#Totals],[VALOR TOTAL]]/F20</t>
  </si>
  <si>
    <t>[A27] Total</t>
  </si>
  <si>
    <t>[D27] fórmula original: =SUBTOTAL(109,D2:D26)</t>
  </si>
  <si>
    <t>[C28] clientes, menos h&amp;a</t>
  </si>
  <si>
    <t>[D28] 172012</t>
  </si>
  <si>
    <t>[A29] Custo por nº de clientes</t>
  </si>
  <si>
    <t>[B29] fórmula original: =Tabela56457[[#Totals],[Total]]/D28</t>
  </si>
  <si>
    <t>[A21] Total</t>
  </si>
  <si>
    <t>[D21] fórmula original: =SUBTOTAL(109,D2:D20)</t>
  </si>
  <si>
    <t>[C22] clientes, menos h&amp;a</t>
  </si>
  <si>
    <t>[D22] 172012</t>
  </si>
  <si>
    <t>[A23] Custo por nº de clientes</t>
  </si>
  <si>
    <t>[B23] fórmula original: =Tabela5645734[[#Totals],[Total]]/D22</t>
  </si>
  <si>
    <t>[D22] 176152</t>
  </si>
  <si>
    <t>[B23] fórmula original: =Tabela564573[[#Totals],[Total]]/D22</t>
  </si>
  <si>
    <t>[F1] nomes nao entram na folha, pois sao do estoque de outras cidades</t>
  </si>
  <si>
    <t xml:space="preserve">[F2]  FLAVIANO FRANCISCO DA SILVA </t>
  </si>
  <si>
    <t xml:space="preserve">[F3]  GLEISON GLEIDSON DA SILVA </t>
  </si>
  <si>
    <t>[F4] JOSE MARCIO MENDONCA DE AZEVEDO</t>
  </si>
  <si>
    <t>[F5] LUIS CARLOS BARBOSA FERREIRA</t>
  </si>
  <si>
    <t>[F6] PAULO GUSTAVO CLEMENTE DOS SANTOS</t>
  </si>
  <si>
    <t>[F7] RUAN JOSE DA SILVA</t>
  </si>
  <si>
    <t>[F8] SERGIO DE SOUZA SOBRINHO</t>
  </si>
  <si>
    <t>[F9] VALDIR CORREIA DO NASCIMENTO</t>
  </si>
  <si>
    <t>[C20] clientes</t>
  </si>
  <si>
    <t>[D20] 176152</t>
  </si>
  <si>
    <t>[A21] Custo por nº de clientes menos h&amp;a</t>
  </si>
  <si>
    <t>[B21] fórmula original: =Tabela56457[[#Totals],[Total]]/D20</t>
  </si>
  <si>
    <t>[F1] obs: buscar no sap o valor de wadson 9,000 gerente para o custo.adicionar o custo de alex</t>
  </si>
  <si>
    <t>[C21] fórmula original: =SUBTOTAL(109,C2:C20)</t>
  </si>
  <si>
    <t>[C22] clientes</t>
  </si>
  <si>
    <t>[A23] Custo por nº de clientes, menos h&amp;a</t>
  </si>
  <si>
    <t>[B23] fórmula original: =Tabela56457[[#Totals],[Total]]/D22</t>
  </si>
  <si>
    <t>[D20] 189453</t>
  </si>
  <si>
    <t>[A21] Custo por nº de clientes, com h&amp;a</t>
  </si>
  <si>
    <t>[F1] 7000</t>
  </si>
  <si>
    <t>[C17] fórmula original: =SUBTOTAL(109,C2:C16)</t>
  </si>
  <si>
    <t>[C18] clientes com h&amp;a</t>
  </si>
  <si>
    <t>[A19] Custo por numero de clientes</t>
  </si>
  <si>
    <t>[B19] fórmula original: =Tabela56457[[#Totals],[Total]]/D18</t>
  </si>
  <si>
    <t>[F1] combustível colocar so de demetrius, armando e ednaldo</t>
  </si>
  <si>
    <t>[C24] clientes menos h&amp;a</t>
  </si>
  <si>
    <t>[D24] 176152</t>
  </si>
  <si>
    <t>[A25] Custo por numero de clientes</t>
  </si>
  <si>
    <t>[B25] fórmula original: =Tabela56457[[#Totals],[Total]]/D24</t>
  </si>
  <si>
    <t>[A33] Total</t>
  </si>
  <si>
    <t>[C33] fórmula original: =SUBTOTAL(109,C2:C32)</t>
  </si>
  <si>
    <t>[D33] fórmula original: =SUBTOTAL(109,D2:D32)</t>
  </si>
  <si>
    <t>[C34] clientes</t>
  </si>
  <si>
    <t>[D34] 176152</t>
  </si>
  <si>
    <t>[A35] Custo por nº de clientes, menos h&amp;a</t>
  </si>
  <si>
    <t>[B35] fórmula original: =Tabela564573[[#Totals],[Total]]/D34</t>
  </si>
  <si>
    <t>[F15] março e abril</t>
  </si>
  <si>
    <t>[A24] Total</t>
  </si>
  <si>
    <t>[C24] fórmula original: =SUBTOTAL(109,C2:C23)</t>
  </si>
  <si>
    <t>[D24] fórmula original: =SUBTOTAL(109,D2:D23)</t>
  </si>
  <si>
    <t>[C25] Custo por nº de clientes</t>
  </si>
  <si>
    <t>[D25] fórmula original: =Tabela56457[[#Totals],[Total]]/B26</t>
  </si>
  <si>
    <t>[A26] nº de clientes com h&amp;a</t>
  </si>
  <si>
    <t>[B26] 189453</t>
  </si>
  <si>
    <t>Qtd de funcionários ativos (abril): 119</t>
  </si>
  <si>
    <t>--- Divisão por empresa (clientes / custo por cliente) ---</t>
  </si>
  <si>
    <t>EMPRESA | Nº DE Clientes | Custo por Clientes</t>
  </si>
  <si>
    <t>DTEL TELECOM | 136433 | =SUM(basedespesa4[Total]/B15)</t>
  </si>
  <si>
    <t>DX2 TELECOMUNICAÇÕES | 6164 | =SUM(basedespesa4[Total]/B15)</t>
  </si>
  <si>
    <t>H&amp;A | 13301 | =SUM(basedespesa4[Total]/B15)</t>
  </si>
  <si>
    <t>SOARES &amp; LINS | 3564 | =SUM(basedespesa4[Total]/B15)</t>
  </si>
  <si>
    <t>SOARES E SILVA | 6366 | =SUM(basedespesa4[Total]/B15)</t>
  </si>
  <si>
    <t>LITORALNET | 14154 | =SUM(basedespesa4[Total]/B15)</t>
  </si>
  <si>
    <t>SOUZA E SILVA | 4686 | =SUM(basedespesa4[Total]/B15)</t>
  </si>
  <si>
    <t>VOICENET | 4785 | =SUM(basedespesa4[Total]/B15)</t>
  </si>
  <si>
    <t xml:space="preserve">Total | =SUBTOTAL(109,B7:B14) | </t>
  </si>
  <si>
    <t>obs: telefonia fixa de saida dividida por qtd funcionários do relacionamento, lojas 56</t>
  </si>
  <si>
    <t>obs: Telefonia fixa Algar dividido por número de funcionários do relacionamento</t>
  </si>
  <si>
    <t>obs: somado o administrativo com o Orbix para compor o valor administrativo</t>
  </si>
  <si>
    <t>obs: Alguns colaboradores de suporte fazem acordo e negociações, chat financeiro, cobrança ativa, todo entram como cobrança</t>
  </si>
  <si>
    <t>obs: no matrix pegar os valores de omini e wahtsapp diminuir pelo valor que a gestao de atendimento envia, e colocar o restante no relacionamento</t>
  </si>
  <si>
    <t>[F23] qtd func. do mês</t>
  </si>
  <si>
    <t>[F24] 1007</t>
  </si>
  <si>
    <t>[G24] fórmula original: =Tabela1[[#Totals],[VALOR TOTAL]]/F24</t>
  </si>
  <si>
    <t>[G24] fórmula original: =G26+I26</t>
  </si>
  <si>
    <t>[G25] incluir os colaboradores dtel e h&amp;a</t>
  </si>
  <si>
    <t>[H25] fórmula original: =Tabela53[[#Totals],[TOTAL]]/G24</t>
  </si>
  <si>
    <t>[A26] Total</t>
  </si>
  <si>
    <t>[D26] fórmula original: =SUBTOTAL(109,D2:D25)</t>
  </si>
  <si>
    <t xml:space="preserve">[F26] dtel </t>
  </si>
  <si>
    <t>[G26] 1007</t>
  </si>
  <si>
    <t xml:space="preserve">[H26] h &amp; a </t>
  </si>
  <si>
    <t>[I26] 0</t>
  </si>
  <si>
    <t>[C25] clientes</t>
  </si>
  <si>
    <t>[D25] 176152</t>
  </si>
  <si>
    <t>[A26] Custo por nº de clientes, menos h&amp;a</t>
  </si>
  <si>
    <t>[B26] fórmula original: =Tabela56457[[#Totals],[Total]]/D25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</si>
</sst>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#,##0.00;\(#,##0.00\);\-"/>
    <numFmt numFmtId="165" formatCode="0.000000"/>
    <numFmt numFmtId="166" formatCode="&quot;R$ &quot;#,##0.00;[Red]&quot;(R$ &quot;#,##0.00\);\-"/>
    <numFmt numFmtId="167" formatCode="[$-416]mmmm\-yy;@"/>
    <numFmt numFmtId="168" formatCode="_-[$R$-416]\ * #,##0.00_-;\-[$R$-416]\ * #,##0.00_-;_-[$R$-416]\ * &quot;-&quot;??_-;_-@_-"/>
  </numFmts>
  <fonts count="2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9"/>
      <color rgb="FF80808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008000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10"/>
      <color rgb="FF010101"/>
      <name val="Arial"/>
      <family val="2"/>
    </font>
    <font>
      <sz val="10"/>
      <color rgb="FF000000"/>
      <name val="Arial"/>
      <family val="2"/>
    </font>
    <font>
      <sz val="11"/>
      <color rgb="FF010101"/>
      <name val="Calibri"/>
      <family val="2"/>
    </font>
    <font>
      <sz val="11"/>
      <name val="Calibri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color rgb="FF010101"/>
      <name val="Arial"/>
    </font>
    <font>
      <b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1" xfId="0" applyFont="1" applyBorder="1"/>
    <xf numFmtId="164" fontId="5" fillId="0" borderId="1" xfId="0" applyNumberFormat="1" applyFont="1" applyBorder="1"/>
    <xf numFmtId="0" fontId="3" fillId="4" borderId="0" xfId="0" applyFont="1" applyFill="1"/>
    <xf numFmtId="164" fontId="3" fillId="4" borderId="0" xfId="0" applyNumberFormat="1" applyFont="1" applyFill="1"/>
    <xf numFmtId="164" fontId="4" fillId="3" borderId="0" xfId="0" applyNumberFormat="1" applyFont="1" applyFill="1"/>
    <xf numFmtId="0" fontId="6" fillId="0" borderId="0" xfId="0" applyFont="1"/>
    <xf numFmtId="164" fontId="6" fillId="2" borderId="0" xfId="0" applyNumberFormat="1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164" fontId="3" fillId="0" borderId="0" xfId="0" applyNumberFormat="1" applyFont="1"/>
    <xf numFmtId="165" fontId="7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8" fillId="3" borderId="0" xfId="0" applyFont="1" applyFill="1"/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166" fontId="5" fillId="0" borderId="1" xfId="0" applyNumberFormat="1" applyFont="1" applyBorder="1"/>
    <xf numFmtId="0" fontId="3" fillId="5" borderId="1" xfId="0" applyFont="1" applyFill="1" applyBorder="1"/>
    <xf numFmtId="166" fontId="3" fillId="5" borderId="1" xfId="0" applyNumberFormat="1" applyFont="1" applyFill="1" applyBorder="1"/>
    <xf numFmtId="0" fontId="10" fillId="0" borderId="1" xfId="0" applyFont="1" applyBorder="1"/>
    <xf numFmtId="166" fontId="11" fillId="0" borderId="1" xfId="0" applyNumberFormat="1" applyFont="1" applyBorder="1"/>
    <xf numFmtId="0" fontId="5" fillId="0" borderId="0" xfId="0" applyFont="1"/>
    <xf numFmtId="3" fontId="11" fillId="0" borderId="1" xfId="0" applyNumberFormat="1" applyFont="1" applyBorder="1"/>
    <xf numFmtId="0" fontId="10" fillId="0" borderId="0" xfId="0" applyFont="1"/>
    <xf numFmtId="166" fontId="11" fillId="0" borderId="0" xfId="0" applyNumberFormat="1" applyFont="1"/>
    <xf numFmtId="3" fontId="5" fillId="0" borderId="1" xfId="0" applyNumberFormat="1" applyFont="1" applyBorder="1"/>
    <xf numFmtId="3" fontId="0" fillId="0" borderId="0" xfId="0" applyNumberFormat="1"/>
    <xf numFmtId="17" fontId="5" fillId="2" borderId="1" xfId="0" applyNumberFormat="1" applyFont="1" applyFill="1" applyBorder="1" applyAlignment="1">
      <alignment horizontal="center"/>
    </xf>
    <xf numFmtId="164" fontId="12" fillId="0" borderId="1" xfId="0" applyNumberFormat="1" applyFont="1" applyBorder="1"/>
    <xf numFmtId="3" fontId="12" fillId="0" borderId="1" xfId="0" applyNumberFormat="1" applyFont="1" applyBorder="1"/>
    <xf numFmtId="0" fontId="13" fillId="0" borderId="0" xfId="0" applyFont="1"/>
    <xf numFmtId="0" fontId="13" fillId="0" borderId="1" xfId="0" applyFont="1" applyBorder="1"/>
    <xf numFmtId="3" fontId="13" fillId="0" borderId="1" xfId="0" applyNumberFormat="1" applyFont="1" applyBorder="1"/>
    <xf numFmtId="0" fontId="4" fillId="3" borderId="2" xfId="0" applyFont="1" applyFill="1" applyBorder="1"/>
    <xf numFmtId="0" fontId="0" fillId="0" borderId="2" xfId="0" applyBorder="1"/>
    <xf numFmtId="0" fontId="9" fillId="4" borderId="2" xfId="0" applyFont="1" applyFill="1" applyBorder="1"/>
    <xf numFmtId="0" fontId="5" fillId="0" borderId="2" xfId="0" applyFont="1" applyBorder="1"/>
    <xf numFmtId="166" fontId="5" fillId="0" borderId="2" xfId="0" applyNumberFormat="1" applyFont="1" applyBorder="1"/>
    <xf numFmtId="0" fontId="3" fillId="5" borderId="2" xfId="0" applyFont="1" applyFill="1" applyBorder="1"/>
    <xf numFmtId="166" fontId="3" fillId="5" borderId="2" xfId="0" applyNumberFormat="1" applyFont="1" applyFill="1" applyBorder="1"/>
    <xf numFmtId="0" fontId="10" fillId="0" borderId="2" xfId="0" applyFont="1" applyBorder="1"/>
    <xf numFmtId="166" fontId="11" fillId="0" borderId="2" xfId="0" applyNumberFormat="1" applyFont="1" applyBorder="1"/>
    <xf numFmtId="0" fontId="10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14" fillId="0" borderId="0" xfId="0" applyNumberFormat="1" applyFont="1"/>
    <xf numFmtId="164" fontId="14" fillId="0" borderId="1" xfId="0" applyNumberFormat="1" applyFont="1" applyBorder="1"/>
    <xf numFmtId="0" fontId="12" fillId="0" borderId="1" xfId="0" applyFont="1" applyBorder="1"/>
    <xf numFmtId="0" fontId="12" fillId="0" borderId="2" xfId="0" applyFont="1" applyBorder="1"/>
    <xf numFmtId="3" fontId="5" fillId="0" borderId="0" xfId="0" applyNumberFormat="1" applyFont="1"/>
    <xf numFmtId="0" fontId="12" fillId="0" borderId="0" xfId="0" applyFont="1"/>
    <xf numFmtId="3" fontId="12" fillId="0" borderId="0" xfId="0" applyNumberFormat="1" applyFont="1"/>
    <xf numFmtId="0" fontId="15" fillId="0" borderId="1" xfId="0" applyFont="1" applyBorder="1"/>
    <xf numFmtId="3" fontId="15" fillId="0" borderId="1" xfId="0" applyNumberFormat="1" applyFont="1" applyBorder="1"/>
    <xf numFmtId="3" fontId="13" fillId="0" borderId="10" xfId="0" applyNumberFormat="1" applyFont="1" applyBorder="1"/>
    <xf numFmtId="0" fontId="13" fillId="0" borderId="10" xfId="0" applyFont="1" applyBorder="1"/>
    <xf numFmtId="3" fontId="5" fillId="0" borderId="10" xfId="0" applyNumberFormat="1" applyFont="1" applyBorder="1"/>
    <xf numFmtId="3" fontId="13" fillId="0" borderId="11" xfId="0" applyNumberFormat="1" applyFont="1" applyBorder="1"/>
    <xf numFmtId="3" fontId="13" fillId="0" borderId="12" xfId="0" applyNumberFormat="1" applyFont="1" applyBorder="1"/>
    <xf numFmtId="0" fontId="9" fillId="4" borderId="0" xfId="0" applyFont="1" applyFill="1"/>
    <xf numFmtId="166" fontId="5" fillId="0" borderId="0" xfId="0" applyNumberFormat="1" applyFont="1"/>
    <xf numFmtId="0" fontId="3" fillId="5" borderId="0" xfId="0" applyFont="1" applyFill="1"/>
    <xf numFmtId="3" fontId="0" fillId="0" borderId="1" xfId="0" applyNumberFormat="1" applyBorder="1"/>
    <xf numFmtId="0" fontId="0" fillId="0" borderId="10" xfId="0" applyBorder="1"/>
    <xf numFmtId="166" fontId="16" fillId="0" borderId="0" xfId="0" applyNumberFormat="1" applyFont="1"/>
    <xf numFmtId="0" fontId="10" fillId="0" borderId="6" xfId="0" applyFont="1" applyBorder="1"/>
    <xf numFmtId="0" fontId="10" fillId="0" borderId="14" xfId="0" applyFont="1" applyBorder="1"/>
    <xf numFmtId="0" fontId="0" fillId="0" borderId="15" xfId="0" applyBorder="1"/>
    <xf numFmtId="0" fontId="10" fillId="0" borderId="5" xfId="0" applyFont="1" applyBorder="1"/>
    <xf numFmtId="0" fontId="12" fillId="0" borderId="13" xfId="0" applyFont="1" applyBorder="1"/>
    <xf numFmtId="0" fontId="0" fillId="0" borderId="16" xfId="0" applyBorder="1"/>
    <xf numFmtId="0" fontId="17" fillId="6" borderId="4" xfId="0" applyFont="1" applyFill="1" applyBorder="1"/>
    <xf numFmtId="166" fontId="17" fillId="6" borderId="17" xfId="0" applyNumberFormat="1" applyFont="1" applyFill="1" applyBorder="1"/>
    <xf numFmtId="44" fontId="11" fillId="0" borderId="1" xfId="0" applyNumberFormat="1" applyFont="1" applyBorder="1"/>
    <xf numFmtId="44" fontId="0" fillId="0" borderId="2" xfId="0" applyNumberFormat="1" applyBorder="1"/>
    <xf numFmtId="44" fontId="12" fillId="0" borderId="2" xfId="0" applyNumberFormat="1" applyFont="1" applyBorder="1"/>
    <xf numFmtId="44" fontId="5" fillId="0" borderId="2" xfId="0" applyNumberFormat="1" applyFont="1" applyBorder="1"/>
    <xf numFmtId="44" fontId="3" fillId="5" borderId="2" xfId="0" applyNumberFormat="1" applyFont="1" applyFill="1" applyBorder="1"/>
    <xf numFmtId="44" fontId="0" fillId="0" borderId="0" xfId="0" applyNumberFormat="1"/>
    <xf numFmtId="8" fontId="0" fillId="0" borderId="2" xfId="0" applyNumberFormat="1" applyBorder="1"/>
    <xf numFmtId="44" fontId="11" fillId="0" borderId="2" xfId="0" applyNumberFormat="1" applyFont="1" applyBorder="1"/>
    <xf numFmtId="44" fontId="0" fillId="0" borderId="3" xfId="0" applyNumberFormat="1" applyBorder="1"/>
    <xf numFmtId="44" fontId="12" fillId="0" borderId="0" xfId="0" applyNumberFormat="1" applyFont="1"/>
    <xf numFmtId="44" fontId="5" fillId="0" borderId="0" xfId="0" applyNumberFormat="1" applyFont="1"/>
    <xf numFmtId="8" fontId="0" fillId="0" borderId="0" xfId="0" applyNumberFormat="1"/>
    <xf numFmtId="44" fontId="3" fillId="5" borderId="0" xfId="0" applyNumberFormat="1" applyFont="1" applyFill="1"/>
    <xf numFmtId="44" fontId="17" fillId="6" borderId="17" xfId="0" applyNumberFormat="1" applyFont="1" applyFill="1" applyBorder="1"/>
    <xf numFmtId="167" fontId="0" fillId="0" borderId="0" xfId="0" applyNumberFormat="1"/>
    <xf numFmtId="168" fontId="0" fillId="0" borderId="0" xfId="0" applyNumberFormat="1"/>
    <xf numFmtId="167" fontId="5" fillId="0" borderId="1" xfId="0" applyNumberFormat="1" applyFont="1" applyBorder="1"/>
    <xf numFmtId="44" fontId="5" fillId="0" borderId="1" xfId="0" applyNumberFormat="1" applyFont="1" applyBorder="1"/>
    <xf numFmtId="167" fontId="0" fillId="0" borderId="1" xfId="0" applyNumberFormat="1" applyBorder="1"/>
    <xf numFmtId="167" fontId="13" fillId="0" borderId="1" xfId="0" applyNumberFormat="1" applyFont="1" applyBorder="1"/>
    <xf numFmtId="168" fontId="5" fillId="0" borderId="1" xfId="0" applyNumberFormat="1" applyFont="1" applyBorder="1"/>
    <xf numFmtId="44" fontId="12" fillId="0" borderId="1" xfId="0" applyNumberFormat="1" applyFont="1" applyBorder="1"/>
    <xf numFmtId="167" fontId="5" fillId="0" borderId="0" xfId="0" applyNumberFormat="1" applyFont="1"/>
    <xf numFmtId="44" fontId="13" fillId="0" borderId="1" xfId="0" applyNumberFormat="1" applyFont="1" applyBorder="1"/>
    <xf numFmtId="44" fontId="14" fillId="0" borderId="1" xfId="0" applyNumberFormat="1" applyFont="1" applyBorder="1"/>
    <xf numFmtId="167" fontId="13" fillId="0" borderId="10" xfId="0" applyNumberFormat="1" applyFont="1" applyBorder="1"/>
    <xf numFmtId="44" fontId="5" fillId="0" borderId="10" xfId="0" applyNumberFormat="1" applyFont="1" applyBorder="1"/>
    <xf numFmtId="167" fontId="13" fillId="0" borderId="0" xfId="0" applyNumberFormat="1" applyFont="1"/>
    <xf numFmtId="44" fontId="13" fillId="0" borderId="11" xfId="0" applyNumberFormat="1" applyFont="1" applyBorder="1"/>
    <xf numFmtId="44" fontId="5" fillId="0" borderId="11" xfId="0" applyNumberFormat="1" applyFont="1" applyBorder="1"/>
    <xf numFmtId="44" fontId="13" fillId="0" borderId="12" xfId="0" applyNumberFormat="1" applyFont="1" applyBorder="1"/>
    <xf numFmtId="44" fontId="13" fillId="0" borderId="10" xfId="0" applyNumberFormat="1" applyFont="1" applyBorder="1"/>
    <xf numFmtId="167" fontId="13" fillId="0" borderId="12" xfId="0" applyNumberFormat="1" applyFont="1" applyBorder="1"/>
    <xf numFmtId="44" fontId="14" fillId="0" borderId="0" xfId="0" applyNumberFormat="1" applyFont="1"/>
    <xf numFmtId="44" fontId="0" fillId="0" borderId="1" xfId="0" applyNumberFormat="1" applyBorder="1"/>
    <xf numFmtId="167" fontId="0" fillId="0" borderId="10" xfId="0" applyNumberFormat="1" applyBorder="1"/>
    <xf numFmtId="44" fontId="0" fillId="0" borderId="10" xfId="0" applyNumberFormat="1" applyBorder="1"/>
    <xf numFmtId="44" fontId="0" fillId="0" borderId="11" xfId="0" applyNumberFormat="1" applyBorder="1"/>
    <xf numFmtId="166" fontId="12" fillId="0" borderId="2" xfId="0" applyNumberFormat="1" applyFont="1" applyBorder="1"/>
    <xf numFmtId="0" fontId="12" fillId="0" borderId="16" xfId="0" applyFont="1" applyBorder="1"/>
    <xf numFmtId="8" fontId="12" fillId="0" borderId="0" xfId="0" applyNumberFormat="1" applyFont="1"/>
    <xf numFmtId="0" fontId="14" fillId="0" borderId="1" xfId="0" applyFont="1" applyBorder="1"/>
    <xf numFmtId="3" fontId="14" fillId="0" borderId="1" xfId="0" applyNumberFormat="1" applyFont="1" applyBorder="1"/>
    <xf numFmtId="168" fontId="12" fillId="0" borderId="1" xfId="0" applyNumberFormat="1" applyFont="1" applyBorder="1"/>
    <xf numFmtId="0" fontId="14" fillId="0" borderId="0" xfId="0" applyFont="1"/>
    <xf numFmtId="3" fontId="12" fillId="0" borderId="10" xfId="0" applyNumberFormat="1" applyFont="1" applyBorder="1"/>
    <xf numFmtId="44" fontId="12" fillId="0" borderId="10" xfId="0" applyNumberFormat="1" applyFont="1" applyBorder="1"/>
    <xf numFmtId="0" fontId="18" fillId="0" borderId="1" xfId="0" applyFont="1" applyBorder="1"/>
    <xf numFmtId="164" fontId="18" fillId="0" borderId="1" xfId="0" applyNumberFormat="1" applyFont="1" applyBorder="1"/>
    <xf numFmtId="3" fontId="18" fillId="0" borderId="1" xfId="0" applyNumberFormat="1" applyFont="1" applyBorder="1"/>
    <xf numFmtId="44" fontId="18" fillId="0" borderId="2" xfId="0" applyNumberFormat="1" applyFont="1" applyBorder="1"/>
    <xf numFmtId="166" fontId="18" fillId="0" borderId="2" xfId="0" applyNumberFormat="1" applyFont="1" applyBorder="1"/>
    <xf numFmtId="0" fontId="18" fillId="0" borderId="2" xfId="0" applyFont="1" applyBorder="1"/>
    <xf numFmtId="44" fontId="18" fillId="0" borderId="0" xfId="0" applyNumberFormat="1" applyFont="1"/>
    <xf numFmtId="166" fontId="18" fillId="0" borderId="0" xfId="0" applyNumberFormat="1" applyFont="1"/>
    <xf numFmtId="0" fontId="18" fillId="0" borderId="13" xfId="0" applyFont="1" applyBorder="1"/>
    <xf numFmtId="0" fontId="18" fillId="0" borderId="15" xfId="0" applyFont="1" applyBorder="1"/>
    <xf numFmtId="44" fontId="18" fillId="0" borderId="1" xfId="0" applyNumberFormat="1" applyFont="1" applyBorder="1"/>
    <xf numFmtId="0" fontId="18" fillId="0" borderId="0" xfId="0" applyFont="1"/>
    <xf numFmtId="44" fontId="19" fillId="0" borderId="1" xfId="0" applyNumberFormat="1" applyFont="1" applyBorder="1"/>
    <xf numFmtId="0" fontId="4" fillId="3" borderId="0" xfId="0" applyFont="1" applyFill="1" applyAlignment="1">
      <alignment vertical="center" wrapText="1"/>
    </xf>
    <xf numFmtId="167" fontId="4" fillId="3" borderId="0" xfId="0" applyNumberFormat="1" applyFont="1" applyFill="1" applyAlignment="1">
      <alignment vertical="center" wrapText="1"/>
    </xf>
    <xf numFmtId="3" fontId="4" fillId="3" borderId="0" xfId="0" applyNumberFormat="1" applyFont="1" applyFill="1" applyAlignment="1">
      <alignment vertical="center" wrapText="1"/>
    </xf>
    <xf numFmtId="44" fontId="4" fillId="3" borderId="0" xfId="0" applyNumberFormat="1" applyFont="1" applyFill="1" applyAlignment="1">
      <alignment vertical="center" wrapText="1"/>
    </xf>
    <xf numFmtId="168" fontId="4" fillId="3" borderId="0" xfId="0" applyNumberFormat="1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6" fontId="12" fillId="0" borderId="0" xfId="0" applyNumberFormat="1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7" formatCode="[$-416]mmmm\-yy;@"/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Setores" displayName="BaseSetores" ref="A1:J1749" totalsRowShown="0">
  <autoFilter ref="A1:J1749" xr:uid="{00000000-0009-0000-0100-000001000000}">
    <filterColumn colId="0">
      <filters>
        <filter val="JULHO/2026"/>
      </filters>
    </filterColumn>
  </autoFilter>
  <tableColumns count="10">
    <tableColumn id="1" xr3:uid="{00000000-0010-0000-0000-000001000000}" name="MÊS"/>
    <tableColumn id="2" xr3:uid="{00000000-0010-0000-0000-000002000000}" name="SETOR"/>
    <tableColumn id="3" xr3:uid="{00000000-0010-0000-0000-000003000000}" name="DESPESA"/>
    <tableColumn id="4" xr3:uid="{00000000-0010-0000-0000-000004000000}" name="QTD"/>
    <tableColumn id="5" xr3:uid="{00000000-0010-0000-0000-000005000000}" name="VALOR UN."/>
    <tableColumn id="6" xr3:uid="{00000000-0010-0000-0000-000006000000}" name="VALOR TOTAL"/>
    <tableColumn id="7" xr3:uid="{00000000-0010-0000-0000-000007000000}" name="OBS"/>
    <tableColumn id="8" xr3:uid="{00000000-0010-0000-0000-000008000000}" name="Nº CLIENTES"/>
    <tableColumn id="9" xr3:uid="{00000000-0010-0000-0000-000009000000}" name="BASE DE CLIENTES"/>
    <tableColumn id="10" xr3:uid="{00000000-0010-0000-0000-00000A000000}" name="CUSTO UNIT. / CLIENTE (R$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embolsoGeral" displayName="ReembolsoGeral" ref="A1:I1028" totalsRowCount="1" headerRowDxfId="11">
  <autoFilter ref="A1:I1027" xr:uid="{00000000-0009-0000-0100-000002000000}">
    <filterColumn colId="2">
      <filters>
        <filter val="C.O.E."/>
      </filters>
    </filterColumn>
    <filterColumn colId="3">
      <filters>
        <dateGroupItem year="2026" month="7" dateTimeGrouping="month"/>
      </filters>
    </filterColumn>
  </autoFilter>
  <tableColumns count="9">
    <tableColumn id="1" xr3:uid="{00000000-0010-0000-0100-000001000000}" name="MÊS" totalsRowLabel="Total" totalsRowDxfId="10"/>
    <tableColumn id="2" xr3:uid="{00000000-0010-0000-0100-000002000000}" name="Descrição" totalsRowDxfId="9"/>
    <tableColumn id="3" xr3:uid="{00000000-0010-0000-0100-000003000000}" name="Setor/ Departamento" totalsRowDxfId="8"/>
    <tableColumn id="4" xr3:uid="{00000000-0010-0000-0100-000004000000}" name="Competência" dataDxfId="7" totalsRowDxfId="6"/>
    <tableColumn id="5" xr3:uid="{00000000-0010-0000-0100-000005000000}" name="Empresa" totalsRowDxfId="5"/>
    <tableColumn id="6" xr3:uid="{00000000-0010-0000-0100-000006000000}" name="QTD referência" totalsRowDxfId="4"/>
    <tableColumn id="7" xr3:uid="{00000000-0010-0000-0100-000007000000}" name="Valor uni." totalsRowDxfId="3"/>
    <tableColumn id="8" xr3:uid="{00000000-0010-0000-0100-000008000000}" name="Valor total" totalsRowFunction="sum" totalsRowDxfId="2"/>
    <tableColumn id="9" xr3:uid="{00000000-0010-0000-0100-000009000000}" name="FORMA DE CÁLCULO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2"/>
  <sheetViews>
    <sheetView showGridLines="0" zoomScaleNormal="100" workbookViewId="0">
      <selection activeCell="C3" sqref="C3"/>
    </sheetView>
  </sheetViews>
  <sheetFormatPr defaultColWidth="8.6640625" defaultRowHeight="14.4" x14ac:dyDescent="0.3"/>
  <cols>
    <col min="2" max="2" width="36" customWidth="1"/>
    <col min="3" max="3" width="18" customWidth="1"/>
    <col min="5" max="6" width="13" hidden="1" customWidth="1"/>
  </cols>
  <sheetData>
    <row r="1" spans="2:6" ht="17.25" customHeight="1" x14ac:dyDescent="0.3">
      <c r="B1" s="1" t="s">
        <v>0</v>
      </c>
      <c r="E1" s="2" t="s">
        <v>1</v>
      </c>
      <c r="F1" s="2" t="s">
        <v>2</v>
      </c>
    </row>
    <row r="2" spans="2:6" ht="15" customHeight="1" x14ac:dyDescent="0.3">
      <c r="E2" s="2" t="s">
        <v>3</v>
      </c>
      <c r="F2" s="2">
        <v>2</v>
      </c>
    </row>
    <row r="3" spans="2:6" ht="15" customHeight="1" x14ac:dyDescent="0.3">
      <c r="B3" s="3" t="s">
        <v>4</v>
      </c>
      <c r="C3" s="36">
        <v>46204</v>
      </c>
      <c r="E3" s="2" t="s">
        <v>5</v>
      </c>
      <c r="F3" s="2">
        <v>61</v>
      </c>
    </row>
    <row r="4" spans="2:6" ht="14.25" customHeight="1" x14ac:dyDescent="0.3">
      <c r="E4" t="s">
        <v>6</v>
      </c>
      <c r="F4">
        <v>120</v>
      </c>
    </row>
    <row r="5" spans="2:6" ht="15" customHeight="1" x14ac:dyDescent="0.3">
      <c r="B5" s="5" t="s">
        <v>7</v>
      </c>
      <c r="C5" s="6"/>
      <c r="E5" t="s">
        <v>8</v>
      </c>
      <c r="F5">
        <v>179</v>
      </c>
    </row>
    <row r="6" spans="2:6" ht="15" customHeight="1" x14ac:dyDescent="0.3">
      <c r="B6" s="5" t="s">
        <v>9</v>
      </c>
      <c r="C6" s="6"/>
    </row>
    <row r="7" spans="2:6" ht="15" customHeight="1" x14ac:dyDescent="0.3">
      <c r="B7" s="5" t="s">
        <v>10</v>
      </c>
      <c r="C7" s="6"/>
    </row>
    <row r="8" spans="2:6" ht="15" customHeight="1" x14ac:dyDescent="0.3">
      <c r="B8" s="5" t="s">
        <v>11</v>
      </c>
      <c r="C8" s="6"/>
    </row>
    <row r="9" spans="2:6" ht="15" customHeight="1" x14ac:dyDescent="0.3">
      <c r="B9" s="5" t="s">
        <v>12</v>
      </c>
      <c r="C9" s="6"/>
    </row>
    <row r="10" spans="2:6" ht="15" customHeight="1" x14ac:dyDescent="0.3">
      <c r="B10" s="5" t="s">
        <v>13</v>
      </c>
      <c r="C10" s="6"/>
    </row>
    <row r="11" spans="2:6" ht="15" customHeight="1" x14ac:dyDescent="0.3">
      <c r="B11" s="5" t="s">
        <v>14</v>
      </c>
      <c r="C11" s="6"/>
    </row>
    <row r="12" spans="2:6" ht="15" customHeight="1" x14ac:dyDescent="0.3">
      <c r="B12" s="5" t="s">
        <v>15</v>
      </c>
      <c r="C12" s="6"/>
    </row>
    <row r="13" spans="2:6" ht="15" customHeight="1" x14ac:dyDescent="0.3">
      <c r="B13" s="5" t="s">
        <v>16</v>
      </c>
      <c r="C13" s="6"/>
    </row>
    <row r="14" spans="2:6" ht="15" customHeight="1" x14ac:dyDescent="0.3">
      <c r="B14" s="5" t="s">
        <v>17</v>
      </c>
      <c r="C14" s="6"/>
    </row>
    <row r="15" spans="2:6" ht="15" customHeight="1" x14ac:dyDescent="0.3">
      <c r="B15" s="5" t="s">
        <v>18</v>
      </c>
      <c r="C15" s="6"/>
    </row>
    <row r="16" spans="2:6" ht="15" customHeight="1" x14ac:dyDescent="0.3">
      <c r="B16" s="5" t="s">
        <v>19</v>
      </c>
      <c r="C16" s="6"/>
    </row>
    <row r="17" spans="2:3" ht="15" customHeight="1" x14ac:dyDescent="0.3">
      <c r="B17" s="5" t="s">
        <v>20</v>
      </c>
      <c r="C17" s="6"/>
    </row>
    <row r="18" spans="2:3" ht="15" customHeight="1" x14ac:dyDescent="0.3">
      <c r="B18" s="5" t="s">
        <v>21</v>
      </c>
      <c r="C18" s="6"/>
    </row>
    <row r="19" spans="2:3" ht="15" customHeight="1" x14ac:dyDescent="0.3">
      <c r="B19" s="5" t="s">
        <v>22</v>
      </c>
      <c r="C19" s="6"/>
    </row>
    <row r="20" spans="2:3" ht="15" customHeight="1" x14ac:dyDescent="0.3">
      <c r="B20" s="5" t="s">
        <v>23</v>
      </c>
      <c r="C20" s="6"/>
    </row>
    <row r="21" spans="2:3" ht="15" customHeight="1" x14ac:dyDescent="0.3">
      <c r="B21" s="5" t="s">
        <v>24</v>
      </c>
      <c r="C21" s="6"/>
    </row>
    <row r="22" spans="2:3" ht="15" customHeight="1" x14ac:dyDescent="0.3">
      <c r="B22" s="5" t="s">
        <v>25</v>
      </c>
      <c r="C22" s="6"/>
    </row>
    <row r="23" spans="2:3" ht="15" customHeight="1" x14ac:dyDescent="0.3">
      <c r="B23" s="5" t="s">
        <v>26</v>
      </c>
      <c r="C23" s="6"/>
    </row>
    <row r="24" spans="2:3" ht="15" customHeight="1" x14ac:dyDescent="0.3">
      <c r="B24" s="5" t="s">
        <v>27</v>
      </c>
      <c r="C24" s="6"/>
    </row>
    <row r="25" spans="2:3" ht="15" customHeight="1" x14ac:dyDescent="0.3">
      <c r="B25" s="5" t="s">
        <v>28</v>
      </c>
      <c r="C25" s="6"/>
    </row>
    <row r="26" spans="2:3" ht="15" customHeight="1" x14ac:dyDescent="0.3">
      <c r="B26" s="7" t="s">
        <v>29</v>
      </c>
      <c r="C26" s="8"/>
    </row>
    <row r="27" spans="2:3" ht="15" customHeight="1" x14ac:dyDescent="0.3"/>
    <row r="28" spans="2:3" ht="15" customHeight="1" x14ac:dyDescent="0.3">
      <c r="B28" s="4" t="s">
        <v>30</v>
      </c>
      <c r="C28" s="4" t="s">
        <v>31</v>
      </c>
    </row>
    <row r="29" spans="2:3" x14ac:dyDescent="0.3">
      <c r="B29" s="5" t="s">
        <v>32</v>
      </c>
      <c r="C29" s="6"/>
    </row>
    <row r="30" spans="2:3" ht="15" customHeight="1" x14ac:dyDescent="0.3">
      <c r="B30" s="5" t="s">
        <v>33</v>
      </c>
      <c r="C30" s="6"/>
    </row>
    <row r="31" spans="2:3" ht="15" customHeight="1" x14ac:dyDescent="0.3">
      <c r="B31" s="5" t="s">
        <v>34</v>
      </c>
      <c r="C31" s="6"/>
    </row>
    <row r="32" spans="2:3" ht="15" customHeight="1" x14ac:dyDescent="0.3">
      <c r="B32" s="5" t="s">
        <v>35</v>
      </c>
      <c r="C32" s="6"/>
    </row>
    <row r="33" spans="2:3" ht="15" customHeight="1" x14ac:dyDescent="0.3">
      <c r="B33" s="5" t="s">
        <v>36</v>
      </c>
      <c r="C33" s="6"/>
    </row>
    <row r="34" spans="2:3" ht="15" customHeight="1" x14ac:dyDescent="0.3">
      <c r="B34" s="5" t="s">
        <v>37</v>
      </c>
      <c r="C34" s="6"/>
    </row>
    <row r="35" spans="2:3" ht="15" customHeight="1" x14ac:dyDescent="0.3">
      <c r="B35" s="5" t="s">
        <v>38</v>
      </c>
      <c r="C35" s="6"/>
    </row>
    <row r="36" spans="2:3" ht="15" customHeight="1" x14ac:dyDescent="0.3">
      <c r="B36" s="7" t="s">
        <v>39</v>
      </c>
      <c r="C36" s="8"/>
    </row>
    <row r="37" spans="2:3" ht="15" customHeight="1" x14ac:dyDescent="0.3"/>
    <row r="38" spans="2:3" ht="15" customHeight="1" x14ac:dyDescent="0.3">
      <c r="B38" s="4" t="s">
        <v>40</v>
      </c>
      <c r="C38" s="9"/>
    </row>
    <row r="40" spans="2:3" ht="15" customHeight="1" x14ac:dyDescent="0.3">
      <c r="B40" s="10" t="s">
        <v>41</v>
      </c>
      <c r="C40" s="11"/>
    </row>
    <row r="41" spans="2:3" ht="15.6" customHeight="1" x14ac:dyDescent="0.3"/>
    <row r="42" spans="2:3" ht="15" customHeight="1" x14ac:dyDescent="0.3"/>
  </sheetData>
  <dataValidations count="1">
    <dataValidation type="list" sqref="C3" xr:uid="{00000000-0002-0000-0000-000000000000}">
      <formula1>"ABRIL/2026,MAIO/2026,JUNHO/2026,JULHO/2026,AGOSTO/2026"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49"/>
  <sheetViews>
    <sheetView zoomScaleNormal="100" workbookViewId="0">
      <pane ySplit="1" topLeftCell="A1313" activePane="bottomLeft" state="frozen"/>
      <selection pane="bottomLeft" activeCell="G1515" sqref="G1515"/>
    </sheetView>
  </sheetViews>
  <sheetFormatPr defaultColWidth="8.6640625" defaultRowHeight="14.4" x14ac:dyDescent="0.3"/>
  <cols>
    <col min="1" max="1" width="12" customWidth="1"/>
    <col min="2" max="2" width="35.6640625" customWidth="1"/>
    <col min="3" max="3" width="24.33203125" customWidth="1"/>
    <col min="4" max="4" width="10" customWidth="1"/>
    <col min="5" max="5" width="15.33203125" customWidth="1"/>
    <col min="6" max="6" width="14" customWidth="1"/>
    <col min="7" max="7" width="38.88671875" customWidth="1"/>
    <col min="8" max="8" width="12" customWidth="1"/>
    <col min="9" max="9" width="23.6640625" customWidth="1"/>
    <col min="10" max="10" width="16" customWidth="1"/>
    <col min="12" max="12" width="24" customWidth="1"/>
    <col min="13" max="13" width="16" customWidth="1"/>
  </cols>
  <sheetData>
    <row r="1" spans="1:13" ht="15" customHeight="1" x14ac:dyDescent="0.3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  <c r="H1" s="13" t="s">
        <v>49</v>
      </c>
      <c r="I1" s="13" t="s">
        <v>50</v>
      </c>
      <c r="J1" s="14" t="s">
        <v>51</v>
      </c>
      <c r="L1" s="3" t="s">
        <v>52</v>
      </c>
      <c r="M1" s="15"/>
    </row>
    <row r="2" spans="1:13" ht="15" hidden="1" customHeight="1" x14ac:dyDescent="0.3">
      <c r="A2" s="5" t="s">
        <v>3</v>
      </c>
      <c r="B2" s="5" t="s">
        <v>7</v>
      </c>
      <c r="C2" s="5" t="s">
        <v>53</v>
      </c>
      <c r="D2" s="5">
        <v>10</v>
      </c>
      <c r="E2" s="6">
        <v>33427.480000000003</v>
      </c>
      <c r="F2" s="6">
        <f>E2</f>
        <v>33427.480000000003</v>
      </c>
      <c r="G2" s="5"/>
      <c r="H2" s="34">
        <v>189453</v>
      </c>
      <c r="I2" s="5" t="s">
        <v>54</v>
      </c>
      <c r="J2" s="16">
        <f t="shared" ref="J2:J65" si="0">IFERROR(SUMIFS($F$2:$F$1749,$A$2:$A$1749,A2,$B$2:$B$1749,B2)/H2,"")</f>
        <v>0.18709840041413617</v>
      </c>
    </row>
    <row r="3" spans="1:13" ht="15" hidden="1" customHeight="1" x14ac:dyDescent="0.3">
      <c r="A3" s="5" t="s">
        <v>3</v>
      </c>
      <c r="B3" s="5" t="s">
        <v>7</v>
      </c>
      <c r="C3" s="5" t="s">
        <v>55</v>
      </c>
      <c r="D3" s="5">
        <v>10</v>
      </c>
      <c r="E3" s="6">
        <v>45.310244928992589</v>
      </c>
      <c r="F3" s="6">
        <f t="shared" ref="F3:F16" si="1">D3*E3</f>
        <v>453.10244928992586</v>
      </c>
      <c r="G3" s="5"/>
      <c r="H3" s="34">
        <v>189453</v>
      </c>
      <c r="I3" s="5" t="s">
        <v>54</v>
      </c>
      <c r="J3" s="16">
        <f t="shared" si="0"/>
        <v>0.18709840041413617</v>
      </c>
    </row>
    <row r="4" spans="1:13" ht="15" hidden="1" customHeight="1" x14ac:dyDescent="0.3">
      <c r="A4" s="5" t="s">
        <v>3</v>
      </c>
      <c r="B4" s="5" t="s">
        <v>7</v>
      </c>
      <c r="C4" s="5" t="s">
        <v>26</v>
      </c>
      <c r="D4" s="5">
        <v>10</v>
      </c>
      <c r="E4" s="6">
        <v>24.798867924528299</v>
      </c>
      <c r="F4" s="6">
        <f t="shared" si="1"/>
        <v>247.98867924528298</v>
      </c>
      <c r="G4" s="5"/>
      <c r="H4" s="34">
        <v>189453</v>
      </c>
      <c r="I4" s="5" t="s">
        <v>54</v>
      </c>
      <c r="J4" s="16">
        <f t="shared" si="0"/>
        <v>0.18709840041413617</v>
      </c>
    </row>
    <row r="5" spans="1:13" ht="15" hidden="1" customHeight="1" x14ac:dyDescent="0.3">
      <c r="A5" s="5" t="s">
        <v>3</v>
      </c>
      <c r="B5" s="5" t="s">
        <v>7</v>
      </c>
      <c r="C5" s="5" t="s">
        <v>14</v>
      </c>
      <c r="D5" s="5">
        <v>10</v>
      </c>
      <c r="E5" s="6">
        <v>40.668212512413113</v>
      </c>
      <c r="F5" s="6">
        <f t="shared" si="1"/>
        <v>406.68212512413112</v>
      </c>
      <c r="G5" s="5"/>
      <c r="H5" s="34">
        <v>189453</v>
      </c>
      <c r="I5" s="5" t="s">
        <v>54</v>
      </c>
      <c r="J5" s="16">
        <f t="shared" si="0"/>
        <v>0.18709840041413617</v>
      </c>
    </row>
    <row r="6" spans="1:13" ht="15" hidden="1" customHeight="1" x14ac:dyDescent="0.3">
      <c r="A6" s="5" t="s">
        <v>3</v>
      </c>
      <c r="B6" s="5" t="s">
        <v>7</v>
      </c>
      <c r="C6" s="5" t="s">
        <v>56</v>
      </c>
      <c r="D6" s="5">
        <v>10</v>
      </c>
      <c r="E6" s="6">
        <v>50</v>
      </c>
      <c r="F6" s="6">
        <f t="shared" si="1"/>
        <v>500</v>
      </c>
      <c r="G6" s="5"/>
      <c r="H6" s="34">
        <v>189453</v>
      </c>
      <c r="I6" s="5" t="s">
        <v>54</v>
      </c>
      <c r="J6" s="16">
        <f t="shared" si="0"/>
        <v>0.18709840041413617</v>
      </c>
    </row>
    <row r="7" spans="1:13" ht="15" hidden="1" customHeight="1" x14ac:dyDescent="0.3">
      <c r="A7" s="5" t="s">
        <v>3</v>
      </c>
      <c r="B7" s="5" t="s">
        <v>7</v>
      </c>
      <c r="C7" s="5" t="s">
        <v>57</v>
      </c>
      <c r="D7" s="5">
        <v>5</v>
      </c>
      <c r="E7" s="6">
        <v>30</v>
      </c>
      <c r="F7" s="6">
        <f t="shared" si="1"/>
        <v>150</v>
      </c>
      <c r="G7" s="5"/>
      <c r="H7" s="34">
        <v>189453</v>
      </c>
      <c r="I7" s="5" t="s">
        <v>54</v>
      </c>
      <c r="J7" s="16">
        <f t="shared" si="0"/>
        <v>0.18709840041413617</v>
      </c>
    </row>
    <row r="8" spans="1:13" ht="15" hidden="1" customHeight="1" x14ac:dyDescent="0.3">
      <c r="A8" s="5" t="s">
        <v>3</v>
      </c>
      <c r="B8" s="5" t="s">
        <v>7</v>
      </c>
      <c r="C8" s="5" t="s">
        <v>58</v>
      </c>
      <c r="D8" s="5">
        <v>10</v>
      </c>
      <c r="E8" s="6">
        <v>10.15</v>
      </c>
      <c r="F8" s="6">
        <f t="shared" si="1"/>
        <v>101.5</v>
      </c>
      <c r="G8" s="5"/>
      <c r="H8" s="34">
        <v>189453</v>
      </c>
      <c r="I8" s="5" t="s">
        <v>54</v>
      </c>
      <c r="J8" s="16">
        <f t="shared" si="0"/>
        <v>0.18709840041413617</v>
      </c>
    </row>
    <row r="9" spans="1:13" ht="15" hidden="1" customHeight="1" x14ac:dyDescent="0.3">
      <c r="A9" s="5" t="s">
        <v>3</v>
      </c>
      <c r="B9" s="5" t="s">
        <v>7</v>
      </c>
      <c r="C9" s="5" t="s">
        <v>59</v>
      </c>
      <c r="D9" s="5">
        <v>10</v>
      </c>
      <c r="E9" s="6">
        <v>2.92</v>
      </c>
      <c r="F9" s="6">
        <f t="shared" si="1"/>
        <v>29.2</v>
      </c>
      <c r="G9" s="5"/>
      <c r="H9" s="34">
        <v>189453</v>
      </c>
      <c r="I9" s="5" t="s">
        <v>54</v>
      </c>
      <c r="J9" s="16">
        <f t="shared" si="0"/>
        <v>0.18709840041413617</v>
      </c>
    </row>
    <row r="10" spans="1:13" ht="15" hidden="1" customHeight="1" x14ac:dyDescent="0.3">
      <c r="A10" s="5" t="s">
        <v>3</v>
      </c>
      <c r="B10" s="5" t="s">
        <v>7</v>
      </c>
      <c r="C10" s="5" t="s">
        <v>60</v>
      </c>
      <c r="D10" s="5">
        <v>0</v>
      </c>
      <c r="E10" s="6">
        <v>0</v>
      </c>
      <c r="F10" s="6">
        <f t="shared" si="1"/>
        <v>0</v>
      </c>
      <c r="G10" s="5"/>
      <c r="H10" s="34">
        <v>189453</v>
      </c>
      <c r="I10" s="5" t="s">
        <v>54</v>
      </c>
      <c r="J10" s="16">
        <f t="shared" si="0"/>
        <v>0.18709840041413617</v>
      </c>
    </row>
    <row r="11" spans="1:13" ht="15" hidden="1" customHeight="1" x14ac:dyDescent="0.3">
      <c r="A11" s="5" t="s">
        <v>3</v>
      </c>
      <c r="B11" s="5" t="s">
        <v>7</v>
      </c>
      <c r="C11" s="5" t="s">
        <v>61</v>
      </c>
      <c r="D11" s="5">
        <v>0</v>
      </c>
      <c r="E11" s="6">
        <v>0</v>
      </c>
      <c r="F11" s="6">
        <f t="shared" si="1"/>
        <v>0</v>
      </c>
      <c r="G11" s="5"/>
      <c r="H11" s="34">
        <v>189453</v>
      </c>
      <c r="I11" s="5" t="s">
        <v>54</v>
      </c>
      <c r="J11" s="16">
        <f t="shared" si="0"/>
        <v>0.18709840041413617</v>
      </c>
    </row>
    <row r="12" spans="1:13" ht="15" hidden="1" customHeight="1" x14ac:dyDescent="0.3">
      <c r="A12" s="5" t="s">
        <v>3</v>
      </c>
      <c r="B12" s="5" t="s">
        <v>7</v>
      </c>
      <c r="C12" s="5" t="s">
        <v>62</v>
      </c>
      <c r="D12" s="5">
        <v>0</v>
      </c>
      <c r="E12" s="6">
        <v>0</v>
      </c>
      <c r="F12" s="6">
        <f t="shared" si="1"/>
        <v>0</v>
      </c>
      <c r="G12" s="5"/>
      <c r="H12" s="34">
        <v>189453</v>
      </c>
      <c r="I12" s="5" t="s">
        <v>54</v>
      </c>
      <c r="J12" s="16">
        <f t="shared" si="0"/>
        <v>0.18709840041413617</v>
      </c>
    </row>
    <row r="13" spans="1:13" ht="15" hidden="1" customHeight="1" x14ac:dyDescent="0.3">
      <c r="A13" s="5" t="s">
        <v>3</v>
      </c>
      <c r="B13" s="5" t="s">
        <v>7</v>
      </c>
      <c r="C13" s="5" t="s">
        <v>63</v>
      </c>
      <c r="D13" s="5">
        <v>0</v>
      </c>
      <c r="E13" s="6">
        <v>0</v>
      </c>
      <c r="F13" s="6">
        <f t="shared" si="1"/>
        <v>0</v>
      </c>
      <c r="G13" s="5"/>
      <c r="H13" s="34">
        <v>189453</v>
      </c>
      <c r="I13" s="5" t="s">
        <v>54</v>
      </c>
      <c r="J13" s="16">
        <f t="shared" si="0"/>
        <v>0.18709840041413617</v>
      </c>
    </row>
    <row r="14" spans="1:13" ht="15" hidden="1" customHeight="1" x14ac:dyDescent="0.3">
      <c r="A14" s="5" t="s">
        <v>3</v>
      </c>
      <c r="B14" s="5" t="s">
        <v>7</v>
      </c>
      <c r="C14" s="5" t="s">
        <v>64</v>
      </c>
      <c r="D14" s="5">
        <v>1</v>
      </c>
      <c r="E14" s="6">
        <v>130.4</v>
      </c>
      <c r="F14" s="6">
        <f t="shared" si="1"/>
        <v>130.4</v>
      </c>
      <c r="G14" s="5" t="s">
        <v>65</v>
      </c>
      <c r="H14" s="34">
        <v>189453</v>
      </c>
      <c r="I14" s="5" t="s">
        <v>54</v>
      </c>
      <c r="J14" s="16">
        <f t="shared" si="0"/>
        <v>0.18709840041413617</v>
      </c>
    </row>
    <row r="15" spans="1:13" ht="15" hidden="1" customHeight="1" x14ac:dyDescent="0.3">
      <c r="A15" s="5" t="s">
        <v>3</v>
      </c>
      <c r="B15" s="5" t="s">
        <v>7</v>
      </c>
      <c r="C15" s="5" t="s">
        <v>66</v>
      </c>
      <c r="D15" s="5">
        <v>1</v>
      </c>
      <c r="E15" s="6">
        <v>0</v>
      </c>
      <c r="F15" s="6">
        <f t="shared" si="1"/>
        <v>0</v>
      </c>
      <c r="G15" s="5" t="s">
        <v>65</v>
      </c>
      <c r="H15" s="34">
        <v>189453</v>
      </c>
      <c r="I15" s="5" t="s">
        <v>54</v>
      </c>
      <c r="J15" s="16">
        <f t="shared" si="0"/>
        <v>0.18709840041413617</v>
      </c>
    </row>
    <row r="16" spans="1:13" ht="15" hidden="1" customHeight="1" x14ac:dyDescent="0.3">
      <c r="A16" s="5" t="s">
        <v>3</v>
      </c>
      <c r="B16" s="5" t="s">
        <v>7</v>
      </c>
      <c r="C16" s="5" t="s">
        <v>67</v>
      </c>
      <c r="D16" s="5">
        <v>0</v>
      </c>
      <c r="E16" s="6">
        <v>0</v>
      </c>
      <c r="F16" s="6">
        <f t="shared" si="1"/>
        <v>0</v>
      </c>
      <c r="G16" s="5"/>
      <c r="H16" s="34">
        <v>189453</v>
      </c>
      <c r="I16" s="5" t="s">
        <v>54</v>
      </c>
      <c r="J16" s="16">
        <f t="shared" si="0"/>
        <v>0.18709840041413617</v>
      </c>
    </row>
    <row r="17" spans="1:10" ht="15" hidden="1" customHeight="1" x14ac:dyDescent="0.3">
      <c r="A17" s="5" t="s">
        <v>3</v>
      </c>
      <c r="B17" s="5" t="s">
        <v>68</v>
      </c>
      <c r="C17" s="5" t="s">
        <v>53</v>
      </c>
      <c r="D17" s="5">
        <v>15</v>
      </c>
      <c r="E17" s="6">
        <v>73051.42</v>
      </c>
      <c r="F17" s="6">
        <f>E17</f>
        <v>73051.42</v>
      </c>
      <c r="G17" s="5"/>
      <c r="H17" s="34">
        <v>165302</v>
      </c>
      <c r="I17" s="5" t="s">
        <v>69</v>
      </c>
      <c r="J17" s="16">
        <f t="shared" si="0"/>
        <v>0.45770244691830109</v>
      </c>
    </row>
    <row r="18" spans="1:10" ht="15" hidden="1" customHeight="1" x14ac:dyDescent="0.3">
      <c r="A18" s="5" t="s">
        <v>3</v>
      </c>
      <c r="B18" s="5" t="s">
        <v>68</v>
      </c>
      <c r="C18" s="5" t="s">
        <v>55</v>
      </c>
      <c r="D18" s="5">
        <v>15</v>
      </c>
      <c r="E18" s="6">
        <v>45.310244928992589</v>
      </c>
      <c r="F18" s="6">
        <f t="shared" ref="F18:F32" si="2">D18*E18</f>
        <v>679.65367393488884</v>
      </c>
      <c r="G18" s="5"/>
      <c r="H18" s="34">
        <v>165302</v>
      </c>
      <c r="I18" s="5" t="s">
        <v>69</v>
      </c>
      <c r="J18" s="16">
        <f t="shared" si="0"/>
        <v>0.45770244691830109</v>
      </c>
    </row>
    <row r="19" spans="1:10" ht="15" hidden="1" customHeight="1" x14ac:dyDescent="0.3">
      <c r="A19" s="5" t="s">
        <v>3</v>
      </c>
      <c r="B19" s="5" t="s">
        <v>68</v>
      </c>
      <c r="C19" s="5" t="s">
        <v>26</v>
      </c>
      <c r="D19" s="5">
        <v>15</v>
      </c>
      <c r="E19" s="6">
        <v>24.798867924528299</v>
      </c>
      <c r="F19" s="6">
        <f t="shared" si="2"/>
        <v>371.9830188679245</v>
      </c>
      <c r="G19" s="5"/>
      <c r="H19" s="34">
        <v>165302</v>
      </c>
      <c r="I19" s="5" t="s">
        <v>69</v>
      </c>
      <c r="J19" s="16">
        <f t="shared" si="0"/>
        <v>0.45770244691830109</v>
      </c>
    </row>
    <row r="20" spans="1:10" ht="15" hidden="1" customHeight="1" x14ac:dyDescent="0.3">
      <c r="A20" s="5" t="s">
        <v>3</v>
      </c>
      <c r="B20" s="5" t="s">
        <v>68</v>
      </c>
      <c r="C20" s="5" t="s">
        <v>14</v>
      </c>
      <c r="D20" s="5">
        <v>15</v>
      </c>
      <c r="E20" s="6">
        <v>40.668212512413113</v>
      </c>
      <c r="F20" s="6">
        <f t="shared" si="2"/>
        <v>610.02318768619671</v>
      </c>
      <c r="G20" s="5"/>
      <c r="H20" s="34">
        <v>165302</v>
      </c>
      <c r="I20" s="5" t="s">
        <v>69</v>
      </c>
      <c r="J20" s="16">
        <f t="shared" si="0"/>
        <v>0.45770244691830109</v>
      </c>
    </row>
    <row r="21" spans="1:10" ht="15" hidden="1" customHeight="1" x14ac:dyDescent="0.3">
      <c r="A21" s="5" t="s">
        <v>3</v>
      </c>
      <c r="B21" s="5" t="s">
        <v>68</v>
      </c>
      <c r="C21" s="5" t="s">
        <v>56</v>
      </c>
      <c r="D21" s="5">
        <v>6</v>
      </c>
      <c r="E21" s="6">
        <v>50</v>
      </c>
      <c r="F21" s="6">
        <f t="shared" si="2"/>
        <v>300</v>
      </c>
      <c r="G21" s="5"/>
      <c r="H21" s="34">
        <v>165302</v>
      </c>
      <c r="I21" s="5" t="s">
        <v>69</v>
      </c>
      <c r="J21" s="16">
        <f t="shared" si="0"/>
        <v>0.45770244691830109</v>
      </c>
    </row>
    <row r="22" spans="1:10" ht="15" hidden="1" customHeight="1" x14ac:dyDescent="0.3">
      <c r="A22" s="5" t="s">
        <v>3</v>
      </c>
      <c r="B22" s="5" t="s">
        <v>68</v>
      </c>
      <c r="C22" s="5" t="s">
        <v>70</v>
      </c>
      <c r="D22" s="5">
        <v>0</v>
      </c>
      <c r="E22" s="6">
        <v>0</v>
      </c>
      <c r="F22" s="6">
        <f t="shared" si="2"/>
        <v>0</v>
      </c>
      <c r="G22" s="5"/>
      <c r="H22" s="34">
        <v>165302</v>
      </c>
      <c r="I22" s="5" t="s">
        <v>69</v>
      </c>
      <c r="J22" s="16">
        <f t="shared" si="0"/>
        <v>0.45770244691830109</v>
      </c>
    </row>
    <row r="23" spans="1:10" ht="15" hidden="1" customHeight="1" x14ac:dyDescent="0.3">
      <c r="A23" s="5" t="s">
        <v>3</v>
      </c>
      <c r="B23" s="5" t="s">
        <v>68</v>
      </c>
      <c r="C23" s="5" t="s">
        <v>71</v>
      </c>
      <c r="D23" s="5">
        <v>0</v>
      </c>
      <c r="E23" s="6">
        <v>0</v>
      </c>
      <c r="F23" s="6">
        <f t="shared" si="2"/>
        <v>0</v>
      </c>
      <c r="G23" s="5"/>
      <c r="H23" s="34">
        <v>165302</v>
      </c>
      <c r="I23" s="5" t="s">
        <v>69</v>
      </c>
      <c r="J23" s="16">
        <f t="shared" si="0"/>
        <v>0.45770244691830109</v>
      </c>
    </row>
    <row r="24" spans="1:10" ht="15" hidden="1" customHeight="1" x14ac:dyDescent="0.3">
      <c r="A24" s="5" t="s">
        <v>3</v>
      </c>
      <c r="B24" s="5" t="s">
        <v>68</v>
      </c>
      <c r="C24" s="5" t="s">
        <v>57</v>
      </c>
      <c r="D24" s="5">
        <v>15</v>
      </c>
      <c r="E24" s="6">
        <v>30</v>
      </c>
      <c r="F24" s="6">
        <f t="shared" si="2"/>
        <v>450</v>
      </c>
      <c r="G24" s="5"/>
      <c r="H24" s="34">
        <v>165302</v>
      </c>
      <c r="I24" s="5" t="s">
        <v>69</v>
      </c>
      <c r="J24" s="16">
        <f t="shared" si="0"/>
        <v>0.45770244691830109</v>
      </c>
    </row>
    <row r="25" spans="1:10" ht="15" hidden="1" customHeight="1" x14ac:dyDescent="0.3">
      <c r="A25" s="5" t="s">
        <v>3</v>
      </c>
      <c r="B25" s="5" t="s">
        <v>68</v>
      </c>
      <c r="C25" s="5" t="s">
        <v>72</v>
      </c>
      <c r="D25" s="5">
        <v>0</v>
      </c>
      <c r="E25" s="6">
        <v>0</v>
      </c>
      <c r="F25" s="6">
        <f t="shared" si="2"/>
        <v>0</v>
      </c>
      <c r="G25" s="5"/>
      <c r="H25" s="34">
        <v>165302</v>
      </c>
      <c r="I25" s="5" t="s">
        <v>69</v>
      </c>
      <c r="J25" s="16">
        <f t="shared" si="0"/>
        <v>0.45770244691830109</v>
      </c>
    </row>
    <row r="26" spans="1:10" ht="15" hidden="1" customHeight="1" x14ac:dyDescent="0.3">
      <c r="A26" s="5" t="s">
        <v>3</v>
      </c>
      <c r="B26" s="5" t="s">
        <v>68</v>
      </c>
      <c r="C26" s="5" t="s">
        <v>58</v>
      </c>
      <c r="D26" s="5">
        <v>15</v>
      </c>
      <c r="E26" s="6">
        <v>10.15</v>
      </c>
      <c r="F26" s="6">
        <f t="shared" si="2"/>
        <v>152.25</v>
      </c>
      <c r="G26" s="5"/>
      <c r="H26" s="34">
        <v>165302</v>
      </c>
      <c r="I26" s="5" t="s">
        <v>69</v>
      </c>
      <c r="J26" s="16">
        <f t="shared" si="0"/>
        <v>0.45770244691830109</v>
      </c>
    </row>
    <row r="27" spans="1:10" ht="15" hidden="1" customHeight="1" x14ac:dyDescent="0.3">
      <c r="A27" s="5" t="s">
        <v>3</v>
      </c>
      <c r="B27" s="5" t="s">
        <v>68</v>
      </c>
      <c r="C27" s="5" t="s">
        <v>59</v>
      </c>
      <c r="D27" s="5">
        <v>15</v>
      </c>
      <c r="E27" s="6">
        <v>2.92</v>
      </c>
      <c r="F27" s="6">
        <f t="shared" si="2"/>
        <v>43.8</v>
      </c>
      <c r="G27" s="5"/>
      <c r="H27" s="34">
        <v>165302</v>
      </c>
      <c r="I27" s="5" t="s">
        <v>69</v>
      </c>
      <c r="J27" s="16">
        <f t="shared" si="0"/>
        <v>0.45770244691830109</v>
      </c>
    </row>
    <row r="28" spans="1:10" ht="15" hidden="1" customHeight="1" x14ac:dyDescent="0.3">
      <c r="A28" s="5" t="s">
        <v>3</v>
      </c>
      <c r="B28" s="5" t="s">
        <v>68</v>
      </c>
      <c r="C28" s="5" t="s">
        <v>73</v>
      </c>
      <c r="D28" s="5">
        <v>0</v>
      </c>
      <c r="E28" s="6">
        <v>0</v>
      </c>
      <c r="F28" s="6">
        <f t="shared" si="2"/>
        <v>0</v>
      </c>
      <c r="G28" s="5"/>
      <c r="H28" s="34">
        <v>165302</v>
      </c>
      <c r="I28" s="5" t="s">
        <v>69</v>
      </c>
      <c r="J28" s="16">
        <f t="shared" si="0"/>
        <v>0.45770244691830109</v>
      </c>
    </row>
    <row r="29" spans="1:10" ht="15" hidden="1" customHeight="1" x14ac:dyDescent="0.3">
      <c r="A29" s="5" t="s">
        <v>3</v>
      </c>
      <c r="B29" s="5" t="s">
        <v>68</v>
      </c>
      <c r="C29" s="5" t="s">
        <v>74</v>
      </c>
      <c r="D29" s="5">
        <v>0</v>
      </c>
      <c r="E29" s="6">
        <v>0</v>
      </c>
      <c r="F29" s="6">
        <f t="shared" si="2"/>
        <v>0</v>
      </c>
      <c r="G29" s="5"/>
      <c r="H29" s="34">
        <v>165302</v>
      </c>
      <c r="I29" s="5" t="s">
        <v>69</v>
      </c>
      <c r="J29" s="16">
        <f t="shared" si="0"/>
        <v>0.45770244691830109</v>
      </c>
    </row>
    <row r="30" spans="1:10" ht="15" hidden="1" customHeight="1" x14ac:dyDescent="0.3">
      <c r="A30" s="5" t="s">
        <v>3</v>
      </c>
      <c r="B30" s="5" t="s">
        <v>68</v>
      </c>
      <c r="C30" s="5" t="s">
        <v>62</v>
      </c>
      <c r="D30" s="5">
        <v>0</v>
      </c>
      <c r="E30" s="6">
        <v>0</v>
      </c>
      <c r="F30" s="6">
        <f t="shared" si="2"/>
        <v>0</v>
      </c>
      <c r="G30" s="5"/>
      <c r="H30" s="34">
        <v>165302</v>
      </c>
      <c r="I30" s="5" t="s">
        <v>69</v>
      </c>
      <c r="J30" s="16">
        <f t="shared" si="0"/>
        <v>0.45770244691830109</v>
      </c>
    </row>
    <row r="31" spans="1:10" ht="15" hidden="1" customHeight="1" x14ac:dyDescent="0.3">
      <c r="A31" s="5" t="s">
        <v>3</v>
      </c>
      <c r="B31" s="5" t="s">
        <v>68</v>
      </c>
      <c r="C31" s="5" t="s">
        <v>75</v>
      </c>
      <c r="D31" s="5">
        <v>0</v>
      </c>
      <c r="E31" s="6">
        <v>0</v>
      </c>
      <c r="F31" s="6">
        <f t="shared" si="2"/>
        <v>0</v>
      </c>
      <c r="G31" s="5"/>
      <c r="H31" s="34">
        <v>165302</v>
      </c>
      <c r="I31" s="5" t="s">
        <v>69</v>
      </c>
      <c r="J31" s="16">
        <f t="shared" si="0"/>
        <v>0.45770244691830109</v>
      </c>
    </row>
    <row r="32" spans="1:10" ht="15" hidden="1" customHeight="1" x14ac:dyDescent="0.3">
      <c r="A32" s="5" t="s">
        <v>3</v>
      </c>
      <c r="B32" s="5" t="s">
        <v>68</v>
      </c>
      <c r="C32" s="5" t="s">
        <v>64</v>
      </c>
      <c r="D32" s="5">
        <v>0</v>
      </c>
      <c r="E32" s="6">
        <v>0</v>
      </c>
      <c r="F32" s="6">
        <f t="shared" si="2"/>
        <v>0</v>
      </c>
      <c r="G32" s="5"/>
      <c r="H32" s="34">
        <v>165302</v>
      </c>
      <c r="I32" s="5" t="s">
        <v>69</v>
      </c>
      <c r="J32" s="16">
        <f t="shared" si="0"/>
        <v>0.45770244691830109</v>
      </c>
    </row>
    <row r="33" spans="1:10" ht="15" hidden="1" customHeight="1" x14ac:dyDescent="0.3">
      <c r="A33" s="5" t="s">
        <v>3</v>
      </c>
      <c r="B33" s="5" t="s">
        <v>9</v>
      </c>
      <c r="C33" s="5" t="s">
        <v>53</v>
      </c>
      <c r="D33" s="5">
        <v>9</v>
      </c>
      <c r="E33" s="6">
        <v>88730.25</v>
      </c>
      <c r="F33" s="6">
        <f>E33</f>
        <v>88730.25</v>
      </c>
      <c r="G33" s="5"/>
      <c r="H33" s="34">
        <v>189453</v>
      </c>
      <c r="I33" s="5" t="s">
        <v>54</v>
      </c>
      <c r="J33" s="16">
        <f t="shared" si="0"/>
        <v>0.52393984749934497</v>
      </c>
    </row>
    <row r="34" spans="1:10" ht="15" hidden="1" customHeight="1" x14ac:dyDescent="0.3">
      <c r="A34" s="5" t="s">
        <v>3</v>
      </c>
      <c r="B34" s="5" t="s">
        <v>9</v>
      </c>
      <c r="C34" s="5" t="s">
        <v>55</v>
      </c>
      <c r="D34" s="5">
        <v>9</v>
      </c>
      <c r="E34" s="6">
        <v>45.310244928992589</v>
      </c>
      <c r="F34" s="6">
        <f t="shared" ref="F34:F53" si="3">D34*E34</f>
        <v>407.79220436093328</v>
      </c>
      <c r="G34" s="5"/>
      <c r="H34" s="34">
        <v>189453</v>
      </c>
      <c r="I34" s="5" t="s">
        <v>54</v>
      </c>
      <c r="J34" s="16">
        <f t="shared" si="0"/>
        <v>0.52393984749934497</v>
      </c>
    </row>
    <row r="35" spans="1:10" ht="15" hidden="1" customHeight="1" x14ac:dyDescent="0.3">
      <c r="A35" s="5" t="s">
        <v>3</v>
      </c>
      <c r="B35" s="5" t="s">
        <v>9</v>
      </c>
      <c r="C35" s="5" t="s">
        <v>26</v>
      </c>
      <c r="D35" s="5">
        <v>9</v>
      </c>
      <c r="E35" s="6">
        <v>24.798867924528299</v>
      </c>
      <c r="F35" s="6">
        <f t="shared" si="3"/>
        <v>223.1898113207547</v>
      </c>
      <c r="G35" s="5"/>
      <c r="H35" s="34">
        <v>189453</v>
      </c>
      <c r="I35" s="5" t="s">
        <v>54</v>
      </c>
      <c r="J35" s="16">
        <f t="shared" si="0"/>
        <v>0.52393984749934497</v>
      </c>
    </row>
    <row r="36" spans="1:10" ht="15" hidden="1" customHeight="1" x14ac:dyDescent="0.3">
      <c r="A36" s="5" t="s">
        <v>3</v>
      </c>
      <c r="B36" s="5" t="s">
        <v>9</v>
      </c>
      <c r="C36" s="5" t="s">
        <v>14</v>
      </c>
      <c r="D36" s="5">
        <v>9</v>
      </c>
      <c r="E36" s="6">
        <v>40.668212512413113</v>
      </c>
      <c r="F36" s="6">
        <f t="shared" si="3"/>
        <v>366.01391261171801</v>
      </c>
      <c r="G36" s="5"/>
      <c r="H36" s="34">
        <v>189453</v>
      </c>
      <c r="I36" s="5" t="s">
        <v>54</v>
      </c>
      <c r="J36" s="16">
        <f t="shared" si="0"/>
        <v>0.52393984749934497</v>
      </c>
    </row>
    <row r="37" spans="1:10" ht="15" hidden="1" customHeight="1" x14ac:dyDescent="0.3">
      <c r="A37" s="5" t="s">
        <v>3</v>
      </c>
      <c r="B37" s="5" t="s">
        <v>9</v>
      </c>
      <c r="C37" s="5" t="s">
        <v>56</v>
      </c>
      <c r="D37" s="5">
        <v>9</v>
      </c>
      <c r="E37" s="6">
        <v>50</v>
      </c>
      <c r="F37" s="6">
        <f t="shared" si="3"/>
        <v>450</v>
      </c>
      <c r="G37" s="5"/>
      <c r="H37" s="34">
        <v>189453</v>
      </c>
      <c r="I37" s="5" t="s">
        <v>54</v>
      </c>
      <c r="J37" s="16">
        <f t="shared" si="0"/>
        <v>0.52393984749934497</v>
      </c>
    </row>
    <row r="38" spans="1:10" ht="15" hidden="1" customHeight="1" x14ac:dyDescent="0.3">
      <c r="A38" s="5" t="s">
        <v>3</v>
      </c>
      <c r="B38" s="5" t="s">
        <v>9</v>
      </c>
      <c r="C38" s="5" t="s">
        <v>76</v>
      </c>
      <c r="D38" s="5">
        <v>0</v>
      </c>
      <c r="E38" s="6">
        <v>0</v>
      </c>
      <c r="F38" s="6">
        <f t="shared" si="3"/>
        <v>0</v>
      </c>
      <c r="G38" s="5"/>
      <c r="H38" s="34">
        <v>189453</v>
      </c>
      <c r="I38" s="5" t="s">
        <v>54</v>
      </c>
      <c r="J38" s="16">
        <f t="shared" si="0"/>
        <v>0.52393984749934497</v>
      </c>
    </row>
    <row r="39" spans="1:10" ht="15" hidden="1" customHeight="1" x14ac:dyDescent="0.3">
      <c r="A39" s="5" t="s">
        <v>3</v>
      </c>
      <c r="B39" s="5" t="s">
        <v>9</v>
      </c>
      <c r="C39" s="5" t="s">
        <v>57</v>
      </c>
      <c r="D39" s="5">
        <v>7</v>
      </c>
      <c r="E39" s="6">
        <v>30</v>
      </c>
      <c r="F39" s="6">
        <f t="shared" si="3"/>
        <v>210</v>
      </c>
      <c r="G39" s="5"/>
      <c r="H39" s="34">
        <v>189453</v>
      </c>
      <c r="I39" s="5" t="s">
        <v>54</v>
      </c>
      <c r="J39" s="16">
        <f t="shared" si="0"/>
        <v>0.52393984749934497</v>
      </c>
    </row>
    <row r="40" spans="1:10" ht="15" hidden="1" customHeight="1" x14ac:dyDescent="0.3">
      <c r="A40" s="5" t="s">
        <v>3</v>
      </c>
      <c r="B40" s="5" t="s">
        <v>9</v>
      </c>
      <c r="C40" s="5" t="s">
        <v>58</v>
      </c>
      <c r="D40" s="5">
        <v>9</v>
      </c>
      <c r="E40" s="6">
        <v>10.15</v>
      </c>
      <c r="F40" s="6">
        <f t="shared" si="3"/>
        <v>91.350000000000009</v>
      </c>
      <c r="G40" s="5"/>
      <c r="H40" s="34">
        <v>189453</v>
      </c>
      <c r="I40" s="5" t="s">
        <v>54</v>
      </c>
      <c r="J40" s="16">
        <f t="shared" si="0"/>
        <v>0.52393984749934497</v>
      </c>
    </row>
    <row r="41" spans="1:10" ht="15" hidden="1" customHeight="1" x14ac:dyDescent="0.3">
      <c r="A41" s="5" t="s">
        <v>3</v>
      </c>
      <c r="B41" s="5" t="s">
        <v>9</v>
      </c>
      <c r="C41" s="5" t="s">
        <v>59</v>
      </c>
      <c r="D41" s="5">
        <v>9</v>
      </c>
      <c r="E41" s="6">
        <v>2.92</v>
      </c>
      <c r="F41" s="6">
        <f t="shared" si="3"/>
        <v>26.28</v>
      </c>
      <c r="G41" s="5"/>
      <c r="H41" s="34">
        <v>189453</v>
      </c>
      <c r="I41" s="5" t="s">
        <v>54</v>
      </c>
      <c r="J41" s="16">
        <f t="shared" si="0"/>
        <v>0.52393984749934497</v>
      </c>
    </row>
    <row r="42" spans="1:10" ht="15" hidden="1" customHeight="1" x14ac:dyDescent="0.3">
      <c r="A42" s="5" t="s">
        <v>3</v>
      </c>
      <c r="B42" s="5" t="s">
        <v>9</v>
      </c>
      <c r="C42" s="5" t="s">
        <v>60</v>
      </c>
      <c r="D42" s="5">
        <v>0</v>
      </c>
      <c r="E42" s="6">
        <v>0</v>
      </c>
      <c r="F42" s="6">
        <f t="shared" si="3"/>
        <v>0</v>
      </c>
      <c r="G42" s="5"/>
      <c r="H42" s="34">
        <v>189453</v>
      </c>
      <c r="I42" s="5" t="s">
        <v>54</v>
      </c>
      <c r="J42" s="16">
        <f t="shared" si="0"/>
        <v>0.52393984749934497</v>
      </c>
    </row>
    <row r="43" spans="1:10" ht="15" hidden="1" customHeight="1" x14ac:dyDescent="0.3">
      <c r="A43" s="5" t="s">
        <v>3</v>
      </c>
      <c r="B43" s="5" t="s">
        <v>9</v>
      </c>
      <c r="C43" s="5" t="s">
        <v>61</v>
      </c>
      <c r="D43" s="5">
        <v>2</v>
      </c>
      <c r="E43" s="6">
        <v>68</v>
      </c>
      <c r="F43" s="6">
        <f t="shared" si="3"/>
        <v>136</v>
      </c>
      <c r="G43" s="5"/>
      <c r="H43" s="34">
        <v>189453</v>
      </c>
      <c r="I43" s="5" t="s">
        <v>54</v>
      </c>
      <c r="J43" s="16">
        <f t="shared" si="0"/>
        <v>0.52393984749934497</v>
      </c>
    </row>
    <row r="44" spans="1:10" ht="15" hidden="1" customHeight="1" x14ac:dyDescent="0.3">
      <c r="A44" s="5" t="s">
        <v>3</v>
      </c>
      <c r="B44" s="5" t="s">
        <v>9</v>
      </c>
      <c r="C44" s="5" t="s">
        <v>62</v>
      </c>
      <c r="D44" s="5">
        <v>4</v>
      </c>
      <c r="E44" s="6">
        <v>68</v>
      </c>
      <c r="F44" s="6">
        <f t="shared" si="3"/>
        <v>272</v>
      </c>
      <c r="G44" s="5"/>
      <c r="H44" s="34">
        <v>189453</v>
      </c>
      <c r="I44" s="5" t="s">
        <v>54</v>
      </c>
      <c r="J44" s="16">
        <f t="shared" si="0"/>
        <v>0.52393984749934497</v>
      </c>
    </row>
    <row r="45" spans="1:10" ht="15" hidden="1" customHeight="1" x14ac:dyDescent="0.3">
      <c r="A45" s="5" t="s">
        <v>3</v>
      </c>
      <c r="B45" s="5" t="s">
        <v>9</v>
      </c>
      <c r="C45" s="5" t="s">
        <v>63</v>
      </c>
      <c r="D45" s="5">
        <v>0</v>
      </c>
      <c r="E45" s="6">
        <v>0</v>
      </c>
      <c r="F45" s="6">
        <f t="shared" si="3"/>
        <v>0</v>
      </c>
      <c r="G45" s="5"/>
      <c r="H45" s="34">
        <v>189453</v>
      </c>
      <c r="I45" s="5" t="s">
        <v>54</v>
      </c>
      <c r="J45" s="16">
        <f t="shared" si="0"/>
        <v>0.52393984749934497</v>
      </c>
    </row>
    <row r="46" spans="1:10" ht="15" hidden="1" customHeight="1" x14ac:dyDescent="0.3">
      <c r="A46" s="5" t="s">
        <v>3</v>
      </c>
      <c r="B46" s="5" t="s">
        <v>9</v>
      </c>
      <c r="C46" s="5" t="s">
        <v>64</v>
      </c>
      <c r="D46" s="5">
        <v>0</v>
      </c>
      <c r="E46" s="6">
        <v>0</v>
      </c>
      <c r="F46" s="6">
        <f t="shared" si="3"/>
        <v>0</v>
      </c>
      <c r="G46" s="5"/>
      <c r="H46" s="34">
        <v>189453</v>
      </c>
      <c r="I46" s="5" t="s">
        <v>54</v>
      </c>
      <c r="J46" s="16">
        <f t="shared" si="0"/>
        <v>0.52393984749934497</v>
      </c>
    </row>
    <row r="47" spans="1:10" ht="15" hidden="1" customHeight="1" x14ac:dyDescent="0.3">
      <c r="A47" s="5" t="s">
        <v>3</v>
      </c>
      <c r="B47" s="5" t="s">
        <v>9</v>
      </c>
      <c r="C47" s="5" t="s">
        <v>66</v>
      </c>
      <c r="D47" s="5">
        <v>0</v>
      </c>
      <c r="E47" s="6">
        <v>0</v>
      </c>
      <c r="F47" s="6">
        <f t="shared" si="3"/>
        <v>0</v>
      </c>
      <c r="G47" s="5"/>
      <c r="H47" s="34">
        <v>189453</v>
      </c>
      <c r="I47" s="5" t="s">
        <v>54</v>
      </c>
      <c r="J47" s="16">
        <f t="shared" si="0"/>
        <v>0.52393984749934497</v>
      </c>
    </row>
    <row r="48" spans="1:10" ht="15" hidden="1" customHeight="1" x14ac:dyDescent="0.3">
      <c r="A48" s="5" t="s">
        <v>3</v>
      </c>
      <c r="B48" s="5" t="s">
        <v>9</v>
      </c>
      <c r="C48" s="5" t="s">
        <v>67</v>
      </c>
      <c r="D48" s="5">
        <v>0</v>
      </c>
      <c r="E48" s="6">
        <v>0</v>
      </c>
      <c r="F48" s="6">
        <f t="shared" si="3"/>
        <v>0</v>
      </c>
      <c r="G48" s="5"/>
      <c r="H48" s="34">
        <v>189453</v>
      </c>
      <c r="I48" s="5" t="s">
        <v>54</v>
      </c>
      <c r="J48" s="16">
        <f t="shared" si="0"/>
        <v>0.52393984749934497</v>
      </c>
    </row>
    <row r="49" spans="1:10" ht="15" hidden="1" customHeight="1" x14ac:dyDescent="0.3">
      <c r="A49" s="5" t="s">
        <v>3</v>
      </c>
      <c r="B49" s="5" t="s">
        <v>9</v>
      </c>
      <c r="C49" s="5" t="s">
        <v>77</v>
      </c>
      <c r="D49" s="5">
        <v>1</v>
      </c>
      <c r="E49" s="6">
        <v>2997</v>
      </c>
      <c r="F49" s="6">
        <f t="shared" si="3"/>
        <v>2997</v>
      </c>
      <c r="G49" s="5"/>
      <c r="H49" s="34">
        <v>189453</v>
      </c>
      <c r="I49" s="5" t="s">
        <v>54</v>
      </c>
      <c r="J49" s="16">
        <f t="shared" si="0"/>
        <v>0.52393984749934497</v>
      </c>
    </row>
    <row r="50" spans="1:10" ht="15" hidden="1" customHeight="1" x14ac:dyDescent="0.3">
      <c r="A50" s="5" t="s">
        <v>3</v>
      </c>
      <c r="B50" s="5" t="s">
        <v>9</v>
      </c>
      <c r="C50" s="5" t="s">
        <v>78</v>
      </c>
      <c r="D50" s="5">
        <v>1</v>
      </c>
      <c r="E50" s="6">
        <v>522.66</v>
      </c>
      <c r="F50" s="6">
        <f t="shared" si="3"/>
        <v>522.66</v>
      </c>
      <c r="G50" s="5"/>
      <c r="H50" s="34">
        <v>189453</v>
      </c>
      <c r="I50" s="5" t="s">
        <v>54</v>
      </c>
      <c r="J50" s="16">
        <f t="shared" si="0"/>
        <v>0.52393984749934497</v>
      </c>
    </row>
    <row r="51" spans="1:10" ht="15" hidden="1" customHeight="1" x14ac:dyDescent="0.3">
      <c r="A51" s="5" t="s">
        <v>3</v>
      </c>
      <c r="B51" s="5" t="s">
        <v>9</v>
      </c>
      <c r="C51" s="5" t="s">
        <v>79</v>
      </c>
      <c r="D51" s="5">
        <v>1</v>
      </c>
      <c r="E51" s="6">
        <v>1787.09</v>
      </c>
      <c r="F51" s="6">
        <f t="shared" si="3"/>
        <v>1787.09</v>
      </c>
      <c r="G51" s="5"/>
      <c r="H51" s="34">
        <v>189453</v>
      </c>
      <c r="I51" s="5" t="s">
        <v>54</v>
      </c>
      <c r="J51" s="16">
        <f t="shared" si="0"/>
        <v>0.52393984749934497</v>
      </c>
    </row>
    <row r="52" spans="1:10" ht="15" hidden="1" customHeight="1" x14ac:dyDescent="0.3">
      <c r="A52" s="5" t="s">
        <v>3</v>
      </c>
      <c r="B52" s="5" t="s">
        <v>9</v>
      </c>
      <c r="C52" s="5" t="s">
        <v>80</v>
      </c>
      <c r="D52" s="5">
        <v>1</v>
      </c>
      <c r="E52" s="6">
        <v>3042.35</v>
      </c>
      <c r="F52" s="6">
        <f t="shared" si="3"/>
        <v>3042.35</v>
      </c>
      <c r="G52" s="5"/>
      <c r="H52" s="34">
        <v>189453</v>
      </c>
      <c r="I52" s="5" t="s">
        <v>54</v>
      </c>
      <c r="J52" s="16">
        <f t="shared" si="0"/>
        <v>0.52393984749934497</v>
      </c>
    </row>
    <row r="53" spans="1:10" ht="15" hidden="1" customHeight="1" x14ac:dyDescent="0.3">
      <c r="A53" s="5" t="s">
        <v>3</v>
      </c>
      <c r="B53" s="5" t="s">
        <v>9</v>
      </c>
      <c r="C53" s="5" t="s">
        <v>81</v>
      </c>
      <c r="D53" s="5">
        <v>0</v>
      </c>
      <c r="E53" s="6">
        <v>0</v>
      </c>
      <c r="F53" s="6">
        <f t="shared" si="3"/>
        <v>0</v>
      </c>
      <c r="G53" s="5"/>
      <c r="H53" s="34">
        <v>189453</v>
      </c>
      <c r="I53" s="5" t="s">
        <v>54</v>
      </c>
      <c r="J53" s="16">
        <f t="shared" si="0"/>
        <v>0.52393984749934497</v>
      </c>
    </row>
    <row r="54" spans="1:10" ht="15" hidden="1" customHeight="1" x14ac:dyDescent="0.3">
      <c r="A54" s="5" t="s">
        <v>3</v>
      </c>
      <c r="B54" s="5" t="s">
        <v>10</v>
      </c>
      <c r="C54" s="5" t="s">
        <v>53</v>
      </c>
      <c r="D54" s="5">
        <v>4</v>
      </c>
      <c r="E54" s="6">
        <v>16347.84</v>
      </c>
      <c r="F54" s="6">
        <f>E54</f>
        <v>16347.84</v>
      </c>
      <c r="G54" s="5"/>
      <c r="H54" s="34">
        <v>176152</v>
      </c>
      <c r="I54" s="5" t="s">
        <v>82</v>
      </c>
      <c r="J54" s="16">
        <f t="shared" si="0"/>
        <v>9.7017231149596567E-2</v>
      </c>
    </row>
    <row r="55" spans="1:10" ht="15" hidden="1" customHeight="1" x14ac:dyDescent="0.3">
      <c r="A55" s="5" t="s">
        <v>3</v>
      </c>
      <c r="B55" s="5" t="s">
        <v>10</v>
      </c>
      <c r="C55" s="5" t="s">
        <v>55</v>
      </c>
      <c r="D55" s="5">
        <v>4</v>
      </c>
      <c r="E55" s="6">
        <v>45.310244928992589</v>
      </c>
      <c r="F55" s="6">
        <f t="shared" ref="F55:F73" si="4">D55*E55</f>
        <v>181.24097971597035</v>
      </c>
      <c r="G55" s="5"/>
      <c r="H55" s="34">
        <v>176152</v>
      </c>
      <c r="I55" s="5" t="s">
        <v>82</v>
      </c>
      <c r="J55" s="16">
        <f t="shared" si="0"/>
        <v>9.7017231149596567E-2</v>
      </c>
    </row>
    <row r="56" spans="1:10" ht="15" hidden="1" customHeight="1" x14ac:dyDescent="0.3">
      <c r="A56" s="5" t="s">
        <v>3</v>
      </c>
      <c r="B56" s="5" t="s">
        <v>10</v>
      </c>
      <c r="C56" s="5" t="s">
        <v>26</v>
      </c>
      <c r="D56" s="5">
        <v>4</v>
      </c>
      <c r="E56" s="6">
        <v>24.798867924528299</v>
      </c>
      <c r="F56" s="6">
        <f t="shared" si="4"/>
        <v>99.195471698113195</v>
      </c>
      <c r="G56" s="5"/>
      <c r="H56" s="34">
        <v>176152</v>
      </c>
      <c r="I56" s="5" t="s">
        <v>82</v>
      </c>
      <c r="J56" s="16">
        <f t="shared" si="0"/>
        <v>9.7017231149596567E-2</v>
      </c>
    </row>
    <row r="57" spans="1:10" ht="15" hidden="1" customHeight="1" x14ac:dyDescent="0.3">
      <c r="A57" s="5" t="s">
        <v>3</v>
      </c>
      <c r="B57" s="5" t="s">
        <v>10</v>
      </c>
      <c r="C57" s="5" t="s">
        <v>14</v>
      </c>
      <c r="D57" s="5">
        <v>4</v>
      </c>
      <c r="E57" s="6">
        <v>40.668212512413113</v>
      </c>
      <c r="F57" s="6">
        <f t="shared" si="4"/>
        <v>162.67285004965245</v>
      </c>
      <c r="G57" s="5"/>
      <c r="H57" s="34">
        <v>176152</v>
      </c>
      <c r="I57" s="5" t="s">
        <v>82</v>
      </c>
      <c r="J57" s="16">
        <f t="shared" si="0"/>
        <v>9.7017231149596567E-2</v>
      </c>
    </row>
    <row r="58" spans="1:10" ht="15" hidden="1" customHeight="1" x14ac:dyDescent="0.3">
      <c r="A58" s="5" t="s">
        <v>3</v>
      </c>
      <c r="B58" s="5" t="s">
        <v>10</v>
      </c>
      <c r="C58" s="5" t="s">
        <v>56</v>
      </c>
      <c r="D58" s="5">
        <v>4</v>
      </c>
      <c r="E58" s="6">
        <v>28</v>
      </c>
      <c r="F58" s="6">
        <f t="shared" si="4"/>
        <v>112</v>
      </c>
      <c r="G58" s="5"/>
      <c r="H58" s="34">
        <v>176152</v>
      </c>
      <c r="I58" s="5" t="s">
        <v>82</v>
      </c>
      <c r="J58" s="16">
        <f t="shared" si="0"/>
        <v>9.7017231149596567E-2</v>
      </c>
    </row>
    <row r="59" spans="1:10" ht="15" hidden="1" customHeight="1" x14ac:dyDescent="0.3">
      <c r="A59" s="5" t="s">
        <v>3</v>
      </c>
      <c r="B59" s="5" t="s">
        <v>10</v>
      </c>
      <c r="C59" s="5" t="s">
        <v>70</v>
      </c>
      <c r="D59" s="5">
        <v>0</v>
      </c>
      <c r="E59" s="6">
        <v>0</v>
      </c>
      <c r="F59" s="6">
        <f t="shared" si="4"/>
        <v>0</v>
      </c>
      <c r="G59" s="5"/>
      <c r="H59" s="34">
        <v>176152</v>
      </c>
      <c r="I59" s="5" t="s">
        <v>82</v>
      </c>
      <c r="J59" s="16">
        <f t="shared" si="0"/>
        <v>9.7017231149596567E-2</v>
      </c>
    </row>
    <row r="60" spans="1:10" ht="15" hidden="1" customHeight="1" x14ac:dyDescent="0.3">
      <c r="A60" s="5" t="s">
        <v>3</v>
      </c>
      <c r="B60" s="5" t="s">
        <v>10</v>
      </c>
      <c r="C60" s="5" t="s">
        <v>57</v>
      </c>
      <c r="D60" s="5">
        <v>0</v>
      </c>
      <c r="E60" s="6">
        <v>0</v>
      </c>
      <c r="F60" s="6">
        <f t="shared" si="4"/>
        <v>0</v>
      </c>
      <c r="G60" s="5"/>
      <c r="H60" s="34">
        <v>176152</v>
      </c>
      <c r="I60" s="5" t="s">
        <v>82</v>
      </c>
      <c r="J60" s="16">
        <f t="shared" si="0"/>
        <v>9.7017231149596567E-2</v>
      </c>
    </row>
    <row r="61" spans="1:10" ht="15" hidden="1" customHeight="1" x14ac:dyDescent="0.3">
      <c r="A61" s="5" t="s">
        <v>3</v>
      </c>
      <c r="B61" s="5" t="s">
        <v>10</v>
      </c>
      <c r="C61" s="5" t="s">
        <v>71</v>
      </c>
      <c r="D61" s="5">
        <v>1</v>
      </c>
      <c r="E61" s="6">
        <v>40.520000000000003</v>
      </c>
      <c r="F61" s="6">
        <f t="shared" si="4"/>
        <v>40.520000000000003</v>
      </c>
      <c r="G61" s="5"/>
      <c r="H61" s="34">
        <v>176152</v>
      </c>
      <c r="I61" s="5" t="s">
        <v>82</v>
      </c>
      <c r="J61" s="16">
        <f t="shared" si="0"/>
        <v>9.7017231149596567E-2</v>
      </c>
    </row>
    <row r="62" spans="1:10" ht="15" hidden="1" customHeight="1" x14ac:dyDescent="0.3">
      <c r="A62" s="5" t="s">
        <v>3</v>
      </c>
      <c r="B62" s="5" t="s">
        <v>10</v>
      </c>
      <c r="C62" s="5" t="s">
        <v>72</v>
      </c>
      <c r="D62" s="5">
        <v>1</v>
      </c>
      <c r="E62" s="6">
        <v>25.6</v>
      </c>
      <c r="F62" s="6">
        <f t="shared" si="4"/>
        <v>25.6</v>
      </c>
      <c r="G62" s="5"/>
      <c r="H62" s="34">
        <v>176152</v>
      </c>
      <c r="I62" s="5" t="s">
        <v>82</v>
      </c>
      <c r="J62" s="16">
        <f t="shared" si="0"/>
        <v>9.7017231149596567E-2</v>
      </c>
    </row>
    <row r="63" spans="1:10" ht="15" hidden="1" customHeight="1" x14ac:dyDescent="0.3">
      <c r="A63" s="5" t="s">
        <v>3</v>
      </c>
      <c r="B63" s="5" t="s">
        <v>10</v>
      </c>
      <c r="C63" s="5" t="s">
        <v>58</v>
      </c>
      <c r="D63" s="5">
        <v>4</v>
      </c>
      <c r="E63" s="6">
        <v>10.15</v>
      </c>
      <c r="F63" s="6">
        <f t="shared" si="4"/>
        <v>40.6</v>
      </c>
      <c r="G63" s="5"/>
      <c r="H63" s="34">
        <v>176152</v>
      </c>
      <c r="I63" s="5" t="s">
        <v>82</v>
      </c>
      <c r="J63" s="16">
        <f t="shared" si="0"/>
        <v>9.7017231149596567E-2</v>
      </c>
    </row>
    <row r="64" spans="1:10" ht="15" hidden="1" customHeight="1" x14ac:dyDescent="0.3">
      <c r="A64" s="5" t="s">
        <v>3</v>
      </c>
      <c r="B64" s="5" t="s">
        <v>10</v>
      </c>
      <c r="C64" s="5" t="s">
        <v>59</v>
      </c>
      <c r="D64" s="5">
        <v>4</v>
      </c>
      <c r="E64" s="6">
        <v>2.92</v>
      </c>
      <c r="F64" s="6">
        <f t="shared" si="4"/>
        <v>11.68</v>
      </c>
      <c r="G64" s="5"/>
      <c r="H64" s="34">
        <v>176152</v>
      </c>
      <c r="I64" s="5" t="s">
        <v>82</v>
      </c>
      <c r="J64" s="16">
        <f t="shared" si="0"/>
        <v>9.7017231149596567E-2</v>
      </c>
    </row>
    <row r="65" spans="1:10" ht="15" hidden="1" customHeight="1" x14ac:dyDescent="0.3">
      <c r="A65" s="5" t="s">
        <v>3</v>
      </c>
      <c r="B65" s="5" t="s">
        <v>10</v>
      </c>
      <c r="C65" s="5" t="s">
        <v>74</v>
      </c>
      <c r="D65" s="5">
        <v>0</v>
      </c>
      <c r="E65" s="6">
        <v>0</v>
      </c>
      <c r="F65" s="6">
        <f t="shared" si="4"/>
        <v>0</v>
      </c>
      <c r="G65" s="5"/>
      <c r="H65" s="34">
        <v>176152</v>
      </c>
      <c r="I65" s="5" t="s">
        <v>82</v>
      </c>
      <c r="J65" s="16">
        <f t="shared" si="0"/>
        <v>9.7017231149596567E-2</v>
      </c>
    </row>
    <row r="66" spans="1:10" ht="15" hidden="1" customHeight="1" x14ac:dyDescent="0.3">
      <c r="A66" s="5" t="s">
        <v>3</v>
      </c>
      <c r="B66" s="5" t="s">
        <v>10</v>
      </c>
      <c r="C66" s="5" t="s">
        <v>62</v>
      </c>
      <c r="D66" s="5">
        <v>0</v>
      </c>
      <c r="E66" s="6">
        <v>0</v>
      </c>
      <c r="F66" s="6">
        <f t="shared" si="4"/>
        <v>0</v>
      </c>
      <c r="G66" s="5"/>
      <c r="H66" s="34">
        <v>176152</v>
      </c>
      <c r="I66" s="5" t="s">
        <v>82</v>
      </c>
      <c r="J66" s="16">
        <f t="shared" ref="J66:J129" si="5">IFERROR(SUMIFS($F$2:$F$1749,$A$2:$A$1749,A66,$B$2:$B$1749,B66)/H66,"")</f>
        <v>9.7017231149596567E-2</v>
      </c>
    </row>
    <row r="67" spans="1:10" ht="15" hidden="1" customHeight="1" x14ac:dyDescent="0.3">
      <c r="A67" s="5" t="s">
        <v>3</v>
      </c>
      <c r="B67" s="5" t="s">
        <v>10</v>
      </c>
      <c r="C67" s="5" t="s">
        <v>83</v>
      </c>
      <c r="D67" s="5">
        <v>0</v>
      </c>
      <c r="E67" s="6">
        <v>0</v>
      </c>
      <c r="F67" s="6">
        <f t="shared" si="4"/>
        <v>0</v>
      </c>
      <c r="G67" s="5"/>
      <c r="H67" s="34">
        <v>176152</v>
      </c>
      <c r="I67" s="5" t="s">
        <v>82</v>
      </c>
      <c r="J67" s="16">
        <f t="shared" si="5"/>
        <v>9.7017231149596567E-2</v>
      </c>
    </row>
    <row r="68" spans="1:10" ht="15" hidden="1" customHeight="1" x14ac:dyDescent="0.3">
      <c r="A68" s="5" t="s">
        <v>3</v>
      </c>
      <c r="B68" s="5" t="s">
        <v>10</v>
      </c>
      <c r="C68" s="5" t="s">
        <v>84</v>
      </c>
      <c r="D68" s="5">
        <v>0</v>
      </c>
      <c r="E68" s="6">
        <v>0</v>
      </c>
      <c r="F68" s="6">
        <f t="shared" si="4"/>
        <v>0</v>
      </c>
      <c r="G68" s="5"/>
      <c r="H68" s="34">
        <v>176152</v>
      </c>
      <c r="I68" s="5" t="s">
        <v>82</v>
      </c>
      <c r="J68" s="16">
        <f t="shared" si="5"/>
        <v>9.7017231149596567E-2</v>
      </c>
    </row>
    <row r="69" spans="1:10" ht="15" hidden="1" customHeight="1" x14ac:dyDescent="0.3">
      <c r="A69" s="5" t="s">
        <v>3</v>
      </c>
      <c r="B69" s="5" t="s">
        <v>10</v>
      </c>
      <c r="C69" s="5" t="s">
        <v>85</v>
      </c>
      <c r="D69" s="5">
        <v>0</v>
      </c>
      <c r="E69" s="6">
        <v>0</v>
      </c>
      <c r="F69" s="6">
        <f t="shared" si="4"/>
        <v>0</v>
      </c>
      <c r="G69" s="5"/>
      <c r="H69" s="34">
        <v>176152</v>
      </c>
      <c r="I69" s="5" t="s">
        <v>82</v>
      </c>
      <c r="J69" s="16">
        <f t="shared" si="5"/>
        <v>9.7017231149596567E-2</v>
      </c>
    </row>
    <row r="70" spans="1:10" ht="15" hidden="1" customHeight="1" x14ac:dyDescent="0.3">
      <c r="A70" s="5" t="s">
        <v>3</v>
      </c>
      <c r="B70" s="5" t="s">
        <v>10</v>
      </c>
      <c r="C70" s="5" t="s">
        <v>86</v>
      </c>
      <c r="D70" s="5">
        <v>0</v>
      </c>
      <c r="E70" s="6">
        <v>0</v>
      </c>
      <c r="F70" s="6">
        <f t="shared" si="4"/>
        <v>0</v>
      </c>
      <c r="G70" s="5"/>
      <c r="H70" s="34">
        <v>176152</v>
      </c>
      <c r="I70" s="5" t="s">
        <v>82</v>
      </c>
      <c r="J70" s="16">
        <f t="shared" si="5"/>
        <v>9.7017231149596567E-2</v>
      </c>
    </row>
    <row r="71" spans="1:10" ht="15" hidden="1" customHeight="1" x14ac:dyDescent="0.3">
      <c r="A71" s="5" t="s">
        <v>3</v>
      </c>
      <c r="B71" s="5" t="s">
        <v>10</v>
      </c>
      <c r="C71" s="5" t="s">
        <v>67</v>
      </c>
      <c r="D71" s="5">
        <v>0</v>
      </c>
      <c r="E71" s="6">
        <v>0</v>
      </c>
      <c r="F71" s="6">
        <f t="shared" si="4"/>
        <v>0</v>
      </c>
      <c r="G71" s="5"/>
      <c r="H71" s="34">
        <v>176152</v>
      </c>
      <c r="I71" s="5" t="s">
        <v>82</v>
      </c>
      <c r="J71" s="16">
        <f t="shared" si="5"/>
        <v>9.7017231149596567E-2</v>
      </c>
    </row>
    <row r="72" spans="1:10" ht="15" hidden="1" customHeight="1" x14ac:dyDescent="0.3">
      <c r="A72" s="5" t="s">
        <v>3</v>
      </c>
      <c r="B72" s="5" t="s">
        <v>10</v>
      </c>
      <c r="C72" s="5" t="s">
        <v>75</v>
      </c>
      <c r="D72" s="5">
        <v>0</v>
      </c>
      <c r="E72" s="6">
        <v>0</v>
      </c>
      <c r="F72" s="6">
        <f t="shared" si="4"/>
        <v>0</v>
      </c>
      <c r="G72" s="5"/>
      <c r="H72" s="34">
        <v>176152</v>
      </c>
      <c r="I72" s="5" t="s">
        <v>82</v>
      </c>
      <c r="J72" s="16">
        <f t="shared" si="5"/>
        <v>9.7017231149596567E-2</v>
      </c>
    </row>
    <row r="73" spans="1:10" ht="15" hidden="1" customHeight="1" x14ac:dyDescent="0.3">
      <c r="A73" s="5" t="s">
        <v>3</v>
      </c>
      <c r="B73" s="5" t="s">
        <v>10</v>
      </c>
      <c r="C73" s="5" t="s">
        <v>64</v>
      </c>
      <c r="D73" s="5">
        <v>1</v>
      </c>
      <c r="E73" s="6">
        <v>68.430000000000007</v>
      </c>
      <c r="F73" s="6">
        <f t="shared" si="4"/>
        <v>68.430000000000007</v>
      </c>
      <c r="G73" s="5"/>
      <c r="H73" s="34">
        <v>176152</v>
      </c>
      <c r="I73" s="5" t="s">
        <v>82</v>
      </c>
      <c r="J73" s="16">
        <f t="shared" si="5"/>
        <v>9.7017231149596567E-2</v>
      </c>
    </row>
    <row r="74" spans="1:10" ht="15" hidden="1" customHeight="1" x14ac:dyDescent="0.3">
      <c r="A74" s="5" t="s">
        <v>3</v>
      </c>
      <c r="B74" s="5" t="s">
        <v>11</v>
      </c>
      <c r="C74" s="5" t="s">
        <v>53</v>
      </c>
      <c r="D74" s="5">
        <v>9</v>
      </c>
      <c r="E74" s="6">
        <v>31499.62</v>
      </c>
      <c r="F74" s="6">
        <f>E74</f>
        <v>31499.62</v>
      </c>
      <c r="G74" s="5"/>
      <c r="H74" s="34">
        <v>189453</v>
      </c>
      <c r="I74" s="5" t="s">
        <v>54</v>
      </c>
      <c r="J74" s="16">
        <f t="shared" si="5"/>
        <v>0.17862454502326908</v>
      </c>
    </row>
    <row r="75" spans="1:10" ht="15" hidden="1" customHeight="1" x14ac:dyDescent="0.3">
      <c r="A75" s="5" t="s">
        <v>3</v>
      </c>
      <c r="B75" s="5" t="s">
        <v>11</v>
      </c>
      <c r="C75" s="5" t="s">
        <v>55</v>
      </c>
      <c r="D75" s="5">
        <v>9</v>
      </c>
      <c r="E75" s="6">
        <v>45.310244928992589</v>
      </c>
      <c r="F75" s="6">
        <f t="shared" ref="F75:F89" si="6">D75*E75</f>
        <v>407.79220436093328</v>
      </c>
      <c r="G75" s="5"/>
      <c r="H75" s="34">
        <v>189453</v>
      </c>
      <c r="I75" s="5" t="s">
        <v>54</v>
      </c>
      <c r="J75" s="16">
        <f t="shared" si="5"/>
        <v>0.17862454502326908</v>
      </c>
    </row>
    <row r="76" spans="1:10" ht="15" hidden="1" customHeight="1" x14ac:dyDescent="0.3">
      <c r="A76" s="5" t="s">
        <v>3</v>
      </c>
      <c r="B76" s="5" t="s">
        <v>11</v>
      </c>
      <c r="C76" s="5" t="s">
        <v>26</v>
      </c>
      <c r="D76" s="5">
        <v>9</v>
      </c>
      <c r="E76" s="6">
        <v>24.798867924528299</v>
      </c>
      <c r="F76" s="6">
        <f t="shared" si="6"/>
        <v>223.1898113207547</v>
      </c>
      <c r="G76" s="5"/>
      <c r="H76" s="34">
        <v>189453</v>
      </c>
      <c r="I76" s="5" t="s">
        <v>54</v>
      </c>
      <c r="J76" s="16">
        <f t="shared" si="5"/>
        <v>0.17862454502326908</v>
      </c>
    </row>
    <row r="77" spans="1:10" ht="15" hidden="1" customHeight="1" x14ac:dyDescent="0.3">
      <c r="A77" s="5" t="s">
        <v>3</v>
      </c>
      <c r="B77" s="5" t="s">
        <v>11</v>
      </c>
      <c r="C77" s="5" t="s">
        <v>14</v>
      </c>
      <c r="D77" s="5">
        <v>9</v>
      </c>
      <c r="E77" s="6">
        <v>40.668212512413113</v>
      </c>
      <c r="F77" s="6">
        <f t="shared" si="6"/>
        <v>366.01391261171801</v>
      </c>
      <c r="G77" s="5"/>
      <c r="H77" s="34">
        <v>189453</v>
      </c>
      <c r="I77" s="5" t="s">
        <v>54</v>
      </c>
      <c r="J77" s="16">
        <f t="shared" si="5"/>
        <v>0.17862454502326908</v>
      </c>
    </row>
    <row r="78" spans="1:10" ht="15" hidden="1" customHeight="1" x14ac:dyDescent="0.3">
      <c r="A78" s="5" t="s">
        <v>3</v>
      </c>
      <c r="B78" s="5" t="s">
        <v>11</v>
      </c>
      <c r="C78" s="5" t="s">
        <v>87</v>
      </c>
      <c r="D78" s="5">
        <v>9</v>
      </c>
      <c r="E78" s="6">
        <v>50</v>
      </c>
      <c r="F78" s="6">
        <f t="shared" si="6"/>
        <v>450</v>
      </c>
      <c r="G78" s="5"/>
      <c r="H78" s="34">
        <v>189453</v>
      </c>
      <c r="I78" s="5" t="s">
        <v>54</v>
      </c>
      <c r="J78" s="16">
        <f t="shared" si="5"/>
        <v>0.17862454502326908</v>
      </c>
    </row>
    <row r="79" spans="1:10" ht="15" hidden="1" customHeight="1" x14ac:dyDescent="0.3">
      <c r="A79" s="5" t="s">
        <v>3</v>
      </c>
      <c r="B79" s="5" t="s">
        <v>11</v>
      </c>
      <c r="C79" s="5" t="s">
        <v>57</v>
      </c>
      <c r="D79" s="5">
        <v>9</v>
      </c>
      <c r="E79" s="6">
        <v>30</v>
      </c>
      <c r="F79" s="6">
        <f t="shared" si="6"/>
        <v>270</v>
      </c>
      <c r="G79" s="5"/>
      <c r="H79" s="34">
        <v>189453</v>
      </c>
      <c r="I79" s="5" t="s">
        <v>54</v>
      </c>
      <c r="J79" s="16">
        <f t="shared" si="5"/>
        <v>0.17862454502326908</v>
      </c>
    </row>
    <row r="80" spans="1:10" ht="15" hidden="1" customHeight="1" x14ac:dyDescent="0.3">
      <c r="A80" s="5" t="s">
        <v>3</v>
      </c>
      <c r="B80" s="5" t="s">
        <v>11</v>
      </c>
      <c r="C80" s="5" t="s">
        <v>71</v>
      </c>
      <c r="D80" s="5">
        <v>0</v>
      </c>
      <c r="E80" s="6">
        <v>0</v>
      </c>
      <c r="F80" s="6">
        <f t="shared" si="6"/>
        <v>0</v>
      </c>
      <c r="G80" s="5"/>
      <c r="H80" s="34">
        <v>189453</v>
      </c>
      <c r="I80" s="5" t="s">
        <v>54</v>
      </c>
      <c r="J80" s="16">
        <f t="shared" si="5"/>
        <v>0.17862454502326908</v>
      </c>
    </row>
    <row r="81" spans="1:10" ht="15" hidden="1" customHeight="1" x14ac:dyDescent="0.3">
      <c r="A81" s="5" t="s">
        <v>3</v>
      </c>
      <c r="B81" s="5" t="s">
        <v>11</v>
      </c>
      <c r="C81" s="5" t="s">
        <v>72</v>
      </c>
      <c r="D81" s="5">
        <v>1</v>
      </c>
      <c r="E81" s="6">
        <v>30.71</v>
      </c>
      <c r="F81" s="6">
        <f t="shared" si="6"/>
        <v>30.71</v>
      </c>
      <c r="G81" s="5"/>
      <c r="H81" s="34">
        <v>189453</v>
      </c>
      <c r="I81" s="5" t="s">
        <v>54</v>
      </c>
      <c r="J81" s="16">
        <f t="shared" si="5"/>
        <v>0.17862454502326908</v>
      </c>
    </row>
    <row r="82" spans="1:10" ht="15" hidden="1" customHeight="1" x14ac:dyDescent="0.3">
      <c r="A82" s="5" t="s">
        <v>3</v>
      </c>
      <c r="B82" s="5" t="s">
        <v>11</v>
      </c>
      <c r="C82" s="5" t="s">
        <v>58</v>
      </c>
      <c r="D82" s="5">
        <v>9</v>
      </c>
      <c r="E82" s="6">
        <v>10.15</v>
      </c>
      <c r="F82" s="6">
        <f t="shared" si="6"/>
        <v>91.350000000000009</v>
      </c>
      <c r="G82" s="5"/>
      <c r="H82" s="34">
        <v>189453</v>
      </c>
      <c r="I82" s="5" t="s">
        <v>54</v>
      </c>
      <c r="J82" s="16">
        <f t="shared" si="5"/>
        <v>0.17862454502326908</v>
      </c>
    </row>
    <row r="83" spans="1:10" ht="15" hidden="1" customHeight="1" x14ac:dyDescent="0.3">
      <c r="A83" s="5" t="s">
        <v>3</v>
      </c>
      <c r="B83" s="5" t="s">
        <v>11</v>
      </c>
      <c r="C83" s="5" t="s">
        <v>59</v>
      </c>
      <c r="D83" s="5">
        <v>9</v>
      </c>
      <c r="E83" s="6">
        <v>2.92</v>
      </c>
      <c r="F83" s="6">
        <f t="shared" si="6"/>
        <v>26.28</v>
      </c>
      <c r="G83" s="5"/>
      <c r="H83" s="34">
        <v>189453</v>
      </c>
      <c r="I83" s="5" t="s">
        <v>54</v>
      </c>
      <c r="J83" s="16">
        <f t="shared" si="5"/>
        <v>0.17862454502326908</v>
      </c>
    </row>
    <row r="84" spans="1:10" ht="15" hidden="1" customHeight="1" x14ac:dyDescent="0.3">
      <c r="A84" s="5" t="s">
        <v>3</v>
      </c>
      <c r="B84" s="5" t="s">
        <v>11</v>
      </c>
      <c r="C84" s="5" t="s">
        <v>74</v>
      </c>
      <c r="D84" s="5">
        <v>0</v>
      </c>
      <c r="E84" s="6">
        <v>0</v>
      </c>
      <c r="F84" s="6">
        <f t="shared" si="6"/>
        <v>0</v>
      </c>
      <c r="G84" s="5"/>
      <c r="H84" s="34">
        <v>189453</v>
      </c>
      <c r="I84" s="5" t="s">
        <v>54</v>
      </c>
      <c r="J84" s="16">
        <f t="shared" si="5"/>
        <v>0.17862454502326908</v>
      </c>
    </row>
    <row r="85" spans="1:10" ht="15" hidden="1" customHeight="1" x14ac:dyDescent="0.3">
      <c r="A85" s="5" t="s">
        <v>3</v>
      </c>
      <c r="B85" s="5" t="s">
        <v>11</v>
      </c>
      <c r="C85" s="5" t="s">
        <v>62</v>
      </c>
      <c r="D85" s="5">
        <v>7</v>
      </c>
      <c r="E85" s="6">
        <v>68</v>
      </c>
      <c r="F85" s="6">
        <f t="shared" si="6"/>
        <v>476</v>
      </c>
      <c r="G85" s="5"/>
      <c r="H85" s="34">
        <v>189453</v>
      </c>
      <c r="I85" s="5" t="s">
        <v>54</v>
      </c>
      <c r="J85" s="16">
        <f t="shared" si="5"/>
        <v>0.17862454502326908</v>
      </c>
    </row>
    <row r="86" spans="1:10" ht="15" hidden="1" customHeight="1" x14ac:dyDescent="0.3">
      <c r="A86" s="5" t="s">
        <v>3</v>
      </c>
      <c r="B86" s="5" t="s">
        <v>11</v>
      </c>
      <c r="C86" s="5" t="s">
        <v>60</v>
      </c>
      <c r="D86" s="5">
        <v>0</v>
      </c>
      <c r="E86" s="6">
        <v>0</v>
      </c>
      <c r="F86" s="6">
        <f t="shared" si="6"/>
        <v>0</v>
      </c>
      <c r="G86" s="5"/>
      <c r="H86" s="34">
        <v>189453</v>
      </c>
      <c r="I86" s="5" t="s">
        <v>54</v>
      </c>
      <c r="J86" s="16">
        <f t="shared" si="5"/>
        <v>0.17862454502326908</v>
      </c>
    </row>
    <row r="87" spans="1:10" ht="15" hidden="1" customHeight="1" x14ac:dyDescent="0.3">
      <c r="A87" s="5" t="s">
        <v>3</v>
      </c>
      <c r="B87" s="5" t="s">
        <v>11</v>
      </c>
      <c r="C87" s="5" t="s">
        <v>70</v>
      </c>
      <c r="D87" s="5">
        <v>0</v>
      </c>
      <c r="E87" s="6">
        <v>0</v>
      </c>
      <c r="F87" s="6">
        <f t="shared" si="6"/>
        <v>0</v>
      </c>
      <c r="G87" s="5"/>
      <c r="H87" s="34">
        <v>189453</v>
      </c>
      <c r="I87" s="5" t="s">
        <v>54</v>
      </c>
      <c r="J87" s="16">
        <f t="shared" si="5"/>
        <v>0.17862454502326908</v>
      </c>
    </row>
    <row r="88" spans="1:10" ht="15" hidden="1" customHeight="1" x14ac:dyDescent="0.3">
      <c r="A88" s="5" t="s">
        <v>3</v>
      </c>
      <c r="B88" s="5" t="s">
        <v>11</v>
      </c>
      <c r="C88" s="5" t="s">
        <v>64</v>
      </c>
      <c r="D88" s="5">
        <v>0</v>
      </c>
      <c r="E88" s="6">
        <v>0</v>
      </c>
      <c r="F88" s="6">
        <f t="shared" si="6"/>
        <v>0</v>
      </c>
      <c r="G88" s="5"/>
      <c r="H88" s="34">
        <v>189453</v>
      </c>
      <c r="I88" s="5" t="s">
        <v>54</v>
      </c>
      <c r="J88" s="16">
        <f t="shared" si="5"/>
        <v>0.17862454502326908</v>
      </c>
    </row>
    <row r="89" spans="1:10" ht="15" hidden="1" customHeight="1" x14ac:dyDescent="0.3">
      <c r="A89" s="5" t="s">
        <v>3</v>
      </c>
      <c r="B89" s="5" t="s">
        <v>11</v>
      </c>
      <c r="C89" s="5" t="s">
        <v>66</v>
      </c>
      <c r="D89" s="5">
        <v>0</v>
      </c>
      <c r="E89" s="6">
        <v>0</v>
      </c>
      <c r="F89" s="6">
        <f t="shared" si="6"/>
        <v>0</v>
      </c>
      <c r="G89" s="5"/>
      <c r="H89" s="34">
        <v>189453</v>
      </c>
      <c r="I89" s="5" t="s">
        <v>54</v>
      </c>
      <c r="J89" s="16">
        <f t="shared" si="5"/>
        <v>0.17862454502326908</v>
      </c>
    </row>
    <row r="90" spans="1:10" ht="15" hidden="1" customHeight="1" x14ac:dyDescent="0.3">
      <c r="A90" s="5" t="s">
        <v>3</v>
      </c>
      <c r="B90" s="5" t="s">
        <v>12</v>
      </c>
      <c r="C90" s="5" t="s">
        <v>53</v>
      </c>
      <c r="D90" s="5">
        <v>4</v>
      </c>
      <c r="E90" s="6">
        <v>11566</v>
      </c>
      <c r="F90" s="6">
        <f>E90</f>
        <v>11566</v>
      </c>
      <c r="G90" s="5"/>
      <c r="H90" s="34">
        <v>176152</v>
      </c>
      <c r="I90" s="5" t="s">
        <v>82</v>
      </c>
      <c r="J90" s="16">
        <f t="shared" si="5"/>
        <v>0.12024569293260216</v>
      </c>
    </row>
    <row r="91" spans="1:10" ht="15" hidden="1" customHeight="1" x14ac:dyDescent="0.3">
      <c r="A91" s="5" t="s">
        <v>3</v>
      </c>
      <c r="B91" s="5" t="s">
        <v>12</v>
      </c>
      <c r="C91" s="5" t="s">
        <v>55</v>
      </c>
      <c r="D91" s="5">
        <v>4</v>
      </c>
      <c r="E91" s="6">
        <v>45.310244928992589</v>
      </c>
      <c r="F91" s="6">
        <f t="shared" ref="F91:F110" si="7">D91*E91</f>
        <v>181.24097971597035</v>
      </c>
      <c r="G91" s="5"/>
      <c r="H91" s="34">
        <v>176152</v>
      </c>
      <c r="I91" s="5" t="s">
        <v>82</v>
      </c>
      <c r="J91" s="16">
        <f t="shared" si="5"/>
        <v>0.12024569293260216</v>
      </c>
    </row>
    <row r="92" spans="1:10" ht="15" hidden="1" customHeight="1" x14ac:dyDescent="0.3">
      <c r="A92" s="5" t="s">
        <v>3</v>
      </c>
      <c r="B92" s="5" t="s">
        <v>12</v>
      </c>
      <c r="C92" s="5" t="s">
        <v>26</v>
      </c>
      <c r="D92" s="5">
        <v>4</v>
      </c>
      <c r="E92" s="6">
        <v>24.798867924528299</v>
      </c>
      <c r="F92" s="6">
        <f t="shared" si="7"/>
        <v>99.195471698113195</v>
      </c>
      <c r="G92" s="5"/>
      <c r="H92" s="34">
        <v>176152</v>
      </c>
      <c r="I92" s="5" t="s">
        <v>82</v>
      </c>
      <c r="J92" s="16">
        <f t="shared" si="5"/>
        <v>0.12024569293260216</v>
      </c>
    </row>
    <row r="93" spans="1:10" ht="15" hidden="1" customHeight="1" x14ac:dyDescent="0.3">
      <c r="A93" s="5" t="s">
        <v>3</v>
      </c>
      <c r="B93" s="5" t="s">
        <v>12</v>
      </c>
      <c r="C93" s="5" t="s">
        <v>14</v>
      </c>
      <c r="D93" s="5">
        <v>4</v>
      </c>
      <c r="E93" s="6">
        <v>40.668212512413113</v>
      </c>
      <c r="F93" s="6">
        <f t="shared" si="7"/>
        <v>162.67285004965245</v>
      </c>
      <c r="G93" s="5"/>
      <c r="H93" s="34">
        <v>176152</v>
      </c>
      <c r="I93" s="5" t="s">
        <v>82</v>
      </c>
      <c r="J93" s="16">
        <f t="shared" si="5"/>
        <v>0.12024569293260216</v>
      </c>
    </row>
    <row r="94" spans="1:10" ht="15" hidden="1" customHeight="1" x14ac:dyDescent="0.3">
      <c r="A94" s="5" t="s">
        <v>3</v>
      </c>
      <c r="B94" s="5" t="s">
        <v>12</v>
      </c>
      <c r="C94" s="5" t="s">
        <v>87</v>
      </c>
      <c r="D94" s="5">
        <v>6</v>
      </c>
      <c r="E94" s="6">
        <v>50</v>
      </c>
      <c r="F94" s="6">
        <f t="shared" si="7"/>
        <v>300</v>
      </c>
      <c r="G94" s="5"/>
      <c r="H94" s="34">
        <v>176152</v>
      </c>
      <c r="I94" s="5" t="s">
        <v>82</v>
      </c>
      <c r="J94" s="16">
        <f t="shared" si="5"/>
        <v>0.12024569293260216</v>
      </c>
    </row>
    <row r="95" spans="1:10" ht="15" hidden="1" customHeight="1" x14ac:dyDescent="0.3">
      <c r="A95" s="5" t="s">
        <v>3</v>
      </c>
      <c r="B95" s="5" t="s">
        <v>12</v>
      </c>
      <c r="C95" s="5" t="s">
        <v>57</v>
      </c>
      <c r="D95" s="5">
        <v>2</v>
      </c>
      <c r="E95" s="6">
        <v>30</v>
      </c>
      <c r="F95" s="6">
        <f t="shared" si="7"/>
        <v>60</v>
      </c>
      <c r="G95" s="5"/>
      <c r="H95" s="34">
        <v>176152</v>
      </c>
      <c r="I95" s="5" t="s">
        <v>82</v>
      </c>
      <c r="J95" s="16">
        <f t="shared" si="5"/>
        <v>0.12024569293260216</v>
      </c>
    </row>
    <row r="96" spans="1:10" ht="15" hidden="1" customHeight="1" x14ac:dyDescent="0.3">
      <c r="A96" s="5" t="s">
        <v>3</v>
      </c>
      <c r="B96" s="5" t="s">
        <v>12</v>
      </c>
      <c r="C96" s="5" t="s">
        <v>71</v>
      </c>
      <c r="D96" s="5">
        <v>0</v>
      </c>
      <c r="E96" s="6">
        <v>0</v>
      </c>
      <c r="F96" s="6">
        <f t="shared" si="7"/>
        <v>0</v>
      </c>
      <c r="G96" s="5"/>
      <c r="H96" s="34">
        <v>176152</v>
      </c>
      <c r="I96" s="5" t="s">
        <v>82</v>
      </c>
      <c r="J96" s="16">
        <f t="shared" si="5"/>
        <v>0.12024569293260216</v>
      </c>
    </row>
    <row r="97" spans="1:10" ht="15" hidden="1" customHeight="1" x14ac:dyDescent="0.3">
      <c r="A97" s="5" t="s">
        <v>3</v>
      </c>
      <c r="B97" s="5" t="s">
        <v>12</v>
      </c>
      <c r="C97" s="5" t="s">
        <v>58</v>
      </c>
      <c r="D97" s="5">
        <v>5</v>
      </c>
      <c r="E97" s="6">
        <v>10.15</v>
      </c>
      <c r="F97" s="6">
        <f t="shared" si="7"/>
        <v>50.75</v>
      </c>
      <c r="G97" s="5"/>
      <c r="H97" s="34">
        <v>176152</v>
      </c>
      <c r="I97" s="5" t="s">
        <v>82</v>
      </c>
      <c r="J97" s="16">
        <f t="shared" si="5"/>
        <v>0.12024569293260216</v>
      </c>
    </row>
    <row r="98" spans="1:10" ht="15" hidden="1" customHeight="1" x14ac:dyDescent="0.3">
      <c r="A98" s="5" t="s">
        <v>3</v>
      </c>
      <c r="B98" s="5" t="s">
        <v>12</v>
      </c>
      <c r="C98" s="5" t="s">
        <v>59</v>
      </c>
      <c r="D98" s="5">
        <v>5</v>
      </c>
      <c r="E98" s="6">
        <v>2.92</v>
      </c>
      <c r="F98" s="6">
        <f t="shared" si="7"/>
        <v>14.6</v>
      </c>
      <c r="G98" s="5"/>
      <c r="H98" s="34">
        <v>176152</v>
      </c>
      <c r="I98" s="5" t="s">
        <v>82</v>
      </c>
      <c r="J98" s="16">
        <f t="shared" si="5"/>
        <v>0.12024569293260216</v>
      </c>
    </row>
    <row r="99" spans="1:10" ht="15" hidden="1" customHeight="1" x14ac:dyDescent="0.3">
      <c r="A99" s="5" t="s">
        <v>3</v>
      </c>
      <c r="B99" s="5" t="s">
        <v>12</v>
      </c>
      <c r="C99" s="5" t="s">
        <v>88</v>
      </c>
      <c r="D99" s="5">
        <v>1</v>
      </c>
      <c r="E99" s="6">
        <v>68</v>
      </c>
      <c r="F99" s="6">
        <f t="shared" si="7"/>
        <v>68</v>
      </c>
      <c r="G99" s="5"/>
      <c r="H99" s="34">
        <v>176152</v>
      </c>
      <c r="I99" s="5" t="s">
        <v>82</v>
      </c>
      <c r="J99" s="16">
        <f t="shared" si="5"/>
        <v>0.12024569293260216</v>
      </c>
    </row>
    <row r="100" spans="1:10" ht="15" hidden="1" customHeight="1" x14ac:dyDescent="0.3">
      <c r="A100" s="5" t="s">
        <v>3</v>
      </c>
      <c r="B100" s="5" t="s">
        <v>12</v>
      </c>
      <c r="C100" s="5" t="s">
        <v>74</v>
      </c>
      <c r="D100" s="5">
        <v>0</v>
      </c>
      <c r="E100" s="6">
        <v>0</v>
      </c>
      <c r="F100" s="6">
        <f t="shared" si="7"/>
        <v>0</v>
      </c>
      <c r="G100" s="5"/>
      <c r="H100" s="34">
        <v>176152</v>
      </c>
      <c r="I100" s="5" t="s">
        <v>82</v>
      </c>
      <c r="J100" s="16">
        <f t="shared" si="5"/>
        <v>0.12024569293260216</v>
      </c>
    </row>
    <row r="101" spans="1:10" ht="15" hidden="1" customHeight="1" x14ac:dyDescent="0.3">
      <c r="A101" s="5" t="s">
        <v>3</v>
      </c>
      <c r="B101" s="5" t="s">
        <v>12</v>
      </c>
      <c r="C101" s="5" t="s">
        <v>62</v>
      </c>
      <c r="D101" s="5">
        <v>0</v>
      </c>
      <c r="E101" s="6">
        <v>0</v>
      </c>
      <c r="F101" s="6">
        <f t="shared" si="7"/>
        <v>0</v>
      </c>
      <c r="G101" s="5"/>
      <c r="H101" s="34">
        <v>176152</v>
      </c>
      <c r="I101" s="5" t="s">
        <v>82</v>
      </c>
      <c r="J101" s="16">
        <f t="shared" si="5"/>
        <v>0.12024569293260216</v>
      </c>
    </row>
    <row r="102" spans="1:10" ht="15" hidden="1" customHeight="1" x14ac:dyDescent="0.3">
      <c r="A102" s="5" t="s">
        <v>3</v>
      </c>
      <c r="B102" s="5" t="s">
        <v>12</v>
      </c>
      <c r="C102" s="5" t="s">
        <v>89</v>
      </c>
      <c r="D102" s="5">
        <v>0</v>
      </c>
      <c r="E102" s="6">
        <v>0</v>
      </c>
      <c r="F102" s="6">
        <f t="shared" si="7"/>
        <v>0</v>
      </c>
      <c r="G102" s="5"/>
      <c r="H102" s="34">
        <v>176152</v>
      </c>
      <c r="I102" s="5" t="s">
        <v>82</v>
      </c>
      <c r="J102" s="16">
        <f t="shared" si="5"/>
        <v>0.12024569293260216</v>
      </c>
    </row>
    <row r="103" spans="1:10" ht="15" hidden="1" customHeight="1" x14ac:dyDescent="0.3">
      <c r="A103" s="5" t="s">
        <v>3</v>
      </c>
      <c r="B103" s="5" t="s">
        <v>12</v>
      </c>
      <c r="C103" s="5" t="s">
        <v>64</v>
      </c>
      <c r="D103" s="5">
        <v>1</v>
      </c>
      <c r="E103" s="6">
        <v>43.61</v>
      </c>
      <c r="F103" s="6">
        <f t="shared" si="7"/>
        <v>43.61</v>
      </c>
      <c r="G103" s="5"/>
      <c r="H103" s="34">
        <v>176152</v>
      </c>
      <c r="I103" s="5" t="s">
        <v>82</v>
      </c>
      <c r="J103" s="16">
        <f t="shared" si="5"/>
        <v>0.12024569293260216</v>
      </c>
    </row>
    <row r="104" spans="1:10" ht="15" hidden="1" customHeight="1" x14ac:dyDescent="0.3">
      <c r="A104" s="5" t="s">
        <v>3</v>
      </c>
      <c r="B104" s="5" t="s">
        <v>12</v>
      </c>
      <c r="C104" s="5" t="s">
        <v>66</v>
      </c>
      <c r="D104" s="5">
        <v>1</v>
      </c>
      <c r="E104" s="6">
        <v>4</v>
      </c>
      <c r="F104" s="6">
        <f t="shared" si="7"/>
        <v>4</v>
      </c>
      <c r="G104" s="5"/>
      <c r="H104" s="34">
        <v>176152</v>
      </c>
      <c r="I104" s="5" t="s">
        <v>82</v>
      </c>
      <c r="J104" s="16">
        <f t="shared" si="5"/>
        <v>0.12024569293260216</v>
      </c>
    </row>
    <row r="105" spans="1:10" ht="15" hidden="1" customHeight="1" x14ac:dyDescent="0.3">
      <c r="A105" s="5" t="s">
        <v>3</v>
      </c>
      <c r="B105" s="5" t="s">
        <v>12</v>
      </c>
      <c r="C105" s="5" t="s">
        <v>60</v>
      </c>
      <c r="D105" s="5">
        <v>0</v>
      </c>
      <c r="E105" s="6">
        <v>0</v>
      </c>
      <c r="F105" s="6">
        <f t="shared" si="7"/>
        <v>0</v>
      </c>
      <c r="G105" s="5"/>
      <c r="H105" s="34">
        <v>176152</v>
      </c>
      <c r="I105" s="5" t="s">
        <v>82</v>
      </c>
      <c r="J105" s="16">
        <f t="shared" si="5"/>
        <v>0.12024569293260216</v>
      </c>
    </row>
    <row r="106" spans="1:10" ht="15" hidden="1" customHeight="1" x14ac:dyDescent="0.3">
      <c r="A106" s="5" t="s">
        <v>3</v>
      </c>
      <c r="B106" s="5" t="s">
        <v>12</v>
      </c>
      <c r="C106" s="5" t="s">
        <v>83</v>
      </c>
      <c r="D106" s="5">
        <v>0</v>
      </c>
      <c r="E106" s="6">
        <v>0</v>
      </c>
      <c r="F106" s="6">
        <f t="shared" si="7"/>
        <v>0</v>
      </c>
      <c r="G106" s="5"/>
      <c r="H106" s="34">
        <v>176152</v>
      </c>
      <c r="I106" s="5" t="s">
        <v>82</v>
      </c>
      <c r="J106" s="16">
        <f t="shared" si="5"/>
        <v>0.12024569293260216</v>
      </c>
    </row>
    <row r="107" spans="1:10" ht="15" hidden="1" customHeight="1" x14ac:dyDescent="0.3">
      <c r="A107" s="5" t="s">
        <v>3</v>
      </c>
      <c r="B107" s="5" t="s">
        <v>12</v>
      </c>
      <c r="C107" s="5" t="s">
        <v>67</v>
      </c>
      <c r="D107" s="5">
        <v>0</v>
      </c>
      <c r="E107" s="6">
        <v>0</v>
      </c>
      <c r="F107" s="6">
        <f t="shared" si="7"/>
        <v>0</v>
      </c>
      <c r="G107" s="5"/>
      <c r="H107" s="34">
        <v>176152</v>
      </c>
      <c r="I107" s="5" t="s">
        <v>82</v>
      </c>
      <c r="J107" s="16">
        <f t="shared" si="5"/>
        <v>0.12024569293260216</v>
      </c>
    </row>
    <row r="108" spans="1:10" ht="15" hidden="1" customHeight="1" x14ac:dyDescent="0.3">
      <c r="A108" s="5" t="s">
        <v>3</v>
      </c>
      <c r="B108" s="5" t="s">
        <v>12</v>
      </c>
      <c r="C108" s="5" t="s">
        <v>90</v>
      </c>
      <c r="D108" s="5">
        <v>0</v>
      </c>
      <c r="E108" s="6">
        <v>0</v>
      </c>
      <c r="F108" s="6">
        <f t="shared" si="7"/>
        <v>0</v>
      </c>
      <c r="G108" s="5"/>
      <c r="H108" s="34">
        <v>176152</v>
      </c>
      <c r="I108" s="5" t="s">
        <v>82</v>
      </c>
      <c r="J108" s="16">
        <f t="shared" si="5"/>
        <v>0.12024569293260216</v>
      </c>
    </row>
    <row r="109" spans="1:10" ht="15" hidden="1" customHeight="1" x14ac:dyDescent="0.3">
      <c r="A109" s="5" t="s">
        <v>3</v>
      </c>
      <c r="B109" s="5" t="s">
        <v>12</v>
      </c>
      <c r="C109" s="5" t="s">
        <v>91</v>
      </c>
      <c r="D109" s="5">
        <v>2</v>
      </c>
      <c r="E109" s="6">
        <v>3036</v>
      </c>
      <c r="F109" s="6">
        <f t="shared" si="7"/>
        <v>6072</v>
      </c>
      <c r="G109" s="5"/>
      <c r="H109" s="34">
        <v>176152</v>
      </c>
      <c r="I109" s="5" t="s">
        <v>82</v>
      </c>
      <c r="J109" s="16">
        <f t="shared" si="5"/>
        <v>0.12024569293260216</v>
      </c>
    </row>
    <row r="110" spans="1:10" ht="15" hidden="1" customHeight="1" x14ac:dyDescent="0.3">
      <c r="A110" s="5" t="s">
        <v>3</v>
      </c>
      <c r="B110" s="5" t="s">
        <v>12</v>
      </c>
      <c r="C110" s="5" t="s">
        <v>92</v>
      </c>
      <c r="D110" s="5">
        <v>1</v>
      </c>
      <c r="E110" s="6">
        <v>2559.4499999999998</v>
      </c>
      <c r="F110" s="6">
        <f t="shared" si="7"/>
        <v>2559.4499999999998</v>
      </c>
      <c r="G110" s="5"/>
      <c r="H110" s="34">
        <v>176152</v>
      </c>
      <c r="I110" s="5" t="s">
        <v>82</v>
      </c>
      <c r="J110" s="16">
        <f t="shared" si="5"/>
        <v>0.12024569293260216</v>
      </c>
    </row>
    <row r="111" spans="1:10" ht="15" hidden="1" customHeight="1" x14ac:dyDescent="0.3">
      <c r="A111" s="5" t="s">
        <v>3</v>
      </c>
      <c r="B111" s="5" t="s">
        <v>14</v>
      </c>
      <c r="C111" s="5" t="s">
        <v>53</v>
      </c>
      <c r="D111" s="5">
        <v>7</v>
      </c>
      <c r="E111" s="6">
        <v>32333.15</v>
      </c>
      <c r="F111" s="6">
        <f>E111</f>
        <v>32333.15</v>
      </c>
      <c r="G111" s="5"/>
      <c r="H111" s="34">
        <v>1007</v>
      </c>
      <c r="I111" s="5" t="s">
        <v>93</v>
      </c>
      <c r="J111" s="16">
        <f t="shared" si="5"/>
        <v>40.66821251241312</v>
      </c>
    </row>
    <row r="112" spans="1:10" ht="15" hidden="1" customHeight="1" x14ac:dyDescent="0.3">
      <c r="A112" s="5" t="s">
        <v>3</v>
      </c>
      <c r="B112" s="5" t="s">
        <v>14</v>
      </c>
      <c r="C112" s="5" t="s">
        <v>87</v>
      </c>
      <c r="D112" s="5">
        <v>8</v>
      </c>
      <c r="E112" s="6">
        <v>50</v>
      </c>
      <c r="F112" s="6">
        <f t="shared" ref="F112:F127" si="8">D112*E112</f>
        <v>400</v>
      </c>
      <c r="G112" s="5"/>
      <c r="H112" s="34">
        <v>1007</v>
      </c>
      <c r="I112" s="5" t="s">
        <v>93</v>
      </c>
      <c r="J112" s="16">
        <f t="shared" si="5"/>
        <v>40.66821251241312</v>
      </c>
    </row>
    <row r="113" spans="1:10" ht="15" hidden="1" customHeight="1" x14ac:dyDescent="0.3">
      <c r="A113" s="5" t="s">
        <v>3</v>
      </c>
      <c r="B113" s="5" t="s">
        <v>14</v>
      </c>
      <c r="C113" s="5" t="s">
        <v>74</v>
      </c>
      <c r="D113" s="5">
        <v>0</v>
      </c>
      <c r="E113" s="6">
        <v>0</v>
      </c>
      <c r="F113" s="6">
        <f t="shared" si="8"/>
        <v>0</v>
      </c>
      <c r="G113" s="5"/>
      <c r="H113" s="34">
        <v>1007</v>
      </c>
      <c r="I113" s="5" t="s">
        <v>93</v>
      </c>
      <c r="J113" s="16">
        <f t="shared" si="5"/>
        <v>40.66821251241312</v>
      </c>
    </row>
    <row r="114" spans="1:10" ht="15" hidden="1" customHeight="1" x14ac:dyDescent="0.3">
      <c r="A114" s="5" t="s">
        <v>3</v>
      </c>
      <c r="B114" s="5" t="s">
        <v>14</v>
      </c>
      <c r="C114" s="5" t="s">
        <v>62</v>
      </c>
      <c r="D114" s="5">
        <v>0</v>
      </c>
      <c r="E114" s="6">
        <v>0</v>
      </c>
      <c r="F114" s="6">
        <f t="shared" si="8"/>
        <v>0</v>
      </c>
      <c r="G114" s="5"/>
      <c r="H114" s="34">
        <v>1007</v>
      </c>
      <c r="I114" s="5" t="s">
        <v>93</v>
      </c>
      <c r="J114" s="16">
        <f t="shared" si="5"/>
        <v>40.66821251241312</v>
      </c>
    </row>
    <row r="115" spans="1:10" ht="15" hidden="1" customHeight="1" x14ac:dyDescent="0.3">
      <c r="A115" s="5" t="s">
        <v>3</v>
      </c>
      <c r="B115" s="5" t="s">
        <v>14</v>
      </c>
      <c r="C115" s="5" t="s">
        <v>58</v>
      </c>
      <c r="D115" s="5">
        <v>7</v>
      </c>
      <c r="E115" s="6">
        <v>10.15</v>
      </c>
      <c r="F115" s="6">
        <f t="shared" si="8"/>
        <v>71.05</v>
      </c>
      <c r="G115" s="5"/>
      <c r="H115" s="34">
        <v>1007</v>
      </c>
      <c r="I115" s="5" t="s">
        <v>93</v>
      </c>
      <c r="J115" s="16">
        <f t="shared" si="5"/>
        <v>40.66821251241312</v>
      </c>
    </row>
    <row r="116" spans="1:10" ht="15" hidden="1" customHeight="1" x14ac:dyDescent="0.3">
      <c r="A116" s="5" t="s">
        <v>3</v>
      </c>
      <c r="B116" s="5" t="s">
        <v>14</v>
      </c>
      <c r="C116" s="5" t="s">
        <v>59</v>
      </c>
      <c r="D116" s="5">
        <v>7</v>
      </c>
      <c r="E116" s="6">
        <v>2.92</v>
      </c>
      <c r="F116" s="6">
        <f t="shared" si="8"/>
        <v>20.439999999999998</v>
      </c>
      <c r="G116" s="5"/>
      <c r="H116" s="34">
        <v>1007</v>
      </c>
      <c r="I116" s="5" t="s">
        <v>93</v>
      </c>
      <c r="J116" s="16">
        <f t="shared" si="5"/>
        <v>40.66821251241312</v>
      </c>
    </row>
    <row r="117" spans="1:10" ht="15" hidden="1" customHeight="1" x14ac:dyDescent="0.3">
      <c r="A117" s="5" t="s">
        <v>3</v>
      </c>
      <c r="B117" s="5" t="s">
        <v>14</v>
      </c>
      <c r="C117" s="5" t="s">
        <v>70</v>
      </c>
      <c r="D117" s="5">
        <v>0</v>
      </c>
      <c r="E117" s="6">
        <v>0</v>
      </c>
      <c r="F117" s="6">
        <f t="shared" si="8"/>
        <v>0</v>
      </c>
      <c r="G117" s="5"/>
      <c r="H117" s="34">
        <v>1007</v>
      </c>
      <c r="I117" s="5" t="s">
        <v>93</v>
      </c>
      <c r="J117" s="16">
        <f t="shared" si="5"/>
        <v>40.66821251241312</v>
      </c>
    </row>
    <row r="118" spans="1:10" ht="15" hidden="1" customHeight="1" x14ac:dyDescent="0.3">
      <c r="A118" s="5" t="s">
        <v>3</v>
      </c>
      <c r="B118" s="5" t="s">
        <v>14</v>
      </c>
      <c r="C118" s="5" t="s">
        <v>72</v>
      </c>
      <c r="D118" s="5">
        <v>1</v>
      </c>
      <c r="E118" s="6">
        <v>153.58000000000001</v>
      </c>
      <c r="F118" s="6">
        <f t="shared" si="8"/>
        <v>153.58000000000001</v>
      </c>
      <c r="G118" s="5"/>
      <c r="H118" s="34">
        <v>1007</v>
      </c>
      <c r="I118" s="5" t="s">
        <v>93</v>
      </c>
      <c r="J118" s="16">
        <f t="shared" si="5"/>
        <v>40.66821251241312</v>
      </c>
    </row>
    <row r="119" spans="1:10" ht="15" hidden="1" customHeight="1" x14ac:dyDescent="0.3">
      <c r="A119" s="5" t="s">
        <v>3</v>
      </c>
      <c r="B119" s="5" t="s">
        <v>14</v>
      </c>
      <c r="C119" s="5" t="s">
        <v>94</v>
      </c>
      <c r="D119" s="5">
        <v>2</v>
      </c>
      <c r="E119" s="6">
        <v>30</v>
      </c>
      <c r="F119" s="6">
        <f t="shared" si="8"/>
        <v>60</v>
      </c>
      <c r="G119" s="5"/>
      <c r="H119" s="34">
        <v>1007</v>
      </c>
      <c r="I119" s="5" t="s">
        <v>93</v>
      </c>
      <c r="J119" s="16">
        <f t="shared" si="5"/>
        <v>40.66821251241312</v>
      </c>
    </row>
    <row r="120" spans="1:10" ht="15" hidden="1" customHeight="1" x14ac:dyDescent="0.3">
      <c r="A120" s="5" t="s">
        <v>3</v>
      </c>
      <c r="B120" s="5" t="s">
        <v>14</v>
      </c>
      <c r="C120" s="5" t="s">
        <v>76</v>
      </c>
      <c r="D120" s="5">
        <v>0</v>
      </c>
      <c r="E120" s="6">
        <v>0</v>
      </c>
      <c r="F120" s="6">
        <f t="shared" si="8"/>
        <v>0</v>
      </c>
      <c r="G120" s="5"/>
      <c r="H120" s="34">
        <v>1007</v>
      </c>
      <c r="I120" s="5" t="s">
        <v>93</v>
      </c>
      <c r="J120" s="16">
        <f t="shared" si="5"/>
        <v>40.66821251241312</v>
      </c>
    </row>
    <row r="121" spans="1:10" ht="15" hidden="1" customHeight="1" x14ac:dyDescent="0.3">
      <c r="A121" s="5" t="s">
        <v>3</v>
      </c>
      <c r="B121" s="5" t="s">
        <v>14</v>
      </c>
      <c r="C121" s="5" t="s">
        <v>95</v>
      </c>
      <c r="D121" s="5">
        <v>1</v>
      </c>
      <c r="E121" s="6">
        <v>28.5</v>
      </c>
      <c r="F121" s="6">
        <f t="shared" si="8"/>
        <v>28.5</v>
      </c>
      <c r="G121" s="5" t="s">
        <v>65</v>
      </c>
      <c r="H121" s="34">
        <v>1007</v>
      </c>
      <c r="I121" s="5" t="s">
        <v>93</v>
      </c>
      <c r="J121" s="16">
        <f t="shared" si="5"/>
        <v>40.66821251241312</v>
      </c>
    </row>
    <row r="122" spans="1:10" ht="15" hidden="1" customHeight="1" x14ac:dyDescent="0.3">
      <c r="A122" s="5" t="s">
        <v>3</v>
      </c>
      <c r="B122" s="5" t="s">
        <v>14</v>
      </c>
      <c r="C122" s="5" t="s">
        <v>64</v>
      </c>
      <c r="D122" s="5">
        <v>1</v>
      </c>
      <c r="E122" s="6">
        <v>0</v>
      </c>
      <c r="F122" s="6">
        <f t="shared" si="8"/>
        <v>0</v>
      </c>
      <c r="G122" s="5" t="s">
        <v>65</v>
      </c>
      <c r="H122" s="34">
        <v>1007</v>
      </c>
      <c r="I122" s="5" t="s">
        <v>93</v>
      </c>
      <c r="J122" s="16">
        <f t="shared" si="5"/>
        <v>40.66821251241312</v>
      </c>
    </row>
    <row r="123" spans="1:10" ht="15" hidden="1" customHeight="1" x14ac:dyDescent="0.3">
      <c r="A123" s="5" t="s">
        <v>3</v>
      </c>
      <c r="B123" s="5" t="s">
        <v>14</v>
      </c>
      <c r="C123" s="5" t="s">
        <v>73</v>
      </c>
      <c r="D123" s="5">
        <v>0</v>
      </c>
      <c r="E123" s="6">
        <v>0</v>
      </c>
      <c r="F123" s="6">
        <f t="shared" si="8"/>
        <v>0</v>
      </c>
      <c r="G123" s="5"/>
      <c r="H123" s="34">
        <v>1007</v>
      </c>
      <c r="I123" s="5" t="s">
        <v>93</v>
      </c>
      <c r="J123" s="16">
        <f t="shared" si="5"/>
        <v>40.66821251241312</v>
      </c>
    </row>
    <row r="124" spans="1:10" ht="15" hidden="1" customHeight="1" x14ac:dyDescent="0.3">
      <c r="A124" s="5" t="s">
        <v>3</v>
      </c>
      <c r="B124" s="5" t="s">
        <v>14</v>
      </c>
      <c r="C124" s="5" t="s">
        <v>89</v>
      </c>
      <c r="D124" s="5">
        <v>0</v>
      </c>
      <c r="E124" s="6">
        <v>0</v>
      </c>
      <c r="F124" s="6">
        <f t="shared" si="8"/>
        <v>0</v>
      </c>
      <c r="G124" s="5"/>
      <c r="H124" s="34">
        <v>1007</v>
      </c>
      <c r="I124" s="5" t="s">
        <v>93</v>
      </c>
      <c r="J124" s="16">
        <f t="shared" si="5"/>
        <v>40.66821251241312</v>
      </c>
    </row>
    <row r="125" spans="1:10" ht="15" hidden="1" customHeight="1" x14ac:dyDescent="0.3">
      <c r="A125" s="5" t="s">
        <v>3</v>
      </c>
      <c r="B125" s="5" t="s">
        <v>14</v>
      </c>
      <c r="C125" s="5" t="s">
        <v>96</v>
      </c>
      <c r="D125" s="5">
        <v>1</v>
      </c>
      <c r="E125" s="6">
        <v>4226.8</v>
      </c>
      <c r="F125" s="6">
        <f t="shared" si="8"/>
        <v>4226.8</v>
      </c>
      <c r="G125" s="5"/>
      <c r="H125" s="34">
        <v>1007</v>
      </c>
      <c r="I125" s="5" t="s">
        <v>93</v>
      </c>
      <c r="J125" s="16">
        <f t="shared" si="5"/>
        <v>40.66821251241312</v>
      </c>
    </row>
    <row r="126" spans="1:10" ht="15" hidden="1" customHeight="1" x14ac:dyDescent="0.3">
      <c r="A126" s="5" t="s">
        <v>3</v>
      </c>
      <c r="B126" s="5" t="s">
        <v>14</v>
      </c>
      <c r="C126" s="5" t="s">
        <v>97</v>
      </c>
      <c r="D126" s="5">
        <v>1</v>
      </c>
      <c r="E126" s="6">
        <v>2559.44</v>
      </c>
      <c r="F126" s="6">
        <f t="shared" si="8"/>
        <v>2559.44</v>
      </c>
      <c r="G126" s="5"/>
      <c r="H126" s="34">
        <v>1007</v>
      </c>
      <c r="I126" s="5" t="s">
        <v>93</v>
      </c>
      <c r="J126" s="16">
        <f t="shared" si="5"/>
        <v>40.66821251241312</v>
      </c>
    </row>
    <row r="127" spans="1:10" ht="15" hidden="1" customHeight="1" x14ac:dyDescent="0.3">
      <c r="A127" s="5" t="s">
        <v>3</v>
      </c>
      <c r="B127" s="5" t="s">
        <v>14</v>
      </c>
      <c r="C127" s="5" t="s">
        <v>98</v>
      </c>
      <c r="D127" s="5">
        <v>1</v>
      </c>
      <c r="E127" s="6">
        <v>1099.93</v>
      </c>
      <c r="F127" s="6">
        <f t="shared" si="8"/>
        <v>1099.93</v>
      </c>
      <c r="G127" s="5"/>
      <c r="H127" s="34">
        <v>1007</v>
      </c>
      <c r="I127" s="5" t="s">
        <v>93</v>
      </c>
      <c r="J127" s="16">
        <f t="shared" si="5"/>
        <v>40.66821251241312</v>
      </c>
    </row>
    <row r="128" spans="1:10" ht="15" hidden="1" customHeight="1" x14ac:dyDescent="0.3">
      <c r="A128" s="5" t="s">
        <v>3</v>
      </c>
      <c r="B128" s="5" t="s">
        <v>13</v>
      </c>
      <c r="C128" s="5" t="s">
        <v>99</v>
      </c>
      <c r="D128" s="5">
        <v>5</v>
      </c>
      <c r="E128" s="6">
        <v>15640.16</v>
      </c>
      <c r="F128" s="6">
        <f>E128</f>
        <v>15640.16</v>
      </c>
      <c r="G128" s="5"/>
      <c r="H128" s="34">
        <v>189453</v>
      </c>
      <c r="I128" s="5" t="s">
        <v>54</v>
      </c>
      <c r="J128" s="16">
        <f t="shared" si="5"/>
        <v>8.7142439691267323E-2</v>
      </c>
    </row>
    <row r="129" spans="1:10" ht="15" hidden="1" customHeight="1" x14ac:dyDescent="0.3">
      <c r="A129" s="5" t="s">
        <v>3</v>
      </c>
      <c r="B129" s="5" t="s">
        <v>13</v>
      </c>
      <c r="C129" s="5" t="s">
        <v>55</v>
      </c>
      <c r="D129" s="5">
        <v>5</v>
      </c>
      <c r="E129" s="6">
        <v>45.310244928992589</v>
      </c>
      <c r="F129" s="6">
        <f t="shared" ref="F129:F143" si="9">D129*E129</f>
        <v>226.55122464496293</v>
      </c>
      <c r="G129" s="5"/>
      <c r="H129" s="34">
        <v>189453</v>
      </c>
      <c r="I129" s="5" t="s">
        <v>54</v>
      </c>
      <c r="J129" s="16">
        <f t="shared" si="5"/>
        <v>8.7142439691267323E-2</v>
      </c>
    </row>
    <row r="130" spans="1:10" ht="15" hidden="1" customHeight="1" x14ac:dyDescent="0.3">
      <c r="A130" s="5" t="s">
        <v>3</v>
      </c>
      <c r="B130" s="5" t="s">
        <v>13</v>
      </c>
      <c r="C130" s="5" t="s">
        <v>26</v>
      </c>
      <c r="D130" s="5">
        <v>5</v>
      </c>
      <c r="E130" s="6">
        <v>24.798867924528299</v>
      </c>
      <c r="F130" s="6">
        <f t="shared" si="9"/>
        <v>123.99433962264149</v>
      </c>
      <c r="G130" s="5"/>
      <c r="H130" s="34">
        <v>189453</v>
      </c>
      <c r="I130" s="5" t="s">
        <v>54</v>
      </c>
      <c r="J130" s="16">
        <f t="shared" ref="J130:J193" si="10">IFERROR(SUMIFS($F$2:$F$1749,$A$2:$A$1749,A130,$B$2:$B$1749,B130)/H130,"")</f>
        <v>8.7142439691267323E-2</v>
      </c>
    </row>
    <row r="131" spans="1:10" ht="15" hidden="1" customHeight="1" x14ac:dyDescent="0.3">
      <c r="A131" s="5" t="s">
        <v>3</v>
      </c>
      <c r="B131" s="5" t="s">
        <v>13</v>
      </c>
      <c r="C131" s="5" t="s">
        <v>14</v>
      </c>
      <c r="D131" s="5">
        <v>5</v>
      </c>
      <c r="E131" s="6">
        <v>40.668212512413113</v>
      </c>
      <c r="F131" s="6">
        <f t="shared" si="9"/>
        <v>203.34106256206556</v>
      </c>
      <c r="G131" s="5"/>
      <c r="H131" s="34">
        <v>189453</v>
      </c>
      <c r="I131" s="5" t="s">
        <v>54</v>
      </c>
      <c r="J131" s="16">
        <f t="shared" si="10"/>
        <v>8.7142439691267323E-2</v>
      </c>
    </row>
    <row r="132" spans="1:10" ht="15" hidden="1" customHeight="1" x14ac:dyDescent="0.3">
      <c r="A132" s="5" t="s">
        <v>3</v>
      </c>
      <c r="B132" s="5" t="s">
        <v>13</v>
      </c>
      <c r="C132" s="5" t="s">
        <v>87</v>
      </c>
      <c r="D132" s="5">
        <v>5</v>
      </c>
      <c r="E132" s="6">
        <v>50</v>
      </c>
      <c r="F132" s="6">
        <f t="shared" si="9"/>
        <v>250</v>
      </c>
      <c r="G132" s="5"/>
      <c r="H132" s="34">
        <v>189453</v>
      </c>
      <c r="I132" s="5" t="s">
        <v>54</v>
      </c>
      <c r="J132" s="16">
        <f t="shared" si="10"/>
        <v>8.7142439691267323E-2</v>
      </c>
    </row>
    <row r="133" spans="1:10" ht="15" hidden="1" customHeight="1" x14ac:dyDescent="0.3">
      <c r="A133" s="5" t="s">
        <v>3</v>
      </c>
      <c r="B133" s="5" t="s">
        <v>13</v>
      </c>
      <c r="C133" s="5" t="s">
        <v>70</v>
      </c>
      <c r="D133" s="5">
        <v>0</v>
      </c>
      <c r="E133" s="6">
        <v>0</v>
      </c>
      <c r="F133" s="6">
        <f t="shared" si="9"/>
        <v>0</v>
      </c>
      <c r="G133" s="5"/>
      <c r="H133" s="34">
        <v>189453</v>
      </c>
      <c r="I133" s="5" t="s">
        <v>54</v>
      </c>
      <c r="J133" s="16">
        <f t="shared" si="10"/>
        <v>8.7142439691267323E-2</v>
      </c>
    </row>
    <row r="134" spans="1:10" ht="15" hidden="1" customHeight="1" x14ac:dyDescent="0.3">
      <c r="A134" s="5" t="s">
        <v>3</v>
      </c>
      <c r="B134" s="5" t="s">
        <v>13</v>
      </c>
      <c r="C134" s="5" t="s">
        <v>76</v>
      </c>
      <c r="D134" s="5">
        <v>0</v>
      </c>
      <c r="E134" s="6">
        <v>0</v>
      </c>
      <c r="F134" s="6">
        <f t="shared" si="9"/>
        <v>0</v>
      </c>
      <c r="G134" s="5"/>
      <c r="H134" s="34">
        <v>189453</v>
      </c>
      <c r="I134" s="5" t="s">
        <v>54</v>
      </c>
      <c r="J134" s="16">
        <f t="shared" si="10"/>
        <v>8.7142439691267323E-2</v>
      </c>
    </row>
    <row r="135" spans="1:10" ht="15" hidden="1" customHeight="1" x14ac:dyDescent="0.3">
      <c r="A135" s="5" t="s">
        <v>3</v>
      </c>
      <c r="B135" s="5" t="s">
        <v>13</v>
      </c>
      <c r="C135" s="5" t="s">
        <v>71</v>
      </c>
      <c r="D135" s="5">
        <v>0</v>
      </c>
      <c r="E135" s="6">
        <v>0</v>
      </c>
      <c r="F135" s="6">
        <f t="shared" si="9"/>
        <v>0</v>
      </c>
      <c r="G135" s="5"/>
      <c r="H135" s="34">
        <v>189453</v>
      </c>
      <c r="I135" s="5" t="s">
        <v>54</v>
      </c>
      <c r="J135" s="16">
        <f t="shared" si="10"/>
        <v>8.7142439691267323E-2</v>
      </c>
    </row>
    <row r="136" spans="1:10" ht="15" hidden="1" customHeight="1" x14ac:dyDescent="0.3">
      <c r="A136" s="5" t="s">
        <v>3</v>
      </c>
      <c r="B136" s="5" t="s">
        <v>13</v>
      </c>
      <c r="C136" s="5" t="s">
        <v>83</v>
      </c>
      <c r="D136" s="5">
        <v>0</v>
      </c>
      <c r="E136" s="6">
        <v>0</v>
      </c>
      <c r="F136" s="6">
        <f t="shared" si="9"/>
        <v>0</v>
      </c>
      <c r="G136" s="5"/>
      <c r="H136" s="34">
        <v>189453</v>
      </c>
      <c r="I136" s="5" t="s">
        <v>54</v>
      </c>
      <c r="J136" s="16">
        <f t="shared" si="10"/>
        <v>8.7142439691267323E-2</v>
      </c>
    </row>
    <row r="137" spans="1:10" ht="15" hidden="1" customHeight="1" x14ac:dyDescent="0.3">
      <c r="A137" s="5" t="s">
        <v>3</v>
      </c>
      <c r="B137" s="5" t="s">
        <v>13</v>
      </c>
      <c r="C137" s="5" t="s">
        <v>58</v>
      </c>
      <c r="D137" s="5">
        <v>5</v>
      </c>
      <c r="E137" s="6">
        <v>10.15</v>
      </c>
      <c r="F137" s="6">
        <f t="shared" si="9"/>
        <v>50.75</v>
      </c>
      <c r="G137" s="5"/>
      <c r="H137" s="34">
        <v>189453</v>
      </c>
      <c r="I137" s="5" t="s">
        <v>54</v>
      </c>
      <c r="J137" s="16">
        <f t="shared" si="10"/>
        <v>8.7142439691267323E-2</v>
      </c>
    </row>
    <row r="138" spans="1:10" ht="15" hidden="1" customHeight="1" x14ac:dyDescent="0.3">
      <c r="A138" s="5" t="s">
        <v>3</v>
      </c>
      <c r="B138" s="5" t="s">
        <v>13</v>
      </c>
      <c r="C138" s="5" t="s">
        <v>59</v>
      </c>
      <c r="D138" s="5">
        <v>5</v>
      </c>
      <c r="E138" s="6">
        <v>2.92</v>
      </c>
      <c r="F138" s="6">
        <f t="shared" si="9"/>
        <v>14.6</v>
      </c>
      <c r="G138" s="5"/>
      <c r="H138" s="34">
        <v>189453</v>
      </c>
      <c r="I138" s="5" t="s">
        <v>54</v>
      </c>
      <c r="J138" s="16">
        <f t="shared" si="10"/>
        <v>8.7142439691267323E-2</v>
      </c>
    </row>
    <row r="139" spans="1:10" ht="15" hidden="1" customHeight="1" x14ac:dyDescent="0.3">
      <c r="A139" s="5" t="s">
        <v>3</v>
      </c>
      <c r="B139" s="5" t="s">
        <v>13</v>
      </c>
      <c r="C139" s="5" t="s">
        <v>74</v>
      </c>
      <c r="D139" s="5">
        <v>0</v>
      </c>
      <c r="E139" s="6">
        <v>0</v>
      </c>
      <c r="F139" s="6">
        <f t="shared" si="9"/>
        <v>0</v>
      </c>
      <c r="G139" s="5"/>
      <c r="H139" s="34">
        <v>189453</v>
      </c>
      <c r="I139" s="5" t="s">
        <v>54</v>
      </c>
      <c r="J139" s="16">
        <f t="shared" si="10"/>
        <v>8.7142439691267323E-2</v>
      </c>
    </row>
    <row r="140" spans="1:10" ht="15" hidden="1" customHeight="1" x14ac:dyDescent="0.3">
      <c r="A140" s="5" t="s">
        <v>3</v>
      </c>
      <c r="B140" s="5" t="s">
        <v>13</v>
      </c>
      <c r="C140" s="5" t="s">
        <v>62</v>
      </c>
      <c r="D140" s="5">
        <v>0</v>
      </c>
      <c r="E140" s="6">
        <v>0</v>
      </c>
      <c r="F140" s="6">
        <f t="shared" si="9"/>
        <v>0</v>
      </c>
      <c r="G140" s="5"/>
      <c r="H140" s="34">
        <v>189453</v>
      </c>
      <c r="I140" s="5" t="s">
        <v>54</v>
      </c>
      <c r="J140" s="16">
        <f t="shared" si="10"/>
        <v>8.7142439691267323E-2</v>
      </c>
    </row>
    <row r="141" spans="1:10" ht="15" hidden="1" customHeight="1" x14ac:dyDescent="0.3">
      <c r="A141" s="5" t="s">
        <v>3</v>
      </c>
      <c r="B141" s="5" t="s">
        <v>13</v>
      </c>
      <c r="C141" s="5" t="s">
        <v>75</v>
      </c>
      <c r="D141" s="5">
        <v>0</v>
      </c>
      <c r="E141" s="6">
        <v>0</v>
      </c>
      <c r="F141" s="6">
        <f t="shared" si="9"/>
        <v>0</v>
      </c>
      <c r="G141" s="5"/>
      <c r="H141" s="34">
        <v>189453</v>
      </c>
      <c r="I141" s="5" t="s">
        <v>54</v>
      </c>
      <c r="J141" s="16">
        <f t="shared" si="10"/>
        <v>8.7142439691267323E-2</v>
      </c>
    </row>
    <row r="142" spans="1:10" ht="15" hidden="1" customHeight="1" x14ac:dyDescent="0.3">
      <c r="A142" s="5" t="s">
        <v>3</v>
      </c>
      <c r="B142" s="5" t="s">
        <v>13</v>
      </c>
      <c r="C142" s="5" t="s">
        <v>64</v>
      </c>
      <c r="D142" s="5">
        <v>0</v>
      </c>
      <c r="E142" s="6">
        <v>0</v>
      </c>
      <c r="F142" s="6">
        <f t="shared" si="9"/>
        <v>0</v>
      </c>
      <c r="G142" s="5"/>
      <c r="H142" s="34">
        <v>189453</v>
      </c>
      <c r="I142" s="5" t="s">
        <v>54</v>
      </c>
      <c r="J142" s="16">
        <f t="shared" si="10"/>
        <v>8.7142439691267323E-2</v>
      </c>
    </row>
    <row r="143" spans="1:10" ht="15" hidden="1" customHeight="1" x14ac:dyDescent="0.3">
      <c r="A143" s="5" t="s">
        <v>3</v>
      </c>
      <c r="B143" s="5" t="s">
        <v>13</v>
      </c>
      <c r="C143" s="5" t="s">
        <v>67</v>
      </c>
      <c r="D143" s="5">
        <v>0</v>
      </c>
      <c r="E143" s="6">
        <v>0</v>
      </c>
      <c r="F143" s="6">
        <f t="shared" si="9"/>
        <v>0</v>
      </c>
      <c r="G143" s="5"/>
      <c r="H143" s="34">
        <v>189453</v>
      </c>
      <c r="I143" s="5" t="s">
        <v>54</v>
      </c>
      <c r="J143" s="16">
        <f t="shared" si="10"/>
        <v>8.7142439691267323E-2</v>
      </c>
    </row>
    <row r="144" spans="1:10" ht="15" hidden="1" customHeight="1" x14ac:dyDescent="0.3">
      <c r="A144" s="5" t="s">
        <v>3</v>
      </c>
      <c r="B144" s="5" t="s">
        <v>15</v>
      </c>
      <c r="C144" s="5" t="s">
        <v>100</v>
      </c>
      <c r="D144" s="5">
        <v>10</v>
      </c>
      <c r="E144" s="6">
        <v>0</v>
      </c>
      <c r="F144" s="6">
        <f>E144</f>
        <v>0</v>
      </c>
      <c r="G144" s="5"/>
      <c r="H144" s="34">
        <v>176152</v>
      </c>
      <c r="I144" s="5" t="s">
        <v>82</v>
      </c>
      <c r="J144" s="16">
        <f t="shared" si="10"/>
        <v>0.15867144996173385</v>
      </c>
    </row>
    <row r="145" spans="1:10" ht="15" hidden="1" customHeight="1" x14ac:dyDescent="0.3">
      <c r="A145" s="5" t="s">
        <v>3</v>
      </c>
      <c r="B145" s="5" t="s">
        <v>15</v>
      </c>
      <c r="C145" s="5" t="s">
        <v>55</v>
      </c>
      <c r="D145" s="5">
        <v>10</v>
      </c>
      <c r="E145" s="6">
        <v>45.310244928992589</v>
      </c>
      <c r="F145" s="6">
        <f t="shared" ref="F145:F168" si="11">D145*E145</f>
        <v>453.10244928992586</v>
      </c>
      <c r="G145" s="5"/>
      <c r="H145" s="34">
        <v>176152</v>
      </c>
      <c r="I145" s="5" t="s">
        <v>82</v>
      </c>
      <c r="J145" s="16">
        <f t="shared" si="10"/>
        <v>0.15867144996173385</v>
      </c>
    </row>
    <row r="146" spans="1:10" ht="15" hidden="1" customHeight="1" x14ac:dyDescent="0.3">
      <c r="A146" s="5" t="s">
        <v>3</v>
      </c>
      <c r="B146" s="5" t="s">
        <v>15</v>
      </c>
      <c r="C146" s="5" t="s">
        <v>26</v>
      </c>
      <c r="D146" s="5">
        <v>10</v>
      </c>
      <c r="E146" s="6">
        <v>24.798867924528299</v>
      </c>
      <c r="F146" s="6">
        <f t="shared" si="11"/>
        <v>247.98867924528298</v>
      </c>
      <c r="G146" s="5"/>
      <c r="H146" s="34">
        <v>176152</v>
      </c>
      <c r="I146" s="5" t="s">
        <v>82</v>
      </c>
      <c r="J146" s="16">
        <f t="shared" si="10"/>
        <v>0.15867144996173385</v>
      </c>
    </row>
    <row r="147" spans="1:10" ht="15" hidden="1" customHeight="1" x14ac:dyDescent="0.3">
      <c r="A147" s="5" t="s">
        <v>3</v>
      </c>
      <c r="B147" s="5" t="s">
        <v>15</v>
      </c>
      <c r="C147" s="5" t="s">
        <v>14</v>
      </c>
      <c r="D147" s="5">
        <v>10</v>
      </c>
      <c r="E147" s="6">
        <v>40.668212512413113</v>
      </c>
      <c r="F147" s="6">
        <f t="shared" si="11"/>
        <v>406.68212512413112</v>
      </c>
      <c r="G147" s="5"/>
      <c r="H147" s="34">
        <v>176152</v>
      </c>
      <c r="I147" s="5" t="s">
        <v>82</v>
      </c>
      <c r="J147" s="16">
        <f t="shared" si="10"/>
        <v>0.15867144996173385</v>
      </c>
    </row>
    <row r="148" spans="1:10" ht="15" hidden="1" customHeight="1" x14ac:dyDescent="0.3">
      <c r="A148" s="5" t="s">
        <v>3</v>
      </c>
      <c r="B148" s="5" t="s">
        <v>15</v>
      </c>
      <c r="C148" s="5" t="s">
        <v>56</v>
      </c>
      <c r="D148" s="5">
        <v>11</v>
      </c>
      <c r="E148" s="6">
        <v>50</v>
      </c>
      <c r="F148" s="6">
        <f t="shared" si="11"/>
        <v>550</v>
      </c>
      <c r="G148" s="5"/>
      <c r="H148" s="34">
        <v>176152</v>
      </c>
      <c r="I148" s="5" t="s">
        <v>82</v>
      </c>
      <c r="J148" s="16">
        <f t="shared" si="10"/>
        <v>0.15867144996173385</v>
      </c>
    </row>
    <row r="149" spans="1:10" ht="15" hidden="1" customHeight="1" x14ac:dyDescent="0.3">
      <c r="A149" s="5" t="s">
        <v>3</v>
      </c>
      <c r="B149" s="5" t="s">
        <v>15</v>
      </c>
      <c r="C149" s="5" t="s">
        <v>70</v>
      </c>
      <c r="D149" s="5">
        <v>0</v>
      </c>
      <c r="E149" s="6">
        <v>0</v>
      </c>
      <c r="F149" s="6">
        <f t="shared" si="11"/>
        <v>0</v>
      </c>
      <c r="G149" s="5"/>
      <c r="H149" s="34">
        <v>176152</v>
      </c>
      <c r="I149" s="5" t="s">
        <v>82</v>
      </c>
      <c r="J149" s="16">
        <f t="shared" si="10"/>
        <v>0.15867144996173385</v>
      </c>
    </row>
    <row r="150" spans="1:10" ht="15" hidden="1" customHeight="1" x14ac:dyDescent="0.3">
      <c r="A150" s="5" t="s">
        <v>3</v>
      </c>
      <c r="B150" s="5" t="s">
        <v>15</v>
      </c>
      <c r="C150" s="5" t="s">
        <v>76</v>
      </c>
      <c r="D150" s="5">
        <v>8</v>
      </c>
      <c r="E150" s="6">
        <v>30</v>
      </c>
      <c r="F150" s="6">
        <f t="shared" si="11"/>
        <v>240</v>
      </c>
      <c r="G150" s="5"/>
      <c r="H150" s="34">
        <v>176152</v>
      </c>
      <c r="I150" s="5" t="s">
        <v>82</v>
      </c>
      <c r="J150" s="16">
        <f t="shared" si="10"/>
        <v>0.15867144996173385</v>
      </c>
    </row>
    <row r="151" spans="1:10" ht="15" hidden="1" customHeight="1" x14ac:dyDescent="0.3">
      <c r="A151" s="5" t="s">
        <v>3</v>
      </c>
      <c r="B151" s="5" t="s">
        <v>15</v>
      </c>
      <c r="C151" s="5" t="s">
        <v>72</v>
      </c>
      <c r="D151" s="5">
        <v>1</v>
      </c>
      <c r="E151" s="6">
        <v>128.68</v>
      </c>
      <c r="F151" s="6">
        <f t="shared" si="11"/>
        <v>128.68</v>
      </c>
      <c r="G151" s="5"/>
      <c r="H151" s="34">
        <v>176152</v>
      </c>
      <c r="I151" s="5" t="s">
        <v>82</v>
      </c>
      <c r="J151" s="16">
        <f t="shared" si="10"/>
        <v>0.15867144996173385</v>
      </c>
    </row>
    <row r="152" spans="1:10" ht="15" hidden="1" customHeight="1" x14ac:dyDescent="0.3">
      <c r="A152" s="5" t="s">
        <v>3</v>
      </c>
      <c r="B152" s="5" t="s">
        <v>15</v>
      </c>
      <c r="C152" s="5" t="s">
        <v>101</v>
      </c>
      <c r="D152" s="5">
        <v>1</v>
      </c>
      <c r="E152" s="6">
        <v>666.2</v>
      </c>
      <c r="F152" s="6">
        <f t="shared" si="11"/>
        <v>666.2</v>
      </c>
      <c r="G152" s="5"/>
      <c r="H152" s="34">
        <v>176152</v>
      </c>
      <c r="I152" s="5" t="s">
        <v>82</v>
      </c>
      <c r="J152" s="16">
        <f t="shared" si="10"/>
        <v>0.15867144996173385</v>
      </c>
    </row>
    <row r="153" spans="1:10" ht="15" hidden="1" customHeight="1" x14ac:dyDescent="0.3">
      <c r="A153" s="5" t="s">
        <v>3</v>
      </c>
      <c r="B153" s="5" t="s">
        <v>15</v>
      </c>
      <c r="C153" s="5" t="s">
        <v>58</v>
      </c>
      <c r="D153" s="5">
        <v>10</v>
      </c>
      <c r="E153" s="6">
        <v>11.37</v>
      </c>
      <c r="F153" s="6">
        <f t="shared" si="11"/>
        <v>113.69999999999999</v>
      </c>
      <c r="G153" s="5"/>
      <c r="H153" s="34">
        <v>176152</v>
      </c>
      <c r="I153" s="5" t="s">
        <v>82</v>
      </c>
      <c r="J153" s="16">
        <f t="shared" si="10"/>
        <v>0.15867144996173385</v>
      </c>
    </row>
    <row r="154" spans="1:10" ht="15" hidden="1" customHeight="1" x14ac:dyDescent="0.3">
      <c r="A154" s="5" t="s">
        <v>3</v>
      </c>
      <c r="B154" s="5" t="s">
        <v>15</v>
      </c>
      <c r="C154" s="5" t="s">
        <v>59</v>
      </c>
      <c r="D154" s="5">
        <v>10</v>
      </c>
      <c r="E154" s="6">
        <v>2.2400000000000002</v>
      </c>
      <c r="F154" s="6">
        <f t="shared" si="11"/>
        <v>22.400000000000002</v>
      </c>
      <c r="G154" s="5"/>
      <c r="H154" s="34">
        <v>176152</v>
      </c>
      <c r="I154" s="5" t="s">
        <v>82</v>
      </c>
      <c r="J154" s="16">
        <f t="shared" si="10"/>
        <v>0.15867144996173385</v>
      </c>
    </row>
    <row r="155" spans="1:10" ht="15" hidden="1" customHeight="1" x14ac:dyDescent="0.3">
      <c r="A155" s="5" t="s">
        <v>3</v>
      </c>
      <c r="B155" s="5" t="s">
        <v>15</v>
      </c>
      <c r="C155" s="5" t="s">
        <v>102</v>
      </c>
      <c r="D155" s="5">
        <v>1</v>
      </c>
      <c r="E155" s="6">
        <v>0</v>
      </c>
      <c r="F155" s="6">
        <f t="shared" si="11"/>
        <v>0</v>
      </c>
      <c r="G155" s="5"/>
      <c r="H155" s="34">
        <v>176152</v>
      </c>
      <c r="I155" s="5" t="s">
        <v>82</v>
      </c>
      <c r="J155" s="16">
        <f t="shared" si="10"/>
        <v>0.15867144996173385</v>
      </c>
    </row>
    <row r="156" spans="1:10" ht="15" hidden="1" customHeight="1" x14ac:dyDescent="0.3">
      <c r="A156" s="5" t="s">
        <v>3</v>
      </c>
      <c r="B156" s="5" t="s">
        <v>15</v>
      </c>
      <c r="C156" s="5" t="s">
        <v>103</v>
      </c>
      <c r="D156" s="5">
        <v>1</v>
      </c>
      <c r="E156" s="6">
        <v>0</v>
      </c>
      <c r="F156" s="6">
        <f t="shared" si="11"/>
        <v>0</v>
      </c>
      <c r="G156" s="5"/>
      <c r="H156" s="34">
        <v>176152</v>
      </c>
      <c r="I156" s="5" t="s">
        <v>82</v>
      </c>
      <c r="J156" s="16">
        <f t="shared" si="10"/>
        <v>0.15867144996173385</v>
      </c>
    </row>
    <row r="157" spans="1:10" ht="15" hidden="1" customHeight="1" x14ac:dyDescent="0.3">
      <c r="A157" s="5" t="s">
        <v>3</v>
      </c>
      <c r="B157" s="5" t="s">
        <v>15</v>
      </c>
      <c r="C157" s="5" t="s">
        <v>104</v>
      </c>
      <c r="D157" s="5">
        <v>0</v>
      </c>
      <c r="E157" s="6">
        <v>0</v>
      </c>
      <c r="F157" s="6">
        <f t="shared" si="11"/>
        <v>0</v>
      </c>
      <c r="G157" s="5"/>
      <c r="H157" s="34">
        <v>176152</v>
      </c>
      <c r="I157" s="5" t="s">
        <v>82</v>
      </c>
      <c r="J157" s="16">
        <f t="shared" si="10"/>
        <v>0.15867144996173385</v>
      </c>
    </row>
    <row r="158" spans="1:10" ht="15" hidden="1" customHeight="1" x14ac:dyDescent="0.3">
      <c r="A158" s="5" t="s">
        <v>3</v>
      </c>
      <c r="B158" s="5" t="s">
        <v>15</v>
      </c>
      <c r="C158" s="5" t="s">
        <v>74</v>
      </c>
      <c r="D158" s="5">
        <v>0</v>
      </c>
      <c r="E158" s="6">
        <v>0</v>
      </c>
      <c r="F158" s="6">
        <f t="shared" si="11"/>
        <v>0</v>
      </c>
      <c r="G158" s="5"/>
      <c r="H158" s="34">
        <v>176152</v>
      </c>
      <c r="I158" s="5" t="s">
        <v>82</v>
      </c>
      <c r="J158" s="16">
        <f t="shared" si="10"/>
        <v>0.15867144996173385</v>
      </c>
    </row>
    <row r="159" spans="1:10" ht="15" hidden="1" customHeight="1" x14ac:dyDescent="0.3">
      <c r="A159" s="5" t="s">
        <v>3</v>
      </c>
      <c r="B159" s="5" t="s">
        <v>15</v>
      </c>
      <c r="C159" s="5" t="s">
        <v>62</v>
      </c>
      <c r="D159" s="5">
        <v>0</v>
      </c>
      <c r="E159" s="6">
        <v>0</v>
      </c>
      <c r="F159" s="6">
        <f t="shared" si="11"/>
        <v>0</v>
      </c>
      <c r="G159" s="5"/>
      <c r="H159" s="34">
        <v>176152</v>
      </c>
      <c r="I159" s="5" t="s">
        <v>82</v>
      </c>
      <c r="J159" s="16">
        <f t="shared" si="10"/>
        <v>0.15867144996173385</v>
      </c>
    </row>
    <row r="160" spans="1:10" ht="15" hidden="1" customHeight="1" x14ac:dyDescent="0.3">
      <c r="A160" s="5" t="s">
        <v>3</v>
      </c>
      <c r="B160" s="5" t="s">
        <v>15</v>
      </c>
      <c r="C160" s="5" t="s">
        <v>105</v>
      </c>
      <c r="D160" s="5">
        <v>1</v>
      </c>
      <c r="E160" s="6">
        <v>25121.54</v>
      </c>
      <c r="F160" s="6">
        <f t="shared" si="11"/>
        <v>25121.54</v>
      </c>
      <c r="G160" s="5"/>
      <c r="H160" s="34">
        <v>176152</v>
      </c>
      <c r="I160" s="5" t="s">
        <v>82</v>
      </c>
      <c r="J160" s="16">
        <f t="shared" si="10"/>
        <v>0.15867144996173385</v>
      </c>
    </row>
    <row r="161" spans="1:10" ht="15" hidden="1" customHeight="1" x14ac:dyDescent="0.3">
      <c r="A161" s="5" t="s">
        <v>3</v>
      </c>
      <c r="B161" s="5" t="s">
        <v>15</v>
      </c>
      <c r="C161" s="5" t="s">
        <v>60</v>
      </c>
      <c r="D161" s="5">
        <v>0</v>
      </c>
      <c r="E161" s="6">
        <v>0</v>
      </c>
      <c r="F161" s="6">
        <f t="shared" si="11"/>
        <v>0</v>
      </c>
      <c r="G161" s="5"/>
      <c r="H161" s="34">
        <v>176152</v>
      </c>
      <c r="I161" s="5" t="s">
        <v>82</v>
      </c>
      <c r="J161" s="16">
        <f t="shared" si="10"/>
        <v>0.15867144996173385</v>
      </c>
    </row>
    <row r="162" spans="1:10" ht="15" hidden="1" customHeight="1" x14ac:dyDescent="0.3">
      <c r="A162" s="5" t="s">
        <v>3</v>
      </c>
      <c r="B162" s="5" t="s">
        <v>15</v>
      </c>
      <c r="C162" s="5" t="s">
        <v>84</v>
      </c>
      <c r="D162" s="5">
        <v>0</v>
      </c>
      <c r="E162" s="6">
        <v>0</v>
      </c>
      <c r="F162" s="6">
        <f t="shared" si="11"/>
        <v>0</v>
      </c>
      <c r="G162" s="5"/>
      <c r="H162" s="34">
        <v>176152</v>
      </c>
      <c r="I162" s="5" t="s">
        <v>82</v>
      </c>
      <c r="J162" s="16">
        <f t="shared" si="10"/>
        <v>0.15867144996173385</v>
      </c>
    </row>
    <row r="163" spans="1:10" ht="15" hidden="1" customHeight="1" x14ac:dyDescent="0.3">
      <c r="A163" s="5" t="s">
        <v>3</v>
      </c>
      <c r="B163" s="5" t="s">
        <v>15</v>
      </c>
      <c r="C163" s="5" t="s">
        <v>75</v>
      </c>
      <c r="D163" s="5">
        <v>1</v>
      </c>
      <c r="E163" s="6">
        <v>0</v>
      </c>
      <c r="F163" s="6">
        <f t="shared" si="11"/>
        <v>0</v>
      </c>
      <c r="G163" s="5"/>
      <c r="H163" s="34">
        <v>176152</v>
      </c>
      <c r="I163" s="5" t="s">
        <v>82</v>
      </c>
      <c r="J163" s="16">
        <f t="shared" si="10"/>
        <v>0.15867144996173385</v>
      </c>
    </row>
    <row r="164" spans="1:10" ht="15" hidden="1" customHeight="1" x14ac:dyDescent="0.3">
      <c r="A164" s="5" t="s">
        <v>3</v>
      </c>
      <c r="B164" s="5" t="s">
        <v>15</v>
      </c>
      <c r="C164" s="5" t="s">
        <v>64</v>
      </c>
      <c r="D164" s="5">
        <v>1</v>
      </c>
      <c r="E164" s="6">
        <v>0</v>
      </c>
      <c r="F164" s="6">
        <f t="shared" si="11"/>
        <v>0</v>
      </c>
      <c r="G164" s="5"/>
      <c r="H164" s="34">
        <v>176152</v>
      </c>
      <c r="I164" s="5" t="s">
        <v>82</v>
      </c>
      <c r="J164" s="16">
        <f t="shared" si="10"/>
        <v>0.15867144996173385</v>
      </c>
    </row>
    <row r="165" spans="1:10" ht="15" hidden="1" customHeight="1" x14ac:dyDescent="0.3">
      <c r="A165" s="5" t="s">
        <v>3</v>
      </c>
      <c r="B165" s="5" t="s">
        <v>15</v>
      </c>
      <c r="C165" s="5" t="s">
        <v>67</v>
      </c>
      <c r="D165" s="5">
        <v>1</v>
      </c>
      <c r="E165" s="6">
        <v>0</v>
      </c>
      <c r="F165" s="6">
        <f t="shared" si="11"/>
        <v>0</v>
      </c>
      <c r="G165" s="5"/>
      <c r="H165" s="34">
        <v>176152</v>
      </c>
      <c r="I165" s="5" t="s">
        <v>82</v>
      </c>
      <c r="J165" s="16">
        <f t="shared" si="10"/>
        <v>0.15867144996173385</v>
      </c>
    </row>
    <row r="166" spans="1:10" ht="15" hidden="1" customHeight="1" x14ac:dyDescent="0.3">
      <c r="A166" s="5" t="s">
        <v>3</v>
      </c>
      <c r="B166" s="5" t="s">
        <v>15</v>
      </c>
      <c r="C166" s="5" t="s">
        <v>86</v>
      </c>
      <c r="D166" s="5">
        <v>1</v>
      </c>
      <c r="E166" s="6">
        <v>0</v>
      </c>
      <c r="F166" s="6">
        <f t="shared" si="11"/>
        <v>0</v>
      </c>
      <c r="G166" s="5"/>
      <c r="H166" s="34">
        <v>176152</v>
      </c>
      <c r="I166" s="5" t="s">
        <v>82</v>
      </c>
      <c r="J166" s="16">
        <f t="shared" si="10"/>
        <v>0.15867144996173385</v>
      </c>
    </row>
    <row r="167" spans="1:10" ht="15" hidden="1" customHeight="1" x14ac:dyDescent="0.3">
      <c r="A167" s="5" t="s">
        <v>3</v>
      </c>
      <c r="B167" s="5" t="s">
        <v>15</v>
      </c>
      <c r="C167" s="5" t="s">
        <v>106</v>
      </c>
      <c r="D167" s="5">
        <v>1</v>
      </c>
      <c r="E167" s="6">
        <v>0</v>
      </c>
      <c r="F167" s="6">
        <f t="shared" si="11"/>
        <v>0</v>
      </c>
      <c r="G167" s="5"/>
      <c r="H167" s="34">
        <v>176152</v>
      </c>
      <c r="I167" s="5" t="s">
        <v>82</v>
      </c>
      <c r="J167" s="16">
        <f t="shared" si="10"/>
        <v>0.15867144996173385</v>
      </c>
    </row>
    <row r="168" spans="1:10" ht="15" hidden="1" customHeight="1" x14ac:dyDescent="0.3">
      <c r="A168" s="5" t="s">
        <v>3</v>
      </c>
      <c r="B168" s="5" t="s">
        <v>15</v>
      </c>
      <c r="C168" s="5" t="s">
        <v>107</v>
      </c>
      <c r="D168" s="5">
        <v>1</v>
      </c>
      <c r="E168" s="6">
        <v>0</v>
      </c>
      <c r="F168" s="6">
        <f t="shared" si="11"/>
        <v>0</v>
      </c>
      <c r="G168" s="5"/>
      <c r="H168" s="34">
        <v>176152</v>
      </c>
      <c r="I168" s="5" t="s">
        <v>82</v>
      </c>
      <c r="J168" s="16">
        <f t="shared" si="10"/>
        <v>0.15867144996173385</v>
      </c>
    </row>
    <row r="169" spans="1:10" ht="15" hidden="1" customHeight="1" x14ac:dyDescent="0.3">
      <c r="A169" s="5" t="s">
        <v>3</v>
      </c>
      <c r="B169" s="5" t="s">
        <v>17</v>
      </c>
      <c r="C169" s="5" t="s">
        <v>108</v>
      </c>
      <c r="D169" s="5">
        <v>48</v>
      </c>
      <c r="E169" s="6">
        <v>0</v>
      </c>
      <c r="F169" s="6">
        <f>E169</f>
        <v>0</v>
      </c>
      <c r="G169" s="5"/>
      <c r="H169" s="34">
        <v>176152</v>
      </c>
      <c r="I169" s="5" t="s">
        <v>82</v>
      </c>
      <c r="J169" s="16">
        <f t="shared" si="10"/>
        <v>4.8808254334692949E-2</v>
      </c>
    </row>
    <row r="170" spans="1:10" ht="15" hidden="1" customHeight="1" x14ac:dyDescent="0.3">
      <c r="A170" s="5" t="s">
        <v>3</v>
      </c>
      <c r="B170" s="5" t="s">
        <v>17</v>
      </c>
      <c r="C170" s="5" t="s">
        <v>55</v>
      </c>
      <c r="D170" s="5">
        <v>48</v>
      </c>
      <c r="E170" s="6">
        <v>45.310244928992589</v>
      </c>
      <c r="F170" s="6">
        <f t="shared" ref="F170:F187" si="12">D170*E170</f>
        <v>2174.8917565916445</v>
      </c>
      <c r="G170" s="5"/>
      <c r="H170" s="34">
        <v>176152</v>
      </c>
      <c r="I170" s="5" t="s">
        <v>82</v>
      </c>
      <c r="J170" s="16">
        <f t="shared" si="10"/>
        <v>4.8808254334692949E-2</v>
      </c>
    </row>
    <row r="171" spans="1:10" ht="15" hidden="1" customHeight="1" x14ac:dyDescent="0.3">
      <c r="A171" s="5" t="s">
        <v>3</v>
      </c>
      <c r="B171" s="5" t="s">
        <v>17</v>
      </c>
      <c r="C171" s="5" t="s">
        <v>26</v>
      </c>
      <c r="D171" s="5">
        <v>48</v>
      </c>
      <c r="E171" s="6">
        <v>24.798867924528299</v>
      </c>
      <c r="F171" s="6">
        <f t="shared" si="12"/>
        <v>1190.3456603773584</v>
      </c>
      <c r="G171" s="5"/>
      <c r="H171" s="34">
        <v>176152</v>
      </c>
      <c r="I171" s="5" t="s">
        <v>82</v>
      </c>
      <c r="J171" s="16">
        <f t="shared" si="10"/>
        <v>4.8808254334692949E-2</v>
      </c>
    </row>
    <row r="172" spans="1:10" ht="15" hidden="1" customHeight="1" x14ac:dyDescent="0.3">
      <c r="A172" s="5" t="s">
        <v>3</v>
      </c>
      <c r="B172" s="5" t="s">
        <v>17</v>
      </c>
      <c r="C172" s="5" t="s">
        <v>14</v>
      </c>
      <c r="D172" s="5">
        <v>48</v>
      </c>
      <c r="E172" s="6">
        <v>40.668212512413113</v>
      </c>
      <c r="F172" s="6">
        <f t="shared" si="12"/>
        <v>1952.0742005958296</v>
      </c>
      <c r="G172" s="5"/>
      <c r="H172" s="34">
        <v>176152</v>
      </c>
      <c r="I172" s="5" t="s">
        <v>82</v>
      </c>
      <c r="J172" s="16">
        <f t="shared" si="10"/>
        <v>4.8808254334692949E-2</v>
      </c>
    </row>
    <row r="173" spans="1:10" ht="15" hidden="1" customHeight="1" x14ac:dyDescent="0.3">
      <c r="A173" s="5" t="s">
        <v>3</v>
      </c>
      <c r="B173" s="5" t="s">
        <v>17</v>
      </c>
      <c r="C173" s="5" t="s">
        <v>56</v>
      </c>
      <c r="D173" s="5">
        <v>1</v>
      </c>
      <c r="E173" s="6">
        <v>50</v>
      </c>
      <c r="F173" s="6">
        <f t="shared" si="12"/>
        <v>50</v>
      </c>
      <c r="G173" s="5"/>
      <c r="H173" s="34">
        <v>176152</v>
      </c>
      <c r="I173" s="5" t="s">
        <v>82</v>
      </c>
      <c r="J173" s="16">
        <f t="shared" si="10"/>
        <v>4.8808254334692949E-2</v>
      </c>
    </row>
    <row r="174" spans="1:10" ht="15" hidden="1" customHeight="1" x14ac:dyDescent="0.3">
      <c r="A174" s="5" t="s">
        <v>3</v>
      </c>
      <c r="B174" s="5" t="s">
        <v>17</v>
      </c>
      <c r="C174" s="5" t="s">
        <v>70</v>
      </c>
      <c r="D174" s="5">
        <v>1</v>
      </c>
      <c r="E174" s="6">
        <v>1343</v>
      </c>
      <c r="F174" s="6">
        <f t="shared" si="12"/>
        <v>1343</v>
      </c>
      <c r="G174" s="5"/>
      <c r="H174" s="34">
        <v>176152</v>
      </c>
      <c r="I174" s="5" t="s">
        <v>82</v>
      </c>
      <c r="J174" s="16">
        <f t="shared" si="10"/>
        <v>4.8808254334692949E-2</v>
      </c>
    </row>
    <row r="175" spans="1:10" ht="15" hidden="1" customHeight="1" x14ac:dyDescent="0.3">
      <c r="A175" s="5" t="s">
        <v>3</v>
      </c>
      <c r="B175" s="5" t="s">
        <v>17</v>
      </c>
      <c r="C175" s="5" t="s">
        <v>76</v>
      </c>
      <c r="D175" s="5">
        <v>39</v>
      </c>
      <c r="E175" s="6">
        <v>30</v>
      </c>
      <c r="F175" s="6">
        <f t="shared" si="12"/>
        <v>1170</v>
      </c>
      <c r="G175" s="5"/>
      <c r="H175" s="34">
        <v>176152</v>
      </c>
      <c r="I175" s="5" t="s">
        <v>82</v>
      </c>
      <c r="J175" s="16">
        <f t="shared" si="10"/>
        <v>4.8808254334692949E-2</v>
      </c>
    </row>
    <row r="176" spans="1:10" ht="15" hidden="1" customHeight="1" x14ac:dyDescent="0.3">
      <c r="A176" s="5" t="s">
        <v>3</v>
      </c>
      <c r="B176" s="5" t="s">
        <v>17</v>
      </c>
      <c r="C176" s="5" t="s">
        <v>58</v>
      </c>
      <c r="D176" s="5">
        <v>48</v>
      </c>
      <c r="E176" s="6">
        <v>10.15</v>
      </c>
      <c r="F176" s="6">
        <f t="shared" si="12"/>
        <v>487.20000000000005</v>
      </c>
      <c r="G176" s="5"/>
      <c r="H176" s="34">
        <v>176152</v>
      </c>
      <c r="I176" s="5" t="s">
        <v>82</v>
      </c>
      <c r="J176" s="16">
        <f t="shared" si="10"/>
        <v>4.8808254334692949E-2</v>
      </c>
    </row>
    <row r="177" spans="1:10" ht="15" hidden="1" customHeight="1" x14ac:dyDescent="0.3">
      <c r="A177" s="5" t="s">
        <v>3</v>
      </c>
      <c r="B177" s="5" t="s">
        <v>17</v>
      </c>
      <c r="C177" s="5" t="s">
        <v>59</v>
      </c>
      <c r="D177" s="5">
        <v>48</v>
      </c>
      <c r="E177" s="6">
        <v>2.92</v>
      </c>
      <c r="F177" s="6">
        <f t="shared" si="12"/>
        <v>140.16</v>
      </c>
      <c r="G177" s="5"/>
      <c r="H177" s="34">
        <v>176152</v>
      </c>
      <c r="I177" s="5" t="s">
        <v>82</v>
      </c>
      <c r="J177" s="16">
        <f t="shared" si="10"/>
        <v>4.8808254334692949E-2</v>
      </c>
    </row>
    <row r="178" spans="1:10" ht="15" hidden="1" customHeight="1" x14ac:dyDescent="0.3">
      <c r="A178" s="5" t="s">
        <v>3</v>
      </c>
      <c r="B178" s="5" t="s">
        <v>17</v>
      </c>
      <c r="C178" s="5" t="s">
        <v>102</v>
      </c>
      <c r="D178" s="5">
        <v>0</v>
      </c>
      <c r="E178" s="6">
        <v>0</v>
      </c>
      <c r="F178" s="6">
        <f t="shared" si="12"/>
        <v>0</v>
      </c>
      <c r="G178" s="5"/>
      <c r="H178" s="34">
        <v>176152</v>
      </c>
      <c r="I178" s="5" t="s">
        <v>82</v>
      </c>
      <c r="J178" s="16">
        <f t="shared" si="10"/>
        <v>4.8808254334692949E-2</v>
      </c>
    </row>
    <row r="179" spans="1:10" ht="15" hidden="1" customHeight="1" x14ac:dyDescent="0.3">
      <c r="A179" s="5" t="s">
        <v>3</v>
      </c>
      <c r="B179" s="5" t="s">
        <v>17</v>
      </c>
      <c r="C179" s="5" t="s">
        <v>103</v>
      </c>
      <c r="D179" s="5">
        <v>0</v>
      </c>
      <c r="E179" s="6">
        <v>0</v>
      </c>
      <c r="F179" s="6">
        <f t="shared" si="12"/>
        <v>0</v>
      </c>
      <c r="G179" s="5"/>
      <c r="H179" s="34">
        <v>176152</v>
      </c>
      <c r="I179" s="5" t="s">
        <v>82</v>
      </c>
      <c r="J179" s="16">
        <f t="shared" si="10"/>
        <v>4.8808254334692949E-2</v>
      </c>
    </row>
    <row r="180" spans="1:10" ht="15" hidden="1" customHeight="1" x14ac:dyDescent="0.3">
      <c r="A180" s="5" t="s">
        <v>3</v>
      </c>
      <c r="B180" s="5" t="s">
        <v>17</v>
      </c>
      <c r="C180" s="5" t="s">
        <v>104</v>
      </c>
      <c r="D180" s="5">
        <v>0</v>
      </c>
      <c r="E180" s="6">
        <v>0</v>
      </c>
      <c r="F180" s="6">
        <f t="shared" si="12"/>
        <v>0</v>
      </c>
      <c r="G180" s="5"/>
      <c r="H180" s="34">
        <v>176152</v>
      </c>
      <c r="I180" s="5" t="s">
        <v>82</v>
      </c>
      <c r="J180" s="16">
        <f t="shared" si="10"/>
        <v>4.8808254334692949E-2</v>
      </c>
    </row>
    <row r="181" spans="1:10" ht="15" hidden="1" customHeight="1" x14ac:dyDescent="0.3">
      <c r="A181" s="5" t="s">
        <v>3</v>
      </c>
      <c r="B181" s="5" t="s">
        <v>17</v>
      </c>
      <c r="C181" s="5" t="s">
        <v>74</v>
      </c>
      <c r="D181" s="5">
        <v>1</v>
      </c>
      <c r="E181" s="6">
        <v>90</v>
      </c>
      <c r="F181" s="6">
        <f t="shared" si="12"/>
        <v>90</v>
      </c>
      <c r="G181" s="5"/>
      <c r="H181" s="34">
        <v>176152</v>
      </c>
      <c r="I181" s="5" t="s">
        <v>82</v>
      </c>
      <c r="J181" s="16">
        <f t="shared" si="10"/>
        <v>4.8808254334692949E-2</v>
      </c>
    </row>
    <row r="182" spans="1:10" ht="15" hidden="1" customHeight="1" x14ac:dyDescent="0.3">
      <c r="A182" s="5" t="s">
        <v>3</v>
      </c>
      <c r="B182" s="5" t="s">
        <v>17</v>
      </c>
      <c r="C182" s="5" t="s">
        <v>62</v>
      </c>
      <c r="D182" s="5">
        <v>0</v>
      </c>
      <c r="E182" s="6">
        <v>0</v>
      </c>
      <c r="F182" s="6">
        <f t="shared" si="12"/>
        <v>0</v>
      </c>
      <c r="G182" s="5"/>
      <c r="H182" s="34">
        <v>176152</v>
      </c>
      <c r="I182" s="5" t="s">
        <v>82</v>
      </c>
      <c r="J182" s="16">
        <f t="shared" si="10"/>
        <v>4.8808254334692949E-2</v>
      </c>
    </row>
    <row r="183" spans="1:10" ht="15" hidden="1" customHeight="1" x14ac:dyDescent="0.3">
      <c r="A183" s="5" t="s">
        <v>3</v>
      </c>
      <c r="B183" s="5" t="s">
        <v>17</v>
      </c>
      <c r="C183" s="5" t="s">
        <v>67</v>
      </c>
      <c r="D183" s="5">
        <v>0</v>
      </c>
      <c r="E183" s="6">
        <v>0</v>
      </c>
      <c r="F183" s="6">
        <f t="shared" si="12"/>
        <v>0</v>
      </c>
      <c r="G183" s="5"/>
      <c r="H183" s="34">
        <v>176152</v>
      </c>
      <c r="I183" s="5" t="s">
        <v>82</v>
      </c>
      <c r="J183" s="16">
        <f t="shared" si="10"/>
        <v>4.8808254334692949E-2</v>
      </c>
    </row>
    <row r="184" spans="1:10" ht="15" hidden="1" customHeight="1" x14ac:dyDescent="0.3">
      <c r="A184" s="5" t="s">
        <v>3</v>
      </c>
      <c r="B184" s="5" t="s">
        <v>17</v>
      </c>
      <c r="C184" s="5" t="s">
        <v>86</v>
      </c>
      <c r="D184" s="5">
        <v>0</v>
      </c>
      <c r="E184" s="6">
        <v>0</v>
      </c>
      <c r="F184" s="6">
        <f t="shared" si="12"/>
        <v>0</v>
      </c>
      <c r="G184" s="5"/>
      <c r="H184" s="34">
        <v>176152</v>
      </c>
      <c r="I184" s="5" t="s">
        <v>82</v>
      </c>
      <c r="J184" s="16">
        <f t="shared" si="10"/>
        <v>4.8808254334692949E-2</v>
      </c>
    </row>
    <row r="185" spans="1:10" ht="15" hidden="1" customHeight="1" x14ac:dyDescent="0.3">
      <c r="A185" s="5" t="s">
        <v>3</v>
      </c>
      <c r="B185" s="5" t="s">
        <v>17</v>
      </c>
      <c r="C185" s="5" t="s">
        <v>109</v>
      </c>
      <c r="D185" s="5">
        <v>0</v>
      </c>
      <c r="E185" s="6">
        <v>0</v>
      </c>
      <c r="F185" s="6">
        <f t="shared" si="12"/>
        <v>0</v>
      </c>
      <c r="G185" s="5"/>
      <c r="H185" s="34">
        <v>176152</v>
      </c>
      <c r="I185" s="5" t="s">
        <v>82</v>
      </c>
      <c r="J185" s="16">
        <f t="shared" si="10"/>
        <v>4.8808254334692949E-2</v>
      </c>
    </row>
    <row r="186" spans="1:10" ht="15" hidden="1" customHeight="1" x14ac:dyDescent="0.3">
      <c r="A186" s="5" t="s">
        <v>3</v>
      </c>
      <c r="B186" s="5" t="s">
        <v>17</v>
      </c>
      <c r="C186" s="5" t="s">
        <v>110</v>
      </c>
      <c r="D186" s="5">
        <v>0</v>
      </c>
      <c r="E186" s="6">
        <v>0</v>
      </c>
      <c r="F186" s="6">
        <f t="shared" si="12"/>
        <v>0</v>
      </c>
      <c r="G186" s="5"/>
      <c r="H186" s="34">
        <v>176152</v>
      </c>
      <c r="I186" s="5" t="s">
        <v>82</v>
      </c>
      <c r="J186" s="16">
        <f t="shared" si="10"/>
        <v>4.8808254334692949E-2</v>
      </c>
    </row>
    <row r="187" spans="1:10" ht="15" hidden="1" customHeight="1" x14ac:dyDescent="0.3">
      <c r="A187" s="5" t="s">
        <v>3</v>
      </c>
      <c r="B187" s="5" t="s">
        <v>17</v>
      </c>
      <c r="C187" s="5" t="s">
        <v>111</v>
      </c>
      <c r="D187" s="5">
        <v>0</v>
      </c>
      <c r="E187" s="6">
        <v>0</v>
      </c>
      <c r="F187" s="6">
        <f t="shared" si="12"/>
        <v>0</v>
      </c>
      <c r="G187" s="5"/>
      <c r="H187" s="34">
        <v>176152</v>
      </c>
      <c r="I187" s="5" t="s">
        <v>82</v>
      </c>
      <c r="J187" s="16">
        <f t="shared" si="10"/>
        <v>4.8808254334692949E-2</v>
      </c>
    </row>
    <row r="188" spans="1:10" ht="15" hidden="1" customHeight="1" x14ac:dyDescent="0.3">
      <c r="A188" s="5" t="s">
        <v>3</v>
      </c>
      <c r="B188" s="5" t="s">
        <v>16</v>
      </c>
      <c r="C188" s="5" t="s">
        <v>112</v>
      </c>
      <c r="D188" s="5">
        <v>38</v>
      </c>
      <c r="E188" s="6">
        <v>0</v>
      </c>
      <c r="F188" s="6">
        <f>E188</f>
        <v>0</v>
      </c>
      <c r="G188" s="5"/>
      <c r="H188" s="34">
        <v>176152</v>
      </c>
      <c r="I188" s="5" t="s">
        <v>82</v>
      </c>
      <c r="J188" s="16">
        <f t="shared" si="10"/>
        <v>2.5089345360288225E-2</v>
      </c>
    </row>
    <row r="189" spans="1:10" ht="15" hidden="1" customHeight="1" x14ac:dyDescent="0.3">
      <c r="A189" s="5" t="s">
        <v>3</v>
      </c>
      <c r="B189" s="5" t="s">
        <v>16</v>
      </c>
      <c r="C189" s="5" t="s">
        <v>55</v>
      </c>
      <c r="D189" s="5">
        <v>38</v>
      </c>
      <c r="E189" s="6">
        <v>45.310244928992589</v>
      </c>
      <c r="F189" s="6">
        <f t="shared" ref="F189:F206" si="13">D189*E189</f>
        <v>1721.7893073017183</v>
      </c>
      <c r="G189" s="5"/>
      <c r="H189" s="34">
        <v>176152</v>
      </c>
      <c r="I189" s="5" t="s">
        <v>82</v>
      </c>
      <c r="J189" s="16">
        <f t="shared" si="10"/>
        <v>2.5089345360288225E-2</v>
      </c>
    </row>
    <row r="190" spans="1:10" ht="15" hidden="1" customHeight="1" x14ac:dyDescent="0.3">
      <c r="A190" s="5" t="s">
        <v>3</v>
      </c>
      <c r="B190" s="5" t="s">
        <v>16</v>
      </c>
      <c r="C190" s="5" t="s">
        <v>26</v>
      </c>
      <c r="D190" s="5">
        <v>38</v>
      </c>
      <c r="E190" s="6">
        <v>24.798867924528299</v>
      </c>
      <c r="F190" s="6">
        <f t="shared" si="13"/>
        <v>942.35698113207536</v>
      </c>
      <c r="G190" s="5"/>
      <c r="H190" s="34">
        <v>176152</v>
      </c>
      <c r="I190" s="5" t="s">
        <v>82</v>
      </c>
      <c r="J190" s="16">
        <f t="shared" si="10"/>
        <v>2.5089345360288225E-2</v>
      </c>
    </row>
    <row r="191" spans="1:10" ht="15" hidden="1" customHeight="1" x14ac:dyDescent="0.3">
      <c r="A191" s="5" t="s">
        <v>3</v>
      </c>
      <c r="B191" s="5" t="s">
        <v>16</v>
      </c>
      <c r="C191" s="5" t="s">
        <v>14</v>
      </c>
      <c r="D191" s="5">
        <v>38</v>
      </c>
      <c r="E191" s="6">
        <v>40.668212512413113</v>
      </c>
      <c r="F191" s="6">
        <f t="shared" si="13"/>
        <v>1545.3920754716983</v>
      </c>
      <c r="G191" s="5"/>
      <c r="H191" s="34">
        <v>176152</v>
      </c>
      <c r="I191" s="5" t="s">
        <v>82</v>
      </c>
      <c r="J191" s="16">
        <f t="shared" si="10"/>
        <v>2.5089345360288225E-2</v>
      </c>
    </row>
    <row r="192" spans="1:10" ht="15" hidden="1" customHeight="1" x14ac:dyDescent="0.3">
      <c r="A192" s="5" t="s">
        <v>3</v>
      </c>
      <c r="B192" s="5" t="s">
        <v>16</v>
      </c>
      <c r="C192" s="5" t="s">
        <v>56</v>
      </c>
      <c r="D192" s="5">
        <v>3</v>
      </c>
      <c r="E192" s="6">
        <v>50</v>
      </c>
      <c r="F192" s="6">
        <f t="shared" si="13"/>
        <v>150</v>
      </c>
      <c r="G192" s="5"/>
      <c r="H192" s="34">
        <v>176152</v>
      </c>
      <c r="I192" s="5" t="s">
        <v>82</v>
      </c>
      <c r="J192" s="16">
        <f t="shared" si="10"/>
        <v>2.5089345360288225E-2</v>
      </c>
    </row>
    <row r="193" spans="1:10" ht="15" hidden="1" customHeight="1" x14ac:dyDescent="0.3">
      <c r="A193" s="5" t="s">
        <v>3</v>
      </c>
      <c r="B193" s="5" t="s">
        <v>16</v>
      </c>
      <c r="C193" s="5" t="s">
        <v>70</v>
      </c>
      <c r="D193" s="5">
        <v>1</v>
      </c>
      <c r="E193" s="6">
        <v>0</v>
      </c>
      <c r="F193" s="6">
        <f t="shared" si="13"/>
        <v>0</v>
      </c>
      <c r="G193" s="5"/>
      <c r="H193" s="34">
        <v>176152</v>
      </c>
      <c r="I193" s="5" t="s">
        <v>82</v>
      </c>
      <c r="J193" s="16">
        <f t="shared" si="10"/>
        <v>2.5089345360288225E-2</v>
      </c>
    </row>
    <row r="194" spans="1:10" ht="15" hidden="1" customHeight="1" x14ac:dyDescent="0.3">
      <c r="A194" s="5" t="s">
        <v>3</v>
      </c>
      <c r="B194" s="5" t="s">
        <v>16</v>
      </c>
      <c r="C194" s="5" t="s">
        <v>71</v>
      </c>
      <c r="D194" s="5">
        <v>2</v>
      </c>
      <c r="E194" s="6">
        <v>30</v>
      </c>
      <c r="F194" s="6">
        <f t="shared" si="13"/>
        <v>60</v>
      </c>
      <c r="G194" s="5"/>
      <c r="H194" s="34">
        <v>176152</v>
      </c>
      <c r="I194" s="5" t="s">
        <v>82</v>
      </c>
      <c r="J194" s="16">
        <f t="shared" ref="J194:J257" si="14">IFERROR(SUMIFS($F$2:$F$1749,$A$2:$A$1749,A194,$B$2:$B$1749,B194)/H194,"")</f>
        <v>2.5089345360288225E-2</v>
      </c>
    </row>
    <row r="195" spans="1:10" ht="15" hidden="1" customHeight="1" x14ac:dyDescent="0.3">
      <c r="A195" s="5" t="s">
        <v>3</v>
      </c>
      <c r="B195" s="5" t="s">
        <v>16</v>
      </c>
      <c r="C195" s="5" t="s">
        <v>58</v>
      </c>
      <c r="D195" s="5">
        <v>38</v>
      </c>
      <c r="E195" s="6">
        <v>0</v>
      </c>
      <c r="F195" s="6">
        <f t="shared" si="13"/>
        <v>0</v>
      </c>
      <c r="G195" s="5"/>
      <c r="H195" s="34">
        <v>176152</v>
      </c>
      <c r="I195" s="5" t="s">
        <v>82</v>
      </c>
      <c r="J195" s="16">
        <f t="shared" si="14"/>
        <v>2.5089345360288225E-2</v>
      </c>
    </row>
    <row r="196" spans="1:10" ht="15" hidden="1" customHeight="1" x14ac:dyDescent="0.3">
      <c r="A196" s="5" t="s">
        <v>3</v>
      </c>
      <c r="B196" s="5" t="s">
        <v>16</v>
      </c>
      <c r="C196" s="5" t="s">
        <v>113</v>
      </c>
      <c r="D196" s="5">
        <v>38</v>
      </c>
      <c r="E196" s="6">
        <v>0</v>
      </c>
      <c r="F196" s="6">
        <f t="shared" si="13"/>
        <v>0</v>
      </c>
      <c r="G196" s="5"/>
      <c r="H196" s="34">
        <v>176152</v>
      </c>
      <c r="I196" s="5" t="s">
        <v>82</v>
      </c>
      <c r="J196" s="16">
        <f t="shared" si="14"/>
        <v>2.5089345360288225E-2</v>
      </c>
    </row>
    <row r="197" spans="1:10" ht="15" hidden="1" customHeight="1" x14ac:dyDescent="0.3">
      <c r="A197" s="5" t="s">
        <v>3</v>
      </c>
      <c r="B197" s="5" t="s">
        <v>16</v>
      </c>
      <c r="C197" s="5" t="s">
        <v>102</v>
      </c>
      <c r="D197" s="5">
        <v>0</v>
      </c>
      <c r="E197" s="6">
        <v>0</v>
      </c>
      <c r="F197" s="6">
        <f t="shared" si="13"/>
        <v>0</v>
      </c>
      <c r="G197" s="5"/>
      <c r="H197" s="34">
        <v>176152</v>
      </c>
      <c r="I197" s="5" t="s">
        <v>82</v>
      </c>
      <c r="J197" s="16">
        <f t="shared" si="14"/>
        <v>2.5089345360288225E-2</v>
      </c>
    </row>
    <row r="198" spans="1:10" ht="15" hidden="1" customHeight="1" x14ac:dyDescent="0.3">
      <c r="A198" s="5" t="s">
        <v>3</v>
      </c>
      <c r="B198" s="5" t="s">
        <v>16</v>
      </c>
      <c r="C198" s="5" t="s">
        <v>103</v>
      </c>
      <c r="D198" s="5">
        <v>0</v>
      </c>
      <c r="E198" s="6">
        <v>0</v>
      </c>
      <c r="F198" s="6">
        <f t="shared" si="13"/>
        <v>0</v>
      </c>
      <c r="G198" s="5"/>
      <c r="H198" s="34">
        <v>176152</v>
      </c>
      <c r="I198" s="5" t="s">
        <v>82</v>
      </c>
      <c r="J198" s="16">
        <f t="shared" si="14"/>
        <v>2.5089345360288225E-2</v>
      </c>
    </row>
    <row r="199" spans="1:10" ht="15" hidden="1" customHeight="1" x14ac:dyDescent="0.3">
      <c r="A199" s="5" t="s">
        <v>3</v>
      </c>
      <c r="B199" s="5" t="s">
        <v>16</v>
      </c>
      <c r="C199" s="5" t="s">
        <v>104</v>
      </c>
      <c r="D199" s="5">
        <v>0</v>
      </c>
      <c r="E199" s="6">
        <v>0</v>
      </c>
      <c r="F199" s="6">
        <f t="shared" si="13"/>
        <v>0</v>
      </c>
      <c r="G199" s="5"/>
      <c r="H199" s="34">
        <v>176152</v>
      </c>
      <c r="I199" s="5" t="s">
        <v>82</v>
      </c>
      <c r="J199" s="16">
        <f t="shared" si="14"/>
        <v>2.5089345360288225E-2</v>
      </c>
    </row>
    <row r="200" spans="1:10" ht="15" hidden="1" customHeight="1" x14ac:dyDescent="0.3">
      <c r="A200" s="5" t="s">
        <v>3</v>
      </c>
      <c r="B200" s="5" t="s">
        <v>16</v>
      </c>
      <c r="C200" s="5" t="s">
        <v>74</v>
      </c>
      <c r="D200" s="5">
        <v>0</v>
      </c>
      <c r="E200" s="6">
        <v>0</v>
      </c>
      <c r="F200" s="6">
        <f t="shared" si="13"/>
        <v>0</v>
      </c>
      <c r="G200" s="5"/>
      <c r="H200" s="34">
        <v>176152</v>
      </c>
      <c r="I200" s="5" t="s">
        <v>82</v>
      </c>
      <c r="J200" s="16">
        <f t="shared" si="14"/>
        <v>2.5089345360288225E-2</v>
      </c>
    </row>
    <row r="201" spans="1:10" ht="15" hidden="1" customHeight="1" x14ac:dyDescent="0.3">
      <c r="A201" s="5" t="s">
        <v>3</v>
      </c>
      <c r="B201" s="5" t="s">
        <v>16</v>
      </c>
      <c r="C201" s="5" t="s">
        <v>62</v>
      </c>
      <c r="D201" s="5">
        <v>0</v>
      </c>
      <c r="E201" s="6">
        <v>0</v>
      </c>
      <c r="F201" s="6">
        <f t="shared" si="13"/>
        <v>0</v>
      </c>
      <c r="G201" s="5"/>
      <c r="H201" s="34">
        <v>176152</v>
      </c>
      <c r="I201" s="5" t="s">
        <v>82</v>
      </c>
      <c r="J201" s="16">
        <f t="shared" si="14"/>
        <v>2.5089345360288225E-2</v>
      </c>
    </row>
    <row r="202" spans="1:10" ht="15" hidden="1" customHeight="1" x14ac:dyDescent="0.3">
      <c r="A202" s="5" t="s">
        <v>3</v>
      </c>
      <c r="B202" s="5" t="s">
        <v>16</v>
      </c>
      <c r="C202" s="5" t="s">
        <v>67</v>
      </c>
      <c r="D202" s="5">
        <v>0</v>
      </c>
      <c r="E202" s="6">
        <v>0</v>
      </c>
      <c r="F202" s="6">
        <f t="shared" si="13"/>
        <v>0</v>
      </c>
      <c r="G202" s="5"/>
      <c r="H202" s="34">
        <v>176152</v>
      </c>
      <c r="I202" s="5" t="s">
        <v>82</v>
      </c>
      <c r="J202" s="16">
        <f t="shared" si="14"/>
        <v>2.5089345360288225E-2</v>
      </c>
    </row>
    <row r="203" spans="1:10" ht="15" hidden="1" customHeight="1" x14ac:dyDescent="0.3">
      <c r="A203" s="5" t="s">
        <v>3</v>
      </c>
      <c r="B203" s="5" t="s">
        <v>16</v>
      </c>
      <c r="C203" s="5" t="s">
        <v>86</v>
      </c>
      <c r="D203" s="5">
        <v>0</v>
      </c>
      <c r="E203" s="6">
        <v>0</v>
      </c>
      <c r="F203" s="6">
        <f t="shared" si="13"/>
        <v>0</v>
      </c>
      <c r="G203" s="5"/>
      <c r="H203" s="34">
        <v>176152</v>
      </c>
      <c r="I203" s="5" t="s">
        <v>82</v>
      </c>
      <c r="J203" s="16">
        <f t="shared" si="14"/>
        <v>2.5089345360288225E-2</v>
      </c>
    </row>
    <row r="204" spans="1:10" ht="15" hidden="1" customHeight="1" x14ac:dyDescent="0.3">
      <c r="A204" s="5" t="s">
        <v>3</v>
      </c>
      <c r="B204" s="5" t="s">
        <v>16</v>
      </c>
      <c r="C204" s="5" t="s">
        <v>114</v>
      </c>
      <c r="D204" s="5">
        <v>0</v>
      </c>
      <c r="E204" s="6">
        <v>0</v>
      </c>
      <c r="F204" s="6">
        <f t="shared" si="13"/>
        <v>0</v>
      </c>
      <c r="G204" s="5"/>
      <c r="H204" s="34">
        <v>176152</v>
      </c>
      <c r="I204" s="5" t="s">
        <v>82</v>
      </c>
      <c r="J204" s="16">
        <f t="shared" si="14"/>
        <v>2.5089345360288225E-2</v>
      </c>
    </row>
    <row r="205" spans="1:10" ht="15" hidden="1" customHeight="1" x14ac:dyDescent="0.3">
      <c r="A205" s="5" t="s">
        <v>3</v>
      </c>
      <c r="B205" s="5" t="s">
        <v>16</v>
      </c>
      <c r="C205" s="5" t="s">
        <v>115</v>
      </c>
      <c r="D205" s="5">
        <v>1</v>
      </c>
      <c r="E205" s="6">
        <v>0</v>
      </c>
      <c r="F205" s="6">
        <f t="shared" si="13"/>
        <v>0</v>
      </c>
      <c r="G205" s="5"/>
      <c r="H205" s="34">
        <v>176152</v>
      </c>
      <c r="I205" s="5" t="s">
        <v>82</v>
      </c>
      <c r="J205" s="16">
        <f t="shared" si="14"/>
        <v>2.5089345360288225E-2</v>
      </c>
    </row>
    <row r="206" spans="1:10" ht="15" hidden="1" customHeight="1" x14ac:dyDescent="0.3">
      <c r="A206" s="5" t="s">
        <v>3</v>
      </c>
      <c r="B206" s="5" t="s">
        <v>16</v>
      </c>
      <c r="C206" s="5" t="s">
        <v>116</v>
      </c>
      <c r="D206" s="5">
        <v>1</v>
      </c>
      <c r="E206" s="6">
        <v>0</v>
      </c>
      <c r="F206" s="6">
        <f t="shared" si="13"/>
        <v>0</v>
      </c>
      <c r="G206" s="5"/>
      <c r="H206" s="34">
        <v>176152</v>
      </c>
      <c r="I206" s="5" t="s">
        <v>82</v>
      </c>
      <c r="J206" s="16">
        <f t="shared" si="14"/>
        <v>2.5089345360288225E-2</v>
      </c>
    </row>
    <row r="207" spans="1:10" ht="15" hidden="1" customHeight="1" x14ac:dyDescent="0.3">
      <c r="A207" s="5" t="s">
        <v>3</v>
      </c>
      <c r="B207" s="5" t="s">
        <v>18</v>
      </c>
      <c r="C207" s="5" t="s">
        <v>53</v>
      </c>
      <c r="D207" s="5">
        <v>17</v>
      </c>
      <c r="E207" s="6">
        <v>68963.78</v>
      </c>
      <c r="F207" s="6">
        <f>E207</f>
        <v>68963.78</v>
      </c>
      <c r="G207" s="5"/>
      <c r="H207" s="34">
        <v>176152</v>
      </c>
      <c r="I207" s="5" t="s">
        <v>82</v>
      </c>
      <c r="J207" s="16">
        <f t="shared" si="14"/>
        <v>0.41866663183626002</v>
      </c>
    </row>
    <row r="208" spans="1:10" ht="15" hidden="1" customHeight="1" x14ac:dyDescent="0.3">
      <c r="A208" s="5" t="s">
        <v>3</v>
      </c>
      <c r="B208" s="5" t="s">
        <v>18</v>
      </c>
      <c r="C208" s="5" t="s">
        <v>55</v>
      </c>
      <c r="D208" s="5">
        <v>17</v>
      </c>
      <c r="E208" s="6">
        <v>45.310244928992589</v>
      </c>
      <c r="F208" s="6">
        <f t="shared" ref="F208:F223" si="15">D208*E208</f>
        <v>770.27416379287399</v>
      </c>
      <c r="G208" s="5"/>
      <c r="H208" s="34">
        <v>176152</v>
      </c>
      <c r="I208" s="5" t="s">
        <v>82</v>
      </c>
      <c r="J208" s="16">
        <f t="shared" si="14"/>
        <v>0.41866663183626002</v>
      </c>
    </row>
    <row r="209" spans="1:10" ht="15" hidden="1" customHeight="1" x14ac:dyDescent="0.3">
      <c r="A209" s="5" t="s">
        <v>3</v>
      </c>
      <c r="B209" s="5" t="s">
        <v>18</v>
      </c>
      <c r="C209" s="5" t="s">
        <v>26</v>
      </c>
      <c r="D209" s="5">
        <v>17</v>
      </c>
      <c r="E209" s="6">
        <v>24.798867924528299</v>
      </c>
      <c r="F209" s="6">
        <f t="shared" si="15"/>
        <v>421.58075471698106</v>
      </c>
      <c r="G209" s="5"/>
      <c r="H209" s="34">
        <v>176152</v>
      </c>
      <c r="I209" s="5" t="s">
        <v>82</v>
      </c>
      <c r="J209" s="16">
        <f t="shared" si="14"/>
        <v>0.41866663183626002</v>
      </c>
    </row>
    <row r="210" spans="1:10" ht="15" hidden="1" customHeight="1" x14ac:dyDescent="0.3">
      <c r="A210" s="5" t="s">
        <v>3</v>
      </c>
      <c r="B210" s="5" t="s">
        <v>18</v>
      </c>
      <c r="C210" s="5" t="s">
        <v>14</v>
      </c>
      <c r="D210" s="5">
        <v>17</v>
      </c>
      <c r="E210" s="6">
        <v>40.668212512413113</v>
      </c>
      <c r="F210" s="6">
        <f t="shared" si="15"/>
        <v>691.35961271102292</v>
      </c>
      <c r="G210" s="5"/>
      <c r="H210" s="34">
        <v>176152</v>
      </c>
      <c r="I210" s="5" t="s">
        <v>82</v>
      </c>
      <c r="J210" s="16">
        <f t="shared" si="14"/>
        <v>0.41866663183626002</v>
      </c>
    </row>
    <row r="211" spans="1:10" ht="15" hidden="1" customHeight="1" x14ac:dyDescent="0.3">
      <c r="A211" s="5" t="s">
        <v>3</v>
      </c>
      <c r="B211" s="5" t="s">
        <v>18</v>
      </c>
      <c r="C211" s="5" t="s">
        <v>56</v>
      </c>
      <c r="D211" s="5">
        <v>11</v>
      </c>
      <c r="E211" s="6">
        <v>50</v>
      </c>
      <c r="F211" s="6">
        <f t="shared" si="15"/>
        <v>550</v>
      </c>
      <c r="G211" s="5"/>
      <c r="H211" s="34">
        <v>176152</v>
      </c>
      <c r="I211" s="5" t="s">
        <v>82</v>
      </c>
      <c r="J211" s="16">
        <f t="shared" si="14"/>
        <v>0.41866663183626002</v>
      </c>
    </row>
    <row r="212" spans="1:10" ht="15" hidden="1" customHeight="1" x14ac:dyDescent="0.3">
      <c r="A212" s="5" t="s">
        <v>3</v>
      </c>
      <c r="B212" s="5" t="s">
        <v>18</v>
      </c>
      <c r="C212" s="5" t="s">
        <v>70</v>
      </c>
      <c r="D212" s="5">
        <v>0</v>
      </c>
      <c r="E212" s="6">
        <v>0</v>
      </c>
      <c r="F212" s="6">
        <f t="shared" si="15"/>
        <v>0</v>
      </c>
      <c r="G212" s="5"/>
      <c r="H212" s="34">
        <v>176152</v>
      </c>
      <c r="I212" s="5" t="s">
        <v>82</v>
      </c>
      <c r="J212" s="16">
        <f t="shared" si="14"/>
        <v>0.41866663183626002</v>
      </c>
    </row>
    <row r="213" spans="1:10" ht="15" hidden="1" customHeight="1" x14ac:dyDescent="0.3">
      <c r="A213" s="5" t="s">
        <v>3</v>
      </c>
      <c r="B213" s="5" t="s">
        <v>18</v>
      </c>
      <c r="C213" s="5" t="s">
        <v>57</v>
      </c>
      <c r="D213" s="5">
        <v>5</v>
      </c>
      <c r="E213" s="6">
        <v>30</v>
      </c>
      <c r="F213" s="6">
        <f t="shared" si="15"/>
        <v>150</v>
      </c>
      <c r="G213" s="5"/>
      <c r="H213" s="34">
        <v>176152</v>
      </c>
      <c r="I213" s="5" t="s">
        <v>82</v>
      </c>
      <c r="J213" s="16">
        <f t="shared" si="14"/>
        <v>0.41866663183626002</v>
      </c>
    </row>
    <row r="214" spans="1:10" ht="15" hidden="1" customHeight="1" x14ac:dyDescent="0.3">
      <c r="A214" s="5" t="s">
        <v>3</v>
      </c>
      <c r="B214" s="5" t="s">
        <v>18</v>
      </c>
      <c r="C214" s="5" t="s">
        <v>72</v>
      </c>
      <c r="D214" s="5">
        <v>1</v>
      </c>
      <c r="E214" s="6">
        <v>153.58000000000001</v>
      </c>
      <c r="F214" s="6">
        <f t="shared" si="15"/>
        <v>153.58000000000001</v>
      </c>
      <c r="G214" s="5"/>
      <c r="H214" s="34">
        <v>176152</v>
      </c>
      <c r="I214" s="5" t="s">
        <v>82</v>
      </c>
      <c r="J214" s="16">
        <f t="shared" si="14"/>
        <v>0.41866663183626002</v>
      </c>
    </row>
    <row r="215" spans="1:10" ht="15" hidden="1" customHeight="1" x14ac:dyDescent="0.3">
      <c r="A215" s="5" t="s">
        <v>3</v>
      </c>
      <c r="B215" s="5" t="s">
        <v>18</v>
      </c>
      <c r="C215" s="5" t="s">
        <v>58</v>
      </c>
      <c r="D215" s="5">
        <v>17</v>
      </c>
      <c r="E215" s="6">
        <v>10.15</v>
      </c>
      <c r="F215" s="6">
        <f t="shared" si="15"/>
        <v>172.55</v>
      </c>
      <c r="G215" s="5"/>
      <c r="H215" s="34">
        <v>176152</v>
      </c>
      <c r="I215" s="5" t="s">
        <v>82</v>
      </c>
      <c r="J215" s="16">
        <f t="shared" si="14"/>
        <v>0.41866663183626002</v>
      </c>
    </row>
    <row r="216" spans="1:10" ht="15" hidden="1" customHeight="1" x14ac:dyDescent="0.3">
      <c r="A216" s="5" t="s">
        <v>3</v>
      </c>
      <c r="B216" s="5" t="s">
        <v>18</v>
      </c>
      <c r="C216" s="5" t="s">
        <v>59</v>
      </c>
      <c r="D216" s="5">
        <v>17</v>
      </c>
      <c r="E216" s="6">
        <v>2.92</v>
      </c>
      <c r="F216" s="6">
        <f t="shared" si="15"/>
        <v>49.64</v>
      </c>
      <c r="G216" s="5"/>
      <c r="H216" s="34">
        <v>176152</v>
      </c>
      <c r="I216" s="5" t="s">
        <v>82</v>
      </c>
      <c r="J216" s="16">
        <f t="shared" si="14"/>
        <v>0.41866663183626002</v>
      </c>
    </row>
    <row r="217" spans="1:10" ht="15" hidden="1" customHeight="1" x14ac:dyDescent="0.3">
      <c r="A217" s="5" t="s">
        <v>3</v>
      </c>
      <c r="B217" s="5" t="s">
        <v>18</v>
      </c>
      <c r="C217" s="5" t="s">
        <v>74</v>
      </c>
      <c r="D217" s="5">
        <v>0</v>
      </c>
      <c r="E217" s="6">
        <v>0</v>
      </c>
      <c r="F217" s="6">
        <f t="shared" si="15"/>
        <v>0</v>
      </c>
      <c r="G217" s="5"/>
      <c r="H217" s="34">
        <v>176152</v>
      </c>
      <c r="I217" s="5" t="s">
        <v>82</v>
      </c>
      <c r="J217" s="16">
        <f t="shared" si="14"/>
        <v>0.41866663183626002</v>
      </c>
    </row>
    <row r="218" spans="1:10" ht="15" hidden="1" customHeight="1" x14ac:dyDescent="0.3">
      <c r="A218" s="5" t="s">
        <v>3</v>
      </c>
      <c r="B218" s="5" t="s">
        <v>18</v>
      </c>
      <c r="C218" s="5" t="s">
        <v>62</v>
      </c>
      <c r="D218" s="5">
        <v>0</v>
      </c>
      <c r="E218" s="6">
        <v>0</v>
      </c>
      <c r="F218" s="6">
        <f t="shared" si="15"/>
        <v>0</v>
      </c>
      <c r="G218" s="5"/>
      <c r="H218" s="34">
        <v>176152</v>
      </c>
      <c r="I218" s="5" t="s">
        <v>82</v>
      </c>
      <c r="J218" s="16">
        <f t="shared" si="14"/>
        <v>0.41866663183626002</v>
      </c>
    </row>
    <row r="219" spans="1:10" ht="15" hidden="1" customHeight="1" x14ac:dyDescent="0.3">
      <c r="A219" s="5" t="s">
        <v>3</v>
      </c>
      <c r="B219" s="5" t="s">
        <v>18</v>
      </c>
      <c r="C219" s="5" t="s">
        <v>117</v>
      </c>
      <c r="D219" s="5">
        <v>0</v>
      </c>
      <c r="E219" s="6">
        <v>0</v>
      </c>
      <c r="F219" s="6">
        <f t="shared" si="15"/>
        <v>0</v>
      </c>
      <c r="G219" s="5"/>
      <c r="H219" s="34">
        <v>176152</v>
      </c>
      <c r="I219" s="5" t="s">
        <v>82</v>
      </c>
      <c r="J219" s="16">
        <f t="shared" si="14"/>
        <v>0.41866663183626002</v>
      </c>
    </row>
    <row r="220" spans="1:10" ht="15" hidden="1" customHeight="1" x14ac:dyDescent="0.3">
      <c r="A220" s="5" t="s">
        <v>3</v>
      </c>
      <c r="B220" s="5" t="s">
        <v>18</v>
      </c>
      <c r="C220" s="5" t="s">
        <v>84</v>
      </c>
      <c r="D220" s="5">
        <v>0</v>
      </c>
      <c r="E220" s="6">
        <v>0</v>
      </c>
      <c r="F220" s="6">
        <f t="shared" si="15"/>
        <v>0</v>
      </c>
      <c r="G220" s="5"/>
      <c r="H220" s="34">
        <v>176152</v>
      </c>
      <c r="I220" s="5" t="s">
        <v>82</v>
      </c>
      <c r="J220" s="16">
        <f t="shared" si="14"/>
        <v>0.41866663183626002</v>
      </c>
    </row>
    <row r="221" spans="1:10" ht="15" hidden="1" customHeight="1" x14ac:dyDescent="0.3">
      <c r="A221" s="5" t="s">
        <v>3</v>
      </c>
      <c r="B221" s="5" t="s">
        <v>18</v>
      </c>
      <c r="C221" s="5" t="s">
        <v>118</v>
      </c>
      <c r="D221" s="5">
        <v>0</v>
      </c>
      <c r="E221" s="6">
        <v>0</v>
      </c>
      <c r="F221" s="6">
        <f t="shared" si="15"/>
        <v>0</v>
      </c>
      <c r="G221" s="5"/>
      <c r="H221" s="34">
        <v>176152</v>
      </c>
      <c r="I221" s="5" t="s">
        <v>82</v>
      </c>
      <c r="J221" s="16">
        <f t="shared" si="14"/>
        <v>0.41866663183626002</v>
      </c>
    </row>
    <row r="222" spans="1:10" ht="15" hidden="1" customHeight="1" x14ac:dyDescent="0.3">
      <c r="A222" s="5" t="s">
        <v>3</v>
      </c>
      <c r="B222" s="5" t="s">
        <v>18</v>
      </c>
      <c r="C222" s="5" t="s">
        <v>75</v>
      </c>
      <c r="D222" s="5">
        <v>0</v>
      </c>
      <c r="E222" s="6">
        <v>0</v>
      </c>
      <c r="F222" s="6">
        <f t="shared" si="15"/>
        <v>0</v>
      </c>
      <c r="G222" s="5"/>
      <c r="H222" s="34">
        <v>176152</v>
      </c>
      <c r="I222" s="5" t="s">
        <v>82</v>
      </c>
      <c r="J222" s="16">
        <f t="shared" si="14"/>
        <v>0.41866663183626002</v>
      </c>
    </row>
    <row r="223" spans="1:10" ht="15" hidden="1" customHeight="1" x14ac:dyDescent="0.3">
      <c r="A223" s="5" t="s">
        <v>3</v>
      </c>
      <c r="B223" s="5" t="s">
        <v>18</v>
      </c>
      <c r="C223" s="5" t="s">
        <v>64</v>
      </c>
      <c r="D223" s="5">
        <v>1</v>
      </c>
      <c r="E223" s="6">
        <v>1826.2</v>
      </c>
      <c r="F223" s="6">
        <f t="shared" si="15"/>
        <v>1826.2</v>
      </c>
      <c r="G223" s="5"/>
      <c r="H223" s="34">
        <v>176152</v>
      </c>
      <c r="I223" s="5" t="s">
        <v>82</v>
      </c>
      <c r="J223" s="16">
        <f t="shared" si="14"/>
        <v>0.41866663183626002</v>
      </c>
    </row>
    <row r="224" spans="1:10" ht="15" hidden="1" customHeight="1" x14ac:dyDescent="0.3">
      <c r="A224" s="5" t="s">
        <v>3</v>
      </c>
      <c r="B224" s="5" t="s">
        <v>19</v>
      </c>
      <c r="C224" s="5" t="s">
        <v>53</v>
      </c>
      <c r="D224" s="5">
        <v>10</v>
      </c>
      <c r="E224" s="6">
        <v>31882.21</v>
      </c>
      <c r="F224" s="6">
        <f>E224</f>
        <v>31882.21</v>
      </c>
      <c r="G224" s="5"/>
      <c r="H224" s="34">
        <v>176152</v>
      </c>
      <c r="I224" s="5" t="s">
        <v>82</v>
      </c>
      <c r="J224" s="16">
        <f t="shared" si="14"/>
        <v>0.31855836580714009</v>
      </c>
    </row>
    <row r="225" spans="1:10" ht="15" hidden="1" customHeight="1" x14ac:dyDescent="0.3">
      <c r="A225" s="5" t="s">
        <v>3</v>
      </c>
      <c r="B225" s="5" t="s">
        <v>19</v>
      </c>
      <c r="C225" s="5" t="s">
        <v>55</v>
      </c>
      <c r="D225" s="5">
        <v>10</v>
      </c>
      <c r="E225" s="6">
        <v>45.310244928992589</v>
      </c>
      <c r="F225" s="6">
        <f t="shared" ref="F225:F242" si="16">D225*E225</f>
        <v>453.10244928992586</v>
      </c>
      <c r="G225" s="5"/>
      <c r="H225" s="34">
        <v>176152</v>
      </c>
      <c r="I225" s="5" t="s">
        <v>82</v>
      </c>
      <c r="J225" s="16">
        <f t="shared" si="14"/>
        <v>0.31855836580714009</v>
      </c>
    </row>
    <row r="226" spans="1:10" ht="15" hidden="1" customHeight="1" x14ac:dyDescent="0.3">
      <c r="A226" s="5" t="s">
        <v>3</v>
      </c>
      <c r="B226" s="5" t="s">
        <v>19</v>
      </c>
      <c r="C226" s="5" t="s">
        <v>26</v>
      </c>
      <c r="D226" s="5">
        <v>10</v>
      </c>
      <c r="E226" s="6">
        <v>24.798867924528299</v>
      </c>
      <c r="F226" s="6">
        <f t="shared" si="16"/>
        <v>247.98867924528298</v>
      </c>
      <c r="G226" s="5"/>
      <c r="H226" s="34">
        <v>176152</v>
      </c>
      <c r="I226" s="5" t="s">
        <v>82</v>
      </c>
      <c r="J226" s="16">
        <f t="shared" si="14"/>
        <v>0.31855836580714009</v>
      </c>
    </row>
    <row r="227" spans="1:10" ht="15" hidden="1" customHeight="1" x14ac:dyDescent="0.3">
      <c r="A227" s="5" t="s">
        <v>3</v>
      </c>
      <c r="B227" s="5" t="s">
        <v>19</v>
      </c>
      <c r="C227" s="5" t="s">
        <v>14</v>
      </c>
      <c r="D227" s="5">
        <v>10</v>
      </c>
      <c r="E227" s="6">
        <v>40.668212512413113</v>
      </c>
      <c r="F227" s="6">
        <f t="shared" si="16"/>
        <v>406.68212512413112</v>
      </c>
      <c r="G227" s="5"/>
      <c r="H227" s="34">
        <v>176152</v>
      </c>
      <c r="I227" s="5" t="s">
        <v>82</v>
      </c>
      <c r="J227" s="16">
        <f t="shared" si="14"/>
        <v>0.31855836580714009</v>
      </c>
    </row>
    <row r="228" spans="1:10" ht="15" hidden="1" customHeight="1" x14ac:dyDescent="0.3">
      <c r="A228" s="5" t="s">
        <v>3</v>
      </c>
      <c r="B228" s="5" t="s">
        <v>19</v>
      </c>
      <c r="C228" s="5" t="s">
        <v>56</v>
      </c>
      <c r="D228" s="5">
        <v>10</v>
      </c>
      <c r="E228" s="6">
        <v>50</v>
      </c>
      <c r="F228" s="6">
        <f t="shared" si="16"/>
        <v>500</v>
      </c>
      <c r="G228" s="5"/>
      <c r="H228" s="34">
        <v>176152</v>
      </c>
      <c r="I228" s="5" t="s">
        <v>82</v>
      </c>
      <c r="J228" s="16">
        <f t="shared" si="14"/>
        <v>0.31855836580714009</v>
      </c>
    </row>
    <row r="229" spans="1:10" ht="15" hidden="1" customHeight="1" x14ac:dyDescent="0.3">
      <c r="A229" s="5" t="s">
        <v>3</v>
      </c>
      <c r="B229" s="5" t="s">
        <v>19</v>
      </c>
      <c r="C229" s="5" t="s">
        <v>70</v>
      </c>
      <c r="D229" s="5">
        <v>0</v>
      </c>
      <c r="E229" s="6">
        <v>0</v>
      </c>
      <c r="F229" s="6">
        <f t="shared" si="16"/>
        <v>0</v>
      </c>
      <c r="G229" s="5"/>
      <c r="H229" s="34">
        <v>176152</v>
      </c>
      <c r="I229" s="5" t="s">
        <v>82</v>
      </c>
      <c r="J229" s="16">
        <f t="shared" si="14"/>
        <v>0.31855836580714009</v>
      </c>
    </row>
    <row r="230" spans="1:10" ht="15" hidden="1" customHeight="1" x14ac:dyDescent="0.3">
      <c r="A230" s="5" t="s">
        <v>3</v>
      </c>
      <c r="B230" s="5" t="s">
        <v>19</v>
      </c>
      <c r="C230" s="5" t="s">
        <v>119</v>
      </c>
      <c r="D230" s="5">
        <v>1</v>
      </c>
      <c r="E230" s="6">
        <v>21479.53</v>
      </c>
      <c r="F230" s="6">
        <f t="shared" si="16"/>
        <v>21479.53</v>
      </c>
      <c r="G230" s="5"/>
      <c r="H230" s="34">
        <v>176152</v>
      </c>
      <c r="I230" s="5" t="s">
        <v>82</v>
      </c>
      <c r="J230" s="16">
        <f t="shared" si="14"/>
        <v>0.31855836580714009</v>
      </c>
    </row>
    <row r="231" spans="1:10" ht="15" hidden="1" customHeight="1" x14ac:dyDescent="0.3">
      <c r="A231" s="5" t="s">
        <v>3</v>
      </c>
      <c r="B231" s="5" t="s">
        <v>19</v>
      </c>
      <c r="C231" s="5" t="s">
        <v>57</v>
      </c>
      <c r="D231" s="5">
        <v>4</v>
      </c>
      <c r="E231" s="6">
        <v>30</v>
      </c>
      <c r="F231" s="6">
        <f t="shared" si="16"/>
        <v>120</v>
      </c>
      <c r="G231" s="5"/>
      <c r="H231" s="34">
        <v>176152</v>
      </c>
      <c r="I231" s="5" t="s">
        <v>82</v>
      </c>
      <c r="J231" s="16">
        <f t="shared" si="14"/>
        <v>0.31855836580714009</v>
      </c>
    </row>
    <row r="232" spans="1:10" ht="15" hidden="1" customHeight="1" x14ac:dyDescent="0.3">
      <c r="A232" s="5" t="s">
        <v>3</v>
      </c>
      <c r="B232" s="5" t="s">
        <v>19</v>
      </c>
      <c r="C232" s="5" t="s">
        <v>76</v>
      </c>
      <c r="D232" s="5">
        <v>0</v>
      </c>
      <c r="E232" s="6">
        <v>0</v>
      </c>
      <c r="F232" s="6">
        <f t="shared" si="16"/>
        <v>0</v>
      </c>
      <c r="G232" s="5"/>
      <c r="H232" s="34">
        <v>176152</v>
      </c>
      <c r="I232" s="5" t="s">
        <v>82</v>
      </c>
      <c r="J232" s="16">
        <f t="shared" si="14"/>
        <v>0.31855836580714009</v>
      </c>
    </row>
    <row r="233" spans="1:10" ht="15" hidden="1" customHeight="1" x14ac:dyDescent="0.3">
      <c r="A233" s="5" t="s">
        <v>3</v>
      </c>
      <c r="B233" s="5" t="s">
        <v>19</v>
      </c>
      <c r="C233" s="5" t="s">
        <v>71</v>
      </c>
      <c r="D233" s="5">
        <v>2</v>
      </c>
      <c r="E233" s="6">
        <v>40.520000000000003</v>
      </c>
      <c r="F233" s="6">
        <f t="shared" si="16"/>
        <v>81.040000000000006</v>
      </c>
      <c r="G233" s="5"/>
      <c r="H233" s="34">
        <v>176152</v>
      </c>
      <c r="I233" s="5" t="s">
        <v>82</v>
      </c>
      <c r="J233" s="16">
        <f t="shared" si="14"/>
        <v>0.31855836580714009</v>
      </c>
    </row>
    <row r="234" spans="1:10" ht="15" hidden="1" customHeight="1" x14ac:dyDescent="0.3">
      <c r="A234" s="5" t="s">
        <v>3</v>
      </c>
      <c r="B234" s="5" t="s">
        <v>19</v>
      </c>
      <c r="C234" s="5" t="s">
        <v>72</v>
      </c>
      <c r="D234" s="5">
        <v>1</v>
      </c>
      <c r="E234" s="6">
        <v>153.58000000000001</v>
      </c>
      <c r="F234" s="6">
        <f t="shared" si="16"/>
        <v>153.58000000000001</v>
      </c>
      <c r="G234" s="5"/>
      <c r="H234" s="34">
        <v>176152</v>
      </c>
      <c r="I234" s="5" t="s">
        <v>82</v>
      </c>
      <c r="J234" s="16">
        <f t="shared" si="14"/>
        <v>0.31855836580714009</v>
      </c>
    </row>
    <row r="235" spans="1:10" ht="15" hidden="1" customHeight="1" x14ac:dyDescent="0.3">
      <c r="A235" s="5" t="s">
        <v>3</v>
      </c>
      <c r="B235" s="5" t="s">
        <v>19</v>
      </c>
      <c r="C235" s="5" t="s">
        <v>58</v>
      </c>
      <c r="D235" s="5">
        <v>10</v>
      </c>
      <c r="E235" s="6">
        <v>10.15</v>
      </c>
      <c r="F235" s="6">
        <f t="shared" si="16"/>
        <v>101.5</v>
      </c>
      <c r="G235" s="5"/>
      <c r="H235" s="34">
        <v>176152</v>
      </c>
      <c r="I235" s="5" t="s">
        <v>82</v>
      </c>
      <c r="J235" s="16">
        <f t="shared" si="14"/>
        <v>0.31855836580714009</v>
      </c>
    </row>
    <row r="236" spans="1:10" ht="15" hidden="1" customHeight="1" x14ac:dyDescent="0.3">
      <c r="A236" s="5" t="s">
        <v>3</v>
      </c>
      <c r="B236" s="5" t="s">
        <v>19</v>
      </c>
      <c r="C236" s="5" t="s">
        <v>59</v>
      </c>
      <c r="D236" s="5">
        <v>10</v>
      </c>
      <c r="E236" s="6">
        <v>2.92</v>
      </c>
      <c r="F236" s="6">
        <f t="shared" si="16"/>
        <v>29.2</v>
      </c>
      <c r="G236" s="5"/>
      <c r="H236" s="34">
        <v>176152</v>
      </c>
      <c r="I236" s="5" t="s">
        <v>82</v>
      </c>
      <c r="J236" s="16">
        <f t="shared" si="14"/>
        <v>0.31855836580714009</v>
      </c>
    </row>
    <row r="237" spans="1:10" ht="15" hidden="1" customHeight="1" x14ac:dyDescent="0.3">
      <c r="A237" s="5" t="s">
        <v>3</v>
      </c>
      <c r="B237" s="5" t="s">
        <v>19</v>
      </c>
      <c r="C237" s="5" t="s">
        <v>89</v>
      </c>
      <c r="D237" s="5">
        <v>0</v>
      </c>
      <c r="E237" s="6">
        <v>0</v>
      </c>
      <c r="F237" s="6">
        <f t="shared" si="16"/>
        <v>0</v>
      </c>
      <c r="G237" s="5"/>
      <c r="H237" s="34">
        <v>176152</v>
      </c>
      <c r="I237" s="5" t="s">
        <v>82</v>
      </c>
      <c r="J237" s="16">
        <f t="shared" si="14"/>
        <v>0.31855836580714009</v>
      </c>
    </row>
    <row r="238" spans="1:10" ht="15" hidden="1" customHeight="1" x14ac:dyDescent="0.3">
      <c r="A238" s="5" t="s">
        <v>3</v>
      </c>
      <c r="B238" s="5" t="s">
        <v>19</v>
      </c>
      <c r="C238" s="5" t="s">
        <v>74</v>
      </c>
      <c r="D238" s="5">
        <v>0</v>
      </c>
      <c r="E238" s="6">
        <v>0</v>
      </c>
      <c r="F238" s="6">
        <f t="shared" si="16"/>
        <v>0</v>
      </c>
      <c r="G238" s="5"/>
      <c r="H238" s="34">
        <v>176152</v>
      </c>
      <c r="I238" s="5" t="s">
        <v>82</v>
      </c>
      <c r="J238" s="16">
        <f t="shared" si="14"/>
        <v>0.31855836580714009</v>
      </c>
    </row>
    <row r="239" spans="1:10" ht="15" hidden="1" customHeight="1" x14ac:dyDescent="0.3">
      <c r="A239" s="5" t="s">
        <v>3</v>
      </c>
      <c r="B239" s="5" t="s">
        <v>19</v>
      </c>
      <c r="C239" s="5" t="s">
        <v>62</v>
      </c>
      <c r="D239" s="5">
        <v>3</v>
      </c>
      <c r="E239" s="6">
        <v>68</v>
      </c>
      <c r="F239" s="6">
        <f t="shared" si="16"/>
        <v>204</v>
      </c>
      <c r="G239" s="5"/>
      <c r="H239" s="34">
        <v>176152</v>
      </c>
      <c r="I239" s="5" t="s">
        <v>82</v>
      </c>
      <c r="J239" s="16">
        <f t="shared" si="14"/>
        <v>0.31855836580714009</v>
      </c>
    </row>
    <row r="240" spans="1:10" ht="15" hidden="1" customHeight="1" x14ac:dyDescent="0.3">
      <c r="A240" s="5" t="s">
        <v>3</v>
      </c>
      <c r="B240" s="5" t="s">
        <v>19</v>
      </c>
      <c r="C240" s="5" t="s">
        <v>114</v>
      </c>
      <c r="D240" s="5">
        <v>0</v>
      </c>
      <c r="E240" s="6">
        <v>0</v>
      </c>
      <c r="F240" s="6">
        <f t="shared" si="16"/>
        <v>0</v>
      </c>
      <c r="G240" s="5"/>
      <c r="H240" s="34">
        <v>176152</v>
      </c>
      <c r="I240" s="5" t="s">
        <v>82</v>
      </c>
      <c r="J240" s="16">
        <f t="shared" si="14"/>
        <v>0.31855836580714009</v>
      </c>
    </row>
    <row r="241" spans="1:10" ht="15" hidden="1" customHeight="1" x14ac:dyDescent="0.3">
      <c r="A241" s="5" t="s">
        <v>3</v>
      </c>
      <c r="B241" s="5" t="s">
        <v>19</v>
      </c>
      <c r="C241" s="5" t="s">
        <v>75</v>
      </c>
      <c r="D241" s="5">
        <v>0</v>
      </c>
      <c r="E241" s="6">
        <v>0</v>
      </c>
      <c r="F241" s="6">
        <f t="shared" si="16"/>
        <v>0</v>
      </c>
      <c r="G241" s="5"/>
      <c r="H241" s="34">
        <v>176152</v>
      </c>
      <c r="I241" s="5" t="s">
        <v>82</v>
      </c>
      <c r="J241" s="16">
        <f t="shared" si="14"/>
        <v>0.31855836580714009</v>
      </c>
    </row>
    <row r="242" spans="1:10" ht="15" hidden="1" customHeight="1" x14ac:dyDescent="0.3">
      <c r="A242" s="5" t="s">
        <v>3</v>
      </c>
      <c r="B242" s="5" t="s">
        <v>19</v>
      </c>
      <c r="C242" s="5" t="s">
        <v>64</v>
      </c>
      <c r="D242" s="5">
        <v>1</v>
      </c>
      <c r="E242" s="6">
        <v>455.86</v>
      </c>
      <c r="F242" s="6">
        <f t="shared" si="16"/>
        <v>455.86</v>
      </c>
      <c r="G242" s="5"/>
      <c r="H242" s="34">
        <v>176152</v>
      </c>
      <c r="I242" s="5" t="s">
        <v>82</v>
      </c>
      <c r="J242" s="16">
        <f t="shared" si="14"/>
        <v>0.31855836580714009</v>
      </c>
    </row>
    <row r="243" spans="1:10" ht="15" hidden="1" customHeight="1" x14ac:dyDescent="0.3">
      <c r="A243" s="5" t="s">
        <v>3</v>
      </c>
      <c r="B243" s="5" t="s">
        <v>20</v>
      </c>
      <c r="C243" s="5" t="s">
        <v>53</v>
      </c>
      <c r="D243" s="5">
        <v>2</v>
      </c>
      <c r="E243" s="6">
        <v>7972.95</v>
      </c>
      <c r="F243" s="6">
        <f>E243</f>
        <v>7972.95</v>
      </c>
      <c r="G243" s="5"/>
      <c r="H243" s="34">
        <v>189453</v>
      </c>
      <c r="I243" s="5" t="s">
        <v>54</v>
      </c>
      <c r="J243" s="16">
        <f t="shared" si="14"/>
        <v>4.4984690929844695E-2</v>
      </c>
    </row>
    <row r="244" spans="1:10" ht="15" hidden="1" customHeight="1" x14ac:dyDescent="0.3">
      <c r="A244" s="5" t="s">
        <v>3</v>
      </c>
      <c r="B244" s="5" t="s">
        <v>20</v>
      </c>
      <c r="C244" s="5" t="s">
        <v>55</v>
      </c>
      <c r="D244" s="5">
        <v>2</v>
      </c>
      <c r="E244" s="6">
        <v>45.310244928992589</v>
      </c>
      <c r="F244" s="6">
        <f t="shared" ref="F244:F259" si="17">D244*E244</f>
        <v>90.620489857985177</v>
      </c>
      <c r="G244" s="5"/>
      <c r="H244" s="34">
        <v>189453</v>
      </c>
      <c r="I244" s="5" t="s">
        <v>54</v>
      </c>
      <c r="J244" s="16">
        <f t="shared" si="14"/>
        <v>4.4984690929844695E-2</v>
      </c>
    </row>
    <row r="245" spans="1:10" ht="15" hidden="1" customHeight="1" x14ac:dyDescent="0.3">
      <c r="A245" s="5" t="s">
        <v>3</v>
      </c>
      <c r="B245" s="5" t="s">
        <v>20</v>
      </c>
      <c r="C245" s="5" t="s">
        <v>26</v>
      </c>
      <c r="D245" s="5">
        <v>2</v>
      </c>
      <c r="E245" s="6">
        <v>24.798867924528299</v>
      </c>
      <c r="F245" s="6">
        <f t="shared" si="17"/>
        <v>49.597735849056598</v>
      </c>
      <c r="G245" s="5"/>
      <c r="H245" s="34">
        <v>189453</v>
      </c>
      <c r="I245" s="5" t="s">
        <v>54</v>
      </c>
      <c r="J245" s="16">
        <f t="shared" si="14"/>
        <v>4.4984690929844695E-2</v>
      </c>
    </row>
    <row r="246" spans="1:10" ht="15" hidden="1" customHeight="1" x14ac:dyDescent="0.3">
      <c r="A246" s="5" t="s">
        <v>3</v>
      </c>
      <c r="B246" s="5" t="s">
        <v>20</v>
      </c>
      <c r="C246" s="5" t="s">
        <v>14</v>
      </c>
      <c r="D246" s="5">
        <v>2</v>
      </c>
      <c r="E246" s="6">
        <v>40.668212512413113</v>
      </c>
      <c r="F246" s="6">
        <f t="shared" si="17"/>
        <v>81.336425024826227</v>
      </c>
      <c r="G246" s="5"/>
      <c r="H246" s="34">
        <v>189453</v>
      </c>
      <c r="I246" s="5" t="s">
        <v>54</v>
      </c>
      <c r="J246" s="16">
        <f t="shared" si="14"/>
        <v>4.4984690929844695E-2</v>
      </c>
    </row>
    <row r="247" spans="1:10" ht="15" hidden="1" customHeight="1" x14ac:dyDescent="0.3">
      <c r="A247" s="5" t="s">
        <v>3</v>
      </c>
      <c r="B247" s="5" t="s">
        <v>20</v>
      </c>
      <c r="C247" s="5" t="s">
        <v>56</v>
      </c>
      <c r="D247" s="5">
        <v>1</v>
      </c>
      <c r="E247" s="6">
        <v>90</v>
      </c>
      <c r="F247" s="6">
        <f t="shared" si="17"/>
        <v>90</v>
      </c>
      <c r="G247" s="5"/>
      <c r="H247" s="34">
        <v>189453</v>
      </c>
      <c r="I247" s="5" t="s">
        <v>54</v>
      </c>
      <c r="J247" s="16">
        <f t="shared" si="14"/>
        <v>4.4984690929844695E-2</v>
      </c>
    </row>
    <row r="248" spans="1:10" ht="15" hidden="1" customHeight="1" x14ac:dyDescent="0.3">
      <c r="A248" s="5" t="s">
        <v>3</v>
      </c>
      <c r="B248" s="5" t="s">
        <v>20</v>
      </c>
      <c r="C248" s="5" t="s">
        <v>56</v>
      </c>
      <c r="D248" s="5">
        <v>1</v>
      </c>
      <c r="E248" s="6">
        <v>50</v>
      </c>
      <c r="F248" s="6">
        <f t="shared" si="17"/>
        <v>50</v>
      </c>
      <c r="G248" s="5"/>
      <c r="H248" s="34">
        <v>189453</v>
      </c>
      <c r="I248" s="5" t="s">
        <v>54</v>
      </c>
      <c r="J248" s="16">
        <f t="shared" si="14"/>
        <v>4.4984690929844695E-2</v>
      </c>
    </row>
    <row r="249" spans="1:10" ht="15" hidden="1" customHeight="1" x14ac:dyDescent="0.3">
      <c r="A249" s="5" t="s">
        <v>3</v>
      </c>
      <c r="B249" s="5" t="s">
        <v>20</v>
      </c>
      <c r="C249" s="5" t="s">
        <v>70</v>
      </c>
      <c r="D249" s="5">
        <v>0</v>
      </c>
      <c r="E249" s="6">
        <v>0</v>
      </c>
      <c r="F249" s="6">
        <f t="shared" si="17"/>
        <v>0</v>
      </c>
      <c r="G249" s="5"/>
      <c r="H249" s="34">
        <v>189453</v>
      </c>
      <c r="I249" s="5" t="s">
        <v>54</v>
      </c>
      <c r="J249" s="16">
        <f t="shared" si="14"/>
        <v>4.4984690929844695E-2</v>
      </c>
    </row>
    <row r="250" spans="1:10" ht="15" hidden="1" customHeight="1" x14ac:dyDescent="0.3">
      <c r="A250" s="5" t="s">
        <v>3</v>
      </c>
      <c r="B250" s="5" t="s">
        <v>20</v>
      </c>
      <c r="C250" s="5" t="s">
        <v>57</v>
      </c>
      <c r="D250" s="5">
        <v>2</v>
      </c>
      <c r="E250" s="6">
        <v>30</v>
      </c>
      <c r="F250" s="6">
        <f t="shared" si="17"/>
        <v>60</v>
      </c>
      <c r="G250" s="5"/>
      <c r="H250" s="34">
        <v>189453</v>
      </c>
      <c r="I250" s="5" t="s">
        <v>54</v>
      </c>
      <c r="J250" s="16">
        <f t="shared" si="14"/>
        <v>4.4984690929844695E-2</v>
      </c>
    </row>
    <row r="251" spans="1:10" ht="15" hidden="1" customHeight="1" x14ac:dyDescent="0.3">
      <c r="A251" s="5" t="s">
        <v>3</v>
      </c>
      <c r="B251" s="5" t="s">
        <v>20</v>
      </c>
      <c r="C251" s="5" t="s">
        <v>72</v>
      </c>
      <c r="D251" s="5">
        <v>1</v>
      </c>
      <c r="E251" s="6">
        <v>0</v>
      </c>
      <c r="F251" s="6">
        <f t="shared" si="17"/>
        <v>0</v>
      </c>
      <c r="G251" s="5"/>
      <c r="H251" s="34">
        <v>189453</v>
      </c>
      <c r="I251" s="5" t="s">
        <v>54</v>
      </c>
      <c r="J251" s="16">
        <f t="shared" si="14"/>
        <v>4.4984690929844695E-2</v>
      </c>
    </row>
    <row r="252" spans="1:10" ht="15" hidden="1" customHeight="1" x14ac:dyDescent="0.3">
      <c r="A252" s="5" t="s">
        <v>3</v>
      </c>
      <c r="B252" s="5" t="s">
        <v>20</v>
      </c>
      <c r="C252" s="5" t="s">
        <v>58</v>
      </c>
      <c r="D252" s="5">
        <v>2</v>
      </c>
      <c r="E252" s="6">
        <v>10.15</v>
      </c>
      <c r="F252" s="6">
        <f t="shared" si="17"/>
        <v>20.3</v>
      </c>
      <c r="G252" s="5"/>
      <c r="H252" s="34">
        <v>189453</v>
      </c>
      <c r="I252" s="5" t="s">
        <v>54</v>
      </c>
      <c r="J252" s="16">
        <f t="shared" si="14"/>
        <v>4.4984690929844695E-2</v>
      </c>
    </row>
    <row r="253" spans="1:10" ht="15" hidden="1" customHeight="1" x14ac:dyDescent="0.3">
      <c r="A253" s="5" t="s">
        <v>3</v>
      </c>
      <c r="B253" s="5" t="s">
        <v>20</v>
      </c>
      <c r="C253" s="5" t="s">
        <v>59</v>
      </c>
      <c r="D253" s="5">
        <v>2</v>
      </c>
      <c r="E253" s="6">
        <v>2.92</v>
      </c>
      <c r="F253" s="6">
        <f t="shared" si="17"/>
        <v>5.84</v>
      </c>
      <c r="G253" s="5"/>
      <c r="H253" s="34">
        <v>189453</v>
      </c>
      <c r="I253" s="5" t="s">
        <v>54</v>
      </c>
      <c r="J253" s="16">
        <f t="shared" si="14"/>
        <v>4.4984690929844695E-2</v>
      </c>
    </row>
    <row r="254" spans="1:10" ht="15" hidden="1" customHeight="1" x14ac:dyDescent="0.3">
      <c r="A254" s="5" t="s">
        <v>3</v>
      </c>
      <c r="B254" s="5" t="s">
        <v>20</v>
      </c>
      <c r="C254" s="5" t="s">
        <v>89</v>
      </c>
      <c r="D254" s="5">
        <v>0</v>
      </c>
      <c r="E254" s="6">
        <v>0</v>
      </c>
      <c r="F254" s="6">
        <f t="shared" si="17"/>
        <v>0</v>
      </c>
      <c r="G254" s="5"/>
      <c r="H254" s="34">
        <v>189453</v>
      </c>
      <c r="I254" s="5" t="s">
        <v>54</v>
      </c>
      <c r="J254" s="16">
        <f t="shared" si="14"/>
        <v>4.4984690929844695E-2</v>
      </c>
    </row>
    <row r="255" spans="1:10" ht="15" hidden="1" customHeight="1" x14ac:dyDescent="0.3">
      <c r="A255" s="5" t="s">
        <v>3</v>
      </c>
      <c r="B255" s="5" t="s">
        <v>20</v>
      </c>
      <c r="C255" s="5" t="s">
        <v>74</v>
      </c>
      <c r="D255" s="5">
        <v>0</v>
      </c>
      <c r="E255" s="6">
        <v>0</v>
      </c>
      <c r="F255" s="6">
        <f t="shared" si="17"/>
        <v>0</v>
      </c>
      <c r="G255" s="5"/>
      <c r="H255" s="34">
        <v>189453</v>
      </c>
      <c r="I255" s="5" t="s">
        <v>54</v>
      </c>
      <c r="J255" s="16">
        <f t="shared" si="14"/>
        <v>4.4984690929844695E-2</v>
      </c>
    </row>
    <row r="256" spans="1:10" ht="15" hidden="1" customHeight="1" x14ac:dyDescent="0.3">
      <c r="A256" s="5" t="s">
        <v>3</v>
      </c>
      <c r="B256" s="5" t="s">
        <v>20</v>
      </c>
      <c r="C256" s="5" t="s">
        <v>62</v>
      </c>
      <c r="D256" s="5">
        <v>0</v>
      </c>
      <c r="E256" s="6">
        <v>0</v>
      </c>
      <c r="F256" s="6">
        <f t="shared" si="17"/>
        <v>0</v>
      </c>
      <c r="G256" s="5"/>
      <c r="H256" s="34">
        <v>189453</v>
      </c>
      <c r="I256" s="5" t="s">
        <v>54</v>
      </c>
      <c r="J256" s="16">
        <f t="shared" si="14"/>
        <v>4.4984690929844695E-2</v>
      </c>
    </row>
    <row r="257" spans="1:10" ht="15" hidden="1" customHeight="1" x14ac:dyDescent="0.3">
      <c r="A257" s="5" t="s">
        <v>3</v>
      </c>
      <c r="B257" s="5" t="s">
        <v>20</v>
      </c>
      <c r="C257" s="5" t="s">
        <v>114</v>
      </c>
      <c r="D257" s="5">
        <v>0</v>
      </c>
      <c r="E257" s="6">
        <v>0</v>
      </c>
      <c r="F257" s="6">
        <f t="shared" si="17"/>
        <v>0</v>
      </c>
      <c r="G257" s="5"/>
      <c r="H257" s="34">
        <v>189453</v>
      </c>
      <c r="I257" s="5" t="s">
        <v>54</v>
      </c>
      <c r="J257" s="16">
        <f t="shared" si="14"/>
        <v>4.4984690929844695E-2</v>
      </c>
    </row>
    <row r="258" spans="1:10" ht="15" hidden="1" customHeight="1" x14ac:dyDescent="0.3">
      <c r="A258" s="5" t="s">
        <v>3</v>
      </c>
      <c r="B258" s="5" t="s">
        <v>20</v>
      </c>
      <c r="C258" s="5" t="s">
        <v>75</v>
      </c>
      <c r="D258" s="5">
        <v>0</v>
      </c>
      <c r="E258" s="6">
        <v>0</v>
      </c>
      <c r="F258" s="6">
        <f t="shared" si="17"/>
        <v>0</v>
      </c>
      <c r="G258" s="5"/>
      <c r="H258" s="34">
        <v>189453</v>
      </c>
      <c r="I258" s="5" t="s">
        <v>54</v>
      </c>
      <c r="J258" s="16">
        <f t="shared" ref="J258:J321" si="18">IFERROR(SUMIFS($F$2:$F$1749,$A$2:$A$1749,A258,$B$2:$B$1749,B258)/H258,"")</f>
        <v>4.4984690929844695E-2</v>
      </c>
    </row>
    <row r="259" spans="1:10" ht="15" hidden="1" customHeight="1" x14ac:dyDescent="0.3">
      <c r="A259" s="5" t="s">
        <v>3</v>
      </c>
      <c r="B259" s="5" t="s">
        <v>20</v>
      </c>
      <c r="C259" s="5" t="s">
        <v>64</v>
      </c>
      <c r="D259" s="5">
        <v>1</v>
      </c>
      <c r="E259" s="6">
        <v>101.84</v>
      </c>
      <c r="F259" s="6">
        <f t="shared" si="17"/>
        <v>101.84</v>
      </c>
      <c r="G259" s="5"/>
      <c r="H259" s="34">
        <v>189453</v>
      </c>
      <c r="I259" s="5" t="s">
        <v>54</v>
      </c>
      <c r="J259" s="16">
        <f t="shared" si="18"/>
        <v>4.4984690929844695E-2</v>
      </c>
    </row>
    <row r="260" spans="1:10" ht="15" hidden="1" customHeight="1" x14ac:dyDescent="0.3">
      <c r="A260" s="5" t="s">
        <v>3</v>
      </c>
      <c r="B260" s="5" t="s">
        <v>21</v>
      </c>
      <c r="C260" s="5" t="s">
        <v>53</v>
      </c>
      <c r="D260" s="5">
        <v>3</v>
      </c>
      <c r="E260" s="6">
        <v>10946.79</v>
      </c>
      <c r="F260" s="6">
        <f>E260</f>
        <v>10946.79</v>
      </c>
      <c r="G260" s="5"/>
      <c r="H260" s="34">
        <v>189453</v>
      </c>
      <c r="I260" s="5" t="s">
        <v>54</v>
      </c>
      <c r="J260" s="16">
        <f t="shared" si="18"/>
        <v>6.0809393232610746E-2</v>
      </c>
    </row>
    <row r="261" spans="1:10" ht="15" hidden="1" customHeight="1" x14ac:dyDescent="0.3">
      <c r="A261" s="5" t="s">
        <v>3</v>
      </c>
      <c r="B261" s="5" t="s">
        <v>21</v>
      </c>
      <c r="C261" s="5" t="s">
        <v>55</v>
      </c>
      <c r="D261" s="5">
        <v>3</v>
      </c>
      <c r="E261" s="6">
        <v>45.310244928992589</v>
      </c>
      <c r="F261" s="6">
        <f t="shared" ref="F261:F274" si="19">D261*E261</f>
        <v>135.93073478697778</v>
      </c>
      <c r="G261" s="5"/>
      <c r="H261" s="34">
        <v>189453</v>
      </c>
      <c r="I261" s="5" t="s">
        <v>54</v>
      </c>
      <c r="J261" s="16">
        <f t="shared" si="18"/>
        <v>6.0809393232610746E-2</v>
      </c>
    </row>
    <row r="262" spans="1:10" ht="15" hidden="1" customHeight="1" x14ac:dyDescent="0.3">
      <c r="A262" s="5" t="s">
        <v>3</v>
      </c>
      <c r="B262" s="5" t="s">
        <v>21</v>
      </c>
      <c r="C262" s="5" t="s">
        <v>26</v>
      </c>
      <c r="D262" s="5">
        <v>3</v>
      </c>
      <c r="E262" s="6">
        <v>24.798867924528299</v>
      </c>
      <c r="F262" s="6">
        <f t="shared" si="19"/>
        <v>74.3966037735849</v>
      </c>
      <c r="G262" s="5"/>
      <c r="H262" s="34">
        <v>189453</v>
      </c>
      <c r="I262" s="5" t="s">
        <v>54</v>
      </c>
      <c r="J262" s="16">
        <f t="shared" si="18"/>
        <v>6.0809393232610746E-2</v>
      </c>
    </row>
    <row r="263" spans="1:10" ht="15" hidden="1" customHeight="1" x14ac:dyDescent="0.3">
      <c r="A263" s="5" t="s">
        <v>3</v>
      </c>
      <c r="B263" s="5" t="s">
        <v>21</v>
      </c>
      <c r="C263" s="5" t="s">
        <v>14</v>
      </c>
      <c r="D263" s="5">
        <v>3</v>
      </c>
      <c r="E263" s="6">
        <v>40.668212512413113</v>
      </c>
      <c r="F263" s="6">
        <f t="shared" si="19"/>
        <v>122.00463753723935</v>
      </c>
      <c r="G263" s="5"/>
      <c r="H263" s="34">
        <v>189453</v>
      </c>
      <c r="I263" s="5" t="s">
        <v>54</v>
      </c>
      <c r="J263" s="16">
        <f t="shared" si="18"/>
        <v>6.0809393232610746E-2</v>
      </c>
    </row>
    <row r="264" spans="1:10" ht="15" hidden="1" customHeight="1" x14ac:dyDescent="0.3">
      <c r="A264" s="5" t="s">
        <v>3</v>
      </c>
      <c r="B264" s="5" t="s">
        <v>21</v>
      </c>
      <c r="C264" s="5" t="s">
        <v>87</v>
      </c>
      <c r="D264" s="5">
        <v>3</v>
      </c>
      <c r="E264" s="6">
        <v>50</v>
      </c>
      <c r="F264" s="6">
        <f t="shared" si="19"/>
        <v>150</v>
      </c>
      <c r="G264" s="5"/>
      <c r="H264" s="34">
        <v>189453</v>
      </c>
      <c r="I264" s="5" t="s">
        <v>54</v>
      </c>
      <c r="J264" s="16">
        <f t="shared" si="18"/>
        <v>6.0809393232610746E-2</v>
      </c>
    </row>
    <row r="265" spans="1:10" ht="15" hidden="1" customHeight="1" x14ac:dyDescent="0.3">
      <c r="A265" s="5" t="s">
        <v>3</v>
      </c>
      <c r="B265" s="5" t="s">
        <v>21</v>
      </c>
      <c r="C265" s="5" t="s">
        <v>70</v>
      </c>
      <c r="D265" s="5">
        <v>0</v>
      </c>
      <c r="E265" s="6">
        <v>0</v>
      </c>
      <c r="F265" s="6">
        <f t="shared" si="19"/>
        <v>0</v>
      </c>
      <c r="G265" s="5"/>
      <c r="H265" s="34">
        <v>189453</v>
      </c>
      <c r="I265" s="5" t="s">
        <v>54</v>
      </c>
      <c r="J265" s="16">
        <f t="shared" si="18"/>
        <v>6.0809393232610746E-2</v>
      </c>
    </row>
    <row r="266" spans="1:10" ht="15" hidden="1" customHeight="1" x14ac:dyDescent="0.3">
      <c r="A266" s="5" t="s">
        <v>3</v>
      </c>
      <c r="B266" s="5" t="s">
        <v>21</v>
      </c>
      <c r="C266" s="5" t="s">
        <v>120</v>
      </c>
      <c r="D266" s="5">
        <v>1</v>
      </c>
      <c r="E266" s="6">
        <v>30</v>
      </c>
      <c r="F266" s="6">
        <f t="shared" si="19"/>
        <v>30</v>
      </c>
      <c r="G266" s="5"/>
      <c r="H266" s="34">
        <v>189453</v>
      </c>
      <c r="I266" s="5" t="s">
        <v>54</v>
      </c>
      <c r="J266" s="16">
        <f t="shared" si="18"/>
        <v>6.0809393232610746E-2</v>
      </c>
    </row>
    <row r="267" spans="1:10" ht="15" hidden="1" customHeight="1" x14ac:dyDescent="0.3">
      <c r="A267" s="5" t="s">
        <v>3</v>
      </c>
      <c r="B267" s="5" t="s">
        <v>21</v>
      </c>
      <c r="C267" s="5" t="s">
        <v>71</v>
      </c>
      <c r="D267" s="5">
        <v>0</v>
      </c>
      <c r="E267" s="6">
        <v>0</v>
      </c>
      <c r="F267" s="6">
        <f t="shared" si="19"/>
        <v>0</v>
      </c>
      <c r="G267" s="5"/>
      <c r="H267" s="34">
        <v>189453</v>
      </c>
      <c r="I267" s="5" t="s">
        <v>54</v>
      </c>
      <c r="J267" s="16">
        <f t="shared" si="18"/>
        <v>6.0809393232610746E-2</v>
      </c>
    </row>
    <row r="268" spans="1:10" ht="15" hidden="1" customHeight="1" x14ac:dyDescent="0.3">
      <c r="A268" s="5" t="s">
        <v>3</v>
      </c>
      <c r="B268" s="5" t="s">
        <v>21</v>
      </c>
      <c r="C268" s="5" t="s">
        <v>58</v>
      </c>
      <c r="D268" s="5">
        <v>3</v>
      </c>
      <c r="E268" s="6">
        <v>10.15</v>
      </c>
      <c r="F268" s="6">
        <f t="shared" si="19"/>
        <v>30.450000000000003</v>
      </c>
      <c r="G268" s="5"/>
      <c r="H268" s="34">
        <v>189453</v>
      </c>
      <c r="I268" s="5" t="s">
        <v>54</v>
      </c>
      <c r="J268" s="16">
        <f t="shared" si="18"/>
        <v>6.0809393232610746E-2</v>
      </c>
    </row>
    <row r="269" spans="1:10" ht="15" hidden="1" customHeight="1" x14ac:dyDescent="0.3">
      <c r="A269" s="5" t="s">
        <v>3</v>
      </c>
      <c r="B269" s="5" t="s">
        <v>21</v>
      </c>
      <c r="C269" s="5" t="s">
        <v>59</v>
      </c>
      <c r="D269" s="5">
        <v>3</v>
      </c>
      <c r="E269" s="6">
        <v>2.92</v>
      </c>
      <c r="F269" s="6">
        <f t="shared" si="19"/>
        <v>8.76</v>
      </c>
      <c r="G269" s="5"/>
      <c r="H269" s="34">
        <v>189453</v>
      </c>
      <c r="I269" s="5" t="s">
        <v>54</v>
      </c>
      <c r="J269" s="16">
        <f t="shared" si="18"/>
        <v>6.0809393232610746E-2</v>
      </c>
    </row>
    <row r="270" spans="1:10" ht="15" hidden="1" customHeight="1" x14ac:dyDescent="0.3">
      <c r="A270" s="5" t="s">
        <v>3</v>
      </c>
      <c r="B270" s="5" t="s">
        <v>21</v>
      </c>
      <c r="C270" s="5" t="s">
        <v>74</v>
      </c>
      <c r="D270" s="5">
        <v>0</v>
      </c>
      <c r="E270" s="6">
        <v>0</v>
      </c>
      <c r="F270" s="6">
        <f t="shared" si="19"/>
        <v>0</v>
      </c>
      <c r="G270" s="5"/>
      <c r="H270" s="34">
        <v>189453</v>
      </c>
      <c r="I270" s="5" t="s">
        <v>54</v>
      </c>
      <c r="J270" s="16">
        <f t="shared" si="18"/>
        <v>6.0809393232610746E-2</v>
      </c>
    </row>
    <row r="271" spans="1:10" ht="15" hidden="1" customHeight="1" x14ac:dyDescent="0.3">
      <c r="A271" s="5" t="s">
        <v>3</v>
      </c>
      <c r="B271" s="5" t="s">
        <v>21</v>
      </c>
      <c r="C271" s="5" t="s">
        <v>62</v>
      </c>
      <c r="D271" s="5">
        <v>0</v>
      </c>
      <c r="E271" s="6">
        <v>0</v>
      </c>
      <c r="F271" s="6">
        <f t="shared" si="19"/>
        <v>0</v>
      </c>
      <c r="G271" s="5"/>
      <c r="H271" s="34">
        <v>189453</v>
      </c>
      <c r="I271" s="5" t="s">
        <v>54</v>
      </c>
      <c r="J271" s="16">
        <f t="shared" si="18"/>
        <v>6.0809393232610746E-2</v>
      </c>
    </row>
    <row r="272" spans="1:10" ht="15" hidden="1" customHeight="1" x14ac:dyDescent="0.3">
      <c r="A272" s="5" t="s">
        <v>3</v>
      </c>
      <c r="B272" s="5" t="s">
        <v>21</v>
      </c>
      <c r="C272" s="5" t="s">
        <v>121</v>
      </c>
      <c r="D272" s="5">
        <v>0</v>
      </c>
      <c r="E272" s="6">
        <v>0</v>
      </c>
      <c r="F272" s="6">
        <f t="shared" si="19"/>
        <v>0</v>
      </c>
      <c r="G272" s="5"/>
      <c r="H272" s="34">
        <v>189453</v>
      </c>
      <c r="I272" s="5" t="s">
        <v>54</v>
      </c>
      <c r="J272" s="16">
        <f t="shared" si="18"/>
        <v>6.0809393232610746E-2</v>
      </c>
    </row>
    <row r="273" spans="1:10" ht="15" hidden="1" customHeight="1" x14ac:dyDescent="0.3">
      <c r="A273" s="5" t="s">
        <v>3</v>
      </c>
      <c r="B273" s="5" t="s">
        <v>21</v>
      </c>
      <c r="C273" s="5" t="s">
        <v>75</v>
      </c>
      <c r="D273" s="5">
        <v>0</v>
      </c>
      <c r="E273" s="6">
        <v>0</v>
      </c>
      <c r="F273" s="6">
        <f t="shared" si="19"/>
        <v>0</v>
      </c>
      <c r="G273" s="5"/>
      <c r="H273" s="34">
        <v>189453</v>
      </c>
      <c r="I273" s="5" t="s">
        <v>54</v>
      </c>
      <c r="J273" s="16">
        <f t="shared" si="18"/>
        <v>6.0809393232610746E-2</v>
      </c>
    </row>
    <row r="274" spans="1:10" ht="15" hidden="1" customHeight="1" x14ac:dyDescent="0.3">
      <c r="A274" s="5" t="s">
        <v>3</v>
      </c>
      <c r="B274" s="5" t="s">
        <v>21</v>
      </c>
      <c r="C274" s="5" t="s">
        <v>64</v>
      </c>
      <c r="D274" s="5">
        <v>1</v>
      </c>
      <c r="E274" s="6">
        <v>22.19</v>
      </c>
      <c r="F274" s="6">
        <f t="shared" si="19"/>
        <v>22.19</v>
      </c>
      <c r="G274" s="5"/>
      <c r="H274" s="34">
        <v>189453</v>
      </c>
      <c r="I274" s="5" t="s">
        <v>54</v>
      </c>
      <c r="J274" s="16">
        <f t="shared" si="18"/>
        <v>6.0809393232610746E-2</v>
      </c>
    </row>
    <row r="275" spans="1:10" ht="15" hidden="1" customHeight="1" x14ac:dyDescent="0.3">
      <c r="A275" s="5" t="s">
        <v>3</v>
      </c>
      <c r="B275" s="5" t="s">
        <v>22</v>
      </c>
      <c r="C275" s="5" t="s">
        <v>53</v>
      </c>
      <c r="D275" s="5">
        <v>18</v>
      </c>
      <c r="E275" s="6">
        <v>70629.66</v>
      </c>
      <c r="F275" s="6">
        <f>E275</f>
        <v>70629.66</v>
      </c>
      <c r="G275" s="5"/>
      <c r="H275" s="34">
        <v>176152</v>
      </c>
      <c r="I275" s="5" t="s">
        <v>82</v>
      </c>
      <c r="J275" s="16">
        <f t="shared" si="18"/>
        <v>0.43772844961503043</v>
      </c>
    </row>
    <row r="276" spans="1:10" ht="15" hidden="1" customHeight="1" x14ac:dyDescent="0.3">
      <c r="A276" s="5" t="s">
        <v>3</v>
      </c>
      <c r="B276" s="5" t="s">
        <v>22</v>
      </c>
      <c r="C276" s="5" t="s">
        <v>55</v>
      </c>
      <c r="D276" s="5">
        <v>18</v>
      </c>
      <c r="E276" s="6">
        <v>45.310244928992589</v>
      </c>
      <c r="F276" s="6">
        <f t="shared" ref="F276:F295" si="20">D276*E276</f>
        <v>815.58440872186657</v>
      </c>
      <c r="G276" s="5"/>
      <c r="H276" s="34">
        <v>176152</v>
      </c>
      <c r="I276" s="5" t="s">
        <v>82</v>
      </c>
      <c r="J276" s="16">
        <f t="shared" si="18"/>
        <v>0.43772844961503043</v>
      </c>
    </row>
    <row r="277" spans="1:10" ht="15" hidden="1" customHeight="1" x14ac:dyDescent="0.3">
      <c r="A277" s="5" t="s">
        <v>3</v>
      </c>
      <c r="B277" s="5" t="s">
        <v>22</v>
      </c>
      <c r="C277" s="5" t="s">
        <v>26</v>
      </c>
      <c r="D277" s="5">
        <v>18</v>
      </c>
      <c r="E277" s="6">
        <v>24.798867924528299</v>
      </c>
      <c r="F277" s="6">
        <f t="shared" si="20"/>
        <v>446.3796226415094</v>
      </c>
      <c r="G277" s="5"/>
      <c r="H277" s="34">
        <v>176152</v>
      </c>
      <c r="I277" s="5" t="s">
        <v>82</v>
      </c>
      <c r="J277" s="16">
        <f t="shared" si="18"/>
        <v>0.43772844961503043</v>
      </c>
    </row>
    <row r="278" spans="1:10" ht="15" hidden="1" customHeight="1" x14ac:dyDescent="0.3">
      <c r="A278" s="5" t="s">
        <v>3</v>
      </c>
      <c r="B278" s="5" t="s">
        <v>22</v>
      </c>
      <c r="C278" s="5" t="s">
        <v>14</v>
      </c>
      <c r="D278" s="5">
        <v>18</v>
      </c>
      <c r="E278" s="6">
        <v>40.668212512413113</v>
      </c>
      <c r="F278" s="6">
        <f t="shared" si="20"/>
        <v>732.02782522343603</v>
      </c>
      <c r="G278" s="5"/>
      <c r="H278" s="34">
        <v>176152</v>
      </c>
      <c r="I278" s="5" t="s">
        <v>82</v>
      </c>
      <c r="J278" s="16">
        <f t="shared" si="18"/>
        <v>0.43772844961503043</v>
      </c>
    </row>
    <row r="279" spans="1:10" ht="15" hidden="1" customHeight="1" x14ac:dyDescent="0.3">
      <c r="A279" s="5" t="s">
        <v>3</v>
      </c>
      <c r="B279" s="5" t="s">
        <v>22</v>
      </c>
      <c r="C279" s="5" t="s">
        <v>87</v>
      </c>
      <c r="D279" s="5">
        <v>4</v>
      </c>
      <c r="E279" s="6">
        <v>50</v>
      </c>
      <c r="F279" s="6">
        <f t="shared" si="20"/>
        <v>200</v>
      </c>
      <c r="G279" s="5"/>
      <c r="H279" s="34">
        <v>176152</v>
      </c>
      <c r="I279" s="5" t="s">
        <v>82</v>
      </c>
      <c r="J279" s="16">
        <f t="shared" si="18"/>
        <v>0.43772844961503043</v>
      </c>
    </row>
    <row r="280" spans="1:10" ht="15" hidden="1" customHeight="1" x14ac:dyDescent="0.3">
      <c r="A280" s="5" t="s">
        <v>3</v>
      </c>
      <c r="B280" s="5" t="s">
        <v>22</v>
      </c>
      <c r="C280" s="5" t="s">
        <v>70</v>
      </c>
      <c r="D280" s="5">
        <v>0</v>
      </c>
      <c r="E280" s="6">
        <v>0</v>
      </c>
      <c r="F280" s="6">
        <f t="shared" si="20"/>
        <v>0</v>
      </c>
      <c r="G280" s="5"/>
      <c r="H280" s="34">
        <v>176152</v>
      </c>
      <c r="I280" s="5" t="s">
        <v>82</v>
      </c>
      <c r="J280" s="16">
        <f t="shared" si="18"/>
        <v>0.43772844961503043</v>
      </c>
    </row>
    <row r="281" spans="1:10" ht="15" hidden="1" customHeight="1" x14ac:dyDescent="0.3">
      <c r="A281" s="5" t="s">
        <v>3</v>
      </c>
      <c r="B281" s="5" t="s">
        <v>22</v>
      </c>
      <c r="C281" s="5" t="s">
        <v>76</v>
      </c>
      <c r="D281" s="5">
        <v>3</v>
      </c>
      <c r="E281" s="6">
        <v>30</v>
      </c>
      <c r="F281" s="6">
        <f t="shared" si="20"/>
        <v>90</v>
      </c>
      <c r="G281" s="5"/>
      <c r="H281" s="34">
        <v>176152</v>
      </c>
      <c r="I281" s="5" t="s">
        <v>82</v>
      </c>
      <c r="J281" s="16">
        <f t="shared" si="18"/>
        <v>0.43772844961503043</v>
      </c>
    </row>
    <row r="282" spans="1:10" ht="15" hidden="1" customHeight="1" x14ac:dyDescent="0.3">
      <c r="A282" s="5" t="s">
        <v>3</v>
      </c>
      <c r="B282" s="5" t="s">
        <v>22</v>
      </c>
      <c r="C282" s="5" t="s">
        <v>71</v>
      </c>
      <c r="D282" s="5">
        <v>1</v>
      </c>
      <c r="E282" s="6">
        <v>40.520000000000003</v>
      </c>
      <c r="F282" s="6">
        <f t="shared" si="20"/>
        <v>40.520000000000003</v>
      </c>
      <c r="G282" s="5"/>
      <c r="H282" s="34">
        <v>176152</v>
      </c>
      <c r="I282" s="5" t="s">
        <v>82</v>
      </c>
      <c r="J282" s="16">
        <f t="shared" si="18"/>
        <v>0.43772844961503043</v>
      </c>
    </row>
    <row r="283" spans="1:10" ht="15" hidden="1" customHeight="1" x14ac:dyDescent="0.3">
      <c r="A283" s="5" t="s">
        <v>3</v>
      </c>
      <c r="B283" s="5" t="s">
        <v>22</v>
      </c>
      <c r="C283" s="5" t="s">
        <v>72</v>
      </c>
      <c r="D283" s="5">
        <v>1</v>
      </c>
      <c r="E283" s="6">
        <v>153.58000000000001</v>
      </c>
      <c r="F283" s="6">
        <f t="shared" si="20"/>
        <v>153.58000000000001</v>
      </c>
      <c r="G283" s="5"/>
      <c r="H283" s="34">
        <v>176152</v>
      </c>
      <c r="I283" s="5" t="s">
        <v>82</v>
      </c>
      <c r="J283" s="16">
        <f t="shared" si="18"/>
        <v>0.43772844961503043</v>
      </c>
    </row>
    <row r="284" spans="1:10" ht="15" hidden="1" customHeight="1" x14ac:dyDescent="0.3">
      <c r="A284" s="5" t="s">
        <v>3</v>
      </c>
      <c r="B284" s="5" t="s">
        <v>22</v>
      </c>
      <c r="C284" s="5" t="s">
        <v>58</v>
      </c>
      <c r="D284" s="5">
        <v>18</v>
      </c>
      <c r="E284" s="6">
        <v>10.15</v>
      </c>
      <c r="F284" s="6">
        <f t="shared" si="20"/>
        <v>182.70000000000002</v>
      </c>
      <c r="G284" s="5"/>
      <c r="H284" s="34">
        <v>176152</v>
      </c>
      <c r="I284" s="5" t="s">
        <v>82</v>
      </c>
      <c r="J284" s="16">
        <f t="shared" si="18"/>
        <v>0.43772844961503043</v>
      </c>
    </row>
    <row r="285" spans="1:10" ht="15" hidden="1" customHeight="1" x14ac:dyDescent="0.3">
      <c r="A285" s="5" t="s">
        <v>3</v>
      </c>
      <c r="B285" s="5" t="s">
        <v>22</v>
      </c>
      <c r="C285" s="5" t="s">
        <v>59</v>
      </c>
      <c r="D285" s="5">
        <v>18</v>
      </c>
      <c r="E285" s="6">
        <v>2.92</v>
      </c>
      <c r="F285" s="6">
        <f t="shared" si="20"/>
        <v>52.56</v>
      </c>
      <c r="G285" s="5"/>
      <c r="H285" s="34">
        <v>176152</v>
      </c>
      <c r="I285" s="5" t="s">
        <v>82</v>
      </c>
      <c r="J285" s="16">
        <f t="shared" si="18"/>
        <v>0.43772844961503043</v>
      </c>
    </row>
    <row r="286" spans="1:10" ht="15" hidden="1" customHeight="1" x14ac:dyDescent="0.3">
      <c r="A286" s="5" t="s">
        <v>3</v>
      </c>
      <c r="B286" s="5" t="s">
        <v>22</v>
      </c>
      <c r="C286" s="5" t="s">
        <v>74</v>
      </c>
      <c r="D286" s="5">
        <v>0</v>
      </c>
      <c r="E286" s="6">
        <v>0</v>
      </c>
      <c r="F286" s="6">
        <f t="shared" si="20"/>
        <v>0</v>
      </c>
      <c r="G286" s="5"/>
      <c r="H286" s="34">
        <v>176152</v>
      </c>
      <c r="I286" s="5" t="s">
        <v>82</v>
      </c>
      <c r="J286" s="16">
        <f t="shared" si="18"/>
        <v>0.43772844961503043</v>
      </c>
    </row>
    <row r="287" spans="1:10" ht="15" hidden="1" customHeight="1" x14ac:dyDescent="0.3">
      <c r="A287" s="5" t="s">
        <v>3</v>
      </c>
      <c r="B287" s="5" t="s">
        <v>22</v>
      </c>
      <c r="C287" s="5" t="s">
        <v>62</v>
      </c>
      <c r="D287" s="5">
        <v>0</v>
      </c>
      <c r="E287" s="6">
        <v>0</v>
      </c>
      <c r="F287" s="6">
        <f t="shared" si="20"/>
        <v>0</v>
      </c>
      <c r="G287" s="5"/>
      <c r="H287" s="34">
        <v>176152</v>
      </c>
      <c r="I287" s="5" t="s">
        <v>82</v>
      </c>
      <c r="J287" s="16">
        <f t="shared" si="18"/>
        <v>0.43772844961503043</v>
      </c>
    </row>
    <row r="288" spans="1:10" ht="15" hidden="1" customHeight="1" x14ac:dyDescent="0.3">
      <c r="A288" s="5" t="s">
        <v>3</v>
      </c>
      <c r="B288" s="5" t="s">
        <v>22</v>
      </c>
      <c r="C288" s="5" t="s">
        <v>122</v>
      </c>
      <c r="D288" s="5">
        <v>1</v>
      </c>
      <c r="E288" s="6">
        <v>0</v>
      </c>
      <c r="F288" s="6">
        <f t="shared" si="20"/>
        <v>0</v>
      </c>
      <c r="G288" s="5"/>
      <c r="H288" s="34">
        <v>176152</v>
      </c>
      <c r="I288" s="5" t="s">
        <v>82</v>
      </c>
      <c r="J288" s="16">
        <f t="shared" si="18"/>
        <v>0.43772844961503043</v>
      </c>
    </row>
    <row r="289" spans="1:10" ht="15" hidden="1" customHeight="1" x14ac:dyDescent="0.3">
      <c r="A289" s="5" t="s">
        <v>3</v>
      </c>
      <c r="B289" s="5" t="s">
        <v>22</v>
      </c>
      <c r="C289" s="5" t="s">
        <v>123</v>
      </c>
      <c r="D289" s="5">
        <v>1</v>
      </c>
      <c r="E289" s="6">
        <v>2439.6</v>
      </c>
      <c r="F289" s="6">
        <f t="shared" si="20"/>
        <v>2439.6</v>
      </c>
      <c r="G289" s="5"/>
      <c r="H289" s="34">
        <v>176152</v>
      </c>
      <c r="I289" s="5" t="s">
        <v>82</v>
      </c>
      <c r="J289" s="16">
        <f t="shared" si="18"/>
        <v>0.43772844961503043</v>
      </c>
    </row>
    <row r="290" spans="1:10" ht="15" hidden="1" customHeight="1" x14ac:dyDescent="0.3">
      <c r="A290" s="5" t="s">
        <v>3</v>
      </c>
      <c r="B290" s="5" t="s">
        <v>22</v>
      </c>
      <c r="C290" s="5" t="s">
        <v>121</v>
      </c>
      <c r="D290" s="5">
        <v>1</v>
      </c>
      <c r="E290" s="6">
        <v>0</v>
      </c>
      <c r="F290" s="6">
        <f t="shared" si="20"/>
        <v>0</v>
      </c>
      <c r="G290" s="5"/>
      <c r="H290" s="34">
        <v>176152</v>
      </c>
      <c r="I290" s="5" t="s">
        <v>82</v>
      </c>
      <c r="J290" s="16">
        <f t="shared" si="18"/>
        <v>0.43772844961503043</v>
      </c>
    </row>
    <row r="291" spans="1:10" ht="15" hidden="1" customHeight="1" x14ac:dyDescent="0.3">
      <c r="A291" s="5" t="s">
        <v>3</v>
      </c>
      <c r="B291" s="5" t="s">
        <v>22</v>
      </c>
      <c r="C291" s="5" t="s">
        <v>89</v>
      </c>
      <c r="D291" s="5">
        <v>0</v>
      </c>
      <c r="E291" s="6">
        <v>0</v>
      </c>
      <c r="F291" s="6">
        <f t="shared" si="20"/>
        <v>0</v>
      </c>
      <c r="G291" s="5"/>
      <c r="H291" s="34">
        <v>176152</v>
      </c>
      <c r="I291" s="5" t="s">
        <v>82</v>
      </c>
      <c r="J291" s="16">
        <f t="shared" si="18"/>
        <v>0.43772844961503043</v>
      </c>
    </row>
    <row r="292" spans="1:10" ht="15" hidden="1" customHeight="1" x14ac:dyDescent="0.3">
      <c r="A292" s="5" t="s">
        <v>3</v>
      </c>
      <c r="B292" s="5" t="s">
        <v>22</v>
      </c>
      <c r="C292" s="5" t="s">
        <v>67</v>
      </c>
      <c r="D292" s="5">
        <v>0</v>
      </c>
      <c r="E292" s="6">
        <v>0</v>
      </c>
      <c r="F292" s="6">
        <f t="shared" si="20"/>
        <v>0</v>
      </c>
      <c r="G292" s="5"/>
      <c r="H292" s="34">
        <v>176152</v>
      </c>
      <c r="I292" s="5" t="s">
        <v>82</v>
      </c>
      <c r="J292" s="16">
        <f t="shared" si="18"/>
        <v>0.43772844961503043</v>
      </c>
    </row>
    <row r="293" spans="1:10" ht="15" hidden="1" customHeight="1" x14ac:dyDescent="0.3">
      <c r="A293" s="5" t="s">
        <v>3</v>
      </c>
      <c r="B293" s="5" t="s">
        <v>22</v>
      </c>
      <c r="C293" s="5" t="s">
        <v>114</v>
      </c>
      <c r="D293" s="5">
        <v>0</v>
      </c>
      <c r="E293" s="6">
        <v>0</v>
      </c>
      <c r="F293" s="6">
        <f t="shared" si="20"/>
        <v>0</v>
      </c>
      <c r="G293" s="5"/>
      <c r="H293" s="34">
        <v>176152</v>
      </c>
      <c r="I293" s="5" t="s">
        <v>82</v>
      </c>
      <c r="J293" s="16">
        <f t="shared" si="18"/>
        <v>0.43772844961503043</v>
      </c>
    </row>
    <row r="294" spans="1:10" ht="15" hidden="1" customHeight="1" x14ac:dyDescent="0.3">
      <c r="A294" s="5" t="s">
        <v>3</v>
      </c>
      <c r="B294" s="5" t="s">
        <v>22</v>
      </c>
      <c r="C294" s="5" t="s">
        <v>75</v>
      </c>
      <c r="D294" s="5">
        <v>1</v>
      </c>
      <c r="E294" s="6">
        <v>275.10000000000002</v>
      </c>
      <c r="F294" s="6">
        <f t="shared" si="20"/>
        <v>275.10000000000002</v>
      </c>
      <c r="G294" s="5"/>
      <c r="H294" s="34">
        <v>176152</v>
      </c>
      <c r="I294" s="5" t="s">
        <v>82</v>
      </c>
      <c r="J294" s="16">
        <f t="shared" si="18"/>
        <v>0.43772844961503043</v>
      </c>
    </row>
    <row r="295" spans="1:10" ht="15" hidden="1" customHeight="1" x14ac:dyDescent="0.3">
      <c r="A295" s="5" t="s">
        <v>3</v>
      </c>
      <c r="B295" s="5" t="s">
        <v>22</v>
      </c>
      <c r="C295" s="5" t="s">
        <v>64</v>
      </c>
      <c r="D295" s="5">
        <v>1</v>
      </c>
      <c r="E295" s="6">
        <v>1049.03</v>
      </c>
      <c r="F295" s="6">
        <f t="shared" si="20"/>
        <v>1049.03</v>
      </c>
      <c r="G295" s="5"/>
      <c r="H295" s="34">
        <v>176152</v>
      </c>
      <c r="I295" s="5" t="s">
        <v>82</v>
      </c>
      <c r="J295" s="16">
        <f t="shared" si="18"/>
        <v>0.43772844961503043</v>
      </c>
    </row>
    <row r="296" spans="1:10" ht="15" hidden="1" customHeight="1" x14ac:dyDescent="0.3">
      <c r="A296" s="5" t="s">
        <v>3</v>
      </c>
      <c r="B296" s="5" t="s">
        <v>23</v>
      </c>
      <c r="C296" s="5" t="s">
        <v>53</v>
      </c>
      <c r="D296" s="5">
        <v>12</v>
      </c>
      <c r="E296" s="6">
        <v>44682.45</v>
      </c>
      <c r="F296" s="6">
        <f>E296</f>
        <v>44682.45</v>
      </c>
      <c r="G296" s="5"/>
      <c r="H296" s="34">
        <v>176152</v>
      </c>
      <c r="I296" s="5" t="s">
        <v>82</v>
      </c>
      <c r="J296" s="16">
        <f t="shared" si="18"/>
        <v>0.4495900012738499</v>
      </c>
    </row>
    <row r="297" spans="1:10" ht="15" hidden="1" customHeight="1" x14ac:dyDescent="0.3">
      <c r="A297" s="5" t="s">
        <v>3</v>
      </c>
      <c r="B297" s="5" t="s">
        <v>23</v>
      </c>
      <c r="C297" s="5" t="s">
        <v>55</v>
      </c>
      <c r="D297" s="5">
        <v>12</v>
      </c>
      <c r="E297" s="6">
        <v>45.310244928992589</v>
      </c>
      <c r="F297" s="6">
        <f t="shared" ref="F297:F326" si="21">D297*E297</f>
        <v>543.72293914791112</v>
      </c>
      <c r="G297" s="5"/>
      <c r="H297" s="34">
        <v>176152</v>
      </c>
      <c r="I297" s="5" t="s">
        <v>82</v>
      </c>
      <c r="J297" s="16">
        <f t="shared" si="18"/>
        <v>0.4495900012738499</v>
      </c>
    </row>
    <row r="298" spans="1:10" ht="15" hidden="1" customHeight="1" x14ac:dyDescent="0.3">
      <c r="A298" s="5" t="s">
        <v>3</v>
      </c>
      <c r="B298" s="5" t="s">
        <v>23</v>
      </c>
      <c r="C298" s="5" t="s">
        <v>26</v>
      </c>
      <c r="D298" s="5">
        <v>12</v>
      </c>
      <c r="E298" s="6">
        <v>24.798867924528299</v>
      </c>
      <c r="F298" s="6">
        <f t="shared" si="21"/>
        <v>297.5864150943396</v>
      </c>
      <c r="G298" s="5"/>
      <c r="H298" s="34">
        <v>176152</v>
      </c>
      <c r="I298" s="5" t="s">
        <v>82</v>
      </c>
      <c r="J298" s="16">
        <f t="shared" si="18"/>
        <v>0.4495900012738499</v>
      </c>
    </row>
    <row r="299" spans="1:10" ht="15" hidden="1" customHeight="1" x14ac:dyDescent="0.3">
      <c r="A299" s="5" t="s">
        <v>3</v>
      </c>
      <c r="B299" s="5" t="s">
        <v>23</v>
      </c>
      <c r="C299" s="5" t="s">
        <v>14</v>
      </c>
      <c r="D299" s="5">
        <v>12</v>
      </c>
      <c r="E299" s="6">
        <v>40.668212512413113</v>
      </c>
      <c r="F299" s="6">
        <f t="shared" si="21"/>
        <v>488.01855014895739</v>
      </c>
      <c r="G299" s="5"/>
      <c r="H299" s="34">
        <v>176152</v>
      </c>
      <c r="I299" s="5" t="s">
        <v>82</v>
      </c>
      <c r="J299" s="16">
        <f t="shared" si="18"/>
        <v>0.4495900012738499</v>
      </c>
    </row>
    <row r="300" spans="1:10" ht="15" hidden="1" customHeight="1" x14ac:dyDescent="0.3">
      <c r="A300" s="5" t="s">
        <v>3</v>
      </c>
      <c r="B300" s="5" t="s">
        <v>23</v>
      </c>
      <c r="C300" s="5" t="s">
        <v>56</v>
      </c>
      <c r="D300" s="5">
        <v>17</v>
      </c>
      <c r="E300" s="6">
        <v>50</v>
      </c>
      <c r="F300" s="6">
        <f t="shared" si="21"/>
        <v>850</v>
      </c>
      <c r="G300" s="5"/>
      <c r="H300" s="34">
        <v>176152</v>
      </c>
      <c r="I300" s="5" t="s">
        <v>82</v>
      </c>
      <c r="J300" s="16">
        <f t="shared" si="18"/>
        <v>0.4495900012738499</v>
      </c>
    </row>
    <row r="301" spans="1:10" ht="15" hidden="1" customHeight="1" x14ac:dyDescent="0.3">
      <c r="A301" s="5" t="s">
        <v>3</v>
      </c>
      <c r="B301" s="5" t="s">
        <v>23</v>
      </c>
      <c r="C301" s="5" t="s">
        <v>70</v>
      </c>
      <c r="D301" s="5">
        <v>1</v>
      </c>
      <c r="E301" s="6">
        <v>136</v>
      </c>
      <c r="F301" s="6">
        <f t="shared" si="21"/>
        <v>136</v>
      </c>
      <c r="G301" s="5"/>
      <c r="H301" s="34">
        <v>176152</v>
      </c>
      <c r="I301" s="5" t="s">
        <v>82</v>
      </c>
      <c r="J301" s="16">
        <f t="shared" si="18"/>
        <v>0.4495900012738499</v>
      </c>
    </row>
    <row r="302" spans="1:10" ht="15" hidden="1" customHeight="1" x14ac:dyDescent="0.3">
      <c r="A302" s="5" t="s">
        <v>3</v>
      </c>
      <c r="B302" s="5" t="s">
        <v>23</v>
      </c>
      <c r="C302" s="5" t="s">
        <v>76</v>
      </c>
      <c r="D302" s="5">
        <v>1</v>
      </c>
      <c r="E302" s="6">
        <v>33.72</v>
      </c>
      <c r="F302" s="6">
        <f t="shared" si="21"/>
        <v>33.72</v>
      </c>
      <c r="G302" s="5"/>
      <c r="H302" s="34">
        <v>176152</v>
      </c>
      <c r="I302" s="5" t="s">
        <v>82</v>
      </c>
      <c r="J302" s="16">
        <f t="shared" si="18"/>
        <v>0.4495900012738499</v>
      </c>
    </row>
    <row r="303" spans="1:10" ht="15" hidden="1" customHeight="1" x14ac:dyDescent="0.3">
      <c r="A303" s="5" t="s">
        <v>3</v>
      </c>
      <c r="B303" s="5" t="s">
        <v>23</v>
      </c>
      <c r="C303" s="5" t="s">
        <v>57</v>
      </c>
      <c r="D303" s="5">
        <v>11</v>
      </c>
      <c r="E303" s="6">
        <v>30</v>
      </c>
      <c r="F303" s="6">
        <f t="shared" si="21"/>
        <v>330</v>
      </c>
      <c r="G303" s="5"/>
      <c r="H303" s="34">
        <v>176152</v>
      </c>
      <c r="I303" s="5" t="s">
        <v>82</v>
      </c>
      <c r="J303" s="16">
        <f t="shared" si="18"/>
        <v>0.4495900012738499</v>
      </c>
    </row>
    <row r="304" spans="1:10" ht="15" hidden="1" customHeight="1" x14ac:dyDescent="0.3">
      <c r="A304" s="5" t="s">
        <v>3</v>
      </c>
      <c r="B304" s="5" t="s">
        <v>23</v>
      </c>
      <c r="C304" s="5" t="s">
        <v>72</v>
      </c>
      <c r="D304" s="5">
        <v>1</v>
      </c>
      <c r="E304" s="6">
        <v>128.68</v>
      </c>
      <c r="F304" s="6">
        <f t="shared" si="21"/>
        <v>128.68</v>
      </c>
      <c r="G304" s="5"/>
      <c r="H304" s="34">
        <v>176152</v>
      </c>
      <c r="I304" s="5" t="s">
        <v>82</v>
      </c>
      <c r="J304" s="16">
        <f t="shared" si="18"/>
        <v>0.4495900012738499</v>
      </c>
    </row>
    <row r="305" spans="1:10" ht="15" hidden="1" customHeight="1" x14ac:dyDescent="0.3">
      <c r="A305" s="5" t="s">
        <v>3</v>
      </c>
      <c r="B305" s="5" t="s">
        <v>23</v>
      </c>
      <c r="C305" s="5" t="s">
        <v>58</v>
      </c>
      <c r="D305" s="5">
        <v>12</v>
      </c>
      <c r="E305" s="6">
        <v>10.15</v>
      </c>
      <c r="F305" s="6">
        <f t="shared" si="21"/>
        <v>121.80000000000001</v>
      </c>
      <c r="G305" s="5"/>
      <c r="H305" s="34">
        <v>176152</v>
      </c>
      <c r="I305" s="5" t="s">
        <v>82</v>
      </c>
      <c r="J305" s="16">
        <f t="shared" si="18"/>
        <v>0.4495900012738499</v>
      </c>
    </row>
    <row r="306" spans="1:10" ht="15" hidden="1" customHeight="1" x14ac:dyDescent="0.3">
      <c r="A306" s="5" t="s">
        <v>3</v>
      </c>
      <c r="B306" s="5" t="s">
        <v>23</v>
      </c>
      <c r="C306" s="5" t="s">
        <v>59</v>
      </c>
      <c r="D306" s="5">
        <v>12</v>
      </c>
      <c r="E306" s="6">
        <v>2.92</v>
      </c>
      <c r="F306" s="6">
        <f t="shared" si="21"/>
        <v>35.04</v>
      </c>
      <c r="G306" s="5"/>
      <c r="H306" s="34">
        <v>176152</v>
      </c>
      <c r="I306" s="5" t="s">
        <v>82</v>
      </c>
      <c r="J306" s="16">
        <f t="shared" si="18"/>
        <v>0.4495900012738499</v>
      </c>
    </row>
    <row r="307" spans="1:10" ht="15" hidden="1" customHeight="1" x14ac:dyDescent="0.3">
      <c r="A307" s="5" t="s">
        <v>3</v>
      </c>
      <c r="B307" s="5" t="s">
        <v>23</v>
      </c>
      <c r="C307" s="5" t="s">
        <v>74</v>
      </c>
      <c r="D307" s="5">
        <v>0</v>
      </c>
      <c r="E307" s="6">
        <v>0</v>
      </c>
      <c r="F307" s="6">
        <f t="shared" si="21"/>
        <v>0</v>
      </c>
      <c r="G307" s="5"/>
      <c r="H307" s="34">
        <v>176152</v>
      </c>
      <c r="I307" s="5" t="s">
        <v>82</v>
      </c>
      <c r="J307" s="16">
        <f t="shared" si="18"/>
        <v>0.4495900012738499</v>
      </c>
    </row>
    <row r="308" spans="1:10" ht="15" hidden="1" customHeight="1" x14ac:dyDescent="0.3">
      <c r="A308" s="5" t="s">
        <v>3</v>
      </c>
      <c r="B308" s="5" t="s">
        <v>23</v>
      </c>
      <c r="C308" s="5" t="s">
        <v>62</v>
      </c>
      <c r="D308" s="5">
        <v>0</v>
      </c>
      <c r="E308" s="6">
        <v>0</v>
      </c>
      <c r="F308" s="6">
        <f t="shared" si="21"/>
        <v>0</v>
      </c>
      <c r="G308" s="5"/>
      <c r="H308" s="34">
        <v>176152</v>
      </c>
      <c r="I308" s="5" t="s">
        <v>82</v>
      </c>
      <c r="J308" s="16">
        <f t="shared" si="18"/>
        <v>0.4495900012738499</v>
      </c>
    </row>
    <row r="309" spans="1:10" ht="15" hidden="1" customHeight="1" x14ac:dyDescent="0.3">
      <c r="A309" s="5" t="s">
        <v>3</v>
      </c>
      <c r="B309" s="5" t="s">
        <v>23</v>
      </c>
      <c r="C309" s="5" t="s">
        <v>75</v>
      </c>
      <c r="D309" s="5">
        <v>0</v>
      </c>
      <c r="E309" s="6">
        <v>0</v>
      </c>
      <c r="F309" s="6">
        <f t="shared" si="21"/>
        <v>0</v>
      </c>
      <c r="G309" s="5"/>
      <c r="H309" s="34">
        <v>176152</v>
      </c>
      <c r="I309" s="5" t="s">
        <v>82</v>
      </c>
      <c r="J309" s="16">
        <f t="shared" si="18"/>
        <v>0.4495900012738499</v>
      </c>
    </row>
    <row r="310" spans="1:10" ht="15" hidden="1" customHeight="1" x14ac:dyDescent="0.3">
      <c r="A310" s="5" t="s">
        <v>3</v>
      </c>
      <c r="B310" s="5" t="s">
        <v>23</v>
      </c>
      <c r="C310" s="5" t="s">
        <v>64</v>
      </c>
      <c r="D310" s="5">
        <v>1</v>
      </c>
      <c r="E310" s="6">
        <v>320.89999999999998</v>
      </c>
      <c r="F310" s="6">
        <f t="shared" si="21"/>
        <v>320.89999999999998</v>
      </c>
      <c r="G310" s="5"/>
      <c r="H310" s="34">
        <v>176152</v>
      </c>
      <c r="I310" s="5" t="s">
        <v>82</v>
      </c>
      <c r="J310" s="16">
        <f t="shared" si="18"/>
        <v>0.4495900012738499</v>
      </c>
    </row>
    <row r="311" spans="1:10" ht="15" hidden="1" customHeight="1" x14ac:dyDescent="0.3">
      <c r="A311" s="5" t="s">
        <v>3</v>
      </c>
      <c r="B311" s="5" t="s">
        <v>23</v>
      </c>
      <c r="C311" s="5" t="s">
        <v>124</v>
      </c>
      <c r="D311" s="5">
        <v>1</v>
      </c>
      <c r="E311" s="6">
        <v>2000</v>
      </c>
      <c r="F311" s="6">
        <f t="shared" si="21"/>
        <v>2000</v>
      </c>
      <c r="G311" s="5"/>
      <c r="H311" s="34">
        <v>176152</v>
      </c>
      <c r="I311" s="5" t="s">
        <v>82</v>
      </c>
      <c r="J311" s="16">
        <f t="shared" si="18"/>
        <v>0.4495900012738499</v>
      </c>
    </row>
    <row r="312" spans="1:10" ht="15" hidden="1" customHeight="1" x14ac:dyDescent="0.3">
      <c r="A312" s="5" t="s">
        <v>3</v>
      </c>
      <c r="B312" s="5" t="s">
        <v>23</v>
      </c>
      <c r="C312" s="5" t="s">
        <v>125</v>
      </c>
      <c r="D312" s="5">
        <v>1</v>
      </c>
      <c r="E312" s="6">
        <v>13650</v>
      </c>
      <c r="F312" s="6">
        <f t="shared" si="21"/>
        <v>13650</v>
      </c>
      <c r="G312" s="5"/>
      <c r="H312" s="34">
        <v>176152</v>
      </c>
      <c r="I312" s="5" t="s">
        <v>82</v>
      </c>
      <c r="J312" s="16">
        <f t="shared" si="18"/>
        <v>0.4495900012738499</v>
      </c>
    </row>
    <row r="313" spans="1:10" ht="15" hidden="1" customHeight="1" x14ac:dyDescent="0.3">
      <c r="A313" s="5" t="s">
        <v>3</v>
      </c>
      <c r="B313" s="5" t="s">
        <v>23</v>
      </c>
      <c r="C313" s="5" t="s">
        <v>126</v>
      </c>
      <c r="D313" s="5">
        <v>1</v>
      </c>
      <c r="E313" s="6">
        <v>684.05</v>
      </c>
      <c r="F313" s="6">
        <f t="shared" si="21"/>
        <v>684.05</v>
      </c>
      <c r="G313" s="5"/>
      <c r="H313" s="34">
        <v>176152</v>
      </c>
      <c r="I313" s="5" t="s">
        <v>82</v>
      </c>
      <c r="J313" s="16">
        <f t="shared" si="18"/>
        <v>0.4495900012738499</v>
      </c>
    </row>
    <row r="314" spans="1:10" ht="15" hidden="1" customHeight="1" x14ac:dyDescent="0.3">
      <c r="A314" s="5" t="s">
        <v>3</v>
      </c>
      <c r="B314" s="5" t="s">
        <v>23</v>
      </c>
      <c r="C314" s="5" t="s">
        <v>127</v>
      </c>
      <c r="D314" s="5">
        <v>1</v>
      </c>
      <c r="E314" s="6">
        <v>11342.25</v>
      </c>
      <c r="F314" s="6">
        <f t="shared" si="21"/>
        <v>11342.25</v>
      </c>
      <c r="G314" s="5"/>
      <c r="H314" s="34">
        <v>176152</v>
      </c>
      <c r="I314" s="5" t="s">
        <v>82</v>
      </c>
      <c r="J314" s="16">
        <f t="shared" si="18"/>
        <v>0.4495900012738499</v>
      </c>
    </row>
    <row r="315" spans="1:10" ht="15" hidden="1" customHeight="1" x14ac:dyDescent="0.3">
      <c r="A315" s="5" t="s">
        <v>3</v>
      </c>
      <c r="B315" s="5" t="s">
        <v>23</v>
      </c>
      <c r="C315" s="5" t="s">
        <v>128</v>
      </c>
      <c r="D315" s="5">
        <v>1</v>
      </c>
      <c r="E315" s="6">
        <v>684.05</v>
      </c>
      <c r="F315" s="6">
        <f t="shared" si="21"/>
        <v>684.05</v>
      </c>
      <c r="G315" s="5"/>
      <c r="H315" s="34">
        <v>176152</v>
      </c>
      <c r="I315" s="5" t="s">
        <v>82</v>
      </c>
      <c r="J315" s="16">
        <f t="shared" si="18"/>
        <v>0.4495900012738499</v>
      </c>
    </row>
    <row r="316" spans="1:10" ht="15" hidden="1" customHeight="1" x14ac:dyDescent="0.3">
      <c r="A316" s="5" t="s">
        <v>3</v>
      </c>
      <c r="B316" s="5" t="s">
        <v>23</v>
      </c>
      <c r="C316" s="5" t="s">
        <v>129</v>
      </c>
      <c r="D316" s="5">
        <v>0</v>
      </c>
      <c r="E316" s="6">
        <v>0</v>
      </c>
      <c r="F316" s="6">
        <f t="shared" si="21"/>
        <v>0</v>
      </c>
      <c r="G316" s="5"/>
      <c r="H316" s="34">
        <v>176152</v>
      </c>
      <c r="I316" s="5" t="s">
        <v>82</v>
      </c>
      <c r="J316" s="16">
        <f t="shared" si="18"/>
        <v>0.4495900012738499</v>
      </c>
    </row>
    <row r="317" spans="1:10" ht="15" hidden="1" customHeight="1" x14ac:dyDescent="0.3">
      <c r="A317" s="5" t="s">
        <v>3</v>
      </c>
      <c r="B317" s="5" t="s">
        <v>23</v>
      </c>
      <c r="C317" s="5" t="s">
        <v>102</v>
      </c>
      <c r="D317" s="5">
        <v>0</v>
      </c>
      <c r="E317" s="6">
        <v>0</v>
      </c>
      <c r="F317" s="6">
        <f t="shared" si="21"/>
        <v>0</v>
      </c>
      <c r="G317" s="5"/>
      <c r="H317" s="34">
        <v>176152</v>
      </c>
      <c r="I317" s="5" t="s">
        <v>82</v>
      </c>
      <c r="J317" s="16">
        <f t="shared" si="18"/>
        <v>0.4495900012738499</v>
      </c>
    </row>
    <row r="318" spans="1:10" ht="15" hidden="1" customHeight="1" x14ac:dyDescent="0.3">
      <c r="A318" s="5" t="s">
        <v>3</v>
      </c>
      <c r="B318" s="5" t="s">
        <v>23</v>
      </c>
      <c r="C318" s="5" t="s">
        <v>89</v>
      </c>
      <c r="D318" s="5">
        <v>0</v>
      </c>
      <c r="E318" s="6">
        <v>0</v>
      </c>
      <c r="F318" s="6">
        <f t="shared" si="21"/>
        <v>0</v>
      </c>
      <c r="G318" s="5"/>
      <c r="H318" s="34">
        <v>176152</v>
      </c>
      <c r="I318" s="5" t="s">
        <v>82</v>
      </c>
      <c r="J318" s="16">
        <f t="shared" si="18"/>
        <v>0.4495900012738499</v>
      </c>
    </row>
    <row r="319" spans="1:10" ht="15" hidden="1" customHeight="1" x14ac:dyDescent="0.3">
      <c r="A319" s="5" t="s">
        <v>3</v>
      </c>
      <c r="B319" s="5" t="s">
        <v>23</v>
      </c>
      <c r="C319" s="5" t="s">
        <v>130</v>
      </c>
      <c r="D319" s="5">
        <v>1</v>
      </c>
      <c r="E319" s="6">
        <v>250</v>
      </c>
      <c r="F319" s="6">
        <f t="shared" si="21"/>
        <v>250</v>
      </c>
      <c r="G319" s="5"/>
      <c r="H319" s="34">
        <v>176152</v>
      </c>
      <c r="I319" s="5" t="s">
        <v>82</v>
      </c>
      <c r="J319" s="16">
        <f t="shared" si="18"/>
        <v>0.4495900012738499</v>
      </c>
    </row>
    <row r="320" spans="1:10" ht="15" hidden="1" customHeight="1" x14ac:dyDescent="0.3">
      <c r="A320" s="5" t="s">
        <v>3</v>
      </c>
      <c r="B320" s="5" t="s">
        <v>23</v>
      </c>
      <c r="C320" s="5" t="s">
        <v>131</v>
      </c>
      <c r="D320" s="5">
        <v>1</v>
      </c>
      <c r="E320" s="6">
        <v>380</v>
      </c>
      <c r="F320" s="6">
        <f t="shared" si="21"/>
        <v>380</v>
      </c>
      <c r="G320" s="5"/>
      <c r="H320" s="34">
        <v>176152</v>
      </c>
      <c r="I320" s="5" t="s">
        <v>82</v>
      </c>
      <c r="J320" s="16">
        <f t="shared" si="18"/>
        <v>0.4495900012738499</v>
      </c>
    </row>
    <row r="321" spans="1:10" ht="15" hidden="1" customHeight="1" x14ac:dyDescent="0.3">
      <c r="A321" s="5" t="s">
        <v>3</v>
      </c>
      <c r="B321" s="5" t="s">
        <v>23</v>
      </c>
      <c r="C321" s="5" t="s">
        <v>132</v>
      </c>
      <c r="D321" s="5">
        <v>0</v>
      </c>
      <c r="E321" s="6">
        <v>0</v>
      </c>
      <c r="F321" s="6">
        <f t="shared" si="21"/>
        <v>0</v>
      </c>
      <c r="G321" s="5"/>
      <c r="H321" s="34">
        <v>176152</v>
      </c>
      <c r="I321" s="5" t="s">
        <v>82</v>
      </c>
      <c r="J321" s="16">
        <f t="shared" si="18"/>
        <v>0.4495900012738499</v>
      </c>
    </row>
    <row r="322" spans="1:10" ht="15" hidden="1" customHeight="1" x14ac:dyDescent="0.3">
      <c r="A322" s="5" t="s">
        <v>3</v>
      </c>
      <c r="B322" s="5" t="s">
        <v>23</v>
      </c>
      <c r="C322" s="5" t="s">
        <v>121</v>
      </c>
      <c r="D322" s="5">
        <v>1</v>
      </c>
      <c r="E322" s="6">
        <v>2237.91</v>
      </c>
      <c r="F322" s="6">
        <f t="shared" si="21"/>
        <v>2237.91</v>
      </c>
      <c r="G322" s="5"/>
      <c r="H322" s="34">
        <v>176152</v>
      </c>
      <c r="I322" s="5" t="s">
        <v>82</v>
      </c>
      <c r="J322" s="16">
        <f t="shared" ref="J322:J385" si="22">IFERROR(SUMIFS($F$2:$F$1749,$A$2:$A$1749,A322,$B$2:$B$1749,B322)/H322,"")</f>
        <v>0.4495900012738499</v>
      </c>
    </row>
    <row r="323" spans="1:10" ht="15" hidden="1" customHeight="1" x14ac:dyDescent="0.3">
      <c r="A323" s="5" t="s">
        <v>3</v>
      </c>
      <c r="B323" s="5" t="s">
        <v>23</v>
      </c>
      <c r="C323" s="5" t="s">
        <v>67</v>
      </c>
      <c r="D323" s="5">
        <v>0</v>
      </c>
      <c r="E323" s="6">
        <v>0</v>
      </c>
      <c r="F323" s="6">
        <f t="shared" si="21"/>
        <v>0</v>
      </c>
      <c r="G323" s="5"/>
      <c r="H323" s="34">
        <v>176152</v>
      </c>
      <c r="I323" s="5" t="s">
        <v>82</v>
      </c>
      <c r="J323" s="16">
        <f t="shared" si="22"/>
        <v>0.4495900012738499</v>
      </c>
    </row>
    <row r="324" spans="1:10" ht="15" hidden="1" customHeight="1" x14ac:dyDescent="0.3">
      <c r="A324" s="5" t="s">
        <v>3</v>
      </c>
      <c r="B324" s="5" t="s">
        <v>23</v>
      </c>
      <c r="C324" s="5" t="s">
        <v>86</v>
      </c>
      <c r="D324" s="5">
        <v>0</v>
      </c>
      <c r="E324" s="6">
        <v>0</v>
      </c>
      <c r="F324" s="6">
        <f t="shared" si="21"/>
        <v>0</v>
      </c>
      <c r="G324" s="5"/>
      <c r="H324" s="34">
        <v>176152</v>
      </c>
      <c r="I324" s="5" t="s">
        <v>82</v>
      </c>
      <c r="J324" s="16">
        <f t="shared" si="22"/>
        <v>0.4495900012738499</v>
      </c>
    </row>
    <row r="325" spans="1:10" ht="15" hidden="1" customHeight="1" x14ac:dyDescent="0.3">
      <c r="A325" s="5" t="s">
        <v>3</v>
      </c>
      <c r="B325" s="5" t="s">
        <v>23</v>
      </c>
      <c r="C325" s="5" t="s">
        <v>106</v>
      </c>
      <c r="D325" s="5">
        <v>0</v>
      </c>
      <c r="E325" s="6">
        <v>0</v>
      </c>
      <c r="F325" s="6">
        <f t="shared" si="21"/>
        <v>0</v>
      </c>
      <c r="G325" s="5"/>
      <c r="H325" s="34">
        <v>176152</v>
      </c>
      <c r="I325" s="5" t="s">
        <v>82</v>
      </c>
      <c r="J325" s="16">
        <f t="shared" si="22"/>
        <v>0.4495900012738499</v>
      </c>
    </row>
    <row r="326" spans="1:10" ht="15" hidden="1" customHeight="1" x14ac:dyDescent="0.3">
      <c r="A326" s="5" t="s">
        <v>3</v>
      </c>
      <c r="B326" s="5" t="s">
        <v>23</v>
      </c>
      <c r="C326" s="5" t="s">
        <v>73</v>
      </c>
      <c r="D326" s="5">
        <v>0</v>
      </c>
      <c r="E326" s="6">
        <v>0</v>
      </c>
      <c r="F326" s="6">
        <f t="shared" si="21"/>
        <v>0</v>
      </c>
      <c r="G326" s="5"/>
      <c r="H326" s="34">
        <v>176152</v>
      </c>
      <c r="I326" s="5" t="s">
        <v>82</v>
      </c>
      <c r="J326" s="16">
        <f t="shared" si="22"/>
        <v>0.4495900012738499</v>
      </c>
    </row>
    <row r="327" spans="1:10" ht="15" hidden="1" customHeight="1" x14ac:dyDescent="0.3">
      <c r="A327" s="5" t="s">
        <v>3</v>
      </c>
      <c r="B327" s="5" t="s">
        <v>24</v>
      </c>
      <c r="C327" s="5" t="s">
        <v>53</v>
      </c>
      <c r="D327" s="5">
        <v>9</v>
      </c>
      <c r="E327" s="6">
        <v>30636.44</v>
      </c>
      <c r="F327" s="6">
        <f>E327</f>
        <v>30636.44</v>
      </c>
      <c r="G327" s="5"/>
      <c r="H327" s="34">
        <v>189453</v>
      </c>
      <c r="I327" s="5" t="s">
        <v>54</v>
      </c>
      <c r="J327" s="16">
        <f t="shared" si="22"/>
        <v>0.20871322137043699</v>
      </c>
    </row>
    <row r="328" spans="1:10" ht="15" hidden="1" customHeight="1" x14ac:dyDescent="0.3">
      <c r="A328" s="5" t="s">
        <v>3</v>
      </c>
      <c r="B328" s="5" t="s">
        <v>24</v>
      </c>
      <c r="C328" s="5" t="s">
        <v>55</v>
      </c>
      <c r="D328" s="5">
        <v>9</v>
      </c>
      <c r="E328" s="6">
        <v>45.310244928992589</v>
      </c>
      <c r="F328" s="6">
        <f t="shared" ref="F328:F348" si="23">D328*E328</f>
        <v>407.79220436093328</v>
      </c>
      <c r="G328" s="5"/>
      <c r="H328" s="34">
        <v>189453</v>
      </c>
      <c r="I328" s="5" t="s">
        <v>54</v>
      </c>
      <c r="J328" s="16">
        <f t="shared" si="22"/>
        <v>0.20871322137043699</v>
      </c>
    </row>
    <row r="329" spans="1:10" ht="15" hidden="1" customHeight="1" x14ac:dyDescent="0.3">
      <c r="A329" s="5" t="s">
        <v>3</v>
      </c>
      <c r="B329" s="5" t="s">
        <v>24</v>
      </c>
      <c r="C329" s="5" t="s">
        <v>26</v>
      </c>
      <c r="D329" s="5">
        <v>9</v>
      </c>
      <c r="E329" s="6">
        <v>24.798867924528299</v>
      </c>
      <c r="F329" s="6">
        <f t="shared" si="23"/>
        <v>223.1898113207547</v>
      </c>
      <c r="G329" s="5"/>
      <c r="H329" s="34">
        <v>189453</v>
      </c>
      <c r="I329" s="5" t="s">
        <v>54</v>
      </c>
      <c r="J329" s="16">
        <f t="shared" si="22"/>
        <v>0.20871322137043699</v>
      </c>
    </row>
    <row r="330" spans="1:10" ht="15" hidden="1" customHeight="1" x14ac:dyDescent="0.3">
      <c r="A330" s="5" t="s">
        <v>3</v>
      </c>
      <c r="B330" s="5" t="s">
        <v>24</v>
      </c>
      <c r="C330" s="5" t="s">
        <v>14</v>
      </c>
      <c r="D330" s="5">
        <v>9</v>
      </c>
      <c r="E330" s="6">
        <v>40.668212512413113</v>
      </c>
      <c r="F330" s="6">
        <f t="shared" si="23"/>
        <v>366.01391261171801</v>
      </c>
      <c r="G330" s="5"/>
      <c r="H330" s="34">
        <v>189453</v>
      </c>
      <c r="I330" s="5" t="s">
        <v>54</v>
      </c>
      <c r="J330" s="16">
        <f t="shared" si="22"/>
        <v>0.20871322137043699</v>
      </c>
    </row>
    <row r="331" spans="1:10" ht="15" hidden="1" customHeight="1" x14ac:dyDescent="0.3">
      <c r="A331" s="5" t="s">
        <v>3</v>
      </c>
      <c r="B331" s="5" t="s">
        <v>24</v>
      </c>
      <c r="C331" s="5" t="s">
        <v>56</v>
      </c>
      <c r="D331" s="5">
        <v>9</v>
      </c>
      <c r="E331" s="6">
        <v>50</v>
      </c>
      <c r="F331" s="6">
        <f t="shared" si="23"/>
        <v>450</v>
      </c>
      <c r="G331" s="5"/>
      <c r="H331" s="34">
        <v>189453</v>
      </c>
      <c r="I331" s="5" t="s">
        <v>54</v>
      </c>
      <c r="J331" s="16">
        <f t="shared" si="22"/>
        <v>0.20871322137043699</v>
      </c>
    </row>
    <row r="332" spans="1:10" ht="15" hidden="1" customHeight="1" x14ac:dyDescent="0.3">
      <c r="A332" s="5" t="s">
        <v>3</v>
      </c>
      <c r="B332" s="5" t="s">
        <v>24</v>
      </c>
      <c r="C332" s="5" t="s">
        <v>133</v>
      </c>
      <c r="D332" s="5">
        <v>0</v>
      </c>
      <c r="E332" s="6">
        <v>0</v>
      </c>
      <c r="F332" s="6">
        <f t="shared" si="23"/>
        <v>0</v>
      </c>
      <c r="G332" s="5"/>
      <c r="H332" s="34">
        <v>189453</v>
      </c>
      <c r="I332" s="5" t="s">
        <v>54</v>
      </c>
      <c r="J332" s="16">
        <f t="shared" si="22"/>
        <v>0.20871322137043699</v>
      </c>
    </row>
    <row r="333" spans="1:10" ht="15" hidden="1" customHeight="1" x14ac:dyDescent="0.3">
      <c r="A333" s="5" t="s">
        <v>3</v>
      </c>
      <c r="B333" s="5" t="s">
        <v>24</v>
      </c>
      <c r="C333" s="5" t="s">
        <v>70</v>
      </c>
      <c r="D333" s="5">
        <v>0</v>
      </c>
      <c r="E333" s="6">
        <v>0</v>
      </c>
      <c r="F333" s="6">
        <f t="shared" si="23"/>
        <v>0</v>
      </c>
      <c r="G333" s="5"/>
      <c r="H333" s="34">
        <v>189453</v>
      </c>
      <c r="I333" s="5" t="s">
        <v>54</v>
      </c>
      <c r="J333" s="16">
        <f t="shared" si="22"/>
        <v>0.20871322137043699</v>
      </c>
    </row>
    <row r="334" spans="1:10" ht="15" hidden="1" customHeight="1" x14ac:dyDescent="0.3">
      <c r="A334" s="5" t="s">
        <v>3</v>
      </c>
      <c r="B334" s="5" t="s">
        <v>24</v>
      </c>
      <c r="C334" s="5" t="s">
        <v>76</v>
      </c>
      <c r="D334" s="5">
        <v>0</v>
      </c>
      <c r="E334" s="6">
        <v>0</v>
      </c>
      <c r="F334" s="6">
        <f t="shared" si="23"/>
        <v>0</v>
      </c>
      <c r="G334" s="5"/>
      <c r="H334" s="34">
        <v>189453</v>
      </c>
      <c r="I334" s="5" t="s">
        <v>54</v>
      </c>
      <c r="J334" s="16">
        <f t="shared" si="22"/>
        <v>0.20871322137043699</v>
      </c>
    </row>
    <row r="335" spans="1:10" ht="15" hidden="1" customHeight="1" x14ac:dyDescent="0.3">
      <c r="A335" s="5" t="s">
        <v>3</v>
      </c>
      <c r="B335" s="5" t="s">
        <v>24</v>
      </c>
      <c r="C335" s="5" t="s">
        <v>57</v>
      </c>
      <c r="D335" s="5">
        <v>3</v>
      </c>
      <c r="E335" s="6">
        <v>30</v>
      </c>
      <c r="F335" s="6">
        <f t="shared" si="23"/>
        <v>90</v>
      </c>
      <c r="G335" s="5"/>
      <c r="H335" s="34">
        <v>189453</v>
      </c>
      <c r="I335" s="5" t="s">
        <v>54</v>
      </c>
      <c r="J335" s="16">
        <f t="shared" si="22"/>
        <v>0.20871322137043699</v>
      </c>
    </row>
    <row r="336" spans="1:10" ht="15" hidden="1" customHeight="1" x14ac:dyDescent="0.3">
      <c r="A336" s="5" t="s">
        <v>3</v>
      </c>
      <c r="B336" s="5" t="s">
        <v>24</v>
      </c>
      <c r="C336" s="5" t="s">
        <v>72</v>
      </c>
      <c r="D336" s="5">
        <v>1</v>
      </c>
      <c r="E336" s="6">
        <v>25.6</v>
      </c>
      <c r="F336" s="6">
        <f t="shared" si="23"/>
        <v>25.6</v>
      </c>
      <c r="G336" s="5"/>
      <c r="H336" s="34">
        <v>189453</v>
      </c>
      <c r="I336" s="5" t="s">
        <v>54</v>
      </c>
      <c r="J336" s="16">
        <f t="shared" si="22"/>
        <v>0.20871322137043699</v>
      </c>
    </row>
    <row r="337" spans="1:10" ht="15" hidden="1" customHeight="1" x14ac:dyDescent="0.3">
      <c r="A337" s="5" t="s">
        <v>3</v>
      </c>
      <c r="B337" s="5" t="s">
        <v>24</v>
      </c>
      <c r="C337" s="5" t="s">
        <v>58</v>
      </c>
      <c r="D337" s="5">
        <v>9</v>
      </c>
      <c r="E337" s="6">
        <v>10.15</v>
      </c>
      <c r="F337" s="6">
        <f t="shared" si="23"/>
        <v>91.350000000000009</v>
      </c>
      <c r="G337" s="5"/>
      <c r="H337" s="34">
        <v>189453</v>
      </c>
      <c r="I337" s="5" t="s">
        <v>54</v>
      </c>
      <c r="J337" s="16">
        <f t="shared" si="22"/>
        <v>0.20871322137043699</v>
      </c>
    </row>
    <row r="338" spans="1:10" ht="15" hidden="1" customHeight="1" x14ac:dyDescent="0.3">
      <c r="A338" s="5" t="s">
        <v>3</v>
      </c>
      <c r="B338" s="5" t="s">
        <v>24</v>
      </c>
      <c r="C338" s="5" t="s">
        <v>59</v>
      </c>
      <c r="D338" s="5">
        <v>9</v>
      </c>
      <c r="E338" s="6">
        <v>2.92</v>
      </c>
      <c r="F338" s="6">
        <f t="shared" si="23"/>
        <v>26.28</v>
      </c>
      <c r="G338" s="5"/>
      <c r="H338" s="34">
        <v>189453</v>
      </c>
      <c r="I338" s="5" t="s">
        <v>54</v>
      </c>
      <c r="J338" s="16">
        <f t="shared" si="22"/>
        <v>0.20871322137043699</v>
      </c>
    </row>
    <row r="339" spans="1:10" ht="15" hidden="1" customHeight="1" x14ac:dyDescent="0.3">
      <c r="A339" s="5" t="s">
        <v>3</v>
      </c>
      <c r="B339" s="5" t="s">
        <v>24</v>
      </c>
      <c r="C339" s="5" t="s">
        <v>134</v>
      </c>
      <c r="D339" s="5">
        <v>1</v>
      </c>
      <c r="E339" s="6">
        <v>3028</v>
      </c>
      <c r="F339" s="6">
        <f t="shared" si="23"/>
        <v>3028</v>
      </c>
      <c r="G339" s="5"/>
      <c r="H339" s="34">
        <v>189453</v>
      </c>
      <c r="I339" s="5" t="s">
        <v>54</v>
      </c>
      <c r="J339" s="16">
        <f t="shared" si="22"/>
        <v>0.20871322137043699</v>
      </c>
    </row>
    <row r="340" spans="1:10" ht="15" hidden="1" customHeight="1" x14ac:dyDescent="0.3">
      <c r="A340" s="5" t="s">
        <v>3</v>
      </c>
      <c r="B340" s="5" t="s">
        <v>24</v>
      </c>
      <c r="C340" s="5" t="s">
        <v>135</v>
      </c>
      <c r="D340" s="5">
        <v>1</v>
      </c>
      <c r="E340" s="6">
        <v>2635.82</v>
      </c>
      <c r="F340" s="6">
        <f t="shared" si="23"/>
        <v>2635.82</v>
      </c>
      <c r="G340" s="5"/>
      <c r="H340" s="34">
        <v>189453</v>
      </c>
      <c r="I340" s="5" t="s">
        <v>54</v>
      </c>
      <c r="J340" s="16">
        <f t="shared" si="22"/>
        <v>0.20871322137043699</v>
      </c>
    </row>
    <row r="341" spans="1:10" ht="15" hidden="1" customHeight="1" x14ac:dyDescent="0.3">
      <c r="A341" s="5" t="s">
        <v>3</v>
      </c>
      <c r="B341" s="5" t="s">
        <v>24</v>
      </c>
      <c r="C341" s="5" t="s">
        <v>136</v>
      </c>
      <c r="D341" s="5">
        <v>1</v>
      </c>
      <c r="E341" s="6">
        <v>1400</v>
      </c>
      <c r="F341" s="6">
        <f t="shared" si="23"/>
        <v>1400</v>
      </c>
      <c r="G341" s="5"/>
      <c r="H341" s="34">
        <v>189453</v>
      </c>
      <c r="I341" s="5" t="s">
        <v>54</v>
      </c>
      <c r="J341" s="16">
        <f t="shared" si="22"/>
        <v>0.20871322137043699</v>
      </c>
    </row>
    <row r="342" spans="1:10" ht="15" hidden="1" customHeight="1" x14ac:dyDescent="0.3">
      <c r="A342" s="5" t="s">
        <v>3</v>
      </c>
      <c r="B342" s="5" t="s">
        <v>24</v>
      </c>
      <c r="C342" s="5" t="s">
        <v>89</v>
      </c>
      <c r="D342" s="5">
        <v>0</v>
      </c>
      <c r="E342" s="6">
        <v>0</v>
      </c>
      <c r="F342" s="6">
        <f t="shared" si="23"/>
        <v>0</v>
      </c>
      <c r="G342" s="5"/>
      <c r="H342" s="34">
        <v>189453</v>
      </c>
      <c r="I342" s="5" t="s">
        <v>54</v>
      </c>
      <c r="J342" s="16">
        <f t="shared" si="22"/>
        <v>0.20871322137043699</v>
      </c>
    </row>
    <row r="343" spans="1:10" ht="15" hidden="1" customHeight="1" x14ac:dyDescent="0.3">
      <c r="A343" s="5" t="s">
        <v>3</v>
      </c>
      <c r="B343" s="5" t="s">
        <v>24</v>
      </c>
      <c r="C343" s="5" t="s">
        <v>74</v>
      </c>
      <c r="D343" s="5">
        <v>0</v>
      </c>
      <c r="E343" s="6">
        <v>0</v>
      </c>
      <c r="F343" s="6">
        <f t="shared" si="23"/>
        <v>0</v>
      </c>
      <c r="G343" s="5"/>
      <c r="H343" s="34">
        <v>189453</v>
      </c>
      <c r="I343" s="5" t="s">
        <v>54</v>
      </c>
      <c r="J343" s="16">
        <f t="shared" si="22"/>
        <v>0.20871322137043699</v>
      </c>
    </row>
    <row r="344" spans="1:10" ht="15" hidden="1" customHeight="1" x14ac:dyDescent="0.3">
      <c r="A344" s="5" t="s">
        <v>3</v>
      </c>
      <c r="B344" s="5" t="s">
        <v>24</v>
      </c>
      <c r="C344" s="5" t="s">
        <v>62</v>
      </c>
      <c r="D344" s="5">
        <v>0</v>
      </c>
      <c r="E344" s="6">
        <v>0</v>
      </c>
      <c r="F344" s="6">
        <f t="shared" si="23"/>
        <v>0</v>
      </c>
      <c r="G344" s="5"/>
      <c r="H344" s="34">
        <v>189453</v>
      </c>
      <c r="I344" s="5" t="s">
        <v>54</v>
      </c>
      <c r="J344" s="16">
        <f t="shared" si="22"/>
        <v>0.20871322137043699</v>
      </c>
    </row>
    <row r="345" spans="1:10" ht="15" hidden="1" customHeight="1" x14ac:dyDescent="0.3">
      <c r="A345" s="5" t="s">
        <v>3</v>
      </c>
      <c r="B345" s="5" t="s">
        <v>24</v>
      </c>
      <c r="C345" s="5" t="s">
        <v>137</v>
      </c>
      <c r="D345" s="5">
        <v>0</v>
      </c>
      <c r="E345" s="6">
        <v>0</v>
      </c>
      <c r="F345" s="6">
        <f t="shared" si="23"/>
        <v>0</v>
      </c>
      <c r="G345" s="5"/>
      <c r="H345" s="34">
        <v>189453</v>
      </c>
      <c r="I345" s="5" t="s">
        <v>54</v>
      </c>
      <c r="J345" s="16">
        <f t="shared" si="22"/>
        <v>0.20871322137043699</v>
      </c>
    </row>
    <row r="346" spans="1:10" ht="15" hidden="1" customHeight="1" x14ac:dyDescent="0.3">
      <c r="A346" s="5" t="s">
        <v>3</v>
      </c>
      <c r="B346" s="5" t="s">
        <v>24</v>
      </c>
      <c r="C346" s="5" t="s">
        <v>114</v>
      </c>
      <c r="D346" s="5">
        <v>0</v>
      </c>
      <c r="E346" s="6">
        <v>0</v>
      </c>
      <c r="F346" s="6">
        <f t="shared" si="23"/>
        <v>0</v>
      </c>
      <c r="G346" s="5"/>
      <c r="H346" s="34">
        <v>189453</v>
      </c>
      <c r="I346" s="5" t="s">
        <v>54</v>
      </c>
      <c r="J346" s="16">
        <f t="shared" si="22"/>
        <v>0.20871322137043699</v>
      </c>
    </row>
    <row r="347" spans="1:10" ht="15" hidden="1" customHeight="1" x14ac:dyDescent="0.3">
      <c r="A347" s="5" t="s">
        <v>3</v>
      </c>
      <c r="B347" s="5" t="s">
        <v>24</v>
      </c>
      <c r="C347" s="5" t="s">
        <v>75</v>
      </c>
      <c r="D347" s="5">
        <v>1</v>
      </c>
      <c r="E347" s="6">
        <v>0</v>
      </c>
      <c r="F347" s="6">
        <f t="shared" si="23"/>
        <v>0</v>
      </c>
      <c r="G347" s="5" t="s">
        <v>65</v>
      </c>
      <c r="H347" s="34">
        <v>189453</v>
      </c>
      <c r="I347" s="5" t="s">
        <v>54</v>
      </c>
      <c r="J347" s="16">
        <f t="shared" si="22"/>
        <v>0.20871322137043699</v>
      </c>
    </row>
    <row r="348" spans="1:10" ht="15" hidden="1" customHeight="1" x14ac:dyDescent="0.3">
      <c r="A348" s="5" t="s">
        <v>3</v>
      </c>
      <c r="B348" s="5" t="s">
        <v>24</v>
      </c>
      <c r="C348" s="5" t="s">
        <v>64</v>
      </c>
      <c r="D348" s="5">
        <v>1</v>
      </c>
      <c r="E348" s="6">
        <v>160.86000000000001</v>
      </c>
      <c r="F348" s="6">
        <f t="shared" si="23"/>
        <v>160.86000000000001</v>
      </c>
      <c r="G348" s="5" t="s">
        <v>65</v>
      </c>
      <c r="H348" s="34">
        <v>189453</v>
      </c>
      <c r="I348" s="5" t="s">
        <v>54</v>
      </c>
      <c r="J348" s="16">
        <f t="shared" si="22"/>
        <v>0.20871322137043699</v>
      </c>
    </row>
    <row r="349" spans="1:10" ht="15" hidden="1" customHeight="1" x14ac:dyDescent="0.3">
      <c r="A349" s="5" t="s">
        <v>3</v>
      </c>
      <c r="B349" s="5" t="s">
        <v>26</v>
      </c>
      <c r="C349" s="5" t="s">
        <v>53</v>
      </c>
      <c r="D349" s="5">
        <v>4</v>
      </c>
      <c r="E349" s="6">
        <v>18449.169999999998</v>
      </c>
      <c r="F349" s="6">
        <f>E349</f>
        <v>18449.169999999998</v>
      </c>
      <c r="G349" s="5"/>
      <c r="H349" s="34">
        <v>1007</v>
      </c>
      <c r="I349" s="5" t="s">
        <v>93</v>
      </c>
      <c r="J349" s="16">
        <f t="shared" si="22"/>
        <v>24.798867924528302</v>
      </c>
    </row>
    <row r="350" spans="1:10" ht="15" hidden="1" customHeight="1" x14ac:dyDescent="0.3">
      <c r="A350" s="5" t="s">
        <v>3</v>
      </c>
      <c r="B350" s="5" t="s">
        <v>26</v>
      </c>
      <c r="C350" s="5" t="s">
        <v>87</v>
      </c>
      <c r="D350" s="5">
        <v>4</v>
      </c>
      <c r="E350" s="6">
        <v>50</v>
      </c>
      <c r="F350" s="6">
        <f t="shared" ref="F350:F369" si="24">D350*E350</f>
        <v>200</v>
      </c>
      <c r="G350" s="5"/>
      <c r="H350" s="34">
        <v>1007</v>
      </c>
      <c r="I350" s="5" t="s">
        <v>93</v>
      </c>
      <c r="J350" s="16">
        <f t="shared" si="22"/>
        <v>24.798867924528302</v>
      </c>
    </row>
    <row r="351" spans="1:10" ht="15" hidden="1" customHeight="1" x14ac:dyDescent="0.3">
      <c r="A351" s="5" t="s">
        <v>3</v>
      </c>
      <c r="B351" s="5" t="s">
        <v>26</v>
      </c>
      <c r="C351" s="5" t="s">
        <v>133</v>
      </c>
      <c r="D351" s="5">
        <v>1</v>
      </c>
      <c r="E351" s="6">
        <v>640</v>
      </c>
      <c r="F351" s="6">
        <f t="shared" si="24"/>
        <v>640</v>
      </c>
      <c r="G351" s="5"/>
      <c r="H351" s="34">
        <v>1007</v>
      </c>
      <c r="I351" s="5" t="s">
        <v>93</v>
      </c>
      <c r="J351" s="16">
        <f t="shared" si="22"/>
        <v>24.798867924528302</v>
      </c>
    </row>
    <row r="352" spans="1:10" ht="15" hidden="1" customHeight="1" x14ac:dyDescent="0.3">
      <c r="A352" s="5" t="s">
        <v>3</v>
      </c>
      <c r="B352" s="5" t="s">
        <v>26</v>
      </c>
      <c r="C352" s="5" t="s">
        <v>74</v>
      </c>
      <c r="D352" s="5">
        <v>0</v>
      </c>
      <c r="E352" s="6">
        <v>0</v>
      </c>
      <c r="F352" s="6">
        <f t="shared" si="24"/>
        <v>0</v>
      </c>
      <c r="G352" s="5"/>
      <c r="H352" s="34">
        <v>1007</v>
      </c>
      <c r="I352" s="5" t="s">
        <v>93</v>
      </c>
      <c r="J352" s="16">
        <f t="shared" si="22"/>
        <v>24.798867924528302</v>
      </c>
    </row>
    <row r="353" spans="1:10" ht="15" hidden="1" customHeight="1" x14ac:dyDescent="0.3">
      <c r="A353" s="5" t="s">
        <v>3</v>
      </c>
      <c r="B353" s="5" t="s">
        <v>26</v>
      </c>
      <c r="C353" s="5" t="s">
        <v>138</v>
      </c>
      <c r="D353" s="5">
        <v>0</v>
      </c>
      <c r="E353" s="6">
        <v>0</v>
      </c>
      <c r="F353" s="6">
        <f t="shared" si="24"/>
        <v>0</v>
      </c>
      <c r="G353" s="5"/>
      <c r="H353" s="34">
        <v>1007</v>
      </c>
      <c r="I353" s="5" t="s">
        <v>93</v>
      </c>
      <c r="J353" s="16">
        <f t="shared" si="22"/>
        <v>24.798867924528302</v>
      </c>
    </row>
    <row r="354" spans="1:10" ht="15" hidden="1" customHeight="1" x14ac:dyDescent="0.3">
      <c r="A354" s="5" t="s">
        <v>3</v>
      </c>
      <c r="B354" s="5" t="s">
        <v>26</v>
      </c>
      <c r="C354" s="5" t="s">
        <v>72</v>
      </c>
      <c r="D354" s="5">
        <v>1</v>
      </c>
      <c r="E354" s="6">
        <v>30.71</v>
      </c>
      <c r="F354" s="6">
        <f t="shared" si="24"/>
        <v>30.71</v>
      </c>
      <c r="G354" s="5"/>
      <c r="H354" s="34">
        <v>1007</v>
      </c>
      <c r="I354" s="5" t="s">
        <v>93</v>
      </c>
      <c r="J354" s="16">
        <f t="shared" si="22"/>
        <v>24.798867924528302</v>
      </c>
    </row>
    <row r="355" spans="1:10" ht="15" hidden="1" customHeight="1" x14ac:dyDescent="0.3">
      <c r="A355" s="5" t="s">
        <v>3</v>
      </c>
      <c r="B355" s="5" t="s">
        <v>26</v>
      </c>
      <c r="C355" s="5" t="s">
        <v>71</v>
      </c>
      <c r="D355" s="5">
        <v>1</v>
      </c>
      <c r="E355" s="6">
        <v>40.520000000000003</v>
      </c>
      <c r="F355" s="6">
        <f t="shared" si="24"/>
        <v>40.520000000000003</v>
      </c>
      <c r="G355" s="5"/>
      <c r="H355" s="34">
        <v>1007</v>
      </c>
      <c r="I355" s="5" t="s">
        <v>93</v>
      </c>
      <c r="J355" s="16">
        <f t="shared" si="22"/>
        <v>24.798867924528302</v>
      </c>
    </row>
    <row r="356" spans="1:10" ht="15" hidden="1" customHeight="1" x14ac:dyDescent="0.3">
      <c r="A356" s="5" t="s">
        <v>3</v>
      </c>
      <c r="B356" s="5" t="s">
        <v>26</v>
      </c>
      <c r="C356" s="5" t="s">
        <v>76</v>
      </c>
      <c r="D356" s="5">
        <v>1</v>
      </c>
      <c r="E356" s="6">
        <v>30</v>
      </c>
      <c r="F356" s="6">
        <f t="shared" si="24"/>
        <v>30</v>
      </c>
      <c r="G356" s="5"/>
      <c r="H356" s="34">
        <v>1007</v>
      </c>
      <c r="I356" s="5" t="s">
        <v>93</v>
      </c>
      <c r="J356" s="16">
        <f t="shared" si="22"/>
        <v>24.798867924528302</v>
      </c>
    </row>
    <row r="357" spans="1:10" ht="15" hidden="1" customHeight="1" x14ac:dyDescent="0.3">
      <c r="A357" s="5" t="s">
        <v>3</v>
      </c>
      <c r="B357" s="5" t="s">
        <v>26</v>
      </c>
      <c r="C357" s="5" t="s">
        <v>95</v>
      </c>
      <c r="D357" s="5">
        <v>1</v>
      </c>
      <c r="E357" s="6">
        <v>0</v>
      </c>
      <c r="F357" s="6">
        <f t="shared" si="24"/>
        <v>0</v>
      </c>
      <c r="G357" s="5" t="s">
        <v>65</v>
      </c>
      <c r="H357" s="34">
        <v>1007</v>
      </c>
      <c r="I357" s="5" t="s">
        <v>93</v>
      </c>
      <c r="J357" s="16">
        <f t="shared" si="22"/>
        <v>24.798867924528302</v>
      </c>
    </row>
    <row r="358" spans="1:10" ht="15" hidden="1" customHeight="1" x14ac:dyDescent="0.3">
      <c r="A358" s="5" t="s">
        <v>3</v>
      </c>
      <c r="B358" s="5" t="s">
        <v>26</v>
      </c>
      <c r="C358" s="5" t="s">
        <v>139</v>
      </c>
      <c r="D358" s="5">
        <v>1</v>
      </c>
      <c r="E358" s="6">
        <v>65.7</v>
      </c>
      <c r="F358" s="6">
        <f t="shared" si="24"/>
        <v>65.7</v>
      </c>
      <c r="G358" s="5" t="s">
        <v>65</v>
      </c>
      <c r="H358" s="34">
        <v>1007</v>
      </c>
      <c r="I358" s="5" t="s">
        <v>93</v>
      </c>
      <c r="J358" s="16">
        <f t="shared" si="22"/>
        <v>24.798867924528302</v>
      </c>
    </row>
    <row r="359" spans="1:10" ht="15" hidden="1" customHeight="1" x14ac:dyDescent="0.3">
      <c r="A359" s="5" t="s">
        <v>3</v>
      </c>
      <c r="B359" s="5" t="s">
        <v>26</v>
      </c>
      <c r="C359" s="5" t="s">
        <v>73</v>
      </c>
      <c r="D359" s="5">
        <v>0</v>
      </c>
      <c r="E359" s="6">
        <v>0</v>
      </c>
      <c r="F359" s="6">
        <f t="shared" si="24"/>
        <v>0</v>
      </c>
      <c r="G359" s="5"/>
      <c r="H359" s="34">
        <v>1007</v>
      </c>
      <c r="I359" s="5" t="s">
        <v>93</v>
      </c>
      <c r="J359" s="16">
        <f t="shared" si="22"/>
        <v>24.798867924528302</v>
      </c>
    </row>
    <row r="360" spans="1:10" ht="15" hidden="1" customHeight="1" x14ac:dyDescent="0.3">
      <c r="A360" s="5" t="s">
        <v>3</v>
      </c>
      <c r="B360" s="5" t="s">
        <v>26</v>
      </c>
      <c r="C360" s="5" t="s">
        <v>140</v>
      </c>
      <c r="D360" s="5">
        <v>1</v>
      </c>
      <c r="E360" s="6">
        <v>2500</v>
      </c>
      <c r="F360" s="6">
        <f t="shared" si="24"/>
        <v>2500</v>
      </c>
      <c r="G360" s="5"/>
      <c r="H360" s="34">
        <v>1007</v>
      </c>
      <c r="I360" s="5" t="s">
        <v>93</v>
      </c>
      <c r="J360" s="16">
        <f t="shared" si="22"/>
        <v>24.798867924528302</v>
      </c>
    </row>
    <row r="361" spans="1:10" ht="15" hidden="1" customHeight="1" x14ac:dyDescent="0.3">
      <c r="A361" s="5" t="s">
        <v>3</v>
      </c>
      <c r="B361" s="5" t="s">
        <v>26</v>
      </c>
      <c r="C361" s="5" t="s">
        <v>141</v>
      </c>
      <c r="D361" s="5">
        <v>1</v>
      </c>
      <c r="E361" s="6">
        <v>2612.9</v>
      </c>
      <c r="F361" s="6">
        <f t="shared" si="24"/>
        <v>2612.9</v>
      </c>
      <c r="G361" s="5"/>
      <c r="H361" s="34">
        <v>1007</v>
      </c>
      <c r="I361" s="5" t="s">
        <v>93</v>
      </c>
      <c r="J361" s="16">
        <f t="shared" si="22"/>
        <v>24.798867924528302</v>
      </c>
    </row>
    <row r="362" spans="1:10" ht="15" hidden="1" customHeight="1" x14ac:dyDescent="0.3">
      <c r="A362" s="5" t="s">
        <v>3</v>
      </c>
      <c r="B362" s="5" t="s">
        <v>26</v>
      </c>
      <c r="C362" s="5" t="s">
        <v>63</v>
      </c>
      <c r="D362" s="5">
        <v>0</v>
      </c>
      <c r="E362" s="6">
        <v>0</v>
      </c>
      <c r="F362" s="6">
        <f t="shared" si="24"/>
        <v>0</v>
      </c>
      <c r="G362" s="5"/>
      <c r="H362" s="34">
        <v>1007</v>
      </c>
      <c r="I362" s="5" t="s">
        <v>93</v>
      </c>
      <c r="J362" s="16">
        <f t="shared" si="22"/>
        <v>24.798867924528302</v>
      </c>
    </row>
    <row r="363" spans="1:10" ht="15" hidden="1" customHeight="1" x14ac:dyDescent="0.3">
      <c r="A363" s="5" t="s">
        <v>3</v>
      </c>
      <c r="B363" s="5" t="s">
        <v>26</v>
      </c>
      <c r="C363" s="5" t="s">
        <v>58</v>
      </c>
      <c r="D363" s="5">
        <v>4</v>
      </c>
      <c r="E363" s="6">
        <v>10.15</v>
      </c>
      <c r="F363" s="6">
        <f t="shared" si="24"/>
        <v>40.6</v>
      </c>
      <c r="G363" s="5"/>
      <c r="H363" s="34">
        <v>1007</v>
      </c>
      <c r="I363" s="5" t="s">
        <v>93</v>
      </c>
      <c r="J363" s="16">
        <f t="shared" si="22"/>
        <v>24.798867924528302</v>
      </c>
    </row>
    <row r="364" spans="1:10" ht="15" hidden="1" customHeight="1" x14ac:dyDescent="0.3">
      <c r="A364" s="5" t="s">
        <v>3</v>
      </c>
      <c r="B364" s="5" t="s">
        <v>26</v>
      </c>
      <c r="C364" s="5" t="s">
        <v>59</v>
      </c>
      <c r="D364" s="5">
        <v>4</v>
      </c>
      <c r="E364" s="6">
        <v>2.92</v>
      </c>
      <c r="F364" s="6">
        <f t="shared" si="24"/>
        <v>11.68</v>
      </c>
      <c r="G364" s="5"/>
      <c r="H364" s="34">
        <v>1007</v>
      </c>
      <c r="I364" s="5" t="s">
        <v>93</v>
      </c>
      <c r="J364" s="16">
        <f t="shared" si="22"/>
        <v>24.798867924528302</v>
      </c>
    </row>
    <row r="365" spans="1:10" ht="15" hidden="1" customHeight="1" x14ac:dyDescent="0.3">
      <c r="A365" s="5" t="s">
        <v>3</v>
      </c>
      <c r="B365" s="5" t="s">
        <v>26</v>
      </c>
      <c r="C365" s="5" t="s">
        <v>142</v>
      </c>
      <c r="D365" s="5">
        <v>1</v>
      </c>
      <c r="E365" s="6">
        <v>351.18</v>
      </c>
      <c r="F365" s="6">
        <f t="shared" si="24"/>
        <v>351.18</v>
      </c>
      <c r="G365" s="5"/>
      <c r="H365" s="34">
        <v>1007</v>
      </c>
      <c r="I365" s="5" t="s">
        <v>93</v>
      </c>
      <c r="J365" s="16">
        <f t="shared" si="22"/>
        <v>24.798867924528302</v>
      </c>
    </row>
    <row r="366" spans="1:10" ht="15" hidden="1" customHeight="1" x14ac:dyDescent="0.3">
      <c r="A366" s="5" t="s">
        <v>3</v>
      </c>
      <c r="B366" s="5" t="s">
        <v>26</v>
      </c>
      <c r="C366" s="5" t="s">
        <v>143</v>
      </c>
      <c r="D366" s="5">
        <v>0</v>
      </c>
      <c r="E366" s="6">
        <v>0</v>
      </c>
      <c r="F366" s="6">
        <f t="shared" si="24"/>
        <v>0</v>
      </c>
      <c r="G366" s="5"/>
      <c r="H366" s="34">
        <v>1007</v>
      </c>
      <c r="I366" s="5" t="s">
        <v>93</v>
      </c>
      <c r="J366" s="16">
        <f t="shared" si="22"/>
        <v>24.798867924528302</v>
      </c>
    </row>
    <row r="367" spans="1:10" ht="15" hidden="1" customHeight="1" x14ac:dyDescent="0.3">
      <c r="A367" s="5" t="s">
        <v>3</v>
      </c>
      <c r="B367" s="5" t="s">
        <v>26</v>
      </c>
      <c r="C367" s="5" t="s">
        <v>144</v>
      </c>
      <c r="D367" s="5">
        <v>0</v>
      </c>
      <c r="E367" s="6">
        <v>0</v>
      </c>
      <c r="F367" s="6">
        <f t="shared" si="24"/>
        <v>0</v>
      </c>
      <c r="G367" s="5"/>
      <c r="H367" s="34">
        <v>1007</v>
      </c>
      <c r="I367" s="5" t="s">
        <v>93</v>
      </c>
      <c r="J367" s="16">
        <f t="shared" si="22"/>
        <v>24.798867924528302</v>
      </c>
    </row>
    <row r="368" spans="1:10" ht="15" hidden="1" customHeight="1" x14ac:dyDescent="0.3">
      <c r="A368" s="5" t="s">
        <v>3</v>
      </c>
      <c r="B368" s="5" t="s">
        <v>26</v>
      </c>
      <c r="C368" s="5" t="s">
        <v>145</v>
      </c>
      <c r="D368" s="5">
        <v>0</v>
      </c>
      <c r="E368" s="6">
        <v>0</v>
      </c>
      <c r="F368" s="6">
        <f t="shared" si="24"/>
        <v>0</v>
      </c>
      <c r="G368" s="5"/>
      <c r="H368" s="34">
        <v>1007</v>
      </c>
      <c r="I368" s="5" t="s">
        <v>93</v>
      </c>
      <c r="J368" s="16">
        <f t="shared" si="22"/>
        <v>24.798867924528302</v>
      </c>
    </row>
    <row r="369" spans="1:10" ht="15" hidden="1" customHeight="1" x14ac:dyDescent="0.3">
      <c r="A369" s="5" t="s">
        <v>3</v>
      </c>
      <c r="B369" s="5" t="s">
        <v>26</v>
      </c>
      <c r="C369" s="5" t="s">
        <v>121</v>
      </c>
      <c r="D369" s="5">
        <v>0</v>
      </c>
      <c r="E369" s="6">
        <v>0</v>
      </c>
      <c r="F369" s="6">
        <f t="shared" si="24"/>
        <v>0</v>
      </c>
      <c r="G369" s="5"/>
      <c r="H369" s="34">
        <v>1007</v>
      </c>
      <c r="I369" s="5" t="s">
        <v>93</v>
      </c>
      <c r="J369" s="16">
        <f t="shared" si="22"/>
        <v>24.798867924528302</v>
      </c>
    </row>
    <row r="370" spans="1:10" ht="15" hidden="1" customHeight="1" x14ac:dyDescent="0.3">
      <c r="A370" s="5" t="s">
        <v>3</v>
      </c>
      <c r="B370" s="5" t="s">
        <v>25</v>
      </c>
      <c r="C370" s="5" t="s">
        <v>53</v>
      </c>
      <c r="D370" s="5">
        <v>1</v>
      </c>
      <c r="E370" s="6">
        <v>330806.45</v>
      </c>
      <c r="F370" s="6">
        <f>E370</f>
        <v>330806.45</v>
      </c>
      <c r="G370" s="5"/>
      <c r="H370" s="34">
        <v>189453</v>
      </c>
      <c r="I370" s="5" t="s">
        <v>54</v>
      </c>
      <c r="J370" s="16">
        <f t="shared" si="22"/>
        <v>2.2145965052997112</v>
      </c>
    </row>
    <row r="371" spans="1:10" ht="15" hidden="1" customHeight="1" x14ac:dyDescent="0.3">
      <c r="A371" s="5" t="s">
        <v>3</v>
      </c>
      <c r="B371" s="5" t="s">
        <v>25</v>
      </c>
      <c r="C371" s="5" t="s">
        <v>146</v>
      </c>
      <c r="D371" s="5">
        <v>1</v>
      </c>
      <c r="E371" s="6">
        <v>9818.19</v>
      </c>
      <c r="F371" s="6">
        <f t="shared" ref="F371:F392" si="25">D371*E371</f>
        <v>9818.19</v>
      </c>
      <c r="G371" s="5"/>
      <c r="H371" s="34">
        <v>189453</v>
      </c>
      <c r="I371" s="5" t="s">
        <v>54</v>
      </c>
      <c r="J371" s="16">
        <f t="shared" si="22"/>
        <v>2.2145965052997112</v>
      </c>
    </row>
    <row r="372" spans="1:10" ht="15" hidden="1" customHeight="1" x14ac:dyDescent="0.3">
      <c r="A372" s="5" t="s">
        <v>3</v>
      </c>
      <c r="B372" s="5" t="s">
        <v>25</v>
      </c>
      <c r="C372" s="5" t="s">
        <v>147</v>
      </c>
      <c r="D372" s="5">
        <v>1</v>
      </c>
      <c r="E372" s="6">
        <v>33759.11</v>
      </c>
      <c r="F372" s="6">
        <f t="shared" si="25"/>
        <v>33759.11</v>
      </c>
      <c r="G372" s="5"/>
      <c r="H372" s="34">
        <v>189453</v>
      </c>
      <c r="I372" s="5" t="s">
        <v>54</v>
      </c>
      <c r="J372" s="16">
        <f t="shared" si="22"/>
        <v>2.2145965052997112</v>
      </c>
    </row>
    <row r="373" spans="1:10" ht="15" hidden="1" customHeight="1" x14ac:dyDescent="0.3">
      <c r="A373" s="5" t="s">
        <v>3</v>
      </c>
      <c r="B373" s="5" t="s">
        <v>25</v>
      </c>
      <c r="C373" s="5" t="s">
        <v>72</v>
      </c>
      <c r="D373" s="5">
        <v>1</v>
      </c>
      <c r="E373" s="6">
        <v>153.58000000000001</v>
      </c>
      <c r="F373" s="6">
        <f t="shared" si="25"/>
        <v>153.58000000000001</v>
      </c>
      <c r="G373" s="5"/>
      <c r="H373" s="34">
        <v>189453</v>
      </c>
      <c r="I373" s="5" t="s">
        <v>54</v>
      </c>
      <c r="J373" s="16">
        <f t="shared" si="22"/>
        <v>2.2145965052997112</v>
      </c>
    </row>
    <row r="374" spans="1:10" ht="15" hidden="1" customHeight="1" x14ac:dyDescent="0.3">
      <c r="A374" s="5" t="s">
        <v>3</v>
      </c>
      <c r="B374" s="5" t="s">
        <v>25</v>
      </c>
      <c r="C374" s="5" t="s">
        <v>148</v>
      </c>
      <c r="D374" s="5">
        <v>1</v>
      </c>
      <c r="E374" s="6">
        <v>0</v>
      </c>
      <c r="F374" s="6">
        <f t="shared" si="25"/>
        <v>0</v>
      </c>
      <c r="G374" s="5" t="s">
        <v>149</v>
      </c>
      <c r="H374" s="34">
        <v>189453</v>
      </c>
      <c r="I374" s="5" t="s">
        <v>54</v>
      </c>
      <c r="J374" s="16">
        <f t="shared" si="22"/>
        <v>2.2145965052997112</v>
      </c>
    </row>
    <row r="375" spans="1:10" ht="15" hidden="1" customHeight="1" x14ac:dyDescent="0.3">
      <c r="A375" s="5" t="s">
        <v>3</v>
      </c>
      <c r="B375" s="5" t="s">
        <v>25</v>
      </c>
      <c r="C375" s="5" t="s">
        <v>150</v>
      </c>
      <c r="D375" s="5">
        <v>1</v>
      </c>
      <c r="E375" s="6">
        <v>0</v>
      </c>
      <c r="F375" s="6">
        <f t="shared" si="25"/>
        <v>0</v>
      </c>
      <c r="G375" s="5" t="s">
        <v>151</v>
      </c>
      <c r="H375" s="34">
        <v>189453</v>
      </c>
      <c r="I375" s="5" t="s">
        <v>54</v>
      </c>
      <c r="J375" s="16">
        <f t="shared" si="22"/>
        <v>2.2145965052997112</v>
      </c>
    </row>
    <row r="376" spans="1:10" ht="15" hidden="1" customHeight="1" x14ac:dyDescent="0.3">
      <c r="A376" s="5" t="s">
        <v>3</v>
      </c>
      <c r="B376" s="5" t="s">
        <v>25</v>
      </c>
      <c r="C376" s="5" t="s">
        <v>152</v>
      </c>
      <c r="D376" s="5">
        <v>1</v>
      </c>
      <c r="E376" s="6">
        <v>5543</v>
      </c>
      <c r="F376" s="6">
        <f t="shared" si="25"/>
        <v>5543</v>
      </c>
      <c r="G376" s="5"/>
      <c r="H376" s="34">
        <v>189453</v>
      </c>
      <c r="I376" s="5" t="s">
        <v>54</v>
      </c>
      <c r="J376" s="16">
        <f t="shared" si="22"/>
        <v>2.2145965052997112</v>
      </c>
    </row>
    <row r="377" spans="1:10" ht="15" hidden="1" customHeight="1" x14ac:dyDescent="0.3">
      <c r="A377" s="5" t="s">
        <v>3</v>
      </c>
      <c r="B377" s="5" t="s">
        <v>25</v>
      </c>
      <c r="C377" s="5" t="s">
        <v>153</v>
      </c>
      <c r="D377" s="5">
        <v>1</v>
      </c>
      <c r="E377" s="6">
        <v>900</v>
      </c>
      <c r="F377" s="6">
        <f t="shared" si="25"/>
        <v>900</v>
      </c>
      <c r="G377" s="5"/>
      <c r="H377" s="34">
        <v>189453</v>
      </c>
      <c r="I377" s="5" t="s">
        <v>54</v>
      </c>
      <c r="J377" s="16">
        <f t="shared" si="22"/>
        <v>2.2145965052997112</v>
      </c>
    </row>
    <row r="378" spans="1:10" ht="15" hidden="1" customHeight="1" x14ac:dyDescent="0.3">
      <c r="A378" s="5" t="s">
        <v>3</v>
      </c>
      <c r="B378" s="5" t="s">
        <v>25</v>
      </c>
      <c r="C378" s="5" t="s">
        <v>154</v>
      </c>
      <c r="D378" s="5">
        <v>1</v>
      </c>
      <c r="E378" s="6">
        <v>30</v>
      </c>
      <c r="F378" s="6">
        <f t="shared" si="25"/>
        <v>30</v>
      </c>
      <c r="G378" s="5"/>
      <c r="H378" s="34">
        <v>189453</v>
      </c>
      <c r="I378" s="5" t="s">
        <v>54</v>
      </c>
      <c r="J378" s="16">
        <f t="shared" si="22"/>
        <v>2.2145965052997112</v>
      </c>
    </row>
    <row r="379" spans="1:10" ht="15" hidden="1" customHeight="1" x14ac:dyDescent="0.3">
      <c r="A379" s="5" t="s">
        <v>3</v>
      </c>
      <c r="B379" s="5" t="s">
        <v>25</v>
      </c>
      <c r="C379" s="5" t="s">
        <v>61</v>
      </c>
      <c r="D379" s="5">
        <v>1</v>
      </c>
      <c r="E379" s="6">
        <v>1972</v>
      </c>
      <c r="F379" s="6">
        <f t="shared" si="25"/>
        <v>1972</v>
      </c>
      <c r="G379" s="5"/>
      <c r="H379" s="34">
        <v>189453</v>
      </c>
      <c r="I379" s="5" t="s">
        <v>54</v>
      </c>
      <c r="J379" s="16">
        <f t="shared" si="22"/>
        <v>2.2145965052997112</v>
      </c>
    </row>
    <row r="380" spans="1:10" ht="15" hidden="1" customHeight="1" x14ac:dyDescent="0.3">
      <c r="A380" s="5" t="s">
        <v>3</v>
      </c>
      <c r="B380" s="5" t="s">
        <v>25</v>
      </c>
      <c r="C380" s="5" t="s">
        <v>26</v>
      </c>
      <c r="D380" s="5">
        <v>119</v>
      </c>
      <c r="E380" s="6">
        <v>24.798867924528299</v>
      </c>
      <c r="F380" s="6">
        <f t="shared" si="25"/>
        <v>2951.0652830188674</v>
      </c>
      <c r="G380" s="5"/>
      <c r="H380" s="34">
        <v>189453</v>
      </c>
      <c r="I380" s="5" t="s">
        <v>54</v>
      </c>
      <c r="J380" s="16">
        <f t="shared" si="22"/>
        <v>2.2145965052997112</v>
      </c>
    </row>
    <row r="381" spans="1:10" ht="15" hidden="1" customHeight="1" x14ac:dyDescent="0.3">
      <c r="A381" s="5" t="s">
        <v>3</v>
      </c>
      <c r="B381" s="5" t="s">
        <v>25</v>
      </c>
      <c r="C381" s="5" t="s">
        <v>14</v>
      </c>
      <c r="D381" s="5">
        <v>119</v>
      </c>
      <c r="E381" s="6">
        <v>40.668212512413113</v>
      </c>
      <c r="F381" s="6">
        <f t="shared" si="25"/>
        <v>4839.5172889771602</v>
      </c>
      <c r="G381" s="5"/>
      <c r="H381" s="34">
        <v>189453</v>
      </c>
      <c r="I381" s="5" t="s">
        <v>54</v>
      </c>
      <c r="J381" s="16">
        <f t="shared" si="22"/>
        <v>2.2145965052997112</v>
      </c>
    </row>
    <row r="382" spans="1:10" ht="15" hidden="1" customHeight="1" x14ac:dyDescent="0.3">
      <c r="A382" s="5" t="s">
        <v>3</v>
      </c>
      <c r="B382" s="5" t="s">
        <v>25</v>
      </c>
      <c r="C382" s="5" t="s">
        <v>114</v>
      </c>
      <c r="D382" s="5">
        <v>1</v>
      </c>
      <c r="E382" s="6">
        <v>200</v>
      </c>
      <c r="F382" s="6">
        <f t="shared" si="25"/>
        <v>200</v>
      </c>
      <c r="G382" s="5"/>
      <c r="H382" s="34">
        <v>189453</v>
      </c>
      <c r="I382" s="5" t="s">
        <v>54</v>
      </c>
      <c r="J382" s="16">
        <f t="shared" si="22"/>
        <v>2.2145965052997112</v>
      </c>
    </row>
    <row r="383" spans="1:10" ht="15" hidden="1" customHeight="1" x14ac:dyDescent="0.3">
      <c r="A383" s="5" t="s">
        <v>3</v>
      </c>
      <c r="B383" s="5" t="s">
        <v>25</v>
      </c>
      <c r="C383" s="5" t="s">
        <v>155</v>
      </c>
      <c r="D383" s="5">
        <v>119</v>
      </c>
      <c r="E383" s="6">
        <v>45.310244928992589</v>
      </c>
      <c r="F383" s="6">
        <f t="shared" si="25"/>
        <v>5391.9191465501181</v>
      </c>
      <c r="G383" s="5"/>
      <c r="H383" s="34">
        <v>189453</v>
      </c>
      <c r="I383" s="5" t="s">
        <v>54</v>
      </c>
      <c r="J383" s="16">
        <f t="shared" si="22"/>
        <v>2.2145965052997112</v>
      </c>
    </row>
    <row r="384" spans="1:10" ht="15" hidden="1" customHeight="1" x14ac:dyDescent="0.3">
      <c r="A384" s="5" t="s">
        <v>3</v>
      </c>
      <c r="B384" s="5" t="s">
        <v>25</v>
      </c>
      <c r="C384" s="5" t="s">
        <v>58</v>
      </c>
      <c r="D384" s="5">
        <v>119</v>
      </c>
      <c r="E384" s="6">
        <v>10.15</v>
      </c>
      <c r="F384" s="6">
        <f t="shared" si="25"/>
        <v>1207.8500000000001</v>
      </c>
      <c r="G384" s="5"/>
      <c r="H384" s="34">
        <v>189453</v>
      </c>
      <c r="I384" s="5" t="s">
        <v>54</v>
      </c>
      <c r="J384" s="16">
        <f t="shared" si="22"/>
        <v>2.2145965052997112</v>
      </c>
    </row>
    <row r="385" spans="1:10" ht="15" hidden="1" customHeight="1" x14ac:dyDescent="0.3">
      <c r="A385" s="5" t="s">
        <v>3</v>
      </c>
      <c r="B385" s="5" t="s">
        <v>25</v>
      </c>
      <c r="C385" s="5" t="s">
        <v>113</v>
      </c>
      <c r="D385" s="5">
        <v>119</v>
      </c>
      <c r="E385" s="6">
        <v>2.92</v>
      </c>
      <c r="F385" s="6">
        <f t="shared" si="25"/>
        <v>347.48</v>
      </c>
      <c r="G385" s="5"/>
      <c r="H385" s="34">
        <v>189453</v>
      </c>
      <c r="I385" s="5" t="s">
        <v>54</v>
      </c>
      <c r="J385" s="16">
        <f t="shared" si="22"/>
        <v>2.2145965052997112</v>
      </c>
    </row>
    <row r="386" spans="1:10" ht="15" hidden="1" customHeight="1" x14ac:dyDescent="0.3">
      <c r="A386" s="5" t="s">
        <v>3</v>
      </c>
      <c r="B386" s="5" t="s">
        <v>25</v>
      </c>
      <c r="C386" s="5" t="s">
        <v>156</v>
      </c>
      <c r="D386" s="5">
        <v>1</v>
      </c>
      <c r="E386" s="6">
        <v>17676</v>
      </c>
      <c r="F386" s="6">
        <f t="shared" si="25"/>
        <v>17676</v>
      </c>
      <c r="G386" s="5" t="s">
        <v>157</v>
      </c>
      <c r="H386" s="34">
        <v>189453</v>
      </c>
      <c r="I386" s="5" t="s">
        <v>54</v>
      </c>
      <c r="J386" s="16">
        <f t="shared" ref="J386:J449" si="26">IFERROR(SUMIFS($F$2:$F$1749,$A$2:$A$1749,A386,$B$2:$B$1749,B386)/H386,"")</f>
        <v>2.2145965052997112</v>
      </c>
    </row>
    <row r="387" spans="1:10" ht="15" hidden="1" customHeight="1" x14ac:dyDescent="0.3">
      <c r="A387" s="5" t="s">
        <v>3</v>
      </c>
      <c r="B387" s="5" t="s">
        <v>25</v>
      </c>
      <c r="C387" s="5" t="s">
        <v>158</v>
      </c>
      <c r="D387" s="5">
        <v>1</v>
      </c>
      <c r="E387" s="6">
        <v>914.59</v>
      </c>
      <c r="F387" s="6">
        <f t="shared" si="25"/>
        <v>914.59</v>
      </c>
      <c r="G387" s="5" t="s">
        <v>159</v>
      </c>
      <c r="H387" s="34">
        <v>189453</v>
      </c>
      <c r="I387" s="5" t="s">
        <v>54</v>
      </c>
      <c r="J387" s="16">
        <f t="shared" si="26"/>
        <v>2.2145965052997112</v>
      </c>
    </row>
    <row r="388" spans="1:10" ht="15" hidden="1" customHeight="1" x14ac:dyDescent="0.3">
      <c r="A388" s="5" t="s">
        <v>3</v>
      </c>
      <c r="B388" s="5" t="s">
        <v>25</v>
      </c>
      <c r="C388" s="5" t="s">
        <v>89</v>
      </c>
      <c r="D388" s="5">
        <v>1</v>
      </c>
      <c r="E388" s="6">
        <v>0</v>
      </c>
      <c r="F388" s="6">
        <f t="shared" si="25"/>
        <v>0</v>
      </c>
      <c r="G388" s="5"/>
      <c r="H388" s="34">
        <v>189453</v>
      </c>
      <c r="I388" s="5" t="s">
        <v>54</v>
      </c>
      <c r="J388" s="16">
        <f t="shared" si="26"/>
        <v>2.2145965052997112</v>
      </c>
    </row>
    <row r="389" spans="1:10" ht="15" hidden="1" customHeight="1" x14ac:dyDescent="0.3">
      <c r="A389" s="5" t="s">
        <v>3</v>
      </c>
      <c r="B389" s="5" t="s">
        <v>25</v>
      </c>
      <c r="C389" s="5" t="s">
        <v>133</v>
      </c>
      <c r="D389" s="5">
        <v>1</v>
      </c>
      <c r="E389" s="6">
        <v>77.819999999999993</v>
      </c>
      <c r="F389" s="6">
        <f t="shared" si="25"/>
        <v>77.819999999999993</v>
      </c>
      <c r="G389" s="5"/>
      <c r="H389" s="34">
        <v>189453</v>
      </c>
      <c r="I389" s="5" t="s">
        <v>54</v>
      </c>
      <c r="J389" s="16">
        <f t="shared" si="26"/>
        <v>2.2145965052997112</v>
      </c>
    </row>
    <row r="390" spans="1:10" ht="15" hidden="1" customHeight="1" x14ac:dyDescent="0.3">
      <c r="A390" s="5" t="s">
        <v>3</v>
      </c>
      <c r="B390" s="5" t="s">
        <v>25</v>
      </c>
      <c r="C390" s="5" t="s">
        <v>160</v>
      </c>
      <c r="D390" s="5">
        <v>1</v>
      </c>
      <c r="E390" s="6">
        <v>2909.88</v>
      </c>
      <c r="F390" s="6">
        <f t="shared" si="25"/>
        <v>2909.88</v>
      </c>
      <c r="G390" s="5" t="s">
        <v>65</v>
      </c>
      <c r="H390" s="34">
        <v>189453</v>
      </c>
      <c r="I390" s="5" t="s">
        <v>54</v>
      </c>
      <c r="J390" s="16">
        <f t="shared" si="26"/>
        <v>2.2145965052997112</v>
      </c>
    </row>
    <row r="391" spans="1:10" ht="15" hidden="1" customHeight="1" x14ac:dyDescent="0.3">
      <c r="A391" s="5" t="s">
        <v>3</v>
      </c>
      <c r="B391" s="5" t="s">
        <v>25</v>
      </c>
      <c r="C391" s="5" t="s">
        <v>161</v>
      </c>
      <c r="D391" s="5">
        <v>1</v>
      </c>
      <c r="E391" s="6">
        <v>63.5</v>
      </c>
      <c r="F391" s="6">
        <f t="shared" si="25"/>
        <v>63.5</v>
      </c>
      <c r="G391" s="5" t="s">
        <v>65</v>
      </c>
      <c r="H391" s="34">
        <v>189453</v>
      </c>
      <c r="I391" s="5" t="s">
        <v>54</v>
      </c>
      <c r="J391" s="16">
        <f t="shared" si="26"/>
        <v>2.2145965052997112</v>
      </c>
    </row>
    <row r="392" spans="1:10" ht="15" hidden="1" customHeight="1" x14ac:dyDescent="0.3">
      <c r="A392" s="5" t="s">
        <v>3</v>
      </c>
      <c r="B392" s="5" t="s">
        <v>25</v>
      </c>
      <c r="C392" s="5" t="s">
        <v>70</v>
      </c>
      <c r="D392" s="5">
        <v>1</v>
      </c>
      <c r="E392" s="6">
        <v>0</v>
      </c>
      <c r="F392" s="6">
        <f t="shared" si="25"/>
        <v>0</v>
      </c>
      <c r="G392" s="5"/>
      <c r="H392" s="34">
        <v>189453</v>
      </c>
      <c r="I392" s="5" t="s">
        <v>54</v>
      </c>
      <c r="J392" s="16">
        <f t="shared" si="26"/>
        <v>2.2145965052997112</v>
      </c>
    </row>
    <row r="393" spans="1:10" ht="15" hidden="1" customHeight="1" x14ac:dyDescent="0.3">
      <c r="A393" s="5" t="s">
        <v>3</v>
      </c>
      <c r="B393" s="5" t="s">
        <v>27</v>
      </c>
      <c r="C393" s="5" t="s">
        <v>53</v>
      </c>
      <c r="D393" s="5">
        <v>8</v>
      </c>
      <c r="E393" s="6">
        <v>30393.27</v>
      </c>
      <c r="F393" s="6">
        <f>E393</f>
        <v>30393.27</v>
      </c>
      <c r="G393" s="5"/>
      <c r="H393" s="34">
        <v>1007</v>
      </c>
      <c r="I393" s="5" t="s">
        <v>93</v>
      </c>
      <c r="J393" s="16">
        <f t="shared" si="26"/>
        <v>45.310244928992589</v>
      </c>
    </row>
    <row r="394" spans="1:10" ht="15" hidden="1" customHeight="1" x14ac:dyDescent="0.3">
      <c r="A394" s="5" t="s">
        <v>3</v>
      </c>
      <c r="B394" s="5" t="s">
        <v>27</v>
      </c>
      <c r="C394" s="5" t="s">
        <v>26</v>
      </c>
      <c r="D394" s="5">
        <v>8</v>
      </c>
      <c r="E394" s="6">
        <v>24.798867924528299</v>
      </c>
      <c r="F394" s="6">
        <f t="shared" ref="F394:F416" si="27">D394*E394</f>
        <v>198.39094339622639</v>
      </c>
      <c r="G394" s="5"/>
      <c r="H394" s="34">
        <v>1007</v>
      </c>
      <c r="I394" s="5" t="s">
        <v>93</v>
      </c>
      <c r="J394" s="16">
        <f t="shared" si="26"/>
        <v>45.310244928992589</v>
      </c>
    </row>
    <row r="395" spans="1:10" ht="15" hidden="1" customHeight="1" x14ac:dyDescent="0.3">
      <c r="A395" s="5" t="s">
        <v>3</v>
      </c>
      <c r="B395" s="5" t="s">
        <v>27</v>
      </c>
      <c r="C395" s="5" t="s">
        <v>14</v>
      </c>
      <c r="D395" s="5">
        <v>8</v>
      </c>
      <c r="E395" s="6">
        <v>40.668212512413113</v>
      </c>
      <c r="F395" s="6">
        <f t="shared" si="27"/>
        <v>325.34570009930491</v>
      </c>
      <c r="G395" s="5"/>
      <c r="H395" s="34">
        <v>1007</v>
      </c>
      <c r="I395" s="5" t="s">
        <v>93</v>
      </c>
      <c r="J395" s="16">
        <f t="shared" si="26"/>
        <v>45.310244928992589</v>
      </c>
    </row>
    <row r="396" spans="1:10" ht="15" hidden="1" customHeight="1" x14ac:dyDescent="0.3">
      <c r="A396" s="5" t="s">
        <v>3</v>
      </c>
      <c r="B396" s="5" t="s">
        <v>27</v>
      </c>
      <c r="C396" s="5" t="s">
        <v>87</v>
      </c>
      <c r="D396" s="5">
        <v>10</v>
      </c>
      <c r="E396" s="6">
        <v>28</v>
      </c>
      <c r="F396" s="6">
        <f t="shared" si="27"/>
        <v>280</v>
      </c>
      <c r="G396" s="5"/>
      <c r="H396" s="34">
        <v>1007</v>
      </c>
      <c r="I396" s="5" t="s">
        <v>93</v>
      </c>
      <c r="J396" s="16">
        <f t="shared" si="26"/>
        <v>45.310244928992589</v>
      </c>
    </row>
    <row r="397" spans="1:10" ht="15" hidden="1" customHeight="1" x14ac:dyDescent="0.3">
      <c r="A397" s="5" t="s">
        <v>3</v>
      </c>
      <c r="B397" s="5" t="s">
        <v>27</v>
      </c>
      <c r="C397" s="5" t="s">
        <v>76</v>
      </c>
      <c r="D397" s="5">
        <v>0</v>
      </c>
      <c r="E397" s="6">
        <v>0</v>
      </c>
      <c r="F397" s="6">
        <f t="shared" si="27"/>
        <v>0</v>
      </c>
      <c r="G397" s="5"/>
      <c r="H397" s="34">
        <v>1007</v>
      </c>
      <c r="I397" s="5" t="s">
        <v>93</v>
      </c>
      <c r="J397" s="16">
        <f t="shared" si="26"/>
        <v>45.310244928992589</v>
      </c>
    </row>
    <row r="398" spans="1:10" ht="15" hidden="1" customHeight="1" x14ac:dyDescent="0.3">
      <c r="A398" s="5" t="s">
        <v>3</v>
      </c>
      <c r="B398" s="5" t="s">
        <v>27</v>
      </c>
      <c r="C398" s="5" t="s">
        <v>71</v>
      </c>
      <c r="D398" s="5">
        <v>1</v>
      </c>
      <c r="E398" s="6">
        <v>40.520000000000003</v>
      </c>
      <c r="F398" s="6">
        <f t="shared" si="27"/>
        <v>40.520000000000003</v>
      </c>
      <c r="G398" s="5"/>
      <c r="H398" s="34">
        <v>1007</v>
      </c>
      <c r="I398" s="5" t="s">
        <v>93</v>
      </c>
      <c r="J398" s="16">
        <f t="shared" si="26"/>
        <v>45.310244928992589</v>
      </c>
    </row>
    <row r="399" spans="1:10" ht="15" hidden="1" customHeight="1" x14ac:dyDescent="0.3">
      <c r="A399" s="5" t="s">
        <v>3</v>
      </c>
      <c r="B399" s="5" t="s">
        <v>27</v>
      </c>
      <c r="C399" s="5" t="s">
        <v>57</v>
      </c>
      <c r="D399" s="5">
        <v>4</v>
      </c>
      <c r="E399" s="6">
        <v>30</v>
      </c>
      <c r="F399" s="6">
        <f t="shared" si="27"/>
        <v>120</v>
      </c>
      <c r="G399" s="5"/>
      <c r="H399" s="34">
        <v>1007</v>
      </c>
      <c r="I399" s="5" t="s">
        <v>93</v>
      </c>
      <c r="J399" s="16">
        <f t="shared" si="26"/>
        <v>45.310244928992589</v>
      </c>
    </row>
    <row r="400" spans="1:10" ht="15" hidden="1" customHeight="1" x14ac:dyDescent="0.3">
      <c r="A400" s="5" t="s">
        <v>3</v>
      </c>
      <c r="B400" s="5" t="s">
        <v>27</v>
      </c>
      <c r="C400" s="5" t="s">
        <v>58</v>
      </c>
      <c r="D400" s="5">
        <v>8</v>
      </c>
      <c r="E400" s="6">
        <v>10.15</v>
      </c>
      <c r="F400" s="6">
        <f t="shared" si="27"/>
        <v>81.2</v>
      </c>
      <c r="G400" s="5"/>
      <c r="H400" s="34">
        <v>1007</v>
      </c>
      <c r="I400" s="5" t="s">
        <v>93</v>
      </c>
      <c r="J400" s="16">
        <f t="shared" si="26"/>
        <v>45.310244928992589</v>
      </c>
    </row>
    <row r="401" spans="1:10" ht="15" hidden="1" customHeight="1" x14ac:dyDescent="0.3">
      <c r="A401" s="5" t="s">
        <v>3</v>
      </c>
      <c r="B401" s="5" t="s">
        <v>27</v>
      </c>
      <c r="C401" s="5" t="s">
        <v>59</v>
      </c>
      <c r="D401" s="5">
        <v>8</v>
      </c>
      <c r="E401" s="6">
        <v>2.92</v>
      </c>
      <c r="F401" s="6">
        <f t="shared" si="27"/>
        <v>23.36</v>
      </c>
      <c r="G401" s="5"/>
      <c r="H401" s="34">
        <v>1007</v>
      </c>
      <c r="I401" s="5" t="s">
        <v>93</v>
      </c>
      <c r="J401" s="16">
        <f t="shared" si="26"/>
        <v>45.310244928992589</v>
      </c>
    </row>
    <row r="402" spans="1:10" ht="15" hidden="1" customHeight="1" x14ac:dyDescent="0.3">
      <c r="A402" s="5" t="s">
        <v>3</v>
      </c>
      <c r="B402" s="5" t="s">
        <v>27</v>
      </c>
      <c r="C402" s="5" t="s">
        <v>62</v>
      </c>
      <c r="D402" s="5">
        <v>0</v>
      </c>
      <c r="E402" s="6">
        <v>0</v>
      </c>
      <c r="F402" s="6">
        <f t="shared" si="27"/>
        <v>0</v>
      </c>
      <c r="G402" s="5"/>
      <c r="H402" s="34">
        <v>1007</v>
      </c>
      <c r="I402" s="5" t="s">
        <v>93</v>
      </c>
      <c r="J402" s="16">
        <f t="shared" si="26"/>
        <v>45.310244928992589</v>
      </c>
    </row>
    <row r="403" spans="1:10" ht="15" hidden="1" customHeight="1" x14ac:dyDescent="0.3">
      <c r="A403" s="5" t="s">
        <v>3</v>
      </c>
      <c r="B403" s="5" t="s">
        <v>27</v>
      </c>
      <c r="C403" s="5" t="s">
        <v>74</v>
      </c>
      <c r="D403" s="5">
        <v>2</v>
      </c>
      <c r="E403" s="6">
        <v>68</v>
      </c>
      <c r="F403" s="6">
        <f t="shared" si="27"/>
        <v>136</v>
      </c>
      <c r="G403" s="5"/>
      <c r="H403" s="34">
        <v>1007</v>
      </c>
      <c r="I403" s="5" t="s">
        <v>93</v>
      </c>
      <c r="J403" s="16">
        <f t="shared" si="26"/>
        <v>45.310244928992589</v>
      </c>
    </row>
    <row r="404" spans="1:10" ht="15" hidden="1" customHeight="1" x14ac:dyDescent="0.3">
      <c r="A404" s="5" t="s">
        <v>3</v>
      </c>
      <c r="B404" s="5" t="s">
        <v>27</v>
      </c>
      <c r="C404" s="5" t="s">
        <v>162</v>
      </c>
      <c r="D404" s="5">
        <v>0</v>
      </c>
      <c r="E404" s="6">
        <v>0</v>
      </c>
      <c r="F404" s="6">
        <f t="shared" si="27"/>
        <v>0</v>
      </c>
      <c r="G404" s="5"/>
      <c r="H404" s="34">
        <v>1007</v>
      </c>
      <c r="I404" s="5" t="s">
        <v>93</v>
      </c>
      <c r="J404" s="16">
        <f t="shared" si="26"/>
        <v>45.310244928992589</v>
      </c>
    </row>
    <row r="405" spans="1:10" ht="15" hidden="1" customHeight="1" x14ac:dyDescent="0.3">
      <c r="A405" s="5" t="s">
        <v>3</v>
      </c>
      <c r="B405" s="5" t="s">
        <v>27</v>
      </c>
      <c r="C405" s="5" t="s">
        <v>72</v>
      </c>
      <c r="D405" s="5">
        <v>1</v>
      </c>
      <c r="E405" s="6">
        <v>76.790000000000006</v>
      </c>
      <c r="F405" s="6">
        <f t="shared" si="27"/>
        <v>76.790000000000006</v>
      </c>
      <c r="G405" s="5"/>
      <c r="H405" s="34">
        <v>1007</v>
      </c>
      <c r="I405" s="5" t="s">
        <v>93</v>
      </c>
      <c r="J405" s="16">
        <f t="shared" si="26"/>
        <v>45.310244928992589</v>
      </c>
    </row>
    <row r="406" spans="1:10" ht="15" hidden="1" customHeight="1" x14ac:dyDescent="0.3">
      <c r="A406" s="5" t="s">
        <v>3</v>
      </c>
      <c r="B406" s="5" t="s">
        <v>27</v>
      </c>
      <c r="C406" s="5" t="s">
        <v>70</v>
      </c>
      <c r="D406" s="5">
        <v>0</v>
      </c>
      <c r="E406" s="6">
        <v>0</v>
      </c>
      <c r="F406" s="6">
        <f t="shared" si="27"/>
        <v>0</v>
      </c>
      <c r="G406" s="5"/>
      <c r="H406" s="34">
        <v>1007</v>
      </c>
      <c r="I406" s="5" t="s">
        <v>93</v>
      </c>
      <c r="J406" s="16">
        <f t="shared" si="26"/>
        <v>45.310244928992589</v>
      </c>
    </row>
    <row r="407" spans="1:10" ht="15" hidden="1" customHeight="1" x14ac:dyDescent="0.3">
      <c r="A407" s="5" t="s">
        <v>3</v>
      </c>
      <c r="B407" s="5" t="s">
        <v>27</v>
      </c>
      <c r="C407" s="5" t="s">
        <v>64</v>
      </c>
      <c r="D407" s="5">
        <v>0</v>
      </c>
      <c r="E407" s="6">
        <v>0</v>
      </c>
      <c r="F407" s="6">
        <f t="shared" si="27"/>
        <v>0</v>
      </c>
      <c r="G407" s="5"/>
      <c r="H407" s="34">
        <v>1007</v>
      </c>
      <c r="I407" s="5" t="s">
        <v>93</v>
      </c>
      <c r="J407" s="16">
        <f t="shared" si="26"/>
        <v>45.310244928992589</v>
      </c>
    </row>
    <row r="408" spans="1:10" ht="15" hidden="1" customHeight="1" x14ac:dyDescent="0.3">
      <c r="A408" s="5" t="s">
        <v>3</v>
      </c>
      <c r="B408" s="5" t="s">
        <v>27</v>
      </c>
      <c r="C408" s="5" t="s">
        <v>66</v>
      </c>
      <c r="D408" s="5">
        <v>1</v>
      </c>
      <c r="E408" s="6">
        <v>33.6</v>
      </c>
      <c r="F408" s="6">
        <f t="shared" si="27"/>
        <v>33.6</v>
      </c>
      <c r="G408" s="5"/>
      <c r="H408" s="34">
        <v>1007</v>
      </c>
      <c r="I408" s="5" t="s">
        <v>93</v>
      </c>
      <c r="J408" s="16">
        <f t="shared" si="26"/>
        <v>45.310244928992589</v>
      </c>
    </row>
    <row r="409" spans="1:10" ht="15" hidden="1" customHeight="1" x14ac:dyDescent="0.3">
      <c r="A409" s="5" t="s">
        <v>3</v>
      </c>
      <c r="B409" s="5" t="s">
        <v>27</v>
      </c>
      <c r="C409" s="5" t="s">
        <v>133</v>
      </c>
      <c r="D409" s="5">
        <v>0</v>
      </c>
      <c r="E409" s="6">
        <v>0</v>
      </c>
      <c r="F409" s="6">
        <f t="shared" si="27"/>
        <v>0</v>
      </c>
      <c r="G409" s="5"/>
      <c r="H409" s="34">
        <v>1007</v>
      </c>
      <c r="I409" s="5" t="s">
        <v>93</v>
      </c>
      <c r="J409" s="16">
        <f t="shared" si="26"/>
        <v>45.310244928992589</v>
      </c>
    </row>
    <row r="410" spans="1:10" ht="15" hidden="1" customHeight="1" x14ac:dyDescent="0.3">
      <c r="A410" s="5" t="s">
        <v>3</v>
      </c>
      <c r="B410" s="5" t="s">
        <v>27</v>
      </c>
      <c r="C410" s="5" t="s">
        <v>67</v>
      </c>
      <c r="D410" s="5">
        <v>0</v>
      </c>
      <c r="E410" s="6">
        <v>0</v>
      </c>
      <c r="F410" s="6">
        <f t="shared" si="27"/>
        <v>0</v>
      </c>
      <c r="G410" s="5"/>
      <c r="H410" s="34">
        <v>1007</v>
      </c>
      <c r="I410" s="5" t="s">
        <v>93</v>
      </c>
      <c r="J410" s="16">
        <f t="shared" si="26"/>
        <v>45.310244928992589</v>
      </c>
    </row>
    <row r="411" spans="1:10" ht="15" hidden="1" customHeight="1" x14ac:dyDescent="0.3">
      <c r="A411" s="5" t="s">
        <v>3</v>
      </c>
      <c r="B411" s="5" t="s">
        <v>27</v>
      </c>
      <c r="C411" s="5" t="s">
        <v>84</v>
      </c>
      <c r="D411" s="5">
        <v>1</v>
      </c>
      <c r="E411" s="6">
        <v>429.15</v>
      </c>
      <c r="F411" s="6">
        <f t="shared" si="27"/>
        <v>429.15</v>
      </c>
      <c r="G411" s="5"/>
      <c r="H411" s="34">
        <v>1007</v>
      </c>
      <c r="I411" s="5" t="s">
        <v>93</v>
      </c>
      <c r="J411" s="16">
        <f t="shared" si="26"/>
        <v>45.310244928992589</v>
      </c>
    </row>
    <row r="412" spans="1:10" ht="15" hidden="1" customHeight="1" x14ac:dyDescent="0.3">
      <c r="A412" s="5" t="s">
        <v>3</v>
      </c>
      <c r="B412" s="5" t="s">
        <v>27</v>
      </c>
      <c r="C412" s="5" t="s">
        <v>114</v>
      </c>
      <c r="D412" s="5">
        <v>0</v>
      </c>
      <c r="E412" s="6">
        <v>0</v>
      </c>
      <c r="F412" s="6">
        <f t="shared" si="27"/>
        <v>0</v>
      </c>
      <c r="G412" s="5"/>
      <c r="H412" s="34">
        <v>1007</v>
      </c>
      <c r="I412" s="5" t="s">
        <v>93</v>
      </c>
      <c r="J412" s="16">
        <f t="shared" si="26"/>
        <v>45.310244928992589</v>
      </c>
    </row>
    <row r="413" spans="1:10" ht="15" hidden="1" customHeight="1" x14ac:dyDescent="0.3">
      <c r="A413" s="5" t="s">
        <v>3</v>
      </c>
      <c r="B413" s="5" t="s">
        <v>27</v>
      </c>
      <c r="C413" s="5" t="s">
        <v>121</v>
      </c>
      <c r="D413" s="5">
        <v>1</v>
      </c>
      <c r="E413" s="6">
        <v>2558.29</v>
      </c>
      <c r="F413" s="6">
        <f t="shared" si="27"/>
        <v>2558.29</v>
      </c>
      <c r="G413" s="5"/>
      <c r="H413" s="34">
        <v>1007</v>
      </c>
      <c r="I413" s="5" t="s">
        <v>93</v>
      </c>
      <c r="J413" s="16">
        <f t="shared" si="26"/>
        <v>45.310244928992589</v>
      </c>
    </row>
    <row r="414" spans="1:10" ht="15" hidden="1" customHeight="1" x14ac:dyDescent="0.3">
      <c r="A414" s="5" t="s">
        <v>3</v>
      </c>
      <c r="B414" s="5" t="s">
        <v>27</v>
      </c>
      <c r="C414" s="5" t="s">
        <v>106</v>
      </c>
      <c r="D414" s="5">
        <v>0</v>
      </c>
      <c r="E414" s="6">
        <v>0</v>
      </c>
      <c r="F414" s="6">
        <f t="shared" si="27"/>
        <v>0</v>
      </c>
      <c r="G414" s="5"/>
      <c r="H414" s="34">
        <v>1007</v>
      </c>
      <c r="I414" s="5" t="s">
        <v>93</v>
      </c>
      <c r="J414" s="16">
        <f t="shared" si="26"/>
        <v>45.310244928992589</v>
      </c>
    </row>
    <row r="415" spans="1:10" ht="15" hidden="1" customHeight="1" x14ac:dyDescent="0.3">
      <c r="A415" s="5" t="s">
        <v>3</v>
      </c>
      <c r="B415" s="5" t="s">
        <v>27</v>
      </c>
      <c r="C415" s="5" t="s">
        <v>86</v>
      </c>
      <c r="D415" s="5">
        <v>0</v>
      </c>
      <c r="E415" s="6">
        <v>0</v>
      </c>
      <c r="F415" s="6">
        <f t="shared" si="27"/>
        <v>0</v>
      </c>
      <c r="G415" s="5"/>
      <c r="H415" s="34">
        <v>1007</v>
      </c>
      <c r="I415" s="5" t="s">
        <v>93</v>
      </c>
      <c r="J415" s="16">
        <f t="shared" si="26"/>
        <v>45.310244928992589</v>
      </c>
    </row>
    <row r="416" spans="1:10" ht="15" hidden="1" customHeight="1" x14ac:dyDescent="0.3">
      <c r="A416" s="5" t="s">
        <v>3</v>
      </c>
      <c r="B416" s="5" t="s">
        <v>27</v>
      </c>
      <c r="C416" s="5" t="s">
        <v>163</v>
      </c>
      <c r="D416" s="5">
        <v>1</v>
      </c>
      <c r="E416" s="6">
        <v>10931.5</v>
      </c>
      <c r="F416" s="6">
        <f t="shared" si="27"/>
        <v>10931.5</v>
      </c>
      <c r="G416" s="5"/>
      <c r="H416" s="34">
        <v>1007</v>
      </c>
      <c r="I416" s="5" t="s">
        <v>93</v>
      </c>
      <c r="J416" s="16">
        <f t="shared" si="26"/>
        <v>45.310244928992589</v>
      </c>
    </row>
    <row r="417" spans="1:10" ht="15" hidden="1" customHeight="1" x14ac:dyDescent="0.3">
      <c r="A417" s="5" t="s">
        <v>3</v>
      </c>
      <c r="B417" s="5" t="s">
        <v>28</v>
      </c>
      <c r="C417" s="5" t="s">
        <v>53</v>
      </c>
      <c r="D417" s="5">
        <v>6</v>
      </c>
      <c r="E417" s="6">
        <v>25227.29</v>
      </c>
      <c r="F417" s="6">
        <f>E417</f>
        <v>25227.29</v>
      </c>
      <c r="G417" s="5"/>
      <c r="H417" s="34">
        <v>176152</v>
      </c>
      <c r="I417" s="5" t="s">
        <v>82</v>
      </c>
      <c r="J417" s="16">
        <f t="shared" si="26"/>
        <v>0.38918050293039869</v>
      </c>
    </row>
    <row r="418" spans="1:10" ht="15" hidden="1" customHeight="1" x14ac:dyDescent="0.3">
      <c r="A418" s="5" t="s">
        <v>3</v>
      </c>
      <c r="B418" s="5" t="s">
        <v>28</v>
      </c>
      <c r="C418" s="5" t="s">
        <v>55</v>
      </c>
      <c r="D418" s="5">
        <v>6</v>
      </c>
      <c r="E418" s="6">
        <v>45.310244928992589</v>
      </c>
      <c r="F418" s="6">
        <f t="shared" ref="F418:F438" si="28">D418*E418</f>
        <v>271.86146957395556</v>
      </c>
      <c r="G418" s="5"/>
      <c r="H418" s="34">
        <v>176152</v>
      </c>
      <c r="I418" s="5" t="s">
        <v>82</v>
      </c>
      <c r="J418" s="16">
        <f t="shared" si="26"/>
        <v>0.38918050293039869</v>
      </c>
    </row>
    <row r="419" spans="1:10" ht="15" hidden="1" customHeight="1" x14ac:dyDescent="0.3">
      <c r="A419" s="5" t="s">
        <v>3</v>
      </c>
      <c r="B419" s="5" t="s">
        <v>28</v>
      </c>
      <c r="C419" s="5" t="s">
        <v>26</v>
      </c>
      <c r="D419" s="5">
        <v>6</v>
      </c>
      <c r="E419" s="6">
        <v>24.798867924528299</v>
      </c>
      <c r="F419" s="6">
        <f t="shared" si="28"/>
        <v>148.7932075471698</v>
      </c>
      <c r="G419" s="5"/>
      <c r="H419" s="34">
        <v>176152</v>
      </c>
      <c r="I419" s="5" t="s">
        <v>82</v>
      </c>
      <c r="J419" s="16">
        <f t="shared" si="26"/>
        <v>0.38918050293039869</v>
      </c>
    </row>
    <row r="420" spans="1:10" ht="15" hidden="1" customHeight="1" x14ac:dyDescent="0.3">
      <c r="A420" s="5" t="s">
        <v>3</v>
      </c>
      <c r="B420" s="5" t="s">
        <v>28</v>
      </c>
      <c r="C420" s="5" t="s">
        <v>14</v>
      </c>
      <c r="D420" s="5">
        <v>6</v>
      </c>
      <c r="E420" s="6">
        <v>40.668212512413113</v>
      </c>
      <c r="F420" s="6">
        <f t="shared" si="28"/>
        <v>244.00927507447869</v>
      </c>
      <c r="G420" s="5"/>
      <c r="H420" s="34">
        <v>176152</v>
      </c>
      <c r="I420" s="5" t="s">
        <v>82</v>
      </c>
      <c r="J420" s="16">
        <f t="shared" si="26"/>
        <v>0.38918050293039869</v>
      </c>
    </row>
    <row r="421" spans="1:10" ht="15" hidden="1" customHeight="1" x14ac:dyDescent="0.3">
      <c r="A421" s="5" t="s">
        <v>3</v>
      </c>
      <c r="B421" s="5" t="s">
        <v>28</v>
      </c>
      <c r="C421" s="5" t="s">
        <v>56</v>
      </c>
      <c r="D421" s="5">
        <v>7</v>
      </c>
      <c r="E421" s="6">
        <v>50</v>
      </c>
      <c r="F421" s="6">
        <f t="shared" si="28"/>
        <v>350</v>
      </c>
      <c r="G421" s="5"/>
      <c r="H421" s="34">
        <v>176152</v>
      </c>
      <c r="I421" s="5" t="s">
        <v>82</v>
      </c>
      <c r="J421" s="16">
        <f t="shared" si="26"/>
        <v>0.38918050293039869</v>
      </c>
    </row>
    <row r="422" spans="1:10" ht="15" hidden="1" customHeight="1" x14ac:dyDescent="0.3">
      <c r="A422" s="5" t="s">
        <v>3</v>
      </c>
      <c r="B422" s="5" t="s">
        <v>28</v>
      </c>
      <c r="C422" s="5" t="s">
        <v>70</v>
      </c>
      <c r="D422" s="5">
        <v>0</v>
      </c>
      <c r="E422" s="6">
        <v>0</v>
      </c>
      <c r="F422" s="6">
        <f t="shared" si="28"/>
        <v>0</v>
      </c>
      <c r="G422" s="5"/>
      <c r="H422" s="34">
        <v>176152</v>
      </c>
      <c r="I422" s="5" t="s">
        <v>82</v>
      </c>
      <c r="J422" s="16">
        <f t="shared" si="26"/>
        <v>0.38918050293039869</v>
      </c>
    </row>
    <row r="423" spans="1:10" ht="15" hidden="1" customHeight="1" x14ac:dyDescent="0.3">
      <c r="A423" s="5" t="s">
        <v>3</v>
      </c>
      <c r="B423" s="5" t="s">
        <v>28</v>
      </c>
      <c r="C423" s="5" t="s">
        <v>76</v>
      </c>
      <c r="D423" s="5">
        <v>7</v>
      </c>
      <c r="E423" s="6">
        <v>33.72</v>
      </c>
      <c r="F423" s="6">
        <f t="shared" si="28"/>
        <v>236.04</v>
      </c>
      <c r="G423" s="5"/>
      <c r="H423" s="34">
        <v>176152</v>
      </c>
      <c r="I423" s="5" t="s">
        <v>82</v>
      </c>
      <c r="J423" s="16">
        <f t="shared" si="26"/>
        <v>0.38918050293039869</v>
      </c>
    </row>
    <row r="424" spans="1:10" ht="15" hidden="1" customHeight="1" x14ac:dyDescent="0.3">
      <c r="A424" s="5" t="s">
        <v>3</v>
      </c>
      <c r="B424" s="5" t="s">
        <v>28</v>
      </c>
      <c r="C424" s="5" t="s">
        <v>71</v>
      </c>
      <c r="D424" s="5">
        <v>1</v>
      </c>
      <c r="E424" s="6">
        <v>40.520000000000003</v>
      </c>
      <c r="F424" s="6">
        <f t="shared" si="28"/>
        <v>40.520000000000003</v>
      </c>
      <c r="G424" s="5"/>
      <c r="H424" s="34">
        <v>176152</v>
      </c>
      <c r="I424" s="5" t="s">
        <v>82</v>
      </c>
      <c r="J424" s="16">
        <f t="shared" si="26"/>
        <v>0.38918050293039869</v>
      </c>
    </row>
    <row r="425" spans="1:10" ht="15" hidden="1" customHeight="1" x14ac:dyDescent="0.3">
      <c r="A425" s="5" t="s">
        <v>3</v>
      </c>
      <c r="B425" s="5" t="s">
        <v>28</v>
      </c>
      <c r="C425" s="5" t="s">
        <v>72</v>
      </c>
      <c r="D425" s="5">
        <v>1</v>
      </c>
      <c r="E425" s="6">
        <v>153.58000000000001</v>
      </c>
      <c r="F425" s="6">
        <f t="shared" si="28"/>
        <v>153.58000000000001</v>
      </c>
      <c r="G425" s="5"/>
      <c r="H425" s="34">
        <v>176152</v>
      </c>
      <c r="I425" s="5" t="s">
        <v>82</v>
      </c>
      <c r="J425" s="16">
        <f t="shared" si="26"/>
        <v>0.38918050293039869</v>
      </c>
    </row>
    <row r="426" spans="1:10" ht="15" hidden="1" customHeight="1" x14ac:dyDescent="0.3">
      <c r="A426" s="5" t="s">
        <v>3</v>
      </c>
      <c r="B426" s="5" t="s">
        <v>28</v>
      </c>
      <c r="C426" s="5" t="s">
        <v>58</v>
      </c>
      <c r="D426" s="5">
        <v>7</v>
      </c>
      <c r="E426" s="6">
        <v>10.15</v>
      </c>
      <c r="F426" s="6">
        <f t="shared" si="28"/>
        <v>71.05</v>
      </c>
      <c r="G426" s="5"/>
      <c r="H426" s="34">
        <v>176152</v>
      </c>
      <c r="I426" s="5" t="s">
        <v>82</v>
      </c>
      <c r="J426" s="16">
        <f t="shared" si="26"/>
        <v>0.38918050293039869</v>
      </c>
    </row>
    <row r="427" spans="1:10" ht="15" hidden="1" customHeight="1" x14ac:dyDescent="0.3">
      <c r="A427" s="5" t="s">
        <v>3</v>
      </c>
      <c r="B427" s="5" t="s">
        <v>28</v>
      </c>
      <c r="C427" s="5" t="s">
        <v>59</v>
      </c>
      <c r="D427" s="5">
        <v>7</v>
      </c>
      <c r="E427" s="6">
        <v>2.92</v>
      </c>
      <c r="F427" s="6">
        <f t="shared" si="28"/>
        <v>20.439999999999998</v>
      </c>
      <c r="G427" s="5"/>
      <c r="H427" s="34">
        <v>176152</v>
      </c>
      <c r="I427" s="5" t="s">
        <v>82</v>
      </c>
      <c r="J427" s="16">
        <f t="shared" si="26"/>
        <v>0.38918050293039869</v>
      </c>
    </row>
    <row r="428" spans="1:10" ht="15" hidden="1" customHeight="1" x14ac:dyDescent="0.3">
      <c r="A428" s="5" t="s">
        <v>3</v>
      </c>
      <c r="B428" s="5" t="s">
        <v>28</v>
      </c>
      <c r="C428" s="5" t="s">
        <v>164</v>
      </c>
      <c r="D428" s="5">
        <v>1</v>
      </c>
      <c r="E428" s="6">
        <v>1949.81</v>
      </c>
      <c r="F428" s="6">
        <f t="shared" si="28"/>
        <v>1949.81</v>
      </c>
      <c r="G428" s="5"/>
      <c r="H428" s="34">
        <v>176152</v>
      </c>
      <c r="I428" s="5" t="s">
        <v>82</v>
      </c>
      <c r="J428" s="16">
        <f t="shared" si="26"/>
        <v>0.38918050293039869</v>
      </c>
    </row>
    <row r="429" spans="1:10" ht="15" hidden="1" customHeight="1" x14ac:dyDescent="0.3">
      <c r="A429" s="5" t="s">
        <v>3</v>
      </c>
      <c r="B429" s="5" t="s">
        <v>28</v>
      </c>
      <c r="C429" s="5" t="s">
        <v>165</v>
      </c>
      <c r="D429" s="5">
        <v>1</v>
      </c>
      <c r="E429" s="6">
        <v>10310.17</v>
      </c>
      <c r="F429" s="6">
        <f t="shared" si="28"/>
        <v>10310.17</v>
      </c>
      <c r="G429" s="5"/>
      <c r="H429" s="34">
        <v>176152</v>
      </c>
      <c r="I429" s="5" t="s">
        <v>82</v>
      </c>
      <c r="J429" s="16">
        <f t="shared" si="26"/>
        <v>0.38918050293039869</v>
      </c>
    </row>
    <row r="430" spans="1:10" ht="15" hidden="1" customHeight="1" x14ac:dyDescent="0.3">
      <c r="A430" s="5" t="s">
        <v>3</v>
      </c>
      <c r="B430" s="5" t="s">
        <v>28</v>
      </c>
      <c r="C430" s="5" t="s">
        <v>166</v>
      </c>
      <c r="D430" s="5">
        <v>1</v>
      </c>
      <c r="E430" s="6">
        <v>5394.7</v>
      </c>
      <c r="F430" s="6">
        <f t="shared" si="28"/>
        <v>5394.7</v>
      </c>
      <c r="G430" s="5"/>
      <c r="H430" s="34">
        <v>176152</v>
      </c>
      <c r="I430" s="5" t="s">
        <v>82</v>
      </c>
      <c r="J430" s="16">
        <f t="shared" si="26"/>
        <v>0.38918050293039869</v>
      </c>
    </row>
    <row r="431" spans="1:10" ht="15" hidden="1" customHeight="1" x14ac:dyDescent="0.3">
      <c r="A431" s="5" t="s">
        <v>3</v>
      </c>
      <c r="B431" s="5" t="s">
        <v>28</v>
      </c>
      <c r="C431" s="5" t="s">
        <v>167</v>
      </c>
      <c r="D431" s="5">
        <v>1</v>
      </c>
      <c r="E431" s="6">
        <v>21414</v>
      </c>
      <c r="F431" s="6">
        <f t="shared" si="28"/>
        <v>21414</v>
      </c>
      <c r="G431" s="5"/>
      <c r="H431" s="34">
        <v>176152</v>
      </c>
      <c r="I431" s="5" t="s">
        <v>82</v>
      </c>
      <c r="J431" s="16">
        <f t="shared" si="26"/>
        <v>0.38918050293039869</v>
      </c>
    </row>
    <row r="432" spans="1:10" ht="15" hidden="1" customHeight="1" x14ac:dyDescent="0.3">
      <c r="A432" s="5" t="s">
        <v>3</v>
      </c>
      <c r="B432" s="5" t="s">
        <v>28</v>
      </c>
      <c r="C432" s="5" t="s">
        <v>74</v>
      </c>
      <c r="D432" s="5">
        <v>0</v>
      </c>
      <c r="E432" s="6">
        <v>0</v>
      </c>
      <c r="F432" s="6">
        <f t="shared" si="28"/>
        <v>0</v>
      </c>
      <c r="G432" s="5"/>
      <c r="H432" s="34">
        <v>176152</v>
      </c>
      <c r="I432" s="5" t="s">
        <v>82</v>
      </c>
      <c r="J432" s="16">
        <f t="shared" si="26"/>
        <v>0.38918050293039869</v>
      </c>
    </row>
    <row r="433" spans="1:10" ht="15" hidden="1" customHeight="1" x14ac:dyDescent="0.3">
      <c r="A433" s="5" t="s">
        <v>3</v>
      </c>
      <c r="B433" s="5" t="s">
        <v>28</v>
      </c>
      <c r="C433" s="5" t="s">
        <v>62</v>
      </c>
      <c r="D433" s="5">
        <v>0</v>
      </c>
      <c r="E433" s="6">
        <v>0</v>
      </c>
      <c r="F433" s="6">
        <f t="shared" si="28"/>
        <v>0</v>
      </c>
      <c r="G433" s="5"/>
      <c r="H433" s="34">
        <v>176152</v>
      </c>
      <c r="I433" s="5" t="s">
        <v>82</v>
      </c>
      <c r="J433" s="16">
        <f t="shared" si="26"/>
        <v>0.38918050293039869</v>
      </c>
    </row>
    <row r="434" spans="1:10" ht="15" hidden="1" customHeight="1" x14ac:dyDescent="0.3">
      <c r="A434" s="5" t="s">
        <v>3</v>
      </c>
      <c r="B434" s="5" t="s">
        <v>28</v>
      </c>
      <c r="C434" s="5" t="s">
        <v>60</v>
      </c>
      <c r="D434" s="5">
        <v>0</v>
      </c>
      <c r="E434" s="6">
        <v>0</v>
      </c>
      <c r="F434" s="6">
        <f t="shared" si="28"/>
        <v>0</v>
      </c>
      <c r="G434" s="5"/>
      <c r="H434" s="34">
        <v>176152</v>
      </c>
      <c r="I434" s="5" t="s">
        <v>82</v>
      </c>
      <c r="J434" s="16">
        <f t="shared" si="26"/>
        <v>0.38918050293039869</v>
      </c>
    </row>
    <row r="435" spans="1:10" ht="15" hidden="1" customHeight="1" x14ac:dyDescent="0.3">
      <c r="A435" s="5" t="s">
        <v>3</v>
      </c>
      <c r="B435" s="5" t="s">
        <v>28</v>
      </c>
      <c r="C435" s="5" t="s">
        <v>89</v>
      </c>
      <c r="D435" s="5">
        <v>0</v>
      </c>
      <c r="E435" s="6">
        <v>0</v>
      </c>
      <c r="F435" s="6">
        <f t="shared" si="28"/>
        <v>0</v>
      </c>
      <c r="G435" s="5"/>
      <c r="H435" s="34">
        <v>176152</v>
      </c>
      <c r="I435" s="5" t="s">
        <v>82</v>
      </c>
      <c r="J435" s="16">
        <f t="shared" si="26"/>
        <v>0.38918050293039869</v>
      </c>
    </row>
    <row r="436" spans="1:10" ht="15" hidden="1" customHeight="1" x14ac:dyDescent="0.3">
      <c r="A436" s="5" t="s">
        <v>3</v>
      </c>
      <c r="B436" s="5" t="s">
        <v>28</v>
      </c>
      <c r="C436" s="5" t="s">
        <v>168</v>
      </c>
      <c r="D436" s="5">
        <v>1</v>
      </c>
      <c r="E436" s="6">
        <v>2626.4</v>
      </c>
      <c r="F436" s="6">
        <f t="shared" si="28"/>
        <v>2626.4</v>
      </c>
      <c r="G436" s="5"/>
      <c r="H436" s="34">
        <v>176152</v>
      </c>
      <c r="I436" s="5" t="s">
        <v>82</v>
      </c>
      <c r="J436" s="16">
        <f t="shared" si="26"/>
        <v>0.38918050293039869</v>
      </c>
    </row>
    <row r="437" spans="1:10" ht="15" hidden="1" customHeight="1" x14ac:dyDescent="0.3">
      <c r="A437" s="5" t="s">
        <v>3</v>
      </c>
      <c r="B437" s="5" t="s">
        <v>28</v>
      </c>
      <c r="C437" s="5" t="s">
        <v>75</v>
      </c>
      <c r="D437" s="5">
        <v>1</v>
      </c>
      <c r="E437" s="6">
        <v>33</v>
      </c>
      <c r="F437" s="6">
        <f t="shared" si="28"/>
        <v>33</v>
      </c>
      <c r="G437" s="5"/>
      <c r="H437" s="34">
        <v>176152</v>
      </c>
      <c r="I437" s="5" t="s">
        <v>82</v>
      </c>
      <c r="J437" s="16">
        <f t="shared" si="26"/>
        <v>0.38918050293039869</v>
      </c>
    </row>
    <row r="438" spans="1:10" ht="15" hidden="1" customHeight="1" x14ac:dyDescent="0.3">
      <c r="A438" s="5" t="s">
        <v>3</v>
      </c>
      <c r="B438" s="5" t="s">
        <v>28</v>
      </c>
      <c r="C438" s="5" t="s">
        <v>64</v>
      </c>
      <c r="D438" s="5">
        <v>1</v>
      </c>
      <c r="E438" s="6">
        <v>63.26</v>
      </c>
      <c r="F438" s="6">
        <f t="shared" si="28"/>
        <v>63.26</v>
      </c>
      <c r="G438" s="5"/>
      <c r="H438" s="34">
        <v>176152</v>
      </c>
      <c r="I438" s="5" t="s">
        <v>82</v>
      </c>
      <c r="J438" s="16">
        <f t="shared" si="26"/>
        <v>0.38918050293039869</v>
      </c>
    </row>
    <row r="439" spans="1:10" ht="15" hidden="1" customHeight="1" x14ac:dyDescent="0.3">
      <c r="A439" s="5" t="s">
        <v>5</v>
      </c>
      <c r="B439" s="5" t="s">
        <v>7</v>
      </c>
      <c r="C439" s="5" t="s">
        <v>53</v>
      </c>
      <c r="D439" s="133">
        <v>17</v>
      </c>
      <c r="E439" s="6">
        <v>67812.22</v>
      </c>
      <c r="F439" s="6">
        <f>E439</f>
        <v>67812.22</v>
      </c>
      <c r="G439" s="5" t="s">
        <v>169</v>
      </c>
      <c r="H439" s="38">
        <v>191327</v>
      </c>
      <c r="I439" s="5" t="s">
        <v>54</v>
      </c>
      <c r="J439" s="16">
        <f t="shared" si="26"/>
        <v>0.37477221689561963</v>
      </c>
    </row>
    <row r="440" spans="1:10" ht="15" hidden="1" customHeight="1" x14ac:dyDescent="0.3">
      <c r="A440" s="5" t="s">
        <v>5</v>
      </c>
      <c r="B440" s="5" t="s">
        <v>7</v>
      </c>
      <c r="C440" s="5" t="s">
        <v>55</v>
      </c>
      <c r="D440" s="133">
        <v>17</v>
      </c>
      <c r="E440" s="59">
        <v>64.569224000000006</v>
      </c>
      <c r="F440" s="6">
        <f t="shared" ref="F440:F453" si="29">D440*E440</f>
        <v>1097.6768080000002</v>
      </c>
      <c r="G440" s="5"/>
      <c r="H440" s="38">
        <v>191327</v>
      </c>
      <c r="I440" s="5" t="s">
        <v>54</v>
      </c>
      <c r="J440" s="16">
        <f t="shared" si="26"/>
        <v>0.37477221689561963</v>
      </c>
    </row>
    <row r="441" spans="1:10" ht="15" hidden="1" customHeight="1" x14ac:dyDescent="0.3">
      <c r="A441" s="5" t="s">
        <v>5</v>
      </c>
      <c r="B441" s="5" t="s">
        <v>7</v>
      </c>
      <c r="C441" s="5" t="s">
        <v>26</v>
      </c>
      <c r="D441" s="133">
        <v>17</v>
      </c>
      <c r="E441" s="37">
        <v>28.310635756385071</v>
      </c>
      <c r="F441" s="6">
        <f t="shared" si="29"/>
        <v>481.28080785854621</v>
      </c>
      <c r="G441" s="5"/>
      <c r="H441" s="38">
        <v>191327</v>
      </c>
      <c r="I441" s="5" t="s">
        <v>54</v>
      </c>
      <c r="J441" s="16">
        <f t="shared" si="26"/>
        <v>0.37477221689561963</v>
      </c>
    </row>
    <row r="442" spans="1:10" ht="15" hidden="1" customHeight="1" x14ac:dyDescent="0.3">
      <c r="A442" s="5" t="s">
        <v>5</v>
      </c>
      <c r="B442" s="5" t="s">
        <v>7</v>
      </c>
      <c r="C442" s="5" t="s">
        <v>14</v>
      </c>
      <c r="D442" s="133">
        <v>17</v>
      </c>
      <c r="E442" s="37">
        <v>47.792983889980349</v>
      </c>
      <c r="F442" s="6">
        <f t="shared" si="29"/>
        <v>812.48072612966598</v>
      </c>
      <c r="G442" s="5"/>
      <c r="H442" s="38">
        <v>191327</v>
      </c>
      <c r="I442" s="5" t="s">
        <v>54</v>
      </c>
      <c r="J442" s="16">
        <f t="shared" si="26"/>
        <v>0.37477221689561963</v>
      </c>
    </row>
    <row r="443" spans="1:10" ht="15" hidden="1" customHeight="1" x14ac:dyDescent="0.3">
      <c r="A443" s="5" t="s">
        <v>5</v>
      </c>
      <c r="B443" s="5" t="s">
        <v>7</v>
      </c>
      <c r="C443" s="5" t="s">
        <v>56</v>
      </c>
      <c r="D443" s="5">
        <v>10</v>
      </c>
      <c r="E443" s="6">
        <v>50</v>
      </c>
      <c r="F443" s="6">
        <f t="shared" si="29"/>
        <v>500</v>
      </c>
      <c r="G443" s="5" t="s">
        <v>170</v>
      </c>
      <c r="H443" s="38">
        <v>191327</v>
      </c>
      <c r="I443" s="5" t="s">
        <v>54</v>
      </c>
      <c r="J443" s="16">
        <f t="shared" si="26"/>
        <v>0.37477221689561963</v>
      </c>
    </row>
    <row r="444" spans="1:10" ht="15" hidden="1" customHeight="1" x14ac:dyDescent="0.3">
      <c r="A444" s="5" t="s">
        <v>5</v>
      </c>
      <c r="B444" s="5" t="s">
        <v>7</v>
      </c>
      <c r="C444" s="5" t="s">
        <v>57</v>
      </c>
      <c r="D444" s="5">
        <v>5</v>
      </c>
      <c r="E444" s="6">
        <v>30</v>
      </c>
      <c r="F444" s="6">
        <f t="shared" si="29"/>
        <v>150</v>
      </c>
      <c r="G444" s="5" t="s">
        <v>170</v>
      </c>
      <c r="H444" s="38">
        <v>191327</v>
      </c>
      <c r="I444" s="5" t="s">
        <v>54</v>
      </c>
      <c r="J444" s="16">
        <f t="shared" si="26"/>
        <v>0.37477221689561963</v>
      </c>
    </row>
    <row r="445" spans="1:10" ht="15" hidden="1" customHeight="1" x14ac:dyDescent="0.3">
      <c r="A445" s="5" t="s">
        <v>5</v>
      </c>
      <c r="B445" s="5" t="s">
        <v>7</v>
      </c>
      <c r="C445" s="5" t="s">
        <v>58</v>
      </c>
      <c r="D445" s="133">
        <v>17</v>
      </c>
      <c r="E445" s="6">
        <v>10.047000000000001</v>
      </c>
      <c r="F445" s="6">
        <f t="shared" si="29"/>
        <v>170.79900000000001</v>
      </c>
      <c r="G445" s="5" t="s">
        <v>171</v>
      </c>
      <c r="H445" s="38">
        <v>191327</v>
      </c>
      <c r="I445" s="5" t="s">
        <v>54</v>
      </c>
      <c r="J445" s="16">
        <f t="shared" si="26"/>
        <v>0.37477221689561963</v>
      </c>
    </row>
    <row r="446" spans="1:10" ht="15" hidden="1" customHeight="1" x14ac:dyDescent="0.3">
      <c r="A446" s="5" t="s">
        <v>5</v>
      </c>
      <c r="B446" s="5" t="s">
        <v>7</v>
      </c>
      <c r="C446" s="5" t="s">
        <v>59</v>
      </c>
      <c r="D446" s="133">
        <v>17</v>
      </c>
      <c r="E446" s="6">
        <v>2.0697999999999999</v>
      </c>
      <c r="F446" s="6">
        <f t="shared" si="29"/>
        <v>35.186599999999999</v>
      </c>
      <c r="G446" s="5" t="s">
        <v>171</v>
      </c>
      <c r="H446" s="38">
        <v>191327</v>
      </c>
      <c r="I446" s="5" t="s">
        <v>54</v>
      </c>
      <c r="J446" s="16">
        <f t="shared" si="26"/>
        <v>0.37477221689561963</v>
      </c>
    </row>
    <row r="447" spans="1:10" ht="15" hidden="1" customHeight="1" x14ac:dyDescent="0.3">
      <c r="A447" s="5" t="s">
        <v>5</v>
      </c>
      <c r="B447" s="5" t="s">
        <v>7</v>
      </c>
      <c r="C447" s="5" t="s">
        <v>60</v>
      </c>
      <c r="D447" s="5">
        <v>0</v>
      </c>
      <c r="E447" s="6"/>
      <c r="F447" s="6">
        <f t="shared" si="29"/>
        <v>0</v>
      </c>
      <c r="G447" s="5"/>
      <c r="H447" s="38">
        <v>191327</v>
      </c>
      <c r="I447" s="5" t="s">
        <v>54</v>
      </c>
      <c r="J447" s="16">
        <f t="shared" si="26"/>
        <v>0.37477221689561963</v>
      </c>
    </row>
    <row r="448" spans="1:10" ht="15" hidden="1" customHeight="1" x14ac:dyDescent="0.3">
      <c r="A448" s="5" t="s">
        <v>5</v>
      </c>
      <c r="B448" s="5" t="s">
        <v>7</v>
      </c>
      <c r="C448" s="5" t="s">
        <v>61</v>
      </c>
      <c r="D448" s="5">
        <v>1</v>
      </c>
      <c r="E448" s="6">
        <v>348</v>
      </c>
      <c r="F448" s="6">
        <f t="shared" si="29"/>
        <v>348</v>
      </c>
      <c r="G448" s="5" t="s">
        <v>172</v>
      </c>
      <c r="H448" s="38">
        <v>191327</v>
      </c>
      <c r="I448" s="5" t="s">
        <v>54</v>
      </c>
      <c r="J448" s="16">
        <f t="shared" si="26"/>
        <v>0.37477221689561963</v>
      </c>
    </row>
    <row r="449" spans="1:10" ht="15" hidden="1" customHeight="1" x14ac:dyDescent="0.3">
      <c r="A449" s="5" t="s">
        <v>5</v>
      </c>
      <c r="B449" s="5" t="s">
        <v>7</v>
      </c>
      <c r="C449" s="5" t="s">
        <v>62</v>
      </c>
      <c r="D449" s="5">
        <v>1</v>
      </c>
      <c r="E449" s="6">
        <v>76</v>
      </c>
      <c r="F449" s="6">
        <f t="shared" si="29"/>
        <v>76</v>
      </c>
      <c r="G449" s="5" t="s">
        <v>172</v>
      </c>
      <c r="H449" s="38">
        <v>191327</v>
      </c>
      <c r="I449" s="5" t="s">
        <v>54</v>
      </c>
      <c r="J449" s="16">
        <f t="shared" si="26"/>
        <v>0.37477221689561963</v>
      </c>
    </row>
    <row r="450" spans="1:10" ht="15" hidden="1" customHeight="1" x14ac:dyDescent="0.3">
      <c r="A450" s="5" t="s">
        <v>5</v>
      </c>
      <c r="B450" s="5" t="s">
        <v>7</v>
      </c>
      <c r="C450" s="5" t="s">
        <v>63</v>
      </c>
      <c r="D450" s="5">
        <v>1</v>
      </c>
      <c r="E450" s="6">
        <v>90</v>
      </c>
      <c r="F450" s="6">
        <f t="shared" si="29"/>
        <v>90</v>
      </c>
      <c r="G450" s="5" t="s">
        <v>173</v>
      </c>
      <c r="H450" s="38">
        <v>191327</v>
      </c>
      <c r="I450" s="5" t="s">
        <v>54</v>
      </c>
      <c r="J450" s="16">
        <f t="shared" ref="J450:J513" si="30">IFERROR(SUMIFS($F$2:$F$1749,$A$2:$A$1749,A450,$B$2:$B$1749,B450)/H450,"")</f>
        <v>0.37477221689561963</v>
      </c>
    </row>
    <row r="451" spans="1:10" ht="15" hidden="1" customHeight="1" x14ac:dyDescent="0.3">
      <c r="A451" s="5" t="s">
        <v>5</v>
      </c>
      <c r="B451" s="5" t="s">
        <v>7</v>
      </c>
      <c r="C451" s="5" t="s">
        <v>64</v>
      </c>
      <c r="D451" s="5">
        <v>1</v>
      </c>
      <c r="E451" s="6">
        <v>130.4</v>
      </c>
      <c r="F451" s="6">
        <f t="shared" si="29"/>
        <v>130.4</v>
      </c>
      <c r="G451" s="5" t="s">
        <v>65</v>
      </c>
      <c r="H451" s="38">
        <v>191327</v>
      </c>
      <c r="I451" s="5" t="s">
        <v>54</v>
      </c>
      <c r="J451" s="16">
        <f t="shared" si="30"/>
        <v>0.37477221689561963</v>
      </c>
    </row>
    <row r="452" spans="1:10" ht="15" hidden="1" customHeight="1" x14ac:dyDescent="0.3">
      <c r="A452" s="5" t="s">
        <v>5</v>
      </c>
      <c r="B452" s="5" t="s">
        <v>7</v>
      </c>
      <c r="C452" s="5" t="s">
        <v>66</v>
      </c>
      <c r="D452" s="5">
        <v>1</v>
      </c>
      <c r="E452" s="6">
        <v>0</v>
      </c>
      <c r="F452" s="6">
        <f t="shared" si="29"/>
        <v>0</v>
      </c>
      <c r="G452" s="5" t="s">
        <v>65</v>
      </c>
      <c r="H452" s="38">
        <v>191327</v>
      </c>
      <c r="I452" s="5" t="s">
        <v>54</v>
      </c>
      <c r="J452" s="16">
        <f t="shared" si="30"/>
        <v>0.37477221689561963</v>
      </c>
    </row>
    <row r="453" spans="1:10" ht="15" hidden="1" customHeight="1" x14ac:dyDescent="0.3">
      <c r="A453" s="5" t="s">
        <v>5</v>
      </c>
      <c r="B453" s="5" t="s">
        <v>7</v>
      </c>
      <c r="C453" s="5" t="s">
        <v>67</v>
      </c>
      <c r="D453" s="5">
        <v>0</v>
      </c>
      <c r="E453" s="6"/>
      <c r="F453" s="6">
        <f t="shared" si="29"/>
        <v>0</v>
      </c>
      <c r="G453" s="5"/>
      <c r="H453" s="38">
        <v>191327</v>
      </c>
      <c r="I453" s="5" t="s">
        <v>54</v>
      </c>
      <c r="J453" s="16">
        <f t="shared" si="30"/>
        <v>0.37477221689561963</v>
      </c>
    </row>
    <row r="454" spans="1:10" ht="15" hidden="1" customHeight="1" x14ac:dyDescent="0.3">
      <c r="A454" s="5" t="s">
        <v>5</v>
      </c>
      <c r="B454" s="5" t="s">
        <v>68</v>
      </c>
      <c r="C454" s="5" t="s">
        <v>53</v>
      </c>
      <c r="D454" s="133">
        <v>14</v>
      </c>
      <c r="E454" s="6">
        <v>84755.86</v>
      </c>
      <c r="F454" s="6">
        <f>E454</f>
        <v>84755.86</v>
      </c>
      <c r="G454" s="5" t="s">
        <v>174</v>
      </c>
      <c r="H454" s="38">
        <v>166915</v>
      </c>
      <c r="I454" s="5" t="s">
        <v>175</v>
      </c>
      <c r="J454" s="16">
        <f t="shared" si="30"/>
        <v>0.52547653003654016</v>
      </c>
    </row>
    <row r="455" spans="1:10" ht="15" hidden="1" customHeight="1" x14ac:dyDescent="0.3">
      <c r="A455" s="5" t="s">
        <v>5</v>
      </c>
      <c r="B455" s="5" t="s">
        <v>68</v>
      </c>
      <c r="C455" s="5" t="s">
        <v>55</v>
      </c>
      <c r="D455" s="133">
        <v>14</v>
      </c>
      <c r="E455" s="59">
        <v>64.569224000000006</v>
      </c>
      <c r="F455" s="6">
        <f t="shared" ref="F455:F469" si="31">D455*E455</f>
        <v>903.96913600000005</v>
      </c>
      <c r="G455" s="5"/>
      <c r="H455" s="38">
        <v>166915</v>
      </c>
      <c r="I455" s="5" t="s">
        <v>175</v>
      </c>
      <c r="J455" s="16">
        <f t="shared" si="30"/>
        <v>0.52547653003654016</v>
      </c>
    </row>
    <row r="456" spans="1:10" ht="15" hidden="1" customHeight="1" x14ac:dyDescent="0.3">
      <c r="A456" s="5" t="s">
        <v>5</v>
      </c>
      <c r="B456" s="5" t="s">
        <v>68</v>
      </c>
      <c r="C456" s="5" t="s">
        <v>26</v>
      </c>
      <c r="D456" s="133">
        <v>14</v>
      </c>
      <c r="E456" s="37">
        <v>28.310635756385071</v>
      </c>
      <c r="F456" s="6">
        <f t="shared" si="31"/>
        <v>396.34890058939101</v>
      </c>
      <c r="G456" s="5"/>
      <c r="H456" s="38">
        <v>166915</v>
      </c>
      <c r="I456" s="5" t="s">
        <v>175</v>
      </c>
      <c r="J456" s="16">
        <f t="shared" si="30"/>
        <v>0.52547653003654016</v>
      </c>
    </row>
    <row r="457" spans="1:10" ht="15" hidden="1" customHeight="1" x14ac:dyDescent="0.3">
      <c r="A457" s="5" t="s">
        <v>5</v>
      </c>
      <c r="B457" s="5" t="s">
        <v>68</v>
      </c>
      <c r="C457" s="5" t="s">
        <v>14</v>
      </c>
      <c r="D457" s="133">
        <v>14</v>
      </c>
      <c r="E457" s="37">
        <v>47.792983889980349</v>
      </c>
      <c r="F457" s="6">
        <f t="shared" si="31"/>
        <v>669.10177445972488</v>
      </c>
      <c r="G457" s="5"/>
      <c r="H457" s="38">
        <v>166915</v>
      </c>
      <c r="I457" s="5" t="s">
        <v>175</v>
      </c>
      <c r="J457" s="16">
        <f t="shared" si="30"/>
        <v>0.52547653003654016</v>
      </c>
    </row>
    <row r="458" spans="1:10" ht="15" hidden="1" customHeight="1" x14ac:dyDescent="0.3">
      <c r="A458" s="5" t="s">
        <v>5</v>
      </c>
      <c r="B458" s="5" t="s">
        <v>68</v>
      </c>
      <c r="C458" s="5" t="s">
        <v>56</v>
      </c>
      <c r="D458" s="5">
        <v>6</v>
      </c>
      <c r="E458" s="6">
        <v>50</v>
      </c>
      <c r="F458" s="6">
        <f t="shared" si="31"/>
        <v>300</v>
      </c>
      <c r="G458" s="5" t="s">
        <v>170</v>
      </c>
      <c r="H458" s="38">
        <v>166915</v>
      </c>
      <c r="I458" s="5" t="s">
        <v>175</v>
      </c>
      <c r="J458" s="16">
        <f t="shared" si="30"/>
        <v>0.52547653003654016</v>
      </c>
    </row>
    <row r="459" spans="1:10" ht="15" hidden="1" customHeight="1" x14ac:dyDescent="0.3">
      <c r="A459" s="5" t="s">
        <v>5</v>
      </c>
      <c r="B459" s="5" t="s">
        <v>68</v>
      </c>
      <c r="C459" s="5" t="s">
        <v>70</v>
      </c>
      <c r="D459" s="5">
        <v>1</v>
      </c>
      <c r="E459" s="6">
        <v>65</v>
      </c>
      <c r="F459" s="6">
        <f t="shared" si="31"/>
        <v>65</v>
      </c>
      <c r="G459" s="5" t="s">
        <v>173</v>
      </c>
      <c r="H459" s="38">
        <v>166915</v>
      </c>
      <c r="I459" s="5" t="s">
        <v>175</v>
      </c>
      <c r="J459" s="16">
        <f t="shared" si="30"/>
        <v>0.52547653003654016</v>
      </c>
    </row>
    <row r="460" spans="1:10" ht="15" hidden="1" customHeight="1" x14ac:dyDescent="0.3">
      <c r="A460" s="5" t="s">
        <v>5</v>
      </c>
      <c r="B460" s="5" t="s">
        <v>68</v>
      </c>
      <c r="C460" s="5" t="s">
        <v>71</v>
      </c>
      <c r="D460" s="5">
        <v>0</v>
      </c>
      <c r="E460" s="6">
        <v>0</v>
      </c>
      <c r="F460" s="6">
        <f t="shared" si="31"/>
        <v>0</v>
      </c>
      <c r="G460" s="5" t="s">
        <v>170</v>
      </c>
      <c r="H460" s="38">
        <v>166915</v>
      </c>
      <c r="I460" s="5" t="s">
        <v>175</v>
      </c>
      <c r="J460" s="16">
        <f t="shared" si="30"/>
        <v>0.52547653003654016</v>
      </c>
    </row>
    <row r="461" spans="1:10" ht="15" hidden="1" customHeight="1" x14ac:dyDescent="0.3">
      <c r="A461" s="5" t="s">
        <v>5</v>
      </c>
      <c r="B461" s="5" t="s">
        <v>68</v>
      </c>
      <c r="C461" s="5" t="s">
        <v>57</v>
      </c>
      <c r="D461" s="5">
        <v>15</v>
      </c>
      <c r="E461" s="6">
        <v>30</v>
      </c>
      <c r="F461" s="6">
        <f t="shared" si="31"/>
        <v>450</v>
      </c>
      <c r="G461" s="5" t="s">
        <v>170</v>
      </c>
      <c r="H461" s="38">
        <v>166915</v>
      </c>
      <c r="I461" s="5" t="s">
        <v>175</v>
      </c>
      <c r="J461" s="16">
        <f t="shared" si="30"/>
        <v>0.52547653003654016</v>
      </c>
    </row>
    <row r="462" spans="1:10" ht="15" hidden="1" customHeight="1" x14ac:dyDescent="0.3">
      <c r="A462" s="5" t="s">
        <v>5</v>
      </c>
      <c r="B462" s="5" t="s">
        <v>68</v>
      </c>
      <c r="C462" s="5" t="s">
        <v>72</v>
      </c>
      <c r="D462" s="5">
        <v>0</v>
      </c>
      <c r="E462" s="6">
        <v>0</v>
      </c>
      <c r="F462" s="6">
        <f t="shared" si="31"/>
        <v>0</v>
      </c>
      <c r="G462" s="5" t="s">
        <v>170</v>
      </c>
      <c r="H462" s="38">
        <v>166915</v>
      </c>
      <c r="I462" s="5" t="s">
        <v>175</v>
      </c>
      <c r="J462" s="16">
        <f t="shared" si="30"/>
        <v>0.52547653003654016</v>
      </c>
    </row>
    <row r="463" spans="1:10" ht="15" hidden="1" customHeight="1" x14ac:dyDescent="0.3">
      <c r="A463" s="5" t="s">
        <v>5</v>
      </c>
      <c r="B463" s="5" t="s">
        <v>68</v>
      </c>
      <c r="C463" s="5" t="s">
        <v>58</v>
      </c>
      <c r="D463" s="133">
        <v>14</v>
      </c>
      <c r="E463" s="6">
        <v>10.047000000000001</v>
      </c>
      <c r="F463" s="6">
        <f t="shared" si="31"/>
        <v>140.65800000000002</v>
      </c>
      <c r="G463" s="5" t="s">
        <v>171</v>
      </c>
      <c r="H463" s="38">
        <v>166915</v>
      </c>
      <c r="I463" s="5" t="s">
        <v>175</v>
      </c>
      <c r="J463" s="16">
        <f t="shared" si="30"/>
        <v>0.52547653003654016</v>
      </c>
    </row>
    <row r="464" spans="1:10" ht="15" hidden="1" customHeight="1" x14ac:dyDescent="0.3">
      <c r="A464" s="5" t="s">
        <v>5</v>
      </c>
      <c r="B464" s="5" t="s">
        <v>68</v>
      </c>
      <c r="C464" s="5" t="s">
        <v>59</v>
      </c>
      <c r="D464" s="133">
        <v>14</v>
      </c>
      <c r="E464" s="6">
        <v>2.0697999999999999</v>
      </c>
      <c r="F464" s="6">
        <f t="shared" si="31"/>
        <v>28.977199999999996</v>
      </c>
      <c r="G464" s="5" t="s">
        <v>171</v>
      </c>
      <c r="H464" s="38">
        <v>166915</v>
      </c>
      <c r="I464" s="5" t="s">
        <v>175</v>
      </c>
      <c r="J464" s="16">
        <f t="shared" si="30"/>
        <v>0.52547653003654016</v>
      </c>
    </row>
    <row r="465" spans="1:10" ht="15" hidden="1" customHeight="1" x14ac:dyDescent="0.3">
      <c r="A465" s="5" t="s">
        <v>5</v>
      </c>
      <c r="B465" s="5" t="s">
        <v>68</v>
      </c>
      <c r="C465" s="5" t="s">
        <v>73</v>
      </c>
      <c r="D465" s="5">
        <v>0</v>
      </c>
      <c r="E465" s="6"/>
      <c r="F465" s="6">
        <f t="shared" si="31"/>
        <v>0</v>
      </c>
      <c r="G465" s="5"/>
      <c r="H465" s="38">
        <v>166915</v>
      </c>
      <c r="I465" s="5" t="s">
        <v>175</v>
      </c>
      <c r="J465" s="16">
        <f t="shared" si="30"/>
        <v>0.52547653003654016</v>
      </c>
    </row>
    <row r="466" spans="1:10" ht="15" hidden="1" customHeight="1" x14ac:dyDescent="0.3">
      <c r="A466" s="5" t="s">
        <v>5</v>
      </c>
      <c r="B466" s="5" t="s">
        <v>68</v>
      </c>
      <c r="C466" s="5" t="s">
        <v>74</v>
      </c>
      <c r="D466" s="5">
        <v>0</v>
      </c>
      <c r="E466" s="6"/>
      <c r="F466" s="6">
        <f t="shared" si="31"/>
        <v>0</v>
      </c>
      <c r="G466" s="5"/>
      <c r="H466" s="38">
        <v>166915</v>
      </c>
      <c r="I466" s="5" t="s">
        <v>175</v>
      </c>
      <c r="J466" s="16">
        <f t="shared" si="30"/>
        <v>0.52547653003654016</v>
      </c>
    </row>
    <row r="467" spans="1:10" ht="15" hidden="1" customHeight="1" x14ac:dyDescent="0.3">
      <c r="A467" s="5" t="s">
        <v>5</v>
      </c>
      <c r="B467" s="5" t="s">
        <v>68</v>
      </c>
      <c r="C467" s="5" t="s">
        <v>62</v>
      </c>
      <c r="D467" s="5">
        <v>0</v>
      </c>
      <c r="E467" s="6"/>
      <c r="F467" s="6">
        <f t="shared" si="31"/>
        <v>0</v>
      </c>
      <c r="G467" s="5"/>
      <c r="H467" s="38">
        <v>166915</v>
      </c>
      <c r="I467" s="5" t="s">
        <v>175</v>
      </c>
      <c r="J467" s="16">
        <f t="shared" si="30"/>
        <v>0.52547653003654016</v>
      </c>
    </row>
    <row r="468" spans="1:10" ht="15" hidden="1" customHeight="1" x14ac:dyDescent="0.3">
      <c r="A468" s="5" t="s">
        <v>5</v>
      </c>
      <c r="B468" s="5" t="s">
        <v>68</v>
      </c>
      <c r="C468" s="5" t="s">
        <v>75</v>
      </c>
      <c r="D468" s="5">
        <v>0</v>
      </c>
      <c r="E468" s="6"/>
      <c r="F468" s="6">
        <f t="shared" si="31"/>
        <v>0</v>
      </c>
      <c r="G468" s="5"/>
      <c r="H468" s="38">
        <v>166915</v>
      </c>
      <c r="I468" s="5" t="s">
        <v>175</v>
      </c>
      <c r="J468" s="16">
        <f t="shared" si="30"/>
        <v>0.52547653003654016</v>
      </c>
    </row>
    <row r="469" spans="1:10" ht="15" hidden="1" customHeight="1" x14ac:dyDescent="0.3">
      <c r="A469" s="5" t="s">
        <v>5</v>
      </c>
      <c r="B469" s="5" t="s">
        <v>68</v>
      </c>
      <c r="C469" s="5" t="s">
        <v>64</v>
      </c>
      <c r="D469" s="5">
        <v>0</v>
      </c>
      <c r="E469" s="6"/>
      <c r="F469" s="6">
        <f t="shared" si="31"/>
        <v>0</v>
      </c>
      <c r="G469" s="5"/>
      <c r="H469" s="38">
        <v>166915</v>
      </c>
      <c r="I469" s="5" t="s">
        <v>175</v>
      </c>
      <c r="J469" s="16">
        <f t="shared" si="30"/>
        <v>0.52547653003654016</v>
      </c>
    </row>
    <row r="470" spans="1:10" ht="15" hidden="1" customHeight="1" x14ac:dyDescent="0.3">
      <c r="A470" s="5" t="s">
        <v>5</v>
      </c>
      <c r="B470" s="5" t="s">
        <v>9</v>
      </c>
      <c r="C470" s="5" t="s">
        <v>53</v>
      </c>
      <c r="D470" s="133">
        <v>10</v>
      </c>
      <c r="E470" s="6">
        <v>98581.93</v>
      </c>
      <c r="F470" s="6">
        <f>E470</f>
        <v>98581.93</v>
      </c>
      <c r="G470" s="5" t="s">
        <v>176</v>
      </c>
      <c r="H470" s="38">
        <v>191327</v>
      </c>
      <c r="I470" s="5" t="s">
        <v>54</v>
      </c>
      <c r="J470" s="16">
        <f t="shared" si="30"/>
        <v>0.5266890006975683</v>
      </c>
    </row>
    <row r="471" spans="1:10" ht="15" hidden="1" customHeight="1" x14ac:dyDescent="0.3">
      <c r="A471" s="5" t="s">
        <v>5</v>
      </c>
      <c r="B471" s="5" t="s">
        <v>9</v>
      </c>
      <c r="C471" s="5" t="s">
        <v>55</v>
      </c>
      <c r="D471" s="133">
        <v>10</v>
      </c>
      <c r="E471" s="59">
        <v>64.569224000000006</v>
      </c>
      <c r="F471" s="6">
        <f t="shared" ref="F471:F490" si="32">D471*E471</f>
        <v>645.69224000000008</v>
      </c>
      <c r="G471" s="5"/>
      <c r="H471" s="38">
        <v>191327</v>
      </c>
      <c r="I471" s="5" t="s">
        <v>54</v>
      </c>
      <c r="J471" s="16">
        <f t="shared" si="30"/>
        <v>0.5266890006975683</v>
      </c>
    </row>
    <row r="472" spans="1:10" ht="15" hidden="1" customHeight="1" x14ac:dyDescent="0.3">
      <c r="A472" s="5" t="s">
        <v>5</v>
      </c>
      <c r="B472" s="5" t="s">
        <v>9</v>
      </c>
      <c r="C472" s="5" t="s">
        <v>26</v>
      </c>
      <c r="D472" s="133">
        <v>10</v>
      </c>
      <c r="E472" s="37">
        <v>28.310635756385071</v>
      </c>
      <c r="F472" s="6">
        <f t="shared" si="32"/>
        <v>283.10635756385074</v>
      </c>
      <c r="G472" s="5"/>
      <c r="H472" s="38">
        <v>191327</v>
      </c>
      <c r="I472" s="5" t="s">
        <v>54</v>
      </c>
      <c r="J472" s="16">
        <f t="shared" si="30"/>
        <v>0.5266890006975683</v>
      </c>
    </row>
    <row r="473" spans="1:10" ht="15" hidden="1" customHeight="1" x14ac:dyDescent="0.3">
      <c r="A473" s="5" t="s">
        <v>5</v>
      </c>
      <c r="B473" s="5" t="s">
        <v>9</v>
      </c>
      <c r="C473" s="5" t="s">
        <v>14</v>
      </c>
      <c r="D473" s="133">
        <v>10</v>
      </c>
      <c r="E473" s="37">
        <v>47.792983889980349</v>
      </c>
      <c r="F473" s="6">
        <f t="shared" si="32"/>
        <v>477.92983889980349</v>
      </c>
      <c r="G473" s="5"/>
      <c r="H473" s="38">
        <v>191327</v>
      </c>
      <c r="I473" s="5" t="s">
        <v>54</v>
      </c>
      <c r="J473" s="16">
        <f t="shared" si="30"/>
        <v>0.5266890006975683</v>
      </c>
    </row>
    <row r="474" spans="1:10" ht="15" hidden="1" customHeight="1" x14ac:dyDescent="0.3">
      <c r="A474" s="5" t="s">
        <v>5</v>
      </c>
      <c r="B474" s="5" t="s">
        <v>9</v>
      </c>
      <c r="C474" s="5" t="s">
        <v>56</v>
      </c>
      <c r="D474" s="5">
        <v>9</v>
      </c>
      <c r="E474" s="6">
        <v>50</v>
      </c>
      <c r="F474" s="6">
        <f t="shared" si="32"/>
        <v>450</v>
      </c>
      <c r="G474" s="5" t="s">
        <v>170</v>
      </c>
      <c r="H474" s="38">
        <v>191327</v>
      </c>
      <c r="I474" s="5" t="s">
        <v>54</v>
      </c>
      <c r="J474" s="16">
        <f t="shared" si="30"/>
        <v>0.5266890006975683</v>
      </c>
    </row>
    <row r="475" spans="1:10" ht="15" hidden="1" customHeight="1" x14ac:dyDescent="0.3">
      <c r="A475" s="5" t="s">
        <v>5</v>
      </c>
      <c r="B475" s="5" t="s">
        <v>9</v>
      </c>
      <c r="C475" s="5" t="s">
        <v>76</v>
      </c>
      <c r="D475" s="5">
        <v>0</v>
      </c>
      <c r="E475" s="6">
        <v>0</v>
      </c>
      <c r="F475" s="6">
        <f t="shared" si="32"/>
        <v>0</v>
      </c>
      <c r="G475" s="5" t="s">
        <v>170</v>
      </c>
      <c r="H475" s="38">
        <v>191327</v>
      </c>
      <c r="I475" s="5" t="s">
        <v>54</v>
      </c>
      <c r="J475" s="16">
        <f t="shared" si="30"/>
        <v>0.5266890006975683</v>
      </c>
    </row>
    <row r="476" spans="1:10" ht="15" hidden="1" customHeight="1" x14ac:dyDescent="0.3">
      <c r="A476" s="5" t="s">
        <v>5</v>
      </c>
      <c r="B476" s="5" t="s">
        <v>9</v>
      </c>
      <c r="C476" s="5" t="s">
        <v>57</v>
      </c>
      <c r="D476" s="5">
        <v>7</v>
      </c>
      <c r="E476" s="6">
        <v>30</v>
      </c>
      <c r="F476" s="6">
        <f t="shared" si="32"/>
        <v>210</v>
      </c>
      <c r="G476" s="5" t="s">
        <v>170</v>
      </c>
      <c r="H476" s="38">
        <v>191327</v>
      </c>
      <c r="I476" s="5" t="s">
        <v>54</v>
      </c>
      <c r="J476" s="16">
        <f t="shared" si="30"/>
        <v>0.5266890006975683</v>
      </c>
    </row>
    <row r="477" spans="1:10" ht="15" hidden="1" customHeight="1" x14ac:dyDescent="0.3">
      <c r="A477" s="5" t="s">
        <v>5</v>
      </c>
      <c r="B477" s="5" t="s">
        <v>9</v>
      </c>
      <c r="C477" s="5" t="s">
        <v>58</v>
      </c>
      <c r="D477" s="133">
        <v>10</v>
      </c>
      <c r="E477" s="6">
        <v>10.047000000000001</v>
      </c>
      <c r="F477" s="6">
        <f t="shared" si="32"/>
        <v>100.47</v>
      </c>
      <c r="G477" s="5" t="s">
        <v>171</v>
      </c>
      <c r="H477" s="38">
        <v>191327</v>
      </c>
      <c r="I477" s="5" t="s">
        <v>54</v>
      </c>
      <c r="J477" s="16">
        <f t="shared" si="30"/>
        <v>0.5266890006975683</v>
      </c>
    </row>
    <row r="478" spans="1:10" ht="15" hidden="1" customHeight="1" x14ac:dyDescent="0.3">
      <c r="A478" s="5" t="s">
        <v>5</v>
      </c>
      <c r="B478" s="5" t="s">
        <v>9</v>
      </c>
      <c r="C478" s="5" t="s">
        <v>59</v>
      </c>
      <c r="D478" s="133">
        <v>10</v>
      </c>
      <c r="E478" s="6">
        <v>2.0697999999999999</v>
      </c>
      <c r="F478" s="6">
        <f t="shared" si="32"/>
        <v>20.698</v>
      </c>
      <c r="G478" s="5" t="s">
        <v>171</v>
      </c>
      <c r="H478" s="38">
        <v>191327</v>
      </c>
      <c r="I478" s="5" t="s">
        <v>54</v>
      </c>
      <c r="J478" s="16">
        <f t="shared" si="30"/>
        <v>0.5266890006975683</v>
      </c>
    </row>
    <row r="479" spans="1:10" ht="15" hidden="1" customHeight="1" x14ac:dyDescent="0.3">
      <c r="A479" s="5" t="s">
        <v>5</v>
      </c>
      <c r="B479" s="5" t="s">
        <v>9</v>
      </c>
      <c r="C479" s="5" t="s">
        <v>60</v>
      </c>
      <c r="D479" s="5">
        <v>0</v>
      </c>
      <c r="E479" s="6"/>
      <c r="F479" s="6">
        <f t="shared" si="32"/>
        <v>0</v>
      </c>
      <c r="G479" s="5"/>
      <c r="H479" s="38">
        <v>191327</v>
      </c>
      <c r="I479" s="5" t="s">
        <v>54</v>
      </c>
      <c r="J479" s="16">
        <f t="shared" si="30"/>
        <v>0.5266890006975683</v>
      </c>
    </row>
    <row r="480" spans="1:10" ht="15" hidden="1" customHeight="1" x14ac:dyDescent="0.3">
      <c r="A480" s="5" t="s">
        <v>5</v>
      </c>
      <c r="B480" s="5" t="s">
        <v>9</v>
      </c>
      <c r="C480" s="5" t="s">
        <v>61</v>
      </c>
      <c r="D480" s="5">
        <v>2</v>
      </c>
      <c r="E480" s="6"/>
      <c r="F480" s="6">
        <f t="shared" si="32"/>
        <v>0</v>
      </c>
      <c r="G480" s="5"/>
      <c r="H480" s="38">
        <v>191327</v>
      </c>
      <c r="I480" s="5" t="s">
        <v>54</v>
      </c>
      <c r="J480" s="16">
        <f t="shared" si="30"/>
        <v>0.5266890006975683</v>
      </c>
    </row>
    <row r="481" spans="1:10" ht="15" hidden="1" customHeight="1" x14ac:dyDescent="0.3">
      <c r="A481" s="5" t="s">
        <v>5</v>
      </c>
      <c r="B481" s="5" t="s">
        <v>9</v>
      </c>
      <c r="C481" s="5" t="s">
        <v>62</v>
      </c>
      <c r="D481" s="5">
        <v>4</v>
      </c>
      <c r="E481" s="6"/>
      <c r="F481" s="6">
        <f t="shared" si="32"/>
        <v>0</v>
      </c>
      <c r="G481" s="5"/>
      <c r="H481" s="38">
        <v>191327</v>
      </c>
      <c r="I481" s="5" t="s">
        <v>54</v>
      </c>
      <c r="J481" s="16">
        <f t="shared" si="30"/>
        <v>0.5266890006975683</v>
      </c>
    </row>
    <row r="482" spans="1:10" ht="15" hidden="1" customHeight="1" x14ac:dyDescent="0.3">
      <c r="A482" s="5" t="s">
        <v>5</v>
      </c>
      <c r="B482" s="5" t="s">
        <v>9</v>
      </c>
      <c r="C482" s="5" t="s">
        <v>63</v>
      </c>
      <c r="D482" s="5">
        <v>0</v>
      </c>
      <c r="E482" s="6"/>
      <c r="F482" s="6">
        <f t="shared" si="32"/>
        <v>0</v>
      </c>
      <c r="G482" s="5"/>
      <c r="H482" s="38">
        <v>191327</v>
      </c>
      <c r="I482" s="5" t="s">
        <v>54</v>
      </c>
      <c r="J482" s="16">
        <f t="shared" si="30"/>
        <v>0.5266890006975683</v>
      </c>
    </row>
    <row r="483" spans="1:10" ht="15" hidden="1" customHeight="1" x14ac:dyDescent="0.3">
      <c r="A483" s="5" t="s">
        <v>5</v>
      </c>
      <c r="B483" s="5" t="s">
        <v>9</v>
      </c>
      <c r="C483" s="5" t="s">
        <v>64</v>
      </c>
      <c r="D483" s="5">
        <v>0</v>
      </c>
      <c r="E483" s="6"/>
      <c r="F483" s="6">
        <f t="shared" si="32"/>
        <v>0</v>
      </c>
      <c r="G483" s="5"/>
      <c r="H483" s="38">
        <v>191327</v>
      </c>
      <c r="I483" s="5" t="s">
        <v>54</v>
      </c>
      <c r="J483" s="16">
        <f t="shared" si="30"/>
        <v>0.5266890006975683</v>
      </c>
    </row>
    <row r="484" spans="1:10" ht="15" hidden="1" customHeight="1" x14ac:dyDescent="0.3">
      <c r="A484" s="5" t="s">
        <v>5</v>
      </c>
      <c r="B484" s="5" t="s">
        <v>9</v>
      </c>
      <c r="C484" s="5" t="s">
        <v>66</v>
      </c>
      <c r="D484" s="5">
        <v>0</v>
      </c>
      <c r="E484" s="6"/>
      <c r="F484" s="6">
        <f t="shared" si="32"/>
        <v>0</v>
      </c>
      <c r="G484" s="5"/>
      <c r="H484" s="38">
        <v>191327</v>
      </c>
      <c r="I484" s="5" t="s">
        <v>54</v>
      </c>
      <c r="J484" s="16">
        <f t="shared" si="30"/>
        <v>0.5266890006975683</v>
      </c>
    </row>
    <row r="485" spans="1:10" ht="15" hidden="1" customHeight="1" x14ac:dyDescent="0.3">
      <c r="A485" s="5" t="s">
        <v>5</v>
      </c>
      <c r="B485" s="5" t="s">
        <v>9</v>
      </c>
      <c r="C485" s="5" t="s">
        <v>67</v>
      </c>
      <c r="D485" s="5">
        <v>0</v>
      </c>
      <c r="E485" s="6"/>
      <c r="F485" s="6">
        <f t="shared" si="32"/>
        <v>0</v>
      </c>
      <c r="G485" s="5"/>
      <c r="H485" s="38">
        <v>191327</v>
      </c>
      <c r="I485" s="5" t="s">
        <v>54</v>
      </c>
      <c r="J485" s="16">
        <f t="shared" si="30"/>
        <v>0.5266890006975683</v>
      </c>
    </row>
    <row r="486" spans="1:10" ht="15" hidden="1" customHeight="1" x14ac:dyDescent="0.3">
      <c r="A486" s="5" t="s">
        <v>5</v>
      </c>
      <c r="B486" s="5" t="s">
        <v>9</v>
      </c>
      <c r="C486" s="5" t="s">
        <v>77</v>
      </c>
      <c r="D486" s="5">
        <v>1</v>
      </c>
      <c r="E486" s="6"/>
      <c r="F486" s="6">
        <f t="shared" si="32"/>
        <v>0</v>
      </c>
      <c r="G486" s="5"/>
      <c r="H486" s="38">
        <v>191327</v>
      </c>
      <c r="I486" s="5" t="s">
        <v>54</v>
      </c>
      <c r="J486" s="16">
        <f t="shared" si="30"/>
        <v>0.5266890006975683</v>
      </c>
    </row>
    <row r="487" spans="1:10" ht="15" hidden="1" customHeight="1" x14ac:dyDescent="0.3">
      <c r="A487" s="5" t="s">
        <v>5</v>
      </c>
      <c r="B487" s="5" t="s">
        <v>9</v>
      </c>
      <c r="C487" s="5" t="s">
        <v>78</v>
      </c>
      <c r="D487" s="5">
        <v>1</v>
      </c>
      <c r="E487" s="6"/>
      <c r="F487" s="6">
        <f t="shared" si="32"/>
        <v>0</v>
      </c>
      <c r="G487" s="5"/>
      <c r="H487" s="38">
        <v>191327</v>
      </c>
      <c r="I487" s="5" t="s">
        <v>54</v>
      </c>
      <c r="J487" s="16">
        <f t="shared" si="30"/>
        <v>0.5266890006975683</v>
      </c>
    </row>
    <row r="488" spans="1:10" ht="15" hidden="1" customHeight="1" x14ac:dyDescent="0.3">
      <c r="A488" s="5" t="s">
        <v>5</v>
      </c>
      <c r="B488" s="5" t="s">
        <v>9</v>
      </c>
      <c r="C488" s="5" t="s">
        <v>79</v>
      </c>
      <c r="D488" s="5">
        <v>1</v>
      </c>
      <c r="E488" s="6"/>
      <c r="F488" s="6">
        <f t="shared" si="32"/>
        <v>0</v>
      </c>
      <c r="G488" s="5"/>
      <c r="H488" s="38">
        <v>191327</v>
      </c>
      <c r="I488" s="5" t="s">
        <v>54</v>
      </c>
      <c r="J488" s="16">
        <f t="shared" si="30"/>
        <v>0.5266890006975683</v>
      </c>
    </row>
    <row r="489" spans="1:10" ht="15" hidden="1" customHeight="1" x14ac:dyDescent="0.3">
      <c r="A489" s="5" t="s">
        <v>5</v>
      </c>
      <c r="B489" s="5" t="s">
        <v>9</v>
      </c>
      <c r="C489" s="5" t="s">
        <v>80</v>
      </c>
      <c r="D489" s="5">
        <v>1</v>
      </c>
      <c r="E489" s="6"/>
      <c r="F489" s="6">
        <f t="shared" si="32"/>
        <v>0</v>
      </c>
      <c r="G489" s="5"/>
      <c r="H489" s="38">
        <v>191327</v>
      </c>
      <c r="I489" s="5" t="s">
        <v>54</v>
      </c>
      <c r="J489" s="16">
        <f t="shared" si="30"/>
        <v>0.5266890006975683</v>
      </c>
    </row>
    <row r="490" spans="1:10" ht="15" hidden="1" customHeight="1" x14ac:dyDescent="0.3">
      <c r="A490" s="5" t="s">
        <v>5</v>
      </c>
      <c r="B490" s="5" t="s">
        <v>9</v>
      </c>
      <c r="C490" s="5" t="s">
        <v>81</v>
      </c>
      <c r="D490" s="5">
        <v>0</v>
      </c>
      <c r="E490" s="6"/>
      <c r="F490" s="6">
        <f t="shared" si="32"/>
        <v>0</v>
      </c>
      <c r="G490" s="5"/>
      <c r="H490" s="38">
        <v>191327</v>
      </c>
      <c r="I490" s="5" t="s">
        <v>54</v>
      </c>
      <c r="J490" s="16">
        <f t="shared" si="30"/>
        <v>0.5266890006975683</v>
      </c>
    </row>
    <row r="491" spans="1:10" ht="15" hidden="1" customHeight="1" x14ac:dyDescent="0.3">
      <c r="A491" s="5" t="s">
        <v>5</v>
      </c>
      <c r="B491" s="5" t="s">
        <v>10</v>
      </c>
      <c r="C491" s="5" t="s">
        <v>53</v>
      </c>
      <c r="D491" s="133">
        <v>4</v>
      </c>
      <c r="E491" s="6">
        <v>22613.98</v>
      </c>
      <c r="F491" s="6">
        <f>E491</f>
        <v>22613.98</v>
      </c>
      <c r="G491" s="5" t="s">
        <v>177</v>
      </c>
      <c r="H491" s="38">
        <v>177925</v>
      </c>
      <c r="I491" s="5" t="s">
        <v>82</v>
      </c>
      <c r="J491" s="16">
        <f t="shared" si="30"/>
        <v>0.13153440255492738</v>
      </c>
    </row>
    <row r="492" spans="1:10" ht="15" hidden="1" customHeight="1" x14ac:dyDescent="0.3">
      <c r="A492" s="5" t="s">
        <v>5</v>
      </c>
      <c r="B492" s="5" t="s">
        <v>10</v>
      </c>
      <c r="C492" s="5" t="s">
        <v>55</v>
      </c>
      <c r="D492" s="133">
        <v>4</v>
      </c>
      <c r="E492" s="59">
        <v>64.569224000000006</v>
      </c>
      <c r="F492" s="6">
        <f t="shared" ref="F492:F510" si="33">D492*E492</f>
        <v>258.27689600000002</v>
      </c>
      <c r="G492" s="5"/>
      <c r="H492" s="38">
        <v>177925</v>
      </c>
      <c r="I492" s="5" t="s">
        <v>82</v>
      </c>
      <c r="J492" s="16">
        <f t="shared" si="30"/>
        <v>0.13153440255492738</v>
      </c>
    </row>
    <row r="493" spans="1:10" ht="15" hidden="1" customHeight="1" x14ac:dyDescent="0.3">
      <c r="A493" s="5" t="s">
        <v>5</v>
      </c>
      <c r="B493" s="5" t="s">
        <v>10</v>
      </c>
      <c r="C493" s="5" t="s">
        <v>26</v>
      </c>
      <c r="D493" s="133">
        <v>4</v>
      </c>
      <c r="E493" s="37">
        <v>28.310635756385071</v>
      </c>
      <c r="F493" s="6">
        <f t="shared" si="33"/>
        <v>113.24254302554029</v>
      </c>
      <c r="G493" s="5"/>
      <c r="H493" s="38">
        <v>177925</v>
      </c>
      <c r="I493" s="5" t="s">
        <v>82</v>
      </c>
      <c r="J493" s="16">
        <f t="shared" si="30"/>
        <v>0.13153440255492738</v>
      </c>
    </row>
    <row r="494" spans="1:10" ht="15" hidden="1" customHeight="1" x14ac:dyDescent="0.3">
      <c r="A494" s="5" t="s">
        <v>5</v>
      </c>
      <c r="B494" s="5" t="s">
        <v>10</v>
      </c>
      <c r="C494" s="5" t="s">
        <v>14</v>
      </c>
      <c r="D494" s="133">
        <v>4</v>
      </c>
      <c r="E494" s="37">
        <v>47.792983889980349</v>
      </c>
      <c r="F494" s="6">
        <f t="shared" si="33"/>
        <v>191.17193555992139</v>
      </c>
      <c r="G494" s="5"/>
      <c r="H494" s="38">
        <v>177925</v>
      </c>
      <c r="I494" s="5" t="s">
        <v>82</v>
      </c>
      <c r="J494" s="16">
        <f t="shared" si="30"/>
        <v>0.13153440255492738</v>
      </c>
    </row>
    <row r="495" spans="1:10" ht="15" hidden="1" customHeight="1" x14ac:dyDescent="0.3">
      <c r="A495" s="5" t="s">
        <v>5</v>
      </c>
      <c r="B495" s="5" t="s">
        <v>10</v>
      </c>
      <c r="C495" s="5" t="s">
        <v>56</v>
      </c>
      <c r="D495" s="5">
        <v>4</v>
      </c>
      <c r="E495" s="6">
        <v>28</v>
      </c>
      <c r="F495" s="6">
        <f t="shared" si="33"/>
        <v>112</v>
      </c>
      <c r="G495" s="5" t="s">
        <v>170</v>
      </c>
      <c r="H495" s="38">
        <v>177925</v>
      </c>
      <c r="I495" s="5" t="s">
        <v>82</v>
      </c>
      <c r="J495" s="16">
        <f t="shared" si="30"/>
        <v>0.13153440255492738</v>
      </c>
    </row>
    <row r="496" spans="1:10" ht="15" hidden="1" customHeight="1" x14ac:dyDescent="0.3">
      <c r="A496" s="5" t="s">
        <v>5</v>
      </c>
      <c r="B496" s="5" t="s">
        <v>10</v>
      </c>
      <c r="C496" s="5" t="s">
        <v>70</v>
      </c>
      <c r="D496" s="5">
        <v>0</v>
      </c>
      <c r="E496" s="6"/>
      <c r="F496" s="6">
        <f t="shared" si="33"/>
        <v>0</v>
      </c>
      <c r="G496" s="5"/>
      <c r="H496" s="38">
        <v>177925</v>
      </c>
      <c r="I496" s="5" t="s">
        <v>82</v>
      </c>
      <c r="J496" s="16">
        <f t="shared" si="30"/>
        <v>0.13153440255492738</v>
      </c>
    </row>
    <row r="497" spans="1:10" ht="15" hidden="1" customHeight="1" x14ac:dyDescent="0.3">
      <c r="A497" s="5" t="s">
        <v>5</v>
      </c>
      <c r="B497" s="5" t="s">
        <v>10</v>
      </c>
      <c r="C497" s="5" t="s">
        <v>57</v>
      </c>
      <c r="D497" s="5">
        <v>0</v>
      </c>
      <c r="E497" s="6">
        <v>0</v>
      </c>
      <c r="F497" s="6">
        <f t="shared" si="33"/>
        <v>0</v>
      </c>
      <c r="G497" s="5" t="s">
        <v>170</v>
      </c>
      <c r="H497" s="38">
        <v>177925</v>
      </c>
      <c r="I497" s="5" t="s">
        <v>82</v>
      </c>
      <c r="J497" s="16">
        <f t="shared" si="30"/>
        <v>0.13153440255492738</v>
      </c>
    </row>
    <row r="498" spans="1:10" ht="15" hidden="1" customHeight="1" x14ac:dyDescent="0.3">
      <c r="A498" s="5" t="s">
        <v>5</v>
      </c>
      <c r="B498" s="5" t="s">
        <v>10</v>
      </c>
      <c r="C498" s="5" t="s">
        <v>71</v>
      </c>
      <c r="D498" s="5">
        <v>1</v>
      </c>
      <c r="E498" s="6">
        <v>40.520000000000003</v>
      </c>
      <c r="F498" s="6">
        <f t="shared" si="33"/>
        <v>40.520000000000003</v>
      </c>
      <c r="G498" s="5" t="s">
        <v>170</v>
      </c>
      <c r="H498" s="38">
        <v>177925</v>
      </c>
      <c r="I498" s="5" t="s">
        <v>82</v>
      </c>
      <c r="J498" s="16">
        <f t="shared" si="30"/>
        <v>0.13153440255492738</v>
      </c>
    </row>
    <row r="499" spans="1:10" ht="15" hidden="1" customHeight="1" x14ac:dyDescent="0.3">
      <c r="A499" s="5" t="s">
        <v>5</v>
      </c>
      <c r="B499" s="5" t="s">
        <v>10</v>
      </c>
      <c r="C499" s="5" t="s">
        <v>72</v>
      </c>
      <c r="D499" s="5">
        <v>1</v>
      </c>
      <c r="E499" s="6">
        <v>25.6</v>
      </c>
      <c r="F499" s="6">
        <f t="shared" si="33"/>
        <v>25.6</v>
      </c>
      <c r="G499" s="5" t="s">
        <v>170</v>
      </c>
      <c r="H499" s="38">
        <v>177925</v>
      </c>
      <c r="I499" s="5" t="s">
        <v>82</v>
      </c>
      <c r="J499" s="16">
        <f t="shared" si="30"/>
        <v>0.13153440255492738</v>
      </c>
    </row>
    <row r="500" spans="1:10" ht="15" hidden="1" customHeight="1" x14ac:dyDescent="0.3">
      <c r="A500" s="5" t="s">
        <v>5</v>
      </c>
      <c r="B500" s="5" t="s">
        <v>10</v>
      </c>
      <c r="C500" s="5" t="s">
        <v>58</v>
      </c>
      <c r="D500" s="133">
        <v>4</v>
      </c>
      <c r="E500" s="6">
        <v>10.047000000000001</v>
      </c>
      <c r="F500" s="6">
        <f t="shared" si="33"/>
        <v>40.188000000000002</v>
      </c>
      <c r="G500" s="5" t="s">
        <v>171</v>
      </c>
      <c r="H500" s="38">
        <v>177925</v>
      </c>
      <c r="I500" s="5" t="s">
        <v>82</v>
      </c>
      <c r="J500" s="16">
        <f t="shared" si="30"/>
        <v>0.13153440255492738</v>
      </c>
    </row>
    <row r="501" spans="1:10" ht="15" hidden="1" customHeight="1" x14ac:dyDescent="0.3">
      <c r="A501" s="5" t="s">
        <v>5</v>
      </c>
      <c r="B501" s="5" t="s">
        <v>10</v>
      </c>
      <c r="C501" s="5" t="s">
        <v>59</v>
      </c>
      <c r="D501" s="133">
        <v>4</v>
      </c>
      <c r="E501" s="6">
        <v>2.0697999999999999</v>
      </c>
      <c r="F501" s="6">
        <f t="shared" si="33"/>
        <v>8.2791999999999994</v>
      </c>
      <c r="G501" s="5" t="s">
        <v>171</v>
      </c>
      <c r="H501" s="38">
        <v>177925</v>
      </c>
      <c r="I501" s="5" t="s">
        <v>82</v>
      </c>
      <c r="J501" s="16">
        <f t="shared" si="30"/>
        <v>0.13153440255492738</v>
      </c>
    </row>
    <row r="502" spans="1:10" ht="15" hidden="1" customHeight="1" x14ac:dyDescent="0.3">
      <c r="A502" s="5" t="s">
        <v>5</v>
      </c>
      <c r="B502" s="5" t="s">
        <v>10</v>
      </c>
      <c r="C502" s="5" t="s">
        <v>74</v>
      </c>
      <c r="D502" s="5">
        <v>0</v>
      </c>
      <c r="E502" s="6"/>
      <c r="F502" s="6">
        <f t="shared" si="33"/>
        <v>0</v>
      </c>
      <c r="G502" s="5"/>
      <c r="H502" s="38">
        <v>177925</v>
      </c>
      <c r="I502" s="5" t="s">
        <v>82</v>
      </c>
      <c r="J502" s="16">
        <f t="shared" si="30"/>
        <v>0.13153440255492738</v>
      </c>
    </row>
    <row r="503" spans="1:10" ht="15" hidden="1" customHeight="1" x14ac:dyDescent="0.3">
      <c r="A503" s="5" t="s">
        <v>5</v>
      </c>
      <c r="B503" s="5" t="s">
        <v>10</v>
      </c>
      <c r="C503" s="5" t="s">
        <v>62</v>
      </c>
      <c r="D503" s="5">
        <v>0</v>
      </c>
      <c r="E503" s="6"/>
      <c r="F503" s="6">
        <f t="shared" si="33"/>
        <v>0</v>
      </c>
      <c r="G503" s="5"/>
      <c r="H503" s="38">
        <v>177925</v>
      </c>
      <c r="I503" s="5" t="s">
        <v>82</v>
      </c>
      <c r="J503" s="16">
        <f t="shared" si="30"/>
        <v>0.13153440255492738</v>
      </c>
    </row>
    <row r="504" spans="1:10" ht="15" hidden="1" customHeight="1" x14ac:dyDescent="0.3">
      <c r="A504" s="5" t="s">
        <v>5</v>
      </c>
      <c r="B504" s="5" t="s">
        <v>10</v>
      </c>
      <c r="C504" s="5" t="s">
        <v>83</v>
      </c>
      <c r="D504" s="5">
        <v>0</v>
      </c>
      <c r="E504" s="6"/>
      <c r="F504" s="6">
        <f t="shared" si="33"/>
        <v>0</v>
      </c>
      <c r="G504" s="5"/>
      <c r="H504" s="38">
        <v>177925</v>
      </c>
      <c r="I504" s="5" t="s">
        <v>82</v>
      </c>
      <c r="J504" s="16">
        <f t="shared" si="30"/>
        <v>0.13153440255492738</v>
      </c>
    </row>
    <row r="505" spans="1:10" ht="15" hidden="1" customHeight="1" x14ac:dyDescent="0.3">
      <c r="A505" s="5" t="s">
        <v>5</v>
      </c>
      <c r="B505" s="5" t="s">
        <v>10</v>
      </c>
      <c r="C505" s="5" t="s">
        <v>84</v>
      </c>
      <c r="D505" s="5">
        <v>0</v>
      </c>
      <c r="E505" s="6"/>
      <c r="F505" s="6">
        <f t="shared" si="33"/>
        <v>0</v>
      </c>
      <c r="G505" s="5"/>
      <c r="H505" s="38">
        <v>177925</v>
      </c>
      <c r="I505" s="5" t="s">
        <v>82</v>
      </c>
      <c r="J505" s="16">
        <f t="shared" si="30"/>
        <v>0.13153440255492738</v>
      </c>
    </row>
    <row r="506" spans="1:10" ht="15" hidden="1" customHeight="1" x14ac:dyDescent="0.3">
      <c r="A506" s="5" t="s">
        <v>5</v>
      </c>
      <c r="B506" s="5" t="s">
        <v>10</v>
      </c>
      <c r="C506" s="5" t="s">
        <v>85</v>
      </c>
      <c r="D506" s="5">
        <v>0</v>
      </c>
      <c r="E506" s="6"/>
      <c r="F506" s="6">
        <f t="shared" si="33"/>
        <v>0</v>
      </c>
      <c r="G506" s="5"/>
      <c r="H506" s="38">
        <v>177925</v>
      </c>
      <c r="I506" s="5" t="s">
        <v>82</v>
      </c>
      <c r="J506" s="16">
        <f t="shared" si="30"/>
        <v>0.13153440255492738</v>
      </c>
    </row>
    <row r="507" spans="1:10" ht="15" hidden="1" customHeight="1" x14ac:dyDescent="0.3">
      <c r="A507" s="5" t="s">
        <v>5</v>
      </c>
      <c r="B507" s="5" t="s">
        <v>10</v>
      </c>
      <c r="C507" s="5" t="s">
        <v>86</v>
      </c>
      <c r="D507" s="5">
        <v>0</v>
      </c>
      <c r="E507" s="6"/>
      <c r="F507" s="6">
        <f t="shared" si="33"/>
        <v>0</v>
      </c>
      <c r="G507" s="5"/>
      <c r="H507" s="38">
        <v>177925</v>
      </c>
      <c r="I507" s="5" t="s">
        <v>82</v>
      </c>
      <c r="J507" s="16">
        <f t="shared" si="30"/>
        <v>0.13153440255492738</v>
      </c>
    </row>
    <row r="508" spans="1:10" ht="15" hidden="1" customHeight="1" x14ac:dyDescent="0.3">
      <c r="A508" s="5" t="s">
        <v>5</v>
      </c>
      <c r="B508" s="5" t="s">
        <v>10</v>
      </c>
      <c r="C508" s="5" t="s">
        <v>67</v>
      </c>
      <c r="D508" s="5">
        <v>0</v>
      </c>
      <c r="E508" s="6"/>
      <c r="F508" s="6">
        <f t="shared" si="33"/>
        <v>0</v>
      </c>
      <c r="G508" s="5"/>
      <c r="H508" s="38">
        <v>177925</v>
      </c>
      <c r="I508" s="5" t="s">
        <v>82</v>
      </c>
      <c r="J508" s="16">
        <f t="shared" si="30"/>
        <v>0.13153440255492738</v>
      </c>
    </row>
    <row r="509" spans="1:10" ht="15" hidden="1" customHeight="1" x14ac:dyDescent="0.3">
      <c r="A509" s="5" t="s">
        <v>5</v>
      </c>
      <c r="B509" s="5" t="s">
        <v>10</v>
      </c>
      <c r="C509" s="5" t="s">
        <v>75</v>
      </c>
      <c r="D509" s="5">
        <v>0</v>
      </c>
      <c r="E509" s="6"/>
      <c r="F509" s="6">
        <f t="shared" si="33"/>
        <v>0</v>
      </c>
      <c r="G509" s="5"/>
      <c r="H509" s="38">
        <v>177925</v>
      </c>
      <c r="I509" s="5" t="s">
        <v>82</v>
      </c>
      <c r="J509" s="16">
        <f t="shared" si="30"/>
        <v>0.13153440255492738</v>
      </c>
    </row>
    <row r="510" spans="1:10" ht="15" hidden="1" customHeight="1" x14ac:dyDescent="0.3">
      <c r="A510" s="5" t="s">
        <v>5</v>
      </c>
      <c r="B510" s="5" t="s">
        <v>10</v>
      </c>
      <c r="C510" s="5" t="s">
        <v>64</v>
      </c>
      <c r="D510" s="5">
        <v>1</v>
      </c>
      <c r="E510" s="6"/>
      <c r="F510" s="6">
        <f t="shared" si="33"/>
        <v>0</v>
      </c>
      <c r="G510" s="5"/>
      <c r="H510" s="38">
        <v>177925</v>
      </c>
      <c r="I510" s="5" t="s">
        <v>82</v>
      </c>
      <c r="J510" s="16">
        <f t="shared" si="30"/>
        <v>0.13153440255492738</v>
      </c>
    </row>
    <row r="511" spans="1:10" ht="15" hidden="1" customHeight="1" x14ac:dyDescent="0.3">
      <c r="A511" s="5" t="s">
        <v>5</v>
      </c>
      <c r="B511" s="5" t="s">
        <v>11</v>
      </c>
      <c r="C511" s="5" t="s">
        <v>53</v>
      </c>
      <c r="D511" s="133">
        <v>9</v>
      </c>
      <c r="E511" s="6">
        <v>38506.67</v>
      </c>
      <c r="F511" s="6">
        <f>E511</f>
        <v>38506.67</v>
      </c>
      <c r="G511" s="5" t="s">
        <v>178</v>
      </c>
      <c r="H511" s="38">
        <v>191327</v>
      </c>
      <c r="I511" s="5" t="s">
        <v>54</v>
      </c>
      <c r="J511" s="16">
        <f t="shared" si="30"/>
        <v>0.21237194328462414</v>
      </c>
    </row>
    <row r="512" spans="1:10" ht="15" hidden="1" customHeight="1" x14ac:dyDescent="0.3">
      <c r="A512" s="5" t="s">
        <v>5</v>
      </c>
      <c r="B512" s="5" t="s">
        <v>11</v>
      </c>
      <c r="C512" s="5" t="s">
        <v>55</v>
      </c>
      <c r="D512" s="133">
        <v>9</v>
      </c>
      <c r="E512" s="59">
        <v>64.569224000000006</v>
      </c>
      <c r="F512" s="6">
        <f t="shared" ref="F512:F526" si="34">D512*E512</f>
        <v>581.12301600000001</v>
      </c>
      <c r="G512" s="5"/>
      <c r="H512" s="38">
        <v>191327</v>
      </c>
      <c r="I512" s="5" t="s">
        <v>54</v>
      </c>
      <c r="J512" s="16">
        <f t="shared" si="30"/>
        <v>0.21237194328462414</v>
      </c>
    </row>
    <row r="513" spans="1:10" ht="15" hidden="1" customHeight="1" x14ac:dyDescent="0.3">
      <c r="A513" s="5" t="s">
        <v>5</v>
      </c>
      <c r="B513" s="5" t="s">
        <v>11</v>
      </c>
      <c r="C513" s="5" t="s">
        <v>26</v>
      </c>
      <c r="D513" s="133">
        <v>9</v>
      </c>
      <c r="E513" s="37">
        <v>28.310635756385071</v>
      </c>
      <c r="F513" s="6">
        <f t="shared" si="34"/>
        <v>254.79572180746564</v>
      </c>
      <c r="G513" s="5"/>
      <c r="H513" s="38">
        <v>191327</v>
      </c>
      <c r="I513" s="5" t="s">
        <v>54</v>
      </c>
      <c r="J513" s="16">
        <f t="shared" si="30"/>
        <v>0.21237194328462414</v>
      </c>
    </row>
    <row r="514" spans="1:10" ht="15" hidden="1" customHeight="1" x14ac:dyDescent="0.3">
      <c r="A514" s="5" t="s">
        <v>5</v>
      </c>
      <c r="B514" s="5" t="s">
        <v>11</v>
      </c>
      <c r="C514" s="5" t="s">
        <v>14</v>
      </c>
      <c r="D514" s="133">
        <v>9</v>
      </c>
      <c r="E514" s="37">
        <v>47.792983889980349</v>
      </c>
      <c r="F514" s="6">
        <f t="shared" si="34"/>
        <v>430.13685500982314</v>
      </c>
      <c r="G514" s="5"/>
      <c r="H514" s="38">
        <v>191327</v>
      </c>
      <c r="I514" s="5" t="s">
        <v>54</v>
      </c>
      <c r="J514" s="16">
        <f t="shared" ref="J514:J577" si="35">IFERROR(SUMIFS($F$2:$F$1749,$A$2:$A$1749,A514,$B$2:$B$1749,B514)/H514,"")</f>
        <v>0.21237194328462414</v>
      </c>
    </row>
    <row r="515" spans="1:10" ht="15" hidden="1" customHeight="1" x14ac:dyDescent="0.3">
      <c r="A515" s="5" t="s">
        <v>5</v>
      </c>
      <c r="B515" s="5" t="s">
        <v>11</v>
      </c>
      <c r="C515" s="5" t="s">
        <v>87</v>
      </c>
      <c r="D515" s="5">
        <v>9</v>
      </c>
      <c r="E515" s="6">
        <v>50</v>
      </c>
      <c r="F515" s="6">
        <f t="shared" si="34"/>
        <v>450</v>
      </c>
      <c r="G515" s="5" t="s">
        <v>170</v>
      </c>
      <c r="H515" s="38">
        <v>191327</v>
      </c>
      <c r="I515" s="5" t="s">
        <v>54</v>
      </c>
      <c r="J515" s="16">
        <f t="shared" si="35"/>
        <v>0.21237194328462414</v>
      </c>
    </row>
    <row r="516" spans="1:10" ht="15" hidden="1" customHeight="1" x14ac:dyDescent="0.3">
      <c r="A516" s="5" t="s">
        <v>5</v>
      </c>
      <c r="B516" s="5" t="s">
        <v>11</v>
      </c>
      <c r="C516" s="5" t="s">
        <v>57</v>
      </c>
      <c r="D516" s="5">
        <v>9</v>
      </c>
      <c r="E516" s="6">
        <v>30</v>
      </c>
      <c r="F516" s="6">
        <f t="shared" si="34"/>
        <v>270</v>
      </c>
      <c r="G516" s="5" t="s">
        <v>170</v>
      </c>
      <c r="H516" s="38">
        <v>191327</v>
      </c>
      <c r="I516" s="5" t="s">
        <v>54</v>
      </c>
      <c r="J516" s="16">
        <f t="shared" si="35"/>
        <v>0.21237194328462414</v>
      </c>
    </row>
    <row r="517" spans="1:10" ht="15" hidden="1" customHeight="1" x14ac:dyDescent="0.3">
      <c r="A517" s="5" t="s">
        <v>5</v>
      </c>
      <c r="B517" s="5" t="s">
        <v>11</v>
      </c>
      <c r="C517" s="5" t="s">
        <v>71</v>
      </c>
      <c r="D517" s="5">
        <v>0</v>
      </c>
      <c r="E517" s="6">
        <v>0</v>
      </c>
      <c r="F517" s="6">
        <f t="shared" si="34"/>
        <v>0</v>
      </c>
      <c r="G517" s="5" t="s">
        <v>170</v>
      </c>
      <c r="H517" s="38">
        <v>191327</v>
      </c>
      <c r="I517" s="5" t="s">
        <v>54</v>
      </c>
      <c r="J517" s="16">
        <f t="shared" si="35"/>
        <v>0.21237194328462414</v>
      </c>
    </row>
    <row r="518" spans="1:10" ht="15" hidden="1" customHeight="1" x14ac:dyDescent="0.3">
      <c r="A518" s="5" t="s">
        <v>5</v>
      </c>
      <c r="B518" s="5" t="s">
        <v>11</v>
      </c>
      <c r="C518" s="5" t="s">
        <v>72</v>
      </c>
      <c r="D518" s="5">
        <v>1</v>
      </c>
      <c r="E518" s="6">
        <v>30.71</v>
      </c>
      <c r="F518" s="6">
        <f t="shared" si="34"/>
        <v>30.71</v>
      </c>
      <c r="G518" s="5" t="s">
        <v>170</v>
      </c>
      <c r="H518" s="38">
        <v>191327</v>
      </c>
      <c r="I518" s="5" t="s">
        <v>54</v>
      </c>
      <c r="J518" s="16">
        <f t="shared" si="35"/>
        <v>0.21237194328462414</v>
      </c>
    </row>
    <row r="519" spans="1:10" ht="15" hidden="1" customHeight="1" x14ac:dyDescent="0.3">
      <c r="A519" s="5" t="s">
        <v>5</v>
      </c>
      <c r="B519" s="5" t="s">
        <v>11</v>
      </c>
      <c r="C519" s="5" t="s">
        <v>58</v>
      </c>
      <c r="D519" s="133">
        <v>9</v>
      </c>
      <c r="E519" s="6">
        <v>10.047000000000001</v>
      </c>
      <c r="F519" s="6">
        <f t="shared" si="34"/>
        <v>90.423000000000002</v>
      </c>
      <c r="G519" s="5" t="s">
        <v>171</v>
      </c>
      <c r="H519" s="38">
        <v>191327</v>
      </c>
      <c r="I519" s="5" t="s">
        <v>54</v>
      </c>
      <c r="J519" s="16">
        <f t="shared" si="35"/>
        <v>0.21237194328462414</v>
      </c>
    </row>
    <row r="520" spans="1:10" ht="15" hidden="1" customHeight="1" x14ac:dyDescent="0.3">
      <c r="A520" s="5" t="s">
        <v>5</v>
      </c>
      <c r="B520" s="5" t="s">
        <v>11</v>
      </c>
      <c r="C520" s="5" t="s">
        <v>59</v>
      </c>
      <c r="D520" s="133">
        <v>9</v>
      </c>
      <c r="E520" s="6">
        <v>2.0697999999999999</v>
      </c>
      <c r="F520" s="6">
        <f t="shared" si="34"/>
        <v>18.6282</v>
      </c>
      <c r="G520" s="5" t="s">
        <v>171</v>
      </c>
      <c r="H520" s="38">
        <v>191327</v>
      </c>
      <c r="I520" s="5" t="s">
        <v>54</v>
      </c>
      <c r="J520" s="16">
        <f t="shared" si="35"/>
        <v>0.21237194328462414</v>
      </c>
    </row>
    <row r="521" spans="1:10" ht="15" hidden="1" customHeight="1" x14ac:dyDescent="0.3">
      <c r="A521" s="5" t="s">
        <v>5</v>
      </c>
      <c r="B521" s="5" t="s">
        <v>11</v>
      </c>
      <c r="C521" s="5" t="s">
        <v>74</v>
      </c>
      <c r="D521" s="5">
        <v>0</v>
      </c>
      <c r="E521" s="6"/>
      <c r="F521" s="6">
        <f t="shared" si="34"/>
        <v>0</v>
      </c>
      <c r="G521" s="5"/>
      <c r="H521" s="38">
        <v>191327</v>
      </c>
      <c r="I521" s="5" t="s">
        <v>54</v>
      </c>
      <c r="J521" s="16">
        <f t="shared" si="35"/>
        <v>0.21237194328462414</v>
      </c>
    </row>
    <row r="522" spans="1:10" ht="15" hidden="1" customHeight="1" x14ac:dyDescent="0.3">
      <c r="A522" s="5" t="s">
        <v>5</v>
      </c>
      <c r="B522" s="5" t="s">
        <v>11</v>
      </c>
      <c r="C522" s="5" t="s">
        <v>62</v>
      </c>
      <c r="D522" s="5">
        <v>7</v>
      </c>
      <c r="E522" s="6"/>
      <c r="F522" s="6">
        <f t="shared" si="34"/>
        <v>0</v>
      </c>
      <c r="G522" s="5"/>
      <c r="H522" s="38">
        <v>191327</v>
      </c>
      <c r="I522" s="5" t="s">
        <v>54</v>
      </c>
      <c r="J522" s="16">
        <f t="shared" si="35"/>
        <v>0.21237194328462414</v>
      </c>
    </row>
    <row r="523" spans="1:10" ht="15" hidden="1" customHeight="1" x14ac:dyDescent="0.3">
      <c r="A523" s="5" t="s">
        <v>5</v>
      </c>
      <c r="B523" s="5" t="s">
        <v>11</v>
      </c>
      <c r="C523" s="5" t="s">
        <v>60</v>
      </c>
      <c r="D523" s="5">
        <v>0</v>
      </c>
      <c r="E523" s="6"/>
      <c r="F523" s="6">
        <f t="shared" si="34"/>
        <v>0</v>
      </c>
      <c r="G523" s="5"/>
      <c r="H523" s="38">
        <v>191327</v>
      </c>
      <c r="I523" s="5" t="s">
        <v>54</v>
      </c>
      <c r="J523" s="16">
        <f t="shared" si="35"/>
        <v>0.21237194328462414</v>
      </c>
    </row>
    <row r="524" spans="1:10" ht="15" hidden="1" customHeight="1" x14ac:dyDescent="0.3">
      <c r="A524" s="5" t="s">
        <v>5</v>
      </c>
      <c r="B524" s="5" t="s">
        <v>11</v>
      </c>
      <c r="C524" s="5" t="s">
        <v>70</v>
      </c>
      <c r="D524" s="5">
        <v>0</v>
      </c>
      <c r="E524" s="6"/>
      <c r="F524" s="6">
        <f t="shared" si="34"/>
        <v>0</v>
      </c>
      <c r="G524" s="5"/>
      <c r="H524" s="38">
        <v>191327</v>
      </c>
      <c r="I524" s="5" t="s">
        <v>54</v>
      </c>
      <c r="J524" s="16">
        <f t="shared" si="35"/>
        <v>0.21237194328462414</v>
      </c>
    </row>
    <row r="525" spans="1:10" ht="15" hidden="1" customHeight="1" x14ac:dyDescent="0.3">
      <c r="A525" s="5" t="s">
        <v>5</v>
      </c>
      <c r="B525" s="5" t="s">
        <v>11</v>
      </c>
      <c r="C525" s="5" t="s">
        <v>64</v>
      </c>
      <c r="D525" s="5">
        <v>0</v>
      </c>
      <c r="E525" s="6"/>
      <c r="F525" s="6">
        <f t="shared" si="34"/>
        <v>0</v>
      </c>
      <c r="G525" s="5"/>
      <c r="H525" s="38">
        <v>191327</v>
      </c>
      <c r="I525" s="5" t="s">
        <v>54</v>
      </c>
      <c r="J525" s="16">
        <f t="shared" si="35"/>
        <v>0.21237194328462414</v>
      </c>
    </row>
    <row r="526" spans="1:10" ht="15" hidden="1" customHeight="1" x14ac:dyDescent="0.3">
      <c r="A526" s="5" t="s">
        <v>5</v>
      </c>
      <c r="B526" s="5" t="s">
        <v>11</v>
      </c>
      <c r="C526" s="5" t="s">
        <v>66</v>
      </c>
      <c r="D526" s="5">
        <v>0</v>
      </c>
      <c r="E526" s="6"/>
      <c r="F526" s="6">
        <f t="shared" si="34"/>
        <v>0</v>
      </c>
      <c r="G526" s="5"/>
      <c r="H526" s="38">
        <v>191327</v>
      </c>
      <c r="I526" s="5" t="s">
        <v>54</v>
      </c>
      <c r="J526" s="16">
        <f t="shared" si="35"/>
        <v>0.21237194328462414</v>
      </c>
    </row>
    <row r="527" spans="1:10" ht="15" hidden="1" customHeight="1" x14ac:dyDescent="0.3">
      <c r="A527" s="5" t="s">
        <v>5</v>
      </c>
      <c r="B527" s="5" t="s">
        <v>12</v>
      </c>
      <c r="C527" s="5" t="s">
        <v>53</v>
      </c>
      <c r="D527" s="133">
        <v>5</v>
      </c>
      <c r="E527" s="6">
        <v>15017.34</v>
      </c>
      <c r="F527" s="6">
        <f>E527</f>
        <v>15017.34</v>
      </c>
      <c r="G527" s="5" t="s">
        <v>179</v>
      </c>
      <c r="H527" s="38">
        <v>177925</v>
      </c>
      <c r="I527" s="5" t="s">
        <v>82</v>
      </c>
      <c r="J527" s="16">
        <f t="shared" si="35"/>
        <v>0.10548679622443068</v>
      </c>
    </row>
    <row r="528" spans="1:10" ht="15" hidden="1" customHeight="1" x14ac:dyDescent="0.3">
      <c r="A528" s="5" t="s">
        <v>5</v>
      </c>
      <c r="B528" s="5" t="s">
        <v>12</v>
      </c>
      <c r="C528" s="5" t="s">
        <v>55</v>
      </c>
      <c r="D528" s="133">
        <v>5</v>
      </c>
      <c r="E528" s="59">
        <v>64.569224000000006</v>
      </c>
      <c r="F528" s="6">
        <f t="shared" ref="F528:F547" si="36">D528*E528</f>
        <v>322.84612000000004</v>
      </c>
      <c r="G528" s="5"/>
      <c r="H528" s="38">
        <v>177925</v>
      </c>
      <c r="I528" s="5" t="s">
        <v>82</v>
      </c>
      <c r="J528" s="16">
        <f t="shared" si="35"/>
        <v>0.10548679622443068</v>
      </c>
    </row>
    <row r="529" spans="1:10" ht="15" hidden="1" customHeight="1" x14ac:dyDescent="0.3">
      <c r="A529" s="5" t="s">
        <v>5</v>
      </c>
      <c r="B529" s="5" t="s">
        <v>12</v>
      </c>
      <c r="C529" s="5" t="s">
        <v>26</v>
      </c>
      <c r="D529" s="133">
        <v>5</v>
      </c>
      <c r="E529" s="37">
        <v>28.310635756385071</v>
      </c>
      <c r="F529" s="6">
        <f t="shared" si="36"/>
        <v>141.55317878192537</v>
      </c>
      <c r="G529" s="5"/>
      <c r="H529" s="38">
        <v>177925</v>
      </c>
      <c r="I529" s="5" t="s">
        <v>82</v>
      </c>
      <c r="J529" s="16">
        <f t="shared" si="35"/>
        <v>0.10548679622443068</v>
      </c>
    </row>
    <row r="530" spans="1:10" ht="15" hidden="1" customHeight="1" x14ac:dyDescent="0.3">
      <c r="A530" s="5" t="s">
        <v>5</v>
      </c>
      <c r="B530" s="5" t="s">
        <v>12</v>
      </c>
      <c r="C530" s="5" t="s">
        <v>14</v>
      </c>
      <c r="D530" s="133">
        <v>5</v>
      </c>
      <c r="E530" s="37">
        <v>47.792983889980349</v>
      </c>
      <c r="F530" s="6">
        <f t="shared" si="36"/>
        <v>238.96491944990174</v>
      </c>
      <c r="G530" s="5"/>
      <c r="H530" s="38">
        <v>177925</v>
      </c>
      <c r="I530" s="5" t="s">
        <v>82</v>
      </c>
      <c r="J530" s="16">
        <f t="shared" si="35"/>
        <v>0.10548679622443068</v>
      </c>
    </row>
    <row r="531" spans="1:10" ht="15" hidden="1" customHeight="1" x14ac:dyDescent="0.3">
      <c r="A531" s="5" t="s">
        <v>5</v>
      </c>
      <c r="B531" s="5" t="s">
        <v>12</v>
      </c>
      <c r="C531" s="5" t="s">
        <v>87</v>
      </c>
      <c r="D531" s="5">
        <v>6</v>
      </c>
      <c r="E531" s="6">
        <v>50</v>
      </c>
      <c r="F531" s="6">
        <f t="shared" si="36"/>
        <v>300</v>
      </c>
      <c r="G531" s="5" t="s">
        <v>170</v>
      </c>
      <c r="H531" s="38">
        <v>177925</v>
      </c>
      <c r="I531" s="5" t="s">
        <v>82</v>
      </c>
      <c r="J531" s="16">
        <f t="shared" si="35"/>
        <v>0.10548679622443068</v>
      </c>
    </row>
    <row r="532" spans="1:10" ht="15" hidden="1" customHeight="1" x14ac:dyDescent="0.3">
      <c r="A532" s="5" t="s">
        <v>5</v>
      </c>
      <c r="B532" s="5" t="s">
        <v>12</v>
      </c>
      <c r="C532" s="5" t="s">
        <v>57</v>
      </c>
      <c r="D532" s="5">
        <v>2</v>
      </c>
      <c r="E532" s="6">
        <v>30</v>
      </c>
      <c r="F532" s="6">
        <f t="shared" si="36"/>
        <v>60</v>
      </c>
      <c r="G532" s="5" t="s">
        <v>170</v>
      </c>
      <c r="H532" s="38">
        <v>177925</v>
      </c>
      <c r="I532" s="5" t="s">
        <v>82</v>
      </c>
      <c r="J532" s="16">
        <f t="shared" si="35"/>
        <v>0.10548679622443068</v>
      </c>
    </row>
    <row r="533" spans="1:10" ht="15" hidden="1" customHeight="1" x14ac:dyDescent="0.3">
      <c r="A533" s="5" t="s">
        <v>5</v>
      </c>
      <c r="B533" s="5" t="s">
        <v>12</v>
      </c>
      <c r="C533" s="5" t="s">
        <v>71</v>
      </c>
      <c r="D533" s="5">
        <v>0</v>
      </c>
      <c r="E533" s="6">
        <v>0</v>
      </c>
      <c r="F533" s="6">
        <f t="shared" si="36"/>
        <v>0</v>
      </c>
      <c r="G533" s="5" t="s">
        <v>170</v>
      </c>
      <c r="H533" s="38">
        <v>177925</v>
      </c>
      <c r="I533" s="5" t="s">
        <v>82</v>
      </c>
      <c r="J533" s="16">
        <f t="shared" si="35"/>
        <v>0.10548679622443068</v>
      </c>
    </row>
    <row r="534" spans="1:10" ht="15" hidden="1" customHeight="1" x14ac:dyDescent="0.3">
      <c r="A534" s="5" t="s">
        <v>5</v>
      </c>
      <c r="B534" s="5" t="s">
        <v>12</v>
      </c>
      <c r="C534" s="5" t="s">
        <v>58</v>
      </c>
      <c r="D534" s="133">
        <v>5</v>
      </c>
      <c r="E534" s="6">
        <v>10.047000000000001</v>
      </c>
      <c r="F534" s="6">
        <f t="shared" si="36"/>
        <v>50.234999999999999</v>
      </c>
      <c r="G534" s="5" t="s">
        <v>171</v>
      </c>
      <c r="H534" s="38">
        <v>177925</v>
      </c>
      <c r="I534" s="5" t="s">
        <v>82</v>
      </c>
      <c r="J534" s="16">
        <f t="shared" si="35"/>
        <v>0.10548679622443068</v>
      </c>
    </row>
    <row r="535" spans="1:10" ht="15" hidden="1" customHeight="1" x14ac:dyDescent="0.3">
      <c r="A535" s="5" t="s">
        <v>5</v>
      </c>
      <c r="B535" s="5" t="s">
        <v>12</v>
      </c>
      <c r="C535" s="5" t="s">
        <v>59</v>
      </c>
      <c r="D535" s="133">
        <v>5</v>
      </c>
      <c r="E535" s="6">
        <v>2.0697999999999999</v>
      </c>
      <c r="F535" s="6">
        <f t="shared" si="36"/>
        <v>10.349</v>
      </c>
      <c r="G535" s="5" t="s">
        <v>171</v>
      </c>
      <c r="H535" s="38">
        <v>177925</v>
      </c>
      <c r="I535" s="5" t="s">
        <v>82</v>
      </c>
      <c r="J535" s="16">
        <f t="shared" si="35"/>
        <v>0.10548679622443068</v>
      </c>
    </row>
    <row r="536" spans="1:10" ht="15" hidden="1" customHeight="1" x14ac:dyDescent="0.3">
      <c r="A536" s="5" t="s">
        <v>5</v>
      </c>
      <c r="B536" s="5" t="s">
        <v>12</v>
      </c>
      <c r="C536" s="5" t="s">
        <v>88</v>
      </c>
      <c r="D536" s="5">
        <v>1</v>
      </c>
      <c r="E536" s="6"/>
      <c r="F536" s="6">
        <f t="shared" si="36"/>
        <v>0</v>
      </c>
      <c r="G536" s="5"/>
      <c r="H536" s="38">
        <v>177925</v>
      </c>
      <c r="I536" s="5" t="s">
        <v>82</v>
      </c>
      <c r="J536" s="16">
        <f t="shared" si="35"/>
        <v>0.10548679622443068</v>
      </c>
    </row>
    <row r="537" spans="1:10" ht="15" hidden="1" customHeight="1" x14ac:dyDescent="0.3">
      <c r="A537" s="5" t="s">
        <v>5</v>
      </c>
      <c r="B537" s="5" t="s">
        <v>12</v>
      </c>
      <c r="C537" s="5" t="s">
        <v>74</v>
      </c>
      <c r="D537" s="5">
        <v>1</v>
      </c>
      <c r="E537" s="6">
        <v>0</v>
      </c>
      <c r="F537" s="6">
        <f t="shared" si="36"/>
        <v>0</v>
      </c>
      <c r="G537" s="5" t="s">
        <v>172</v>
      </c>
      <c r="H537" s="38">
        <v>177925</v>
      </c>
      <c r="I537" s="5" t="s">
        <v>82</v>
      </c>
      <c r="J537" s="16">
        <f t="shared" si="35"/>
        <v>0.10548679622443068</v>
      </c>
    </row>
    <row r="538" spans="1:10" ht="15" hidden="1" customHeight="1" x14ac:dyDescent="0.3">
      <c r="A538" s="5" t="s">
        <v>5</v>
      </c>
      <c r="B538" s="5" t="s">
        <v>12</v>
      </c>
      <c r="C538" s="5" t="s">
        <v>62</v>
      </c>
      <c r="D538" s="5">
        <v>1</v>
      </c>
      <c r="E538" s="6">
        <v>68</v>
      </c>
      <c r="F538" s="6">
        <f t="shared" si="36"/>
        <v>68</v>
      </c>
      <c r="G538" s="5" t="s">
        <v>172</v>
      </c>
      <c r="H538" s="38">
        <v>177925</v>
      </c>
      <c r="I538" s="5" t="s">
        <v>82</v>
      </c>
      <c r="J538" s="16">
        <f t="shared" si="35"/>
        <v>0.10548679622443068</v>
      </c>
    </row>
    <row r="539" spans="1:10" ht="15" hidden="1" customHeight="1" x14ac:dyDescent="0.3">
      <c r="A539" s="5" t="s">
        <v>5</v>
      </c>
      <c r="B539" s="5" t="s">
        <v>12</v>
      </c>
      <c r="C539" s="5" t="s">
        <v>89</v>
      </c>
      <c r="D539" s="5">
        <v>0</v>
      </c>
      <c r="E539" s="6"/>
      <c r="F539" s="6">
        <f t="shared" si="36"/>
        <v>0</v>
      </c>
      <c r="G539" s="5"/>
      <c r="H539" s="38">
        <v>177925</v>
      </c>
      <c r="I539" s="5" t="s">
        <v>82</v>
      </c>
      <c r="J539" s="16">
        <f t="shared" si="35"/>
        <v>0.10548679622443068</v>
      </c>
    </row>
    <row r="540" spans="1:10" ht="15" hidden="1" customHeight="1" x14ac:dyDescent="0.3">
      <c r="A540" s="5" t="s">
        <v>5</v>
      </c>
      <c r="B540" s="5" t="s">
        <v>12</v>
      </c>
      <c r="C540" s="5" t="s">
        <v>64</v>
      </c>
      <c r="D540" s="5">
        <v>1</v>
      </c>
      <c r="E540" s="6"/>
      <c r="F540" s="6">
        <f t="shared" si="36"/>
        <v>0</v>
      </c>
      <c r="G540" s="5"/>
      <c r="H540" s="38">
        <v>177925</v>
      </c>
      <c r="I540" s="5" t="s">
        <v>82</v>
      </c>
      <c r="J540" s="16">
        <f t="shared" si="35"/>
        <v>0.10548679622443068</v>
      </c>
    </row>
    <row r="541" spans="1:10" ht="15" hidden="1" customHeight="1" x14ac:dyDescent="0.3">
      <c r="A541" s="5" t="s">
        <v>5</v>
      </c>
      <c r="B541" s="5" t="s">
        <v>12</v>
      </c>
      <c r="C541" s="5" t="s">
        <v>66</v>
      </c>
      <c r="D541" s="5">
        <v>1</v>
      </c>
      <c r="E541" s="6"/>
      <c r="F541" s="6">
        <f t="shared" si="36"/>
        <v>0</v>
      </c>
      <c r="G541" s="5"/>
      <c r="H541" s="38">
        <v>177925</v>
      </c>
      <c r="I541" s="5" t="s">
        <v>82</v>
      </c>
      <c r="J541" s="16">
        <f t="shared" si="35"/>
        <v>0.10548679622443068</v>
      </c>
    </row>
    <row r="542" spans="1:10" ht="15" hidden="1" customHeight="1" x14ac:dyDescent="0.3">
      <c r="A542" s="5" t="s">
        <v>5</v>
      </c>
      <c r="B542" s="5" t="s">
        <v>12</v>
      </c>
      <c r="C542" s="5" t="s">
        <v>60</v>
      </c>
      <c r="D542" s="5">
        <v>0</v>
      </c>
      <c r="E542" s="6"/>
      <c r="F542" s="6">
        <f t="shared" si="36"/>
        <v>0</v>
      </c>
      <c r="G542" s="5"/>
      <c r="H542" s="38">
        <v>177925</v>
      </c>
      <c r="I542" s="5" t="s">
        <v>82</v>
      </c>
      <c r="J542" s="16">
        <f t="shared" si="35"/>
        <v>0.10548679622443068</v>
      </c>
    </row>
    <row r="543" spans="1:10" ht="15" hidden="1" customHeight="1" x14ac:dyDescent="0.3">
      <c r="A543" s="5" t="s">
        <v>5</v>
      </c>
      <c r="B543" s="5" t="s">
        <v>12</v>
      </c>
      <c r="C543" s="5" t="s">
        <v>83</v>
      </c>
      <c r="D543" s="5">
        <v>0</v>
      </c>
      <c r="E543" s="6"/>
      <c r="F543" s="6">
        <f t="shared" si="36"/>
        <v>0</v>
      </c>
      <c r="G543" s="5"/>
      <c r="H543" s="38">
        <v>177925</v>
      </c>
      <c r="I543" s="5" t="s">
        <v>82</v>
      </c>
      <c r="J543" s="16">
        <f t="shared" si="35"/>
        <v>0.10548679622443068</v>
      </c>
    </row>
    <row r="544" spans="1:10" ht="15" hidden="1" customHeight="1" x14ac:dyDescent="0.3">
      <c r="A544" s="5" t="s">
        <v>5</v>
      </c>
      <c r="B544" s="5" t="s">
        <v>12</v>
      </c>
      <c r="C544" s="5" t="s">
        <v>67</v>
      </c>
      <c r="D544" s="5">
        <v>0</v>
      </c>
      <c r="E544" s="6"/>
      <c r="F544" s="6">
        <f t="shared" si="36"/>
        <v>0</v>
      </c>
      <c r="G544" s="5"/>
      <c r="H544" s="38">
        <v>177925</v>
      </c>
      <c r="I544" s="5" t="s">
        <v>82</v>
      </c>
      <c r="J544" s="16">
        <f t="shared" si="35"/>
        <v>0.10548679622443068</v>
      </c>
    </row>
    <row r="545" spans="1:10" ht="15" hidden="1" customHeight="1" x14ac:dyDescent="0.3">
      <c r="A545" s="5" t="s">
        <v>5</v>
      </c>
      <c r="B545" s="5" t="s">
        <v>12</v>
      </c>
      <c r="C545" s="5" t="s">
        <v>90</v>
      </c>
      <c r="D545" s="5">
        <v>0</v>
      </c>
      <c r="E545" s="6"/>
      <c r="F545" s="6">
        <f t="shared" si="36"/>
        <v>0</v>
      </c>
      <c r="G545" s="5"/>
      <c r="H545" s="38">
        <v>177925</v>
      </c>
      <c r="I545" s="5" t="s">
        <v>82</v>
      </c>
      <c r="J545" s="16">
        <f t="shared" si="35"/>
        <v>0.10548679622443068</v>
      </c>
    </row>
    <row r="546" spans="1:10" ht="15" hidden="1" customHeight="1" x14ac:dyDescent="0.3">
      <c r="A546" s="5" t="s">
        <v>5</v>
      </c>
      <c r="B546" s="5" t="s">
        <v>12</v>
      </c>
      <c r="C546" s="5" t="s">
        <v>91</v>
      </c>
      <c r="D546" s="5">
        <v>2</v>
      </c>
      <c r="E546" s="6"/>
      <c r="F546" s="6">
        <f t="shared" si="36"/>
        <v>0</v>
      </c>
      <c r="G546" s="5"/>
      <c r="H546" s="38">
        <v>177925</v>
      </c>
      <c r="I546" s="5" t="s">
        <v>82</v>
      </c>
      <c r="J546" s="16">
        <f t="shared" si="35"/>
        <v>0.10548679622443068</v>
      </c>
    </row>
    <row r="547" spans="1:10" ht="15" hidden="1" customHeight="1" x14ac:dyDescent="0.3">
      <c r="A547" s="5" t="s">
        <v>5</v>
      </c>
      <c r="B547" s="5" t="s">
        <v>12</v>
      </c>
      <c r="C547" s="5" t="s">
        <v>92</v>
      </c>
      <c r="D547" s="5">
        <v>1</v>
      </c>
      <c r="E547" s="6">
        <v>2559.4499999999998</v>
      </c>
      <c r="F547" s="6">
        <f t="shared" si="36"/>
        <v>2559.4499999999998</v>
      </c>
      <c r="G547" s="5" t="s">
        <v>170</v>
      </c>
      <c r="H547" s="38">
        <v>177925</v>
      </c>
      <c r="I547" s="5" t="s">
        <v>82</v>
      </c>
      <c r="J547" s="16">
        <f t="shared" si="35"/>
        <v>0.10548679622443068</v>
      </c>
    </row>
    <row r="548" spans="1:10" ht="15" hidden="1" customHeight="1" x14ac:dyDescent="0.3">
      <c r="A548" s="5" t="s">
        <v>5</v>
      </c>
      <c r="B548" s="5" t="s">
        <v>14</v>
      </c>
      <c r="C548" s="5" t="s">
        <v>53</v>
      </c>
      <c r="D548" s="133">
        <v>7</v>
      </c>
      <c r="E548" s="6">
        <v>40235.06</v>
      </c>
      <c r="F548" s="6">
        <f>E548</f>
        <v>40235.06</v>
      </c>
      <c r="G548" s="5" t="s">
        <v>180</v>
      </c>
      <c r="H548" s="34">
        <v>1018</v>
      </c>
      <c r="I548" s="5" t="s">
        <v>93</v>
      </c>
      <c r="J548" s="16">
        <f t="shared" si="35"/>
        <v>47.792983889980349</v>
      </c>
    </row>
    <row r="549" spans="1:10" ht="15" hidden="1" customHeight="1" x14ac:dyDescent="0.3">
      <c r="A549" s="5" t="s">
        <v>5</v>
      </c>
      <c r="B549" s="5" t="s">
        <v>14</v>
      </c>
      <c r="C549" s="5" t="s">
        <v>87</v>
      </c>
      <c r="D549" s="5">
        <v>8</v>
      </c>
      <c r="E549" s="6">
        <v>50</v>
      </c>
      <c r="F549" s="6">
        <f t="shared" ref="F549:F564" si="37">D549*E549</f>
        <v>400</v>
      </c>
      <c r="G549" s="5" t="s">
        <v>170</v>
      </c>
      <c r="H549" s="34">
        <v>1018</v>
      </c>
      <c r="I549" s="5" t="s">
        <v>93</v>
      </c>
      <c r="J549" s="16">
        <f t="shared" si="35"/>
        <v>47.792983889980349</v>
      </c>
    </row>
    <row r="550" spans="1:10" ht="15" hidden="1" customHeight="1" x14ac:dyDescent="0.3">
      <c r="A550" s="5" t="s">
        <v>5</v>
      </c>
      <c r="B550" s="5" t="s">
        <v>14</v>
      </c>
      <c r="C550" s="5" t="s">
        <v>74</v>
      </c>
      <c r="D550" s="5">
        <v>1</v>
      </c>
      <c r="E550" s="6">
        <v>0</v>
      </c>
      <c r="F550" s="6">
        <f t="shared" si="37"/>
        <v>0</v>
      </c>
      <c r="G550" s="5" t="s">
        <v>172</v>
      </c>
      <c r="H550" s="34">
        <v>1018</v>
      </c>
      <c r="I550" s="5" t="s">
        <v>93</v>
      </c>
      <c r="J550" s="16">
        <f t="shared" si="35"/>
        <v>47.792983889980349</v>
      </c>
    </row>
    <row r="551" spans="1:10" ht="15" hidden="1" customHeight="1" x14ac:dyDescent="0.3">
      <c r="A551" s="5" t="s">
        <v>5</v>
      </c>
      <c r="B551" s="5" t="s">
        <v>14</v>
      </c>
      <c r="C551" s="5" t="s">
        <v>62</v>
      </c>
      <c r="D551" s="5">
        <v>1</v>
      </c>
      <c r="E551" s="6">
        <v>68</v>
      </c>
      <c r="F551" s="6">
        <f t="shared" si="37"/>
        <v>68</v>
      </c>
      <c r="G551" s="5" t="s">
        <v>172</v>
      </c>
      <c r="H551" s="34">
        <v>1018</v>
      </c>
      <c r="I551" s="5" t="s">
        <v>93</v>
      </c>
      <c r="J551" s="16">
        <f t="shared" si="35"/>
        <v>47.792983889980349</v>
      </c>
    </row>
    <row r="552" spans="1:10" ht="15" hidden="1" customHeight="1" x14ac:dyDescent="0.3">
      <c r="A552" s="5" t="s">
        <v>5</v>
      </c>
      <c r="B552" s="5" t="s">
        <v>14</v>
      </c>
      <c r="C552" s="5" t="s">
        <v>58</v>
      </c>
      <c r="D552" s="133">
        <v>7</v>
      </c>
      <c r="E552" s="6">
        <v>10.047000000000001</v>
      </c>
      <c r="F552" s="6">
        <f t="shared" si="37"/>
        <v>70.329000000000008</v>
      </c>
      <c r="G552" s="5" t="s">
        <v>171</v>
      </c>
      <c r="H552" s="34">
        <v>1018</v>
      </c>
      <c r="I552" s="5" t="s">
        <v>93</v>
      </c>
      <c r="J552" s="16">
        <f t="shared" si="35"/>
        <v>47.792983889980349</v>
      </c>
    </row>
    <row r="553" spans="1:10" ht="15" hidden="1" customHeight="1" x14ac:dyDescent="0.3">
      <c r="A553" s="5" t="s">
        <v>5</v>
      </c>
      <c r="B553" s="5" t="s">
        <v>14</v>
      </c>
      <c r="C553" s="5" t="s">
        <v>59</v>
      </c>
      <c r="D553" s="133">
        <v>7</v>
      </c>
      <c r="E553" s="6">
        <v>2.0697999999999999</v>
      </c>
      <c r="F553" s="6">
        <f t="shared" si="37"/>
        <v>14.488599999999998</v>
      </c>
      <c r="G553" s="5" t="s">
        <v>171</v>
      </c>
      <c r="H553" s="34">
        <v>1018</v>
      </c>
      <c r="I553" s="5" t="s">
        <v>93</v>
      </c>
      <c r="J553" s="16">
        <f t="shared" si="35"/>
        <v>47.792983889980349</v>
      </c>
    </row>
    <row r="554" spans="1:10" ht="15" hidden="1" customHeight="1" x14ac:dyDescent="0.3">
      <c r="A554" s="5" t="s">
        <v>5</v>
      </c>
      <c r="B554" s="5" t="s">
        <v>14</v>
      </c>
      <c r="C554" s="5" t="s">
        <v>70</v>
      </c>
      <c r="D554" s="5">
        <v>0</v>
      </c>
      <c r="E554" s="6"/>
      <c r="F554" s="6">
        <f t="shared" si="37"/>
        <v>0</v>
      </c>
      <c r="G554" s="5"/>
      <c r="H554" s="34">
        <v>1018</v>
      </c>
      <c r="I554" s="5" t="s">
        <v>93</v>
      </c>
      <c r="J554" s="16">
        <f t="shared" si="35"/>
        <v>47.792983889980349</v>
      </c>
    </row>
    <row r="555" spans="1:10" ht="15" hidden="1" customHeight="1" x14ac:dyDescent="0.3">
      <c r="A555" s="5" t="s">
        <v>5</v>
      </c>
      <c r="B555" s="5" t="s">
        <v>14</v>
      </c>
      <c r="C555" s="5" t="s">
        <v>72</v>
      </c>
      <c r="D555" s="5">
        <v>1</v>
      </c>
      <c r="E555" s="6">
        <v>153.58000000000001</v>
      </c>
      <c r="F555" s="6">
        <f t="shared" si="37"/>
        <v>153.58000000000001</v>
      </c>
      <c r="G555" s="5" t="s">
        <v>170</v>
      </c>
      <c r="H555" s="34">
        <v>1018</v>
      </c>
      <c r="I555" s="5" t="s">
        <v>93</v>
      </c>
      <c r="J555" s="16">
        <f t="shared" si="35"/>
        <v>47.792983889980349</v>
      </c>
    </row>
    <row r="556" spans="1:10" ht="15" hidden="1" customHeight="1" x14ac:dyDescent="0.3">
      <c r="A556" s="5" t="s">
        <v>5</v>
      </c>
      <c r="B556" s="5" t="s">
        <v>14</v>
      </c>
      <c r="C556" s="5" t="s">
        <v>94</v>
      </c>
      <c r="D556" s="5">
        <v>2</v>
      </c>
      <c r="E556" s="6">
        <v>30</v>
      </c>
      <c r="F556" s="6">
        <f t="shared" si="37"/>
        <v>60</v>
      </c>
      <c r="G556" s="5" t="s">
        <v>170</v>
      </c>
      <c r="H556" s="34">
        <v>1018</v>
      </c>
      <c r="I556" s="5" t="s">
        <v>93</v>
      </c>
      <c r="J556" s="16">
        <f t="shared" si="35"/>
        <v>47.792983889980349</v>
      </c>
    </row>
    <row r="557" spans="1:10" ht="15" hidden="1" customHeight="1" x14ac:dyDescent="0.3">
      <c r="A557" s="5" t="s">
        <v>5</v>
      </c>
      <c r="B557" s="5" t="s">
        <v>14</v>
      </c>
      <c r="C557" s="5" t="s">
        <v>76</v>
      </c>
      <c r="D557" s="5">
        <v>0</v>
      </c>
      <c r="E557" s="6">
        <v>0</v>
      </c>
      <c r="F557" s="6">
        <f t="shared" si="37"/>
        <v>0</v>
      </c>
      <c r="G557" s="5" t="s">
        <v>170</v>
      </c>
      <c r="H557" s="34">
        <v>1018</v>
      </c>
      <c r="I557" s="5" t="s">
        <v>93</v>
      </c>
      <c r="J557" s="16">
        <f t="shared" si="35"/>
        <v>47.792983889980349</v>
      </c>
    </row>
    <row r="558" spans="1:10" ht="15" hidden="1" customHeight="1" x14ac:dyDescent="0.3">
      <c r="A558" s="5" t="s">
        <v>5</v>
      </c>
      <c r="B558" s="5" t="s">
        <v>14</v>
      </c>
      <c r="C558" s="5" t="s">
        <v>95</v>
      </c>
      <c r="D558" s="5">
        <v>1</v>
      </c>
      <c r="E558" s="6">
        <v>28.5</v>
      </c>
      <c r="F558" s="6">
        <f t="shared" si="37"/>
        <v>28.5</v>
      </c>
      <c r="G558" s="5" t="s">
        <v>65</v>
      </c>
      <c r="H558" s="34">
        <v>1018</v>
      </c>
      <c r="I558" s="5" t="s">
        <v>93</v>
      </c>
      <c r="J558" s="16">
        <f t="shared" si="35"/>
        <v>47.792983889980349</v>
      </c>
    </row>
    <row r="559" spans="1:10" ht="15" hidden="1" customHeight="1" x14ac:dyDescent="0.3">
      <c r="A559" s="5" t="s">
        <v>5</v>
      </c>
      <c r="B559" s="5" t="s">
        <v>14</v>
      </c>
      <c r="C559" s="5" t="s">
        <v>64</v>
      </c>
      <c r="D559" s="5">
        <v>1</v>
      </c>
      <c r="E559" s="6">
        <v>0</v>
      </c>
      <c r="F559" s="6">
        <f t="shared" si="37"/>
        <v>0</v>
      </c>
      <c r="G559" s="5" t="s">
        <v>65</v>
      </c>
      <c r="H559" s="34">
        <v>1018</v>
      </c>
      <c r="I559" s="5" t="s">
        <v>93</v>
      </c>
      <c r="J559" s="16">
        <f t="shared" si="35"/>
        <v>47.792983889980349</v>
      </c>
    </row>
    <row r="560" spans="1:10" ht="15" hidden="1" customHeight="1" x14ac:dyDescent="0.3">
      <c r="A560" s="5" t="s">
        <v>5</v>
      </c>
      <c r="B560" s="5" t="s">
        <v>14</v>
      </c>
      <c r="C560" s="5" t="s">
        <v>73</v>
      </c>
      <c r="D560" s="5">
        <v>0</v>
      </c>
      <c r="E560" s="6"/>
      <c r="F560" s="6">
        <f t="shared" si="37"/>
        <v>0</v>
      </c>
      <c r="G560" s="5"/>
      <c r="H560" s="34">
        <v>1018</v>
      </c>
      <c r="I560" s="5" t="s">
        <v>93</v>
      </c>
      <c r="J560" s="16">
        <f t="shared" si="35"/>
        <v>47.792983889980349</v>
      </c>
    </row>
    <row r="561" spans="1:10" ht="15" hidden="1" customHeight="1" x14ac:dyDescent="0.3">
      <c r="A561" s="5" t="s">
        <v>5</v>
      </c>
      <c r="B561" s="5" t="s">
        <v>14</v>
      </c>
      <c r="C561" s="5" t="s">
        <v>89</v>
      </c>
      <c r="D561" s="5">
        <v>0</v>
      </c>
      <c r="E561" s="6"/>
      <c r="F561" s="6">
        <f t="shared" si="37"/>
        <v>0</v>
      </c>
      <c r="G561" s="5"/>
      <c r="H561" s="34">
        <v>1018</v>
      </c>
      <c r="I561" s="5" t="s">
        <v>93</v>
      </c>
      <c r="J561" s="16">
        <f t="shared" si="35"/>
        <v>47.792983889980349</v>
      </c>
    </row>
    <row r="562" spans="1:10" ht="15" hidden="1" customHeight="1" x14ac:dyDescent="0.3">
      <c r="A562" s="5" t="s">
        <v>5</v>
      </c>
      <c r="B562" s="5" t="s">
        <v>14</v>
      </c>
      <c r="C562" s="5" t="s">
        <v>96</v>
      </c>
      <c r="D562" s="5">
        <v>1</v>
      </c>
      <c r="E562" s="6">
        <v>4226.8</v>
      </c>
      <c r="F562" s="6">
        <f t="shared" si="37"/>
        <v>4226.8</v>
      </c>
      <c r="G562" s="5" t="s">
        <v>170</v>
      </c>
      <c r="H562" s="34">
        <v>1018</v>
      </c>
      <c r="I562" s="5" t="s">
        <v>93</v>
      </c>
      <c r="J562" s="16">
        <f t="shared" si="35"/>
        <v>47.792983889980349</v>
      </c>
    </row>
    <row r="563" spans="1:10" ht="15" hidden="1" customHeight="1" x14ac:dyDescent="0.3">
      <c r="A563" s="5" t="s">
        <v>5</v>
      </c>
      <c r="B563" s="5" t="s">
        <v>14</v>
      </c>
      <c r="C563" s="5" t="s">
        <v>97</v>
      </c>
      <c r="D563" s="5">
        <v>1</v>
      </c>
      <c r="E563" s="6">
        <v>2559.44</v>
      </c>
      <c r="F563" s="6">
        <f t="shared" si="37"/>
        <v>2559.44</v>
      </c>
      <c r="G563" s="5" t="s">
        <v>170</v>
      </c>
      <c r="H563" s="34">
        <v>1018</v>
      </c>
      <c r="I563" s="5" t="s">
        <v>93</v>
      </c>
      <c r="J563" s="16">
        <f t="shared" si="35"/>
        <v>47.792983889980349</v>
      </c>
    </row>
    <row r="564" spans="1:10" ht="15" hidden="1" customHeight="1" x14ac:dyDescent="0.3">
      <c r="A564" s="5" t="s">
        <v>5</v>
      </c>
      <c r="B564" s="5" t="s">
        <v>14</v>
      </c>
      <c r="C564" s="5" t="s">
        <v>98</v>
      </c>
      <c r="D564" s="5">
        <v>1</v>
      </c>
      <c r="E564" s="6">
        <v>837.06</v>
      </c>
      <c r="F564" s="6">
        <f t="shared" si="37"/>
        <v>837.06</v>
      </c>
      <c r="G564" s="5" t="s">
        <v>170</v>
      </c>
      <c r="H564" s="34">
        <v>1018</v>
      </c>
      <c r="I564" s="5" t="s">
        <v>93</v>
      </c>
      <c r="J564" s="16">
        <f t="shared" si="35"/>
        <v>47.792983889980349</v>
      </c>
    </row>
    <row r="565" spans="1:10" ht="15" hidden="1" customHeight="1" x14ac:dyDescent="0.3">
      <c r="A565" s="5" t="s">
        <v>5</v>
      </c>
      <c r="B565" s="5" t="s">
        <v>13</v>
      </c>
      <c r="C565" s="5" t="s">
        <v>99</v>
      </c>
      <c r="D565" s="133">
        <v>5</v>
      </c>
      <c r="E565" s="6">
        <v>19688.740000000002</v>
      </c>
      <c r="F565" s="6">
        <f>E565</f>
        <v>19688.740000000002</v>
      </c>
      <c r="G565" s="5" t="s">
        <v>179</v>
      </c>
      <c r="H565" s="38">
        <v>191327</v>
      </c>
      <c r="I565" s="5" t="s">
        <v>54</v>
      </c>
      <c r="J565" s="16">
        <f t="shared" si="35"/>
        <v>0.10820578495576592</v>
      </c>
    </row>
    <row r="566" spans="1:10" ht="15" hidden="1" customHeight="1" x14ac:dyDescent="0.3">
      <c r="A566" s="5" t="s">
        <v>5</v>
      </c>
      <c r="B566" s="5" t="s">
        <v>13</v>
      </c>
      <c r="C566" s="5" t="s">
        <v>55</v>
      </c>
      <c r="D566" s="133">
        <v>5</v>
      </c>
      <c r="E566" s="59">
        <v>64.569224000000006</v>
      </c>
      <c r="F566" s="6">
        <f t="shared" ref="F566:F579" si="38">D566*E566</f>
        <v>322.84612000000004</v>
      </c>
      <c r="G566" s="5"/>
      <c r="H566" s="38">
        <v>191327</v>
      </c>
      <c r="I566" s="5" t="s">
        <v>54</v>
      </c>
      <c r="J566" s="16">
        <f t="shared" si="35"/>
        <v>0.10820578495576592</v>
      </c>
    </row>
    <row r="567" spans="1:10" ht="15" hidden="1" customHeight="1" x14ac:dyDescent="0.3">
      <c r="A567" s="5" t="s">
        <v>5</v>
      </c>
      <c r="B567" s="5" t="s">
        <v>13</v>
      </c>
      <c r="C567" s="5" t="s">
        <v>26</v>
      </c>
      <c r="D567" s="133">
        <v>5</v>
      </c>
      <c r="E567" s="37">
        <v>28.310635756385071</v>
      </c>
      <c r="F567" s="6">
        <f t="shared" si="38"/>
        <v>141.55317878192537</v>
      </c>
      <c r="G567" s="5"/>
      <c r="H567" s="38">
        <v>191327</v>
      </c>
      <c r="I567" s="5" t="s">
        <v>54</v>
      </c>
      <c r="J567" s="16">
        <f t="shared" si="35"/>
        <v>0.10820578495576592</v>
      </c>
    </row>
    <row r="568" spans="1:10" ht="15" hidden="1" customHeight="1" x14ac:dyDescent="0.3">
      <c r="A568" s="5" t="s">
        <v>5</v>
      </c>
      <c r="B568" s="5" t="s">
        <v>13</v>
      </c>
      <c r="C568" s="5" t="s">
        <v>14</v>
      </c>
      <c r="D568" s="133">
        <v>5</v>
      </c>
      <c r="E568" s="37">
        <v>47.792983889980349</v>
      </c>
      <c r="F568" s="6">
        <f t="shared" si="38"/>
        <v>238.96491944990174</v>
      </c>
      <c r="G568" s="5"/>
      <c r="H568" s="38">
        <v>191327</v>
      </c>
      <c r="I568" s="5" t="s">
        <v>54</v>
      </c>
      <c r="J568" s="16">
        <f t="shared" si="35"/>
        <v>0.10820578495576592</v>
      </c>
    </row>
    <row r="569" spans="1:10" ht="15" hidden="1" customHeight="1" x14ac:dyDescent="0.3">
      <c r="A569" s="5" t="s">
        <v>5</v>
      </c>
      <c r="B569" s="5" t="s">
        <v>13</v>
      </c>
      <c r="C569" s="5" t="s">
        <v>87</v>
      </c>
      <c r="D569" s="5">
        <v>5</v>
      </c>
      <c r="E569" s="6">
        <v>50</v>
      </c>
      <c r="F569" s="6">
        <f t="shared" si="38"/>
        <v>250</v>
      </c>
      <c r="G569" s="5" t="s">
        <v>170</v>
      </c>
      <c r="H569" s="38">
        <v>191327</v>
      </c>
      <c r="I569" s="5" t="s">
        <v>54</v>
      </c>
      <c r="J569" s="16">
        <f t="shared" si="35"/>
        <v>0.10820578495576592</v>
      </c>
    </row>
    <row r="570" spans="1:10" ht="15" hidden="1" customHeight="1" x14ac:dyDescent="0.3">
      <c r="A570" s="5" t="s">
        <v>5</v>
      </c>
      <c r="B570" s="5" t="s">
        <v>13</v>
      </c>
      <c r="C570" s="5" t="s">
        <v>70</v>
      </c>
      <c r="D570" s="5">
        <v>0</v>
      </c>
      <c r="E570" s="6"/>
      <c r="F570" s="6">
        <f t="shared" si="38"/>
        <v>0</v>
      </c>
      <c r="G570" s="5"/>
      <c r="H570" s="38">
        <v>191327</v>
      </c>
      <c r="I570" s="5" t="s">
        <v>54</v>
      </c>
      <c r="J570" s="16">
        <f t="shared" si="35"/>
        <v>0.10820578495576592</v>
      </c>
    </row>
    <row r="571" spans="1:10" ht="15" hidden="1" customHeight="1" x14ac:dyDescent="0.3">
      <c r="A571" s="5" t="s">
        <v>5</v>
      </c>
      <c r="B571" s="5" t="s">
        <v>13</v>
      </c>
      <c r="C571" s="5" t="s">
        <v>76</v>
      </c>
      <c r="D571" s="5">
        <v>0</v>
      </c>
      <c r="E571" s="6">
        <v>0</v>
      </c>
      <c r="F571" s="6">
        <f t="shared" si="38"/>
        <v>0</v>
      </c>
      <c r="G571" s="5" t="s">
        <v>170</v>
      </c>
      <c r="H571" s="38">
        <v>191327</v>
      </c>
      <c r="I571" s="5" t="s">
        <v>54</v>
      </c>
      <c r="J571" s="16">
        <f t="shared" si="35"/>
        <v>0.10820578495576592</v>
      </c>
    </row>
    <row r="572" spans="1:10" ht="15" hidden="1" customHeight="1" x14ac:dyDescent="0.3">
      <c r="A572" s="5" t="s">
        <v>5</v>
      </c>
      <c r="B572" s="5" t="s">
        <v>13</v>
      </c>
      <c r="C572" s="5" t="s">
        <v>71</v>
      </c>
      <c r="D572" s="5">
        <v>0</v>
      </c>
      <c r="E572" s="6">
        <v>0</v>
      </c>
      <c r="F572" s="6">
        <f t="shared" si="38"/>
        <v>0</v>
      </c>
      <c r="G572" s="5" t="s">
        <v>170</v>
      </c>
      <c r="H572" s="38">
        <v>191327</v>
      </c>
      <c r="I572" s="5" t="s">
        <v>54</v>
      </c>
      <c r="J572" s="16">
        <f t="shared" si="35"/>
        <v>0.10820578495576592</v>
      </c>
    </row>
    <row r="573" spans="1:10" ht="15" hidden="1" customHeight="1" x14ac:dyDescent="0.3">
      <c r="A573" s="5" t="s">
        <v>5</v>
      </c>
      <c r="B573" s="5" t="s">
        <v>13</v>
      </c>
      <c r="C573" s="5" t="s">
        <v>58</v>
      </c>
      <c r="D573" s="133">
        <v>5</v>
      </c>
      <c r="E573" s="6">
        <v>10.047000000000001</v>
      </c>
      <c r="F573" s="6">
        <f t="shared" si="38"/>
        <v>50.234999999999999</v>
      </c>
      <c r="G573" s="5" t="s">
        <v>171</v>
      </c>
      <c r="H573" s="38">
        <v>191327</v>
      </c>
      <c r="I573" s="5" t="s">
        <v>54</v>
      </c>
      <c r="J573" s="16">
        <f t="shared" si="35"/>
        <v>0.10820578495576592</v>
      </c>
    </row>
    <row r="574" spans="1:10" ht="15" hidden="1" customHeight="1" x14ac:dyDescent="0.3">
      <c r="A574" s="5" t="s">
        <v>5</v>
      </c>
      <c r="B574" s="5" t="s">
        <v>13</v>
      </c>
      <c r="C574" s="5" t="s">
        <v>59</v>
      </c>
      <c r="D574" s="133">
        <v>5</v>
      </c>
      <c r="E574" s="6">
        <v>2.0697999999999999</v>
      </c>
      <c r="F574" s="6">
        <f t="shared" si="38"/>
        <v>10.349</v>
      </c>
      <c r="G574" s="5" t="s">
        <v>171</v>
      </c>
      <c r="H574" s="38">
        <v>191327</v>
      </c>
      <c r="I574" s="5" t="s">
        <v>54</v>
      </c>
      <c r="J574" s="16">
        <f t="shared" si="35"/>
        <v>0.10820578495576592</v>
      </c>
    </row>
    <row r="575" spans="1:10" ht="15" hidden="1" customHeight="1" x14ac:dyDescent="0.3">
      <c r="A575" s="5" t="s">
        <v>5</v>
      </c>
      <c r="B575" s="5" t="s">
        <v>13</v>
      </c>
      <c r="C575" s="5" t="s">
        <v>74</v>
      </c>
      <c r="D575" s="5">
        <v>0</v>
      </c>
      <c r="E575" s="6"/>
      <c r="F575" s="6">
        <f t="shared" si="38"/>
        <v>0</v>
      </c>
      <c r="G575" s="5"/>
      <c r="H575" s="38">
        <v>191327</v>
      </c>
      <c r="I575" s="5" t="s">
        <v>54</v>
      </c>
      <c r="J575" s="16">
        <f t="shared" si="35"/>
        <v>0.10820578495576592</v>
      </c>
    </row>
    <row r="576" spans="1:10" ht="15" hidden="1" customHeight="1" x14ac:dyDescent="0.3">
      <c r="A576" s="5" t="s">
        <v>5</v>
      </c>
      <c r="B576" s="5" t="s">
        <v>13</v>
      </c>
      <c r="C576" s="5" t="s">
        <v>62</v>
      </c>
      <c r="D576" s="5">
        <v>0</v>
      </c>
      <c r="E576" s="6"/>
      <c r="F576" s="6">
        <f t="shared" si="38"/>
        <v>0</v>
      </c>
      <c r="G576" s="5"/>
      <c r="H576" s="38">
        <v>191327</v>
      </c>
      <c r="I576" s="5" t="s">
        <v>54</v>
      </c>
      <c r="J576" s="16">
        <f t="shared" si="35"/>
        <v>0.10820578495576592</v>
      </c>
    </row>
    <row r="577" spans="1:10" ht="15" hidden="1" customHeight="1" x14ac:dyDescent="0.3">
      <c r="A577" s="5" t="s">
        <v>5</v>
      </c>
      <c r="B577" s="5" t="s">
        <v>13</v>
      </c>
      <c r="C577" s="5" t="s">
        <v>75</v>
      </c>
      <c r="D577" s="5">
        <v>0</v>
      </c>
      <c r="E577" s="6"/>
      <c r="F577" s="6">
        <f t="shared" si="38"/>
        <v>0</v>
      </c>
      <c r="G577" s="5"/>
      <c r="H577" s="38">
        <v>191327</v>
      </c>
      <c r="I577" s="5" t="s">
        <v>54</v>
      </c>
      <c r="J577" s="16">
        <f t="shared" si="35"/>
        <v>0.10820578495576592</v>
      </c>
    </row>
    <row r="578" spans="1:10" ht="15" hidden="1" customHeight="1" x14ac:dyDescent="0.3">
      <c r="A578" s="5" t="s">
        <v>5</v>
      </c>
      <c r="B578" s="5" t="s">
        <v>13</v>
      </c>
      <c r="C578" s="5" t="s">
        <v>64</v>
      </c>
      <c r="D578" s="5">
        <v>0</v>
      </c>
      <c r="E578" s="6"/>
      <c r="F578" s="6">
        <f t="shared" si="38"/>
        <v>0</v>
      </c>
      <c r="G578" s="5"/>
      <c r="H578" s="38">
        <v>191327</v>
      </c>
      <c r="I578" s="5" t="s">
        <v>54</v>
      </c>
      <c r="J578" s="16">
        <f t="shared" ref="J578:J641" si="39">IFERROR(SUMIFS($F$2:$F$1749,$A$2:$A$1749,A578,$B$2:$B$1749,B578)/H578,"")</f>
        <v>0.10820578495576592</v>
      </c>
    </row>
    <row r="579" spans="1:10" ht="15" hidden="1" customHeight="1" x14ac:dyDescent="0.3">
      <c r="A579" s="5" t="s">
        <v>5</v>
      </c>
      <c r="B579" s="5" t="s">
        <v>13</v>
      </c>
      <c r="C579" s="5" t="s">
        <v>67</v>
      </c>
      <c r="D579" s="5">
        <v>0</v>
      </c>
      <c r="E579" s="6"/>
      <c r="F579" s="6">
        <f t="shared" si="38"/>
        <v>0</v>
      </c>
      <c r="G579" s="5"/>
      <c r="H579" s="38">
        <v>191327</v>
      </c>
      <c r="I579" s="5" t="s">
        <v>54</v>
      </c>
      <c r="J579" s="16">
        <f t="shared" si="39"/>
        <v>0.10820578495576592</v>
      </c>
    </row>
    <row r="580" spans="1:10" ht="15" hidden="1" customHeight="1" x14ac:dyDescent="0.3">
      <c r="A580" s="5" t="s">
        <v>5</v>
      </c>
      <c r="B580" s="5" t="s">
        <v>15</v>
      </c>
      <c r="C580" s="5" t="s">
        <v>100</v>
      </c>
      <c r="D580" s="133">
        <v>11</v>
      </c>
      <c r="E580" s="6">
        <v>79712.56</v>
      </c>
      <c r="F580" s="6">
        <f>E580</f>
        <v>79712.56</v>
      </c>
      <c r="G580" s="5" t="s">
        <v>181</v>
      </c>
      <c r="H580" s="38">
        <v>177925</v>
      </c>
      <c r="I580" s="5" t="s">
        <v>82</v>
      </c>
      <c r="J580" s="16">
        <f t="shared" si="39"/>
        <v>0.46936701464161873</v>
      </c>
    </row>
    <row r="581" spans="1:10" ht="15" hidden="1" customHeight="1" x14ac:dyDescent="0.3">
      <c r="A581" s="5" t="s">
        <v>5</v>
      </c>
      <c r="B581" s="5" t="s">
        <v>15</v>
      </c>
      <c r="C581" s="5" t="s">
        <v>55</v>
      </c>
      <c r="D581" s="133">
        <v>11</v>
      </c>
      <c r="E581" s="59">
        <v>64.569224000000006</v>
      </c>
      <c r="F581" s="6">
        <f t="shared" ref="F581:F605" si="40">D581*E581</f>
        <v>710.26146400000005</v>
      </c>
      <c r="G581" s="5"/>
      <c r="H581" s="38">
        <v>177925</v>
      </c>
      <c r="I581" s="5" t="s">
        <v>82</v>
      </c>
      <c r="J581" s="16">
        <f t="shared" si="39"/>
        <v>0.46936701464161873</v>
      </c>
    </row>
    <row r="582" spans="1:10" ht="15" hidden="1" customHeight="1" x14ac:dyDescent="0.3">
      <c r="A582" s="5" t="s">
        <v>5</v>
      </c>
      <c r="B582" s="5" t="s">
        <v>15</v>
      </c>
      <c r="C582" s="5" t="s">
        <v>26</v>
      </c>
      <c r="D582" s="133">
        <v>11</v>
      </c>
      <c r="E582" s="37">
        <v>28.310635756385071</v>
      </c>
      <c r="F582" s="6">
        <f t="shared" si="40"/>
        <v>311.4169933202358</v>
      </c>
      <c r="G582" s="5"/>
      <c r="H582" s="38">
        <v>177925</v>
      </c>
      <c r="I582" s="5" t="s">
        <v>82</v>
      </c>
      <c r="J582" s="16">
        <f t="shared" si="39"/>
        <v>0.46936701464161873</v>
      </c>
    </row>
    <row r="583" spans="1:10" ht="15" hidden="1" customHeight="1" x14ac:dyDescent="0.3">
      <c r="A583" s="5" t="s">
        <v>5</v>
      </c>
      <c r="B583" s="5" t="s">
        <v>15</v>
      </c>
      <c r="C583" s="5" t="s">
        <v>14</v>
      </c>
      <c r="D583" s="133">
        <v>11</v>
      </c>
      <c r="E583" s="37">
        <v>47.792983889980349</v>
      </c>
      <c r="F583" s="6">
        <f t="shared" si="40"/>
        <v>525.72282278978378</v>
      </c>
      <c r="G583" s="5"/>
      <c r="H583" s="38">
        <v>177925</v>
      </c>
      <c r="I583" s="5" t="s">
        <v>82</v>
      </c>
      <c r="J583" s="16">
        <f t="shared" si="39"/>
        <v>0.46936701464161873</v>
      </c>
    </row>
    <row r="584" spans="1:10" ht="15" hidden="1" customHeight="1" x14ac:dyDescent="0.3">
      <c r="A584" s="5" t="s">
        <v>5</v>
      </c>
      <c r="B584" s="5" t="s">
        <v>15</v>
      </c>
      <c r="C584" s="5" t="s">
        <v>56</v>
      </c>
      <c r="D584" s="5">
        <v>11</v>
      </c>
      <c r="E584" s="6">
        <v>50</v>
      </c>
      <c r="F584" s="6">
        <f t="shared" si="40"/>
        <v>550</v>
      </c>
      <c r="G584" s="5" t="s">
        <v>170</v>
      </c>
      <c r="H584" s="38">
        <v>177925</v>
      </c>
      <c r="I584" s="5" t="s">
        <v>82</v>
      </c>
      <c r="J584" s="16">
        <f t="shared" si="39"/>
        <v>0.46936701464161873</v>
      </c>
    </row>
    <row r="585" spans="1:10" ht="15" hidden="1" customHeight="1" x14ac:dyDescent="0.3">
      <c r="A585" s="5" t="s">
        <v>5</v>
      </c>
      <c r="B585" s="5" t="s">
        <v>15</v>
      </c>
      <c r="C585" s="5" t="s">
        <v>70</v>
      </c>
      <c r="D585" s="5">
        <v>0</v>
      </c>
      <c r="E585" s="6"/>
      <c r="F585" s="6">
        <f t="shared" si="40"/>
        <v>0</v>
      </c>
      <c r="G585" s="5"/>
      <c r="H585" s="38">
        <v>177925</v>
      </c>
      <c r="I585" s="5" t="s">
        <v>82</v>
      </c>
      <c r="J585" s="16">
        <f t="shared" si="39"/>
        <v>0.46936701464161873</v>
      </c>
    </row>
    <row r="586" spans="1:10" ht="15" hidden="1" customHeight="1" x14ac:dyDescent="0.3">
      <c r="A586" s="5" t="s">
        <v>5</v>
      </c>
      <c r="B586" s="5" t="s">
        <v>15</v>
      </c>
      <c r="C586" s="5" t="s">
        <v>76</v>
      </c>
      <c r="D586" s="5">
        <v>8</v>
      </c>
      <c r="E586" s="6">
        <v>30</v>
      </c>
      <c r="F586" s="6">
        <f t="shared" si="40"/>
        <v>240</v>
      </c>
      <c r="G586" s="5" t="s">
        <v>170</v>
      </c>
      <c r="H586" s="38">
        <v>177925</v>
      </c>
      <c r="I586" s="5" t="s">
        <v>82</v>
      </c>
      <c r="J586" s="16">
        <f t="shared" si="39"/>
        <v>0.46936701464161873</v>
      </c>
    </row>
    <row r="587" spans="1:10" ht="15" hidden="1" customHeight="1" x14ac:dyDescent="0.3">
      <c r="A587" s="5" t="s">
        <v>5</v>
      </c>
      <c r="B587" s="5" t="s">
        <v>15</v>
      </c>
      <c r="C587" s="5" t="s">
        <v>72</v>
      </c>
      <c r="D587" s="5">
        <v>1</v>
      </c>
      <c r="E587" s="6">
        <v>128.68</v>
      </c>
      <c r="F587" s="6">
        <f t="shared" si="40"/>
        <v>128.68</v>
      </c>
      <c r="G587" s="5" t="s">
        <v>170</v>
      </c>
      <c r="H587" s="38">
        <v>177925</v>
      </c>
      <c r="I587" s="5" t="s">
        <v>82</v>
      </c>
      <c r="J587" s="16">
        <f t="shared" si="39"/>
        <v>0.46936701464161873</v>
      </c>
    </row>
    <row r="588" spans="1:10" ht="15" hidden="1" customHeight="1" x14ac:dyDescent="0.3">
      <c r="A588" s="5" t="s">
        <v>5</v>
      </c>
      <c r="B588" s="5" t="s">
        <v>15</v>
      </c>
      <c r="C588" s="5" t="s">
        <v>182</v>
      </c>
      <c r="D588" s="5">
        <v>1</v>
      </c>
      <c r="E588" s="6">
        <v>666.2</v>
      </c>
      <c r="F588" s="6">
        <f t="shared" si="40"/>
        <v>666.2</v>
      </c>
      <c r="G588" s="5" t="s">
        <v>170</v>
      </c>
      <c r="H588" s="38">
        <v>177925</v>
      </c>
      <c r="I588" s="5" t="s">
        <v>82</v>
      </c>
      <c r="J588" s="16">
        <f t="shared" si="39"/>
        <v>0.46936701464161873</v>
      </c>
    </row>
    <row r="589" spans="1:10" ht="15" hidden="1" customHeight="1" x14ac:dyDescent="0.3">
      <c r="A589" s="5" t="s">
        <v>5</v>
      </c>
      <c r="B589" s="5" t="s">
        <v>15</v>
      </c>
      <c r="C589" s="5" t="s">
        <v>183</v>
      </c>
      <c r="D589" s="5">
        <v>1</v>
      </c>
      <c r="E589" s="6">
        <v>470</v>
      </c>
      <c r="F589" s="6">
        <f t="shared" si="40"/>
        <v>470</v>
      </c>
      <c r="G589" s="5" t="s">
        <v>170</v>
      </c>
      <c r="H589" s="38">
        <v>177925</v>
      </c>
      <c r="I589" s="5" t="s">
        <v>82</v>
      </c>
      <c r="J589" s="16">
        <f t="shared" si="39"/>
        <v>0.46936701464161873</v>
      </c>
    </row>
    <row r="590" spans="1:10" ht="15" hidden="1" customHeight="1" x14ac:dyDescent="0.3">
      <c r="A590" s="5" t="s">
        <v>5</v>
      </c>
      <c r="B590" s="5" t="s">
        <v>15</v>
      </c>
      <c r="C590" s="5" t="s">
        <v>58</v>
      </c>
      <c r="D590" s="133">
        <v>11</v>
      </c>
      <c r="E590" s="6">
        <v>10.047000000000001</v>
      </c>
      <c r="F590" s="6">
        <f t="shared" si="40"/>
        <v>110.51700000000001</v>
      </c>
      <c r="G590" s="5" t="s">
        <v>171</v>
      </c>
      <c r="H590" s="38">
        <v>177925</v>
      </c>
      <c r="I590" s="5" t="s">
        <v>82</v>
      </c>
      <c r="J590" s="16">
        <f t="shared" si="39"/>
        <v>0.46936701464161873</v>
      </c>
    </row>
    <row r="591" spans="1:10" ht="15" hidden="1" customHeight="1" x14ac:dyDescent="0.3">
      <c r="A591" s="5" t="s">
        <v>5</v>
      </c>
      <c r="B591" s="5" t="s">
        <v>15</v>
      </c>
      <c r="C591" s="5" t="s">
        <v>59</v>
      </c>
      <c r="D591" s="133">
        <v>11</v>
      </c>
      <c r="E591" s="6">
        <v>2.0697999999999999</v>
      </c>
      <c r="F591" s="6">
        <f t="shared" si="40"/>
        <v>22.767799999999998</v>
      </c>
      <c r="G591" s="5" t="s">
        <v>171</v>
      </c>
      <c r="H591" s="38">
        <v>177925</v>
      </c>
      <c r="I591" s="5" t="s">
        <v>82</v>
      </c>
      <c r="J591" s="16">
        <f t="shared" si="39"/>
        <v>0.46936701464161873</v>
      </c>
    </row>
    <row r="592" spans="1:10" ht="15" hidden="1" customHeight="1" x14ac:dyDescent="0.3">
      <c r="A592" s="5" t="s">
        <v>5</v>
      </c>
      <c r="B592" s="5" t="s">
        <v>15</v>
      </c>
      <c r="C592" s="5" t="s">
        <v>102</v>
      </c>
      <c r="D592" s="5">
        <v>1</v>
      </c>
      <c r="E592" s="6"/>
      <c r="F592" s="6">
        <f t="shared" si="40"/>
        <v>0</v>
      </c>
      <c r="G592" s="5"/>
      <c r="H592" s="38">
        <v>177925</v>
      </c>
      <c r="I592" s="5" t="s">
        <v>82</v>
      </c>
      <c r="J592" s="16">
        <f t="shared" si="39"/>
        <v>0.46936701464161873</v>
      </c>
    </row>
    <row r="593" spans="1:10" ht="15" hidden="1" customHeight="1" x14ac:dyDescent="0.3">
      <c r="A593" s="5" t="s">
        <v>5</v>
      </c>
      <c r="B593" s="5" t="s">
        <v>15</v>
      </c>
      <c r="C593" s="5" t="s">
        <v>103</v>
      </c>
      <c r="D593" s="5">
        <v>1</v>
      </c>
      <c r="E593" s="6"/>
      <c r="F593" s="6">
        <f t="shared" si="40"/>
        <v>0</v>
      </c>
      <c r="G593" s="5"/>
      <c r="H593" s="38">
        <v>177925</v>
      </c>
      <c r="I593" s="5" t="s">
        <v>82</v>
      </c>
      <c r="J593" s="16">
        <f t="shared" si="39"/>
        <v>0.46936701464161873</v>
      </c>
    </row>
    <row r="594" spans="1:10" ht="15" hidden="1" customHeight="1" x14ac:dyDescent="0.3">
      <c r="A594" s="5" t="s">
        <v>5</v>
      </c>
      <c r="B594" s="5" t="s">
        <v>15</v>
      </c>
      <c r="C594" s="5" t="s">
        <v>104</v>
      </c>
      <c r="D594" s="5">
        <v>0</v>
      </c>
      <c r="E594" s="6"/>
      <c r="F594" s="6">
        <f t="shared" si="40"/>
        <v>0</v>
      </c>
      <c r="G594" s="5"/>
      <c r="H594" s="38">
        <v>177925</v>
      </c>
      <c r="I594" s="5" t="s">
        <v>82</v>
      </c>
      <c r="J594" s="16">
        <f t="shared" si="39"/>
        <v>0.46936701464161873</v>
      </c>
    </row>
    <row r="595" spans="1:10" ht="15" hidden="1" customHeight="1" x14ac:dyDescent="0.3">
      <c r="A595" s="5" t="s">
        <v>5</v>
      </c>
      <c r="B595" s="5" t="s">
        <v>15</v>
      </c>
      <c r="C595" s="5" t="s">
        <v>74</v>
      </c>
      <c r="D595" s="5">
        <v>1</v>
      </c>
      <c r="E595" s="6">
        <v>64</v>
      </c>
      <c r="F595" s="6">
        <f t="shared" si="40"/>
        <v>64</v>
      </c>
      <c r="G595" s="5" t="s">
        <v>172</v>
      </c>
      <c r="H595" s="38">
        <v>177925</v>
      </c>
      <c r="I595" s="5" t="s">
        <v>82</v>
      </c>
      <c r="J595" s="16">
        <f t="shared" si="39"/>
        <v>0.46936701464161873</v>
      </c>
    </row>
    <row r="596" spans="1:10" ht="15" hidden="1" customHeight="1" x14ac:dyDescent="0.3">
      <c r="A596" s="5" t="s">
        <v>5</v>
      </c>
      <c r="B596" s="5" t="s">
        <v>15</v>
      </c>
      <c r="C596" s="5" t="s">
        <v>62</v>
      </c>
      <c r="D596" s="5">
        <v>1</v>
      </c>
      <c r="E596" s="6">
        <v>0</v>
      </c>
      <c r="F596" s="6">
        <f t="shared" si="40"/>
        <v>0</v>
      </c>
      <c r="G596" s="5" t="s">
        <v>172</v>
      </c>
      <c r="H596" s="38">
        <v>177925</v>
      </c>
      <c r="I596" s="5" t="s">
        <v>82</v>
      </c>
      <c r="J596" s="16">
        <f t="shared" si="39"/>
        <v>0.46936701464161873</v>
      </c>
    </row>
    <row r="597" spans="1:10" ht="15" hidden="1" customHeight="1" x14ac:dyDescent="0.3">
      <c r="A597" s="5" t="s">
        <v>5</v>
      </c>
      <c r="B597" s="5" t="s">
        <v>15</v>
      </c>
      <c r="C597" s="5" t="s">
        <v>105</v>
      </c>
      <c r="D597" s="5">
        <v>1</v>
      </c>
      <c r="E597" s="6"/>
      <c r="F597" s="6">
        <f t="shared" si="40"/>
        <v>0</v>
      </c>
      <c r="G597" s="5"/>
      <c r="H597" s="38">
        <v>177925</v>
      </c>
      <c r="I597" s="5" t="s">
        <v>82</v>
      </c>
      <c r="J597" s="16">
        <f t="shared" si="39"/>
        <v>0.46936701464161873</v>
      </c>
    </row>
    <row r="598" spans="1:10" ht="15" hidden="1" customHeight="1" x14ac:dyDescent="0.3">
      <c r="A598" s="5" t="s">
        <v>5</v>
      </c>
      <c r="B598" s="5" t="s">
        <v>15</v>
      </c>
      <c r="C598" s="5" t="s">
        <v>60</v>
      </c>
      <c r="D598" s="5">
        <v>0</v>
      </c>
      <c r="E598" s="6"/>
      <c r="F598" s="6">
        <f t="shared" si="40"/>
        <v>0</v>
      </c>
      <c r="G598" s="5"/>
      <c r="H598" s="38">
        <v>177925</v>
      </c>
      <c r="I598" s="5" t="s">
        <v>82</v>
      </c>
      <c r="J598" s="16">
        <f t="shared" si="39"/>
        <v>0.46936701464161873</v>
      </c>
    </row>
    <row r="599" spans="1:10" ht="15" hidden="1" customHeight="1" x14ac:dyDescent="0.3">
      <c r="A599" s="5" t="s">
        <v>5</v>
      </c>
      <c r="B599" s="5" t="s">
        <v>15</v>
      </c>
      <c r="C599" s="5" t="s">
        <v>84</v>
      </c>
      <c r="D599" s="5">
        <v>0</v>
      </c>
      <c r="E599" s="6"/>
      <c r="F599" s="6">
        <f t="shared" si="40"/>
        <v>0</v>
      </c>
      <c r="G599" s="5"/>
      <c r="H599" s="38">
        <v>177925</v>
      </c>
      <c r="I599" s="5" t="s">
        <v>82</v>
      </c>
      <c r="J599" s="16">
        <f t="shared" si="39"/>
        <v>0.46936701464161873</v>
      </c>
    </row>
    <row r="600" spans="1:10" ht="15" hidden="1" customHeight="1" x14ac:dyDescent="0.3">
      <c r="A600" s="5" t="s">
        <v>5</v>
      </c>
      <c r="B600" s="5" t="s">
        <v>15</v>
      </c>
      <c r="C600" s="5" t="s">
        <v>75</v>
      </c>
      <c r="D600" s="5">
        <v>1</v>
      </c>
      <c r="E600" s="6"/>
      <c r="F600" s="6">
        <f t="shared" si="40"/>
        <v>0</v>
      </c>
      <c r="G600" s="5"/>
      <c r="H600" s="38">
        <v>177925</v>
      </c>
      <c r="I600" s="5" t="s">
        <v>82</v>
      </c>
      <c r="J600" s="16">
        <f t="shared" si="39"/>
        <v>0.46936701464161873</v>
      </c>
    </row>
    <row r="601" spans="1:10" ht="15" hidden="1" customHeight="1" x14ac:dyDescent="0.3">
      <c r="A601" s="5" t="s">
        <v>5</v>
      </c>
      <c r="B601" s="5" t="s">
        <v>15</v>
      </c>
      <c r="C601" s="5" t="s">
        <v>64</v>
      </c>
      <c r="D601" s="5">
        <v>1</v>
      </c>
      <c r="E601" s="6"/>
      <c r="F601" s="6">
        <f t="shared" si="40"/>
        <v>0</v>
      </c>
      <c r="G601" s="5"/>
      <c r="H601" s="38">
        <v>177925</v>
      </c>
      <c r="I601" s="5" t="s">
        <v>82</v>
      </c>
      <c r="J601" s="16">
        <f t="shared" si="39"/>
        <v>0.46936701464161873</v>
      </c>
    </row>
    <row r="602" spans="1:10" ht="15" hidden="1" customHeight="1" x14ac:dyDescent="0.3">
      <c r="A602" s="5" t="s">
        <v>5</v>
      </c>
      <c r="B602" s="5" t="s">
        <v>15</v>
      </c>
      <c r="C602" s="5" t="s">
        <v>67</v>
      </c>
      <c r="D602" s="5">
        <v>1</v>
      </c>
      <c r="E602" s="6"/>
      <c r="F602" s="6">
        <f t="shared" si="40"/>
        <v>0</v>
      </c>
      <c r="G602" s="5"/>
      <c r="H602" s="38">
        <v>177925</v>
      </c>
      <c r="I602" s="5" t="s">
        <v>82</v>
      </c>
      <c r="J602" s="16">
        <f t="shared" si="39"/>
        <v>0.46936701464161873</v>
      </c>
    </row>
    <row r="603" spans="1:10" ht="15" hidden="1" customHeight="1" x14ac:dyDescent="0.3">
      <c r="A603" s="5" t="s">
        <v>5</v>
      </c>
      <c r="B603" s="5" t="s">
        <v>15</v>
      </c>
      <c r="C603" s="5" t="s">
        <v>86</v>
      </c>
      <c r="D603" s="5">
        <v>1</v>
      </c>
      <c r="E603" s="6"/>
      <c r="F603" s="6">
        <f t="shared" si="40"/>
        <v>0</v>
      </c>
      <c r="G603" s="5"/>
      <c r="H603" s="38">
        <v>177925</v>
      </c>
      <c r="I603" s="5" t="s">
        <v>82</v>
      </c>
      <c r="J603" s="16">
        <f t="shared" si="39"/>
        <v>0.46936701464161873</v>
      </c>
    </row>
    <row r="604" spans="1:10" ht="15" hidden="1" customHeight="1" x14ac:dyDescent="0.3">
      <c r="A604" s="5" t="s">
        <v>5</v>
      </c>
      <c r="B604" s="5" t="s">
        <v>15</v>
      </c>
      <c r="C604" s="5" t="s">
        <v>106</v>
      </c>
      <c r="D604" s="5">
        <v>1</v>
      </c>
      <c r="E604" s="6"/>
      <c r="F604" s="6">
        <f t="shared" si="40"/>
        <v>0</v>
      </c>
      <c r="G604" s="5"/>
      <c r="H604" s="38">
        <v>177925</v>
      </c>
      <c r="I604" s="5" t="s">
        <v>82</v>
      </c>
      <c r="J604" s="16">
        <f t="shared" si="39"/>
        <v>0.46936701464161873</v>
      </c>
    </row>
    <row r="605" spans="1:10" ht="15" hidden="1" customHeight="1" x14ac:dyDescent="0.3">
      <c r="A605" s="5" t="s">
        <v>5</v>
      </c>
      <c r="B605" s="5" t="s">
        <v>15</v>
      </c>
      <c r="C605" s="5" t="s">
        <v>107</v>
      </c>
      <c r="D605" s="5">
        <v>1</v>
      </c>
      <c r="E605" s="6"/>
      <c r="F605" s="6">
        <f t="shared" si="40"/>
        <v>0</v>
      </c>
      <c r="G605" s="5"/>
      <c r="H605" s="38">
        <v>177925</v>
      </c>
      <c r="I605" s="5" t="s">
        <v>82</v>
      </c>
      <c r="J605" s="16">
        <f t="shared" si="39"/>
        <v>0.46936701464161873</v>
      </c>
    </row>
    <row r="606" spans="1:10" ht="15" hidden="1" customHeight="1" x14ac:dyDescent="0.3">
      <c r="A606" s="5" t="s">
        <v>5</v>
      </c>
      <c r="B606" s="5" t="s">
        <v>17</v>
      </c>
      <c r="C606" s="5" t="s">
        <v>108</v>
      </c>
      <c r="D606" s="5">
        <v>48</v>
      </c>
      <c r="E606" s="6"/>
      <c r="F606" s="6">
        <f>E606</f>
        <v>0</v>
      </c>
      <c r="G606" s="5"/>
      <c r="H606" s="38">
        <v>177925</v>
      </c>
      <c r="I606" s="5" t="s">
        <v>82</v>
      </c>
      <c r="J606" s="16">
        <f t="shared" si="39"/>
        <v>4.8458074441621694E-2</v>
      </c>
    </row>
    <row r="607" spans="1:10" ht="15" hidden="1" customHeight="1" x14ac:dyDescent="0.3">
      <c r="A607" s="5" t="s">
        <v>5</v>
      </c>
      <c r="B607" s="5" t="s">
        <v>17</v>
      </c>
      <c r="C607" s="5" t="s">
        <v>55</v>
      </c>
      <c r="D607" s="5">
        <v>48</v>
      </c>
      <c r="E607" s="59">
        <v>64.569224000000006</v>
      </c>
      <c r="F607" s="6">
        <f t="shared" ref="F607:F624" si="41">D607*E607</f>
        <v>3099.322752</v>
      </c>
      <c r="G607" s="5"/>
      <c r="H607" s="38">
        <v>177925</v>
      </c>
      <c r="I607" s="5" t="s">
        <v>82</v>
      </c>
      <c r="J607" s="16">
        <f t="shared" si="39"/>
        <v>4.8458074441621694E-2</v>
      </c>
    </row>
    <row r="608" spans="1:10" ht="15" hidden="1" customHeight="1" x14ac:dyDescent="0.3">
      <c r="A608" s="5" t="s">
        <v>5</v>
      </c>
      <c r="B608" s="5" t="s">
        <v>17</v>
      </c>
      <c r="C608" s="5" t="s">
        <v>26</v>
      </c>
      <c r="D608" s="5">
        <v>48</v>
      </c>
      <c r="E608" s="37">
        <v>28.310635756385071</v>
      </c>
      <c r="F608" s="6">
        <f t="shared" si="41"/>
        <v>1358.9105163064835</v>
      </c>
      <c r="G608" s="5"/>
      <c r="H608" s="38">
        <v>177925</v>
      </c>
      <c r="I608" s="5" t="s">
        <v>82</v>
      </c>
      <c r="J608" s="16">
        <f t="shared" si="39"/>
        <v>4.8458074441621694E-2</v>
      </c>
    </row>
    <row r="609" spans="1:10" ht="15" hidden="1" customHeight="1" x14ac:dyDescent="0.3">
      <c r="A609" s="5" t="s">
        <v>5</v>
      </c>
      <c r="B609" s="5" t="s">
        <v>17</v>
      </c>
      <c r="C609" s="5" t="s">
        <v>14</v>
      </c>
      <c r="D609" s="5">
        <v>48</v>
      </c>
      <c r="E609" s="37">
        <v>47.792983889980349</v>
      </c>
      <c r="F609" s="6">
        <f t="shared" si="41"/>
        <v>2294.0632267190567</v>
      </c>
      <c r="G609" s="5"/>
      <c r="H609" s="38">
        <v>177925</v>
      </c>
      <c r="I609" s="5" t="s">
        <v>82</v>
      </c>
      <c r="J609" s="16">
        <f t="shared" si="39"/>
        <v>4.8458074441621694E-2</v>
      </c>
    </row>
    <row r="610" spans="1:10" ht="15" hidden="1" customHeight="1" x14ac:dyDescent="0.3">
      <c r="A610" s="5" t="s">
        <v>5</v>
      </c>
      <c r="B610" s="5" t="s">
        <v>17</v>
      </c>
      <c r="C610" s="5" t="s">
        <v>56</v>
      </c>
      <c r="D610" s="5">
        <v>1</v>
      </c>
      <c r="E610" s="6">
        <v>50</v>
      </c>
      <c r="F610" s="6">
        <f t="shared" si="41"/>
        <v>50</v>
      </c>
      <c r="G610" s="5" t="s">
        <v>170</v>
      </c>
      <c r="H610" s="38">
        <v>177925</v>
      </c>
      <c r="I610" s="5" t="s">
        <v>82</v>
      </c>
      <c r="J610" s="16">
        <f t="shared" si="39"/>
        <v>4.8458074441621694E-2</v>
      </c>
    </row>
    <row r="611" spans="1:10" ht="15" hidden="1" customHeight="1" x14ac:dyDescent="0.3">
      <c r="A611" s="5" t="s">
        <v>5</v>
      </c>
      <c r="B611" s="5" t="s">
        <v>17</v>
      </c>
      <c r="C611" s="5" t="s">
        <v>70</v>
      </c>
      <c r="D611" s="5">
        <v>1</v>
      </c>
      <c r="E611" s="6"/>
      <c r="F611" s="6">
        <f t="shared" si="41"/>
        <v>0</v>
      </c>
      <c r="G611" s="5"/>
      <c r="H611" s="38">
        <v>177925</v>
      </c>
      <c r="I611" s="5" t="s">
        <v>82</v>
      </c>
      <c r="J611" s="16">
        <f t="shared" si="39"/>
        <v>4.8458074441621694E-2</v>
      </c>
    </row>
    <row r="612" spans="1:10" ht="15" hidden="1" customHeight="1" x14ac:dyDescent="0.3">
      <c r="A612" s="5" t="s">
        <v>5</v>
      </c>
      <c r="B612" s="5" t="s">
        <v>17</v>
      </c>
      <c r="C612" s="5" t="s">
        <v>76</v>
      </c>
      <c r="D612" s="5">
        <v>39</v>
      </c>
      <c r="E612" s="6">
        <v>30</v>
      </c>
      <c r="F612" s="6">
        <f t="shared" si="41"/>
        <v>1170</v>
      </c>
      <c r="G612" s="5" t="s">
        <v>170</v>
      </c>
      <c r="H612" s="38">
        <v>177925</v>
      </c>
      <c r="I612" s="5" t="s">
        <v>82</v>
      </c>
      <c r="J612" s="16">
        <f t="shared" si="39"/>
        <v>4.8458074441621694E-2</v>
      </c>
    </row>
    <row r="613" spans="1:10" ht="15" hidden="1" customHeight="1" x14ac:dyDescent="0.3">
      <c r="A613" s="5" t="s">
        <v>5</v>
      </c>
      <c r="B613" s="5" t="s">
        <v>17</v>
      </c>
      <c r="C613" s="5" t="s">
        <v>58</v>
      </c>
      <c r="D613" s="5">
        <v>48</v>
      </c>
      <c r="E613" s="6">
        <v>10.047000000000001</v>
      </c>
      <c r="F613" s="6">
        <f t="shared" si="41"/>
        <v>482.25600000000003</v>
      </c>
      <c r="G613" s="5" t="s">
        <v>171</v>
      </c>
      <c r="H613" s="38">
        <v>177925</v>
      </c>
      <c r="I613" s="5" t="s">
        <v>82</v>
      </c>
      <c r="J613" s="16">
        <f t="shared" si="39"/>
        <v>4.8458074441621694E-2</v>
      </c>
    </row>
    <row r="614" spans="1:10" ht="15" hidden="1" customHeight="1" x14ac:dyDescent="0.3">
      <c r="A614" s="5" t="s">
        <v>5</v>
      </c>
      <c r="B614" s="5" t="s">
        <v>17</v>
      </c>
      <c r="C614" s="5" t="s">
        <v>59</v>
      </c>
      <c r="D614" s="5">
        <v>48</v>
      </c>
      <c r="E614" s="6">
        <v>2.0697999999999999</v>
      </c>
      <c r="F614" s="6">
        <f t="shared" si="41"/>
        <v>99.350399999999993</v>
      </c>
      <c r="G614" s="5" t="s">
        <v>171</v>
      </c>
      <c r="H614" s="38">
        <v>177925</v>
      </c>
      <c r="I614" s="5" t="s">
        <v>82</v>
      </c>
      <c r="J614" s="16">
        <f t="shared" si="39"/>
        <v>4.8458074441621694E-2</v>
      </c>
    </row>
    <row r="615" spans="1:10" ht="15" hidden="1" customHeight="1" x14ac:dyDescent="0.3">
      <c r="A615" s="5" t="s">
        <v>5</v>
      </c>
      <c r="B615" s="5" t="s">
        <v>17</v>
      </c>
      <c r="C615" s="5" t="s">
        <v>102</v>
      </c>
      <c r="D615" s="5">
        <v>0</v>
      </c>
      <c r="E615" s="6"/>
      <c r="F615" s="6">
        <f t="shared" si="41"/>
        <v>0</v>
      </c>
      <c r="G615" s="5"/>
      <c r="H615" s="38">
        <v>177925</v>
      </c>
      <c r="I615" s="5" t="s">
        <v>82</v>
      </c>
      <c r="J615" s="16">
        <f t="shared" si="39"/>
        <v>4.8458074441621694E-2</v>
      </c>
    </row>
    <row r="616" spans="1:10" ht="15" hidden="1" customHeight="1" x14ac:dyDescent="0.3">
      <c r="A616" s="5" t="s">
        <v>5</v>
      </c>
      <c r="B616" s="5" t="s">
        <v>17</v>
      </c>
      <c r="C616" s="5" t="s">
        <v>103</v>
      </c>
      <c r="D616" s="5">
        <v>0</v>
      </c>
      <c r="E616" s="6"/>
      <c r="F616" s="6">
        <f t="shared" si="41"/>
        <v>0</v>
      </c>
      <c r="G616" s="5"/>
      <c r="H616" s="38">
        <v>177925</v>
      </c>
      <c r="I616" s="5" t="s">
        <v>82</v>
      </c>
      <c r="J616" s="16">
        <f t="shared" si="39"/>
        <v>4.8458074441621694E-2</v>
      </c>
    </row>
    <row r="617" spans="1:10" ht="15" hidden="1" customHeight="1" x14ac:dyDescent="0.3">
      <c r="A617" s="5" t="s">
        <v>5</v>
      </c>
      <c r="B617" s="5" t="s">
        <v>17</v>
      </c>
      <c r="C617" s="5" t="s">
        <v>104</v>
      </c>
      <c r="D617" s="5">
        <v>0</v>
      </c>
      <c r="E617" s="6"/>
      <c r="F617" s="6">
        <f t="shared" si="41"/>
        <v>0</v>
      </c>
      <c r="G617" s="5"/>
      <c r="H617" s="38">
        <v>177925</v>
      </c>
      <c r="I617" s="5" t="s">
        <v>82</v>
      </c>
      <c r="J617" s="16">
        <f t="shared" si="39"/>
        <v>4.8458074441621694E-2</v>
      </c>
    </row>
    <row r="618" spans="1:10" ht="15" hidden="1" customHeight="1" x14ac:dyDescent="0.3">
      <c r="A618" s="5" t="s">
        <v>5</v>
      </c>
      <c r="B618" s="5" t="s">
        <v>17</v>
      </c>
      <c r="C618" s="5" t="s">
        <v>74</v>
      </c>
      <c r="D618" s="5">
        <v>1</v>
      </c>
      <c r="E618" s="6">
        <v>68</v>
      </c>
      <c r="F618" s="6">
        <f t="shared" si="41"/>
        <v>68</v>
      </c>
      <c r="G618" s="5" t="s">
        <v>172</v>
      </c>
      <c r="H618" s="38">
        <v>177925</v>
      </c>
      <c r="I618" s="5" t="s">
        <v>82</v>
      </c>
      <c r="J618" s="16">
        <f t="shared" si="39"/>
        <v>4.8458074441621694E-2</v>
      </c>
    </row>
    <row r="619" spans="1:10" ht="15" hidden="1" customHeight="1" x14ac:dyDescent="0.3">
      <c r="A619" s="5" t="s">
        <v>5</v>
      </c>
      <c r="B619" s="5" t="s">
        <v>17</v>
      </c>
      <c r="C619" s="5" t="s">
        <v>62</v>
      </c>
      <c r="D619" s="5">
        <v>1</v>
      </c>
      <c r="E619" s="6">
        <v>0</v>
      </c>
      <c r="F619" s="6">
        <f t="shared" si="41"/>
        <v>0</v>
      </c>
      <c r="G619" s="5" t="s">
        <v>172</v>
      </c>
      <c r="H619" s="38">
        <v>177925</v>
      </c>
      <c r="I619" s="5" t="s">
        <v>82</v>
      </c>
      <c r="J619" s="16">
        <f t="shared" si="39"/>
        <v>4.8458074441621694E-2</v>
      </c>
    </row>
    <row r="620" spans="1:10" ht="15" hidden="1" customHeight="1" x14ac:dyDescent="0.3">
      <c r="A620" s="5" t="s">
        <v>5</v>
      </c>
      <c r="B620" s="5" t="s">
        <v>17</v>
      </c>
      <c r="C620" s="5" t="s">
        <v>67</v>
      </c>
      <c r="D620" s="5">
        <v>0</v>
      </c>
      <c r="E620" s="6"/>
      <c r="F620" s="6">
        <f t="shared" si="41"/>
        <v>0</v>
      </c>
      <c r="G620" s="5"/>
      <c r="H620" s="38">
        <v>177925</v>
      </c>
      <c r="I620" s="5" t="s">
        <v>82</v>
      </c>
      <c r="J620" s="16">
        <f t="shared" si="39"/>
        <v>4.8458074441621694E-2</v>
      </c>
    </row>
    <row r="621" spans="1:10" ht="15" hidden="1" customHeight="1" x14ac:dyDescent="0.3">
      <c r="A621" s="5" t="s">
        <v>5</v>
      </c>
      <c r="B621" s="5" t="s">
        <v>17</v>
      </c>
      <c r="C621" s="5" t="s">
        <v>86</v>
      </c>
      <c r="D621" s="5">
        <v>0</v>
      </c>
      <c r="E621" s="6"/>
      <c r="F621" s="6">
        <f t="shared" si="41"/>
        <v>0</v>
      </c>
      <c r="G621" s="5"/>
      <c r="H621" s="38">
        <v>177925</v>
      </c>
      <c r="I621" s="5" t="s">
        <v>82</v>
      </c>
      <c r="J621" s="16">
        <f t="shared" si="39"/>
        <v>4.8458074441621694E-2</v>
      </c>
    </row>
    <row r="622" spans="1:10" ht="15" hidden="1" customHeight="1" x14ac:dyDescent="0.3">
      <c r="A622" s="5" t="s">
        <v>5</v>
      </c>
      <c r="B622" s="5" t="s">
        <v>17</v>
      </c>
      <c r="C622" s="5" t="s">
        <v>109</v>
      </c>
      <c r="D622" s="5">
        <v>0</v>
      </c>
      <c r="E622" s="6"/>
      <c r="F622" s="6">
        <f t="shared" si="41"/>
        <v>0</v>
      </c>
      <c r="G622" s="5"/>
      <c r="H622" s="38">
        <v>177925</v>
      </c>
      <c r="I622" s="5" t="s">
        <v>82</v>
      </c>
      <c r="J622" s="16">
        <f t="shared" si="39"/>
        <v>4.8458074441621694E-2</v>
      </c>
    </row>
    <row r="623" spans="1:10" ht="15" hidden="1" customHeight="1" x14ac:dyDescent="0.3">
      <c r="A623" s="5" t="s">
        <v>5</v>
      </c>
      <c r="B623" s="5" t="s">
        <v>17</v>
      </c>
      <c r="C623" s="5" t="s">
        <v>110</v>
      </c>
      <c r="D623" s="5">
        <v>0</v>
      </c>
      <c r="E623" s="6"/>
      <c r="F623" s="6">
        <f t="shared" si="41"/>
        <v>0</v>
      </c>
      <c r="G623" s="5"/>
      <c r="H623" s="38">
        <v>177925</v>
      </c>
      <c r="I623" s="5" t="s">
        <v>82</v>
      </c>
      <c r="J623" s="16">
        <f t="shared" si="39"/>
        <v>4.8458074441621694E-2</v>
      </c>
    </row>
    <row r="624" spans="1:10" ht="15" hidden="1" customHeight="1" x14ac:dyDescent="0.3">
      <c r="A624" s="5" t="s">
        <v>5</v>
      </c>
      <c r="B624" s="5" t="s">
        <v>17</v>
      </c>
      <c r="C624" s="5" t="s">
        <v>111</v>
      </c>
      <c r="D624" s="5">
        <v>0</v>
      </c>
      <c r="E624" s="6"/>
      <c r="F624" s="6">
        <f t="shared" si="41"/>
        <v>0</v>
      </c>
      <c r="G624" s="5"/>
      <c r="H624" s="38">
        <v>177925</v>
      </c>
      <c r="I624" s="5" t="s">
        <v>82</v>
      </c>
      <c r="J624" s="16">
        <f t="shared" si="39"/>
        <v>4.8458074441621694E-2</v>
      </c>
    </row>
    <row r="625" spans="1:10" ht="15" hidden="1" customHeight="1" x14ac:dyDescent="0.3">
      <c r="A625" s="5" t="s">
        <v>5</v>
      </c>
      <c r="B625" s="5" t="s">
        <v>16</v>
      </c>
      <c r="C625" s="5" t="s">
        <v>112</v>
      </c>
      <c r="D625" s="5">
        <v>38</v>
      </c>
      <c r="E625" s="6"/>
      <c r="F625" s="6">
        <f>E625</f>
        <v>0</v>
      </c>
      <c r="G625" s="5"/>
      <c r="H625" s="38">
        <v>177925</v>
      </c>
      <c r="I625" s="5" t="s">
        <v>82</v>
      </c>
      <c r="J625" s="16">
        <f t="shared" si="39"/>
        <v>3.381203573731565E-2</v>
      </c>
    </row>
    <row r="626" spans="1:10" ht="15" hidden="1" customHeight="1" x14ac:dyDescent="0.3">
      <c r="A626" s="5" t="s">
        <v>5</v>
      </c>
      <c r="B626" s="5" t="s">
        <v>16</v>
      </c>
      <c r="C626" s="5" t="s">
        <v>55</v>
      </c>
      <c r="D626" s="5">
        <v>38</v>
      </c>
      <c r="E626" s="59">
        <v>64.569224000000006</v>
      </c>
      <c r="F626" s="6">
        <f t="shared" ref="F626:F643" si="42">D626*E626</f>
        <v>2453.6305120000002</v>
      </c>
      <c r="G626" s="5"/>
      <c r="H626" s="38">
        <v>177925</v>
      </c>
      <c r="I626" s="5" t="s">
        <v>82</v>
      </c>
      <c r="J626" s="16">
        <f t="shared" si="39"/>
        <v>3.381203573731565E-2</v>
      </c>
    </row>
    <row r="627" spans="1:10" ht="15" hidden="1" customHeight="1" x14ac:dyDescent="0.3">
      <c r="A627" s="5" t="s">
        <v>5</v>
      </c>
      <c r="B627" s="5" t="s">
        <v>16</v>
      </c>
      <c r="C627" s="5" t="s">
        <v>26</v>
      </c>
      <c r="D627" s="5">
        <v>38</v>
      </c>
      <c r="E627" s="37">
        <v>28.310635756385071</v>
      </c>
      <c r="F627" s="6">
        <f t="shared" si="42"/>
        <v>1075.8041587426328</v>
      </c>
      <c r="G627" s="5"/>
      <c r="H627" s="38">
        <v>177925</v>
      </c>
      <c r="I627" s="5" t="s">
        <v>82</v>
      </c>
      <c r="J627" s="16">
        <f t="shared" si="39"/>
        <v>3.381203573731565E-2</v>
      </c>
    </row>
    <row r="628" spans="1:10" ht="15" hidden="1" customHeight="1" x14ac:dyDescent="0.3">
      <c r="A628" s="5" t="s">
        <v>5</v>
      </c>
      <c r="B628" s="5" t="s">
        <v>16</v>
      </c>
      <c r="C628" s="5" t="s">
        <v>14</v>
      </c>
      <c r="D628" s="5">
        <v>38</v>
      </c>
      <c r="E628" s="37">
        <v>47.792983889980349</v>
      </c>
      <c r="F628" s="6">
        <f t="shared" si="42"/>
        <v>1816.1333878192531</v>
      </c>
      <c r="G628" s="5"/>
      <c r="H628" s="38">
        <v>177925</v>
      </c>
      <c r="I628" s="5" t="s">
        <v>82</v>
      </c>
      <c r="J628" s="16">
        <f t="shared" si="39"/>
        <v>3.381203573731565E-2</v>
      </c>
    </row>
    <row r="629" spans="1:10" ht="15" hidden="1" customHeight="1" x14ac:dyDescent="0.3">
      <c r="A629" s="5" t="s">
        <v>5</v>
      </c>
      <c r="B629" s="5" t="s">
        <v>16</v>
      </c>
      <c r="C629" s="5" t="s">
        <v>56</v>
      </c>
      <c r="D629" s="5">
        <v>3</v>
      </c>
      <c r="E629" s="6">
        <v>50</v>
      </c>
      <c r="F629" s="6">
        <f t="shared" si="42"/>
        <v>150</v>
      </c>
      <c r="G629" s="5" t="s">
        <v>170</v>
      </c>
      <c r="H629" s="38">
        <v>177925</v>
      </c>
      <c r="I629" s="5" t="s">
        <v>82</v>
      </c>
      <c r="J629" s="16">
        <f t="shared" si="39"/>
        <v>3.381203573731565E-2</v>
      </c>
    </row>
    <row r="630" spans="1:10" ht="15" hidden="1" customHeight="1" x14ac:dyDescent="0.3">
      <c r="A630" s="5" t="s">
        <v>5</v>
      </c>
      <c r="B630" s="5" t="s">
        <v>16</v>
      </c>
      <c r="C630" s="5" t="s">
        <v>70</v>
      </c>
      <c r="D630" s="5">
        <v>1</v>
      </c>
      <c r="E630" s="6"/>
      <c r="F630" s="6">
        <f t="shared" si="42"/>
        <v>0</v>
      </c>
      <c r="G630" s="5"/>
      <c r="H630" s="38">
        <v>177925</v>
      </c>
      <c r="I630" s="5" t="s">
        <v>82</v>
      </c>
      <c r="J630" s="16">
        <f t="shared" si="39"/>
        <v>3.381203573731565E-2</v>
      </c>
    </row>
    <row r="631" spans="1:10" ht="15" hidden="1" customHeight="1" x14ac:dyDescent="0.3">
      <c r="A631" s="5" t="s">
        <v>5</v>
      </c>
      <c r="B631" s="5" t="s">
        <v>16</v>
      </c>
      <c r="C631" s="5" t="s">
        <v>71</v>
      </c>
      <c r="D631" s="5">
        <v>2</v>
      </c>
      <c r="E631" s="6">
        <v>30</v>
      </c>
      <c r="F631" s="6">
        <f t="shared" si="42"/>
        <v>60</v>
      </c>
      <c r="G631" s="5" t="s">
        <v>170</v>
      </c>
      <c r="H631" s="38">
        <v>177925</v>
      </c>
      <c r="I631" s="5" t="s">
        <v>82</v>
      </c>
      <c r="J631" s="16">
        <f t="shared" si="39"/>
        <v>3.381203573731565E-2</v>
      </c>
    </row>
    <row r="632" spans="1:10" ht="15" hidden="1" customHeight="1" x14ac:dyDescent="0.3">
      <c r="A632" s="5" t="s">
        <v>5</v>
      </c>
      <c r="B632" s="5" t="s">
        <v>16</v>
      </c>
      <c r="C632" s="5" t="s">
        <v>58</v>
      </c>
      <c r="D632" s="5">
        <v>38</v>
      </c>
      <c r="E632" s="6">
        <v>10.047000000000001</v>
      </c>
      <c r="F632" s="6">
        <f t="shared" si="42"/>
        <v>381.786</v>
      </c>
      <c r="G632" s="5" t="s">
        <v>171</v>
      </c>
      <c r="H632" s="38">
        <v>177925</v>
      </c>
      <c r="I632" s="5" t="s">
        <v>82</v>
      </c>
      <c r="J632" s="16">
        <f t="shared" si="39"/>
        <v>3.381203573731565E-2</v>
      </c>
    </row>
    <row r="633" spans="1:10" ht="15" hidden="1" customHeight="1" x14ac:dyDescent="0.3">
      <c r="A633" s="5" t="s">
        <v>5</v>
      </c>
      <c r="B633" s="5" t="s">
        <v>16</v>
      </c>
      <c r="C633" s="5" t="s">
        <v>113</v>
      </c>
      <c r="D633" s="5">
        <v>38</v>
      </c>
      <c r="E633" s="6">
        <v>2.0697999999999999</v>
      </c>
      <c r="F633" s="6">
        <f t="shared" si="42"/>
        <v>78.6524</v>
      </c>
      <c r="G633" s="5" t="s">
        <v>171</v>
      </c>
      <c r="H633" s="38">
        <v>177925</v>
      </c>
      <c r="I633" s="5" t="s">
        <v>82</v>
      </c>
      <c r="J633" s="16">
        <f t="shared" si="39"/>
        <v>3.381203573731565E-2</v>
      </c>
    </row>
    <row r="634" spans="1:10" ht="15" hidden="1" customHeight="1" x14ac:dyDescent="0.3">
      <c r="A634" s="5" t="s">
        <v>5</v>
      </c>
      <c r="B634" s="5" t="s">
        <v>16</v>
      </c>
      <c r="C634" s="5" t="s">
        <v>102</v>
      </c>
      <c r="D634" s="5">
        <v>0</v>
      </c>
      <c r="E634" s="6"/>
      <c r="F634" s="6">
        <f t="shared" si="42"/>
        <v>0</v>
      </c>
      <c r="G634" s="5"/>
      <c r="H634" s="38">
        <v>177925</v>
      </c>
      <c r="I634" s="5" t="s">
        <v>82</v>
      </c>
      <c r="J634" s="16">
        <f t="shared" si="39"/>
        <v>3.381203573731565E-2</v>
      </c>
    </row>
    <row r="635" spans="1:10" ht="15" hidden="1" customHeight="1" x14ac:dyDescent="0.3">
      <c r="A635" s="5" t="s">
        <v>5</v>
      </c>
      <c r="B635" s="5" t="s">
        <v>16</v>
      </c>
      <c r="C635" s="5" t="s">
        <v>103</v>
      </c>
      <c r="D635" s="5">
        <v>0</v>
      </c>
      <c r="E635" s="6"/>
      <c r="F635" s="6">
        <f t="shared" si="42"/>
        <v>0</v>
      </c>
      <c r="G635" s="5"/>
      <c r="H635" s="38">
        <v>177925</v>
      </c>
      <c r="I635" s="5" t="s">
        <v>82</v>
      </c>
      <c r="J635" s="16">
        <f t="shared" si="39"/>
        <v>3.381203573731565E-2</v>
      </c>
    </row>
    <row r="636" spans="1:10" ht="15" hidden="1" customHeight="1" x14ac:dyDescent="0.3">
      <c r="A636" s="5" t="s">
        <v>5</v>
      </c>
      <c r="B636" s="5" t="s">
        <v>16</v>
      </c>
      <c r="C636" s="5" t="s">
        <v>104</v>
      </c>
      <c r="D636" s="5">
        <v>0</v>
      </c>
      <c r="E636" s="6"/>
      <c r="F636" s="6">
        <f t="shared" si="42"/>
        <v>0</v>
      </c>
      <c r="G636" s="5"/>
      <c r="H636" s="38">
        <v>177925</v>
      </c>
      <c r="I636" s="5" t="s">
        <v>82</v>
      </c>
      <c r="J636" s="16">
        <f t="shared" si="39"/>
        <v>3.381203573731565E-2</v>
      </c>
    </row>
    <row r="637" spans="1:10" ht="15" hidden="1" customHeight="1" x14ac:dyDescent="0.3">
      <c r="A637" s="5" t="s">
        <v>5</v>
      </c>
      <c r="B637" s="5" t="s">
        <v>16</v>
      </c>
      <c r="C637" s="5" t="s">
        <v>74</v>
      </c>
      <c r="D637" s="5">
        <v>0</v>
      </c>
      <c r="E637" s="6"/>
      <c r="F637" s="6">
        <f t="shared" si="42"/>
        <v>0</v>
      </c>
      <c r="G637" s="5"/>
      <c r="H637" s="38">
        <v>177925</v>
      </c>
      <c r="I637" s="5" t="s">
        <v>82</v>
      </c>
      <c r="J637" s="16">
        <f t="shared" si="39"/>
        <v>3.381203573731565E-2</v>
      </c>
    </row>
    <row r="638" spans="1:10" ht="15" hidden="1" customHeight="1" x14ac:dyDescent="0.3">
      <c r="A638" s="5" t="s">
        <v>5</v>
      </c>
      <c r="B638" s="5" t="s">
        <v>16</v>
      </c>
      <c r="C638" s="5" t="s">
        <v>62</v>
      </c>
      <c r="D638" s="5">
        <v>0</v>
      </c>
      <c r="E638" s="6"/>
      <c r="F638" s="6">
        <f t="shared" si="42"/>
        <v>0</v>
      </c>
      <c r="G638" s="5"/>
      <c r="H638" s="38">
        <v>177925</v>
      </c>
      <c r="I638" s="5" t="s">
        <v>82</v>
      </c>
      <c r="J638" s="16">
        <f t="shared" si="39"/>
        <v>3.381203573731565E-2</v>
      </c>
    </row>
    <row r="639" spans="1:10" ht="15" hidden="1" customHeight="1" x14ac:dyDescent="0.3">
      <c r="A639" s="5" t="s">
        <v>5</v>
      </c>
      <c r="B639" s="5" t="s">
        <v>16</v>
      </c>
      <c r="C639" s="5" t="s">
        <v>67</v>
      </c>
      <c r="D639" s="5">
        <v>0</v>
      </c>
      <c r="E639" s="6"/>
      <c r="F639" s="6">
        <f t="shared" si="42"/>
        <v>0</v>
      </c>
      <c r="G639" s="5"/>
      <c r="H639" s="38">
        <v>177925</v>
      </c>
      <c r="I639" s="5" t="s">
        <v>82</v>
      </c>
      <c r="J639" s="16">
        <f t="shared" si="39"/>
        <v>3.381203573731565E-2</v>
      </c>
    </row>
    <row r="640" spans="1:10" ht="15" hidden="1" customHeight="1" x14ac:dyDescent="0.3">
      <c r="A640" s="5" t="s">
        <v>5</v>
      </c>
      <c r="B640" s="5" t="s">
        <v>16</v>
      </c>
      <c r="C640" s="5" t="s">
        <v>86</v>
      </c>
      <c r="D640" s="5">
        <v>0</v>
      </c>
      <c r="E640" s="6"/>
      <c r="F640" s="6">
        <f t="shared" si="42"/>
        <v>0</v>
      </c>
      <c r="G640" s="5"/>
      <c r="H640" s="38">
        <v>177925</v>
      </c>
      <c r="I640" s="5" t="s">
        <v>82</v>
      </c>
      <c r="J640" s="16">
        <f t="shared" si="39"/>
        <v>3.381203573731565E-2</v>
      </c>
    </row>
    <row r="641" spans="1:10" ht="15" hidden="1" customHeight="1" x14ac:dyDescent="0.3">
      <c r="A641" s="5" t="s">
        <v>5</v>
      </c>
      <c r="B641" s="5" t="s">
        <v>16</v>
      </c>
      <c r="C641" s="5" t="s">
        <v>114</v>
      </c>
      <c r="D641" s="5">
        <v>0</v>
      </c>
      <c r="E641" s="6"/>
      <c r="F641" s="6">
        <f t="shared" si="42"/>
        <v>0</v>
      </c>
      <c r="G641" s="5"/>
      <c r="H641" s="38">
        <v>177925</v>
      </c>
      <c r="I641" s="5" t="s">
        <v>82</v>
      </c>
      <c r="J641" s="16">
        <f t="shared" si="39"/>
        <v>3.381203573731565E-2</v>
      </c>
    </row>
    <row r="642" spans="1:10" ht="15" hidden="1" customHeight="1" x14ac:dyDescent="0.3">
      <c r="A642" s="5" t="s">
        <v>5</v>
      </c>
      <c r="B642" s="5" t="s">
        <v>16</v>
      </c>
      <c r="C642" s="5" t="s">
        <v>115</v>
      </c>
      <c r="D642" s="5">
        <v>1</v>
      </c>
      <c r="E642" s="6"/>
      <c r="F642" s="6">
        <f t="shared" si="42"/>
        <v>0</v>
      </c>
      <c r="G642" s="5"/>
      <c r="H642" s="38">
        <v>177925</v>
      </c>
      <c r="I642" s="5" t="s">
        <v>82</v>
      </c>
      <c r="J642" s="16">
        <f t="shared" ref="J642:J705" si="43">IFERROR(SUMIFS($F$2:$F$1749,$A$2:$A$1749,A642,$B$2:$B$1749,B642)/H642,"")</f>
        <v>3.381203573731565E-2</v>
      </c>
    </row>
    <row r="643" spans="1:10" ht="15" hidden="1" customHeight="1" x14ac:dyDescent="0.3">
      <c r="A643" s="5" t="s">
        <v>5</v>
      </c>
      <c r="B643" s="5" t="s">
        <v>16</v>
      </c>
      <c r="C643" s="5" t="s">
        <v>116</v>
      </c>
      <c r="D643" s="5">
        <v>1</v>
      </c>
      <c r="E643" s="6"/>
      <c r="F643" s="6">
        <f t="shared" si="42"/>
        <v>0</v>
      </c>
      <c r="G643" s="5"/>
      <c r="H643" s="38">
        <v>177925</v>
      </c>
      <c r="I643" s="5" t="s">
        <v>82</v>
      </c>
      <c r="J643" s="16">
        <f t="shared" si="43"/>
        <v>3.381203573731565E-2</v>
      </c>
    </row>
    <row r="644" spans="1:10" ht="15" hidden="1" customHeight="1" x14ac:dyDescent="0.3">
      <c r="A644" s="5" t="s">
        <v>5</v>
      </c>
      <c r="B644" s="5" t="s">
        <v>18</v>
      </c>
      <c r="C644" s="5" t="s">
        <v>53</v>
      </c>
      <c r="D644" s="133">
        <v>16</v>
      </c>
      <c r="E644" s="6">
        <v>78803.87</v>
      </c>
      <c r="F644" s="6">
        <f>E644</f>
        <v>78803.87</v>
      </c>
      <c r="G644" s="5" t="s">
        <v>184</v>
      </c>
      <c r="H644" s="38">
        <v>177925</v>
      </c>
      <c r="I644" s="5" t="s">
        <v>82</v>
      </c>
      <c r="J644" s="16">
        <f t="shared" si="43"/>
        <v>0.46220083910828624</v>
      </c>
    </row>
    <row r="645" spans="1:10" ht="15" hidden="1" customHeight="1" x14ac:dyDescent="0.3">
      <c r="A645" s="5" t="s">
        <v>5</v>
      </c>
      <c r="B645" s="5" t="s">
        <v>18</v>
      </c>
      <c r="C645" s="5" t="s">
        <v>55</v>
      </c>
      <c r="D645" s="133">
        <v>16</v>
      </c>
      <c r="E645" s="59">
        <v>64.569224000000006</v>
      </c>
      <c r="F645" s="6">
        <f t="shared" ref="F645:F660" si="44">D645*E645</f>
        <v>1033.1075840000001</v>
      </c>
      <c r="G645" s="5"/>
      <c r="H645" s="38">
        <v>177925</v>
      </c>
      <c r="I645" s="5" t="s">
        <v>82</v>
      </c>
      <c r="J645" s="16">
        <f t="shared" si="43"/>
        <v>0.46220083910828624</v>
      </c>
    </row>
    <row r="646" spans="1:10" ht="15" hidden="1" customHeight="1" x14ac:dyDescent="0.3">
      <c r="A646" s="5" t="s">
        <v>5</v>
      </c>
      <c r="B646" s="5" t="s">
        <v>18</v>
      </c>
      <c r="C646" s="5" t="s">
        <v>26</v>
      </c>
      <c r="D646" s="133">
        <v>16</v>
      </c>
      <c r="E646" s="37">
        <v>28.310635756385071</v>
      </c>
      <c r="F646" s="6">
        <f t="shared" si="44"/>
        <v>452.97017210216114</v>
      </c>
      <c r="G646" s="5"/>
      <c r="H646" s="38">
        <v>177925</v>
      </c>
      <c r="I646" s="5" t="s">
        <v>82</v>
      </c>
      <c r="J646" s="16">
        <f t="shared" si="43"/>
        <v>0.46220083910828624</v>
      </c>
    </row>
    <row r="647" spans="1:10" ht="15" hidden="1" customHeight="1" x14ac:dyDescent="0.3">
      <c r="A647" s="5" t="s">
        <v>5</v>
      </c>
      <c r="B647" s="5" t="s">
        <v>18</v>
      </c>
      <c r="C647" s="5" t="s">
        <v>14</v>
      </c>
      <c r="D647" s="133">
        <v>16</v>
      </c>
      <c r="E647" s="37">
        <v>47.792983889980349</v>
      </c>
      <c r="F647" s="6">
        <f t="shared" si="44"/>
        <v>764.68774223968558</v>
      </c>
      <c r="G647" s="5"/>
      <c r="H647" s="38">
        <v>177925</v>
      </c>
      <c r="I647" s="5" t="s">
        <v>82</v>
      </c>
      <c r="J647" s="16">
        <f t="shared" si="43"/>
        <v>0.46220083910828624</v>
      </c>
    </row>
    <row r="648" spans="1:10" ht="15" hidden="1" customHeight="1" x14ac:dyDescent="0.3">
      <c r="A648" s="5" t="s">
        <v>5</v>
      </c>
      <c r="B648" s="5" t="s">
        <v>18</v>
      </c>
      <c r="C648" s="5" t="s">
        <v>56</v>
      </c>
      <c r="D648" s="5">
        <v>11</v>
      </c>
      <c r="E648" s="6">
        <v>50</v>
      </c>
      <c r="F648" s="6">
        <f t="shared" si="44"/>
        <v>550</v>
      </c>
      <c r="G648" s="5" t="s">
        <v>170</v>
      </c>
      <c r="H648" s="38">
        <v>177925</v>
      </c>
      <c r="I648" s="5" t="s">
        <v>82</v>
      </c>
      <c r="J648" s="16">
        <f t="shared" si="43"/>
        <v>0.46220083910828624</v>
      </c>
    </row>
    <row r="649" spans="1:10" ht="15" hidden="1" customHeight="1" x14ac:dyDescent="0.3">
      <c r="A649" s="5" t="s">
        <v>5</v>
      </c>
      <c r="B649" s="5" t="s">
        <v>18</v>
      </c>
      <c r="C649" s="5" t="s">
        <v>70</v>
      </c>
      <c r="D649" s="5">
        <v>0</v>
      </c>
      <c r="E649" s="6"/>
      <c r="F649" s="6">
        <f t="shared" si="44"/>
        <v>0</v>
      </c>
      <c r="G649" s="5"/>
      <c r="H649" s="38">
        <v>177925</v>
      </c>
      <c r="I649" s="5" t="s">
        <v>82</v>
      </c>
      <c r="J649" s="16">
        <f t="shared" si="43"/>
        <v>0.46220083910828624</v>
      </c>
    </row>
    <row r="650" spans="1:10" ht="15" hidden="1" customHeight="1" x14ac:dyDescent="0.3">
      <c r="A650" s="5" t="s">
        <v>5</v>
      </c>
      <c r="B650" s="5" t="s">
        <v>18</v>
      </c>
      <c r="C650" s="5" t="s">
        <v>57</v>
      </c>
      <c r="D650" s="5">
        <v>5</v>
      </c>
      <c r="E650" s="6">
        <v>30</v>
      </c>
      <c r="F650" s="6">
        <f t="shared" si="44"/>
        <v>150</v>
      </c>
      <c r="G650" s="5" t="s">
        <v>170</v>
      </c>
      <c r="H650" s="38">
        <v>177925</v>
      </c>
      <c r="I650" s="5" t="s">
        <v>82</v>
      </c>
      <c r="J650" s="16">
        <f t="shared" si="43"/>
        <v>0.46220083910828624</v>
      </c>
    </row>
    <row r="651" spans="1:10" ht="15" hidden="1" customHeight="1" x14ac:dyDescent="0.3">
      <c r="A651" s="5" t="s">
        <v>5</v>
      </c>
      <c r="B651" s="5" t="s">
        <v>18</v>
      </c>
      <c r="C651" s="5" t="s">
        <v>72</v>
      </c>
      <c r="D651" s="5">
        <v>1</v>
      </c>
      <c r="E651" s="6">
        <v>153.58000000000001</v>
      </c>
      <c r="F651" s="6">
        <f t="shared" si="44"/>
        <v>153.58000000000001</v>
      </c>
      <c r="G651" s="5" t="s">
        <v>170</v>
      </c>
      <c r="H651" s="38">
        <v>177925</v>
      </c>
      <c r="I651" s="5" t="s">
        <v>82</v>
      </c>
      <c r="J651" s="16">
        <f t="shared" si="43"/>
        <v>0.46220083910828624</v>
      </c>
    </row>
    <row r="652" spans="1:10" ht="15" hidden="1" customHeight="1" x14ac:dyDescent="0.3">
      <c r="A652" s="5" t="s">
        <v>5</v>
      </c>
      <c r="B652" s="5" t="s">
        <v>18</v>
      </c>
      <c r="C652" s="5" t="s">
        <v>58</v>
      </c>
      <c r="D652" s="133">
        <v>16</v>
      </c>
      <c r="E652" s="6">
        <v>10.047000000000001</v>
      </c>
      <c r="F652" s="6">
        <f t="shared" si="44"/>
        <v>160.75200000000001</v>
      </c>
      <c r="G652" s="5" t="s">
        <v>171</v>
      </c>
      <c r="H652" s="38">
        <v>177925</v>
      </c>
      <c r="I652" s="5" t="s">
        <v>82</v>
      </c>
      <c r="J652" s="16">
        <f t="shared" si="43"/>
        <v>0.46220083910828624</v>
      </c>
    </row>
    <row r="653" spans="1:10" ht="15" hidden="1" customHeight="1" x14ac:dyDescent="0.3">
      <c r="A653" s="5" t="s">
        <v>5</v>
      </c>
      <c r="B653" s="5" t="s">
        <v>18</v>
      </c>
      <c r="C653" s="5" t="s">
        <v>59</v>
      </c>
      <c r="D653" s="133">
        <v>16</v>
      </c>
      <c r="E653" s="6">
        <v>2.0697999999999999</v>
      </c>
      <c r="F653" s="6">
        <f t="shared" si="44"/>
        <v>33.116799999999998</v>
      </c>
      <c r="G653" s="5" t="s">
        <v>171</v>
      </c>
      <c r="H653" s="38">
        <v>177925</v>
      </c>
      <c r="I653" s="5" t="s">
        <v>82</v>
      </c>
      <c r="J653" s="16">
        <f t="shared" si="43"/>
        <v>0.46220083910828624</v>
      </c>
    </row>
    <row r="654" spans="1:10" ht="15" hidden="1" customHeight="1" x14ac:dyDescent="0.3">
      <c r="A654" s="5" t="s">
        <v>5</v>
      </c>
      <c r="B654" s="5" t="s">
        <v>18</v>
      </c>
      <c r="C654" s="5" t="s">
        <v>74</v>
      </c>
      <c r="D654" s="5">
        <v>1</v>
      </c>
      <c r="E654" s="6">
        <v>135</v>
      </c>
      <c r="F654" s="6">
        <f t="shared" si="44"/>
        <v>135</v>
      </c>
      <c r="G654" s="5" t="s">
        <v>172</v>
      </c>
      <c r="H654" s="38">
        <v>177925</v>
      </c>
      <c r="I654" s="5" t="s">
        <v>82</v>
      </c>
      <c r="J654" s="16">
        <f t="shared" si="43"/>
        <v>0.46220083910828624</v>
      </c>
    </row>
    <row r="655" spans="1:10" ht="15" hidden="1" customHeight="1" x14ac:dyDescent="0.3">
      <c r="A655" s="5" t="s">
        <v>5</v>
      </c>
      <c r="B655" s="5" t="s">
        <v>18</v>
      </c>
      <c r="C655" s="5" t="s">
        <v>62</v>
      </c>
      <c r="D655" s="5">
        <v>1</v>
      </c>
      <c r="E655" s="6">
        <v>0</v>
      </c>
      <c r="F655" s="6">
        <f t="shared" si="44"/>
        <v>0</v>
      </c>
      <c r="G655" s="5" t="s">
        <v>172</v>
      </c>
      <c r="H655" s="38">
        <v>177925</v>
      </c>
      <c r="I655" s="5" t="s">
        <v>82</v>
      </c>
      <c r="J655" s="16">
        <f t="shared" si="43"/>
        <v>0.46220083910828624</v>
      </c>
    </row>
    <row r="656" spans="1:10" ht="15" hidden="1" customHeight="1" x14ac:dyDescent="0.3">
      <c r="A656" s="5" t="s">
        <v>5</v>
      </c>
      <c r="B656" s="5" t="s">
        <v>18</v>
      </c>
      <c r="C656" s="5" t="s">
        <v>117</v>
      </c>
      <c r="D656" s="5">
        <v>0</v>
      </c>
      <c r="E656" s="6"/>
      <c r="F656" s="6">
        <f t="shared" si="44"/>
        <v>0</v>
      </c>
      <c r="G656" s="5"/>
      <c r="H656" s="38">
        <v>177925</v>
      </c>
      <c r="I656" s="5" t="s">
        <v>82</v>
      </c>
      <c r="J656" s="16">
        <f t="shared" si="43"/>
        <v>0.46220083910828624</v>
      </c>
    </row>
    <row r="657" spans="1:10" ht="15" hidden="1" customHeight="1" x14ac:dyDescent="0.3">
      <c r="A657" s="5" t="s">
        <v>5</v>
      </c>
      <c r="B657" s="5" t="s">
        <v>18</v>
      </c>
      <c r="C657" s="5" t="s">
        <v>84</v>
      </c>
      <c r="D657" s="5">
        <v>0</v>
      </c>
      <c r="E657" s="6"/>
      <c r="F657" s="6">
        <f t="shared" si="44"/>
        <v>0</v>
      </c>
      <c r="G657" s="5"/>
      <c r="H657" s="38">
        <v>177925</v>
      </c>
      <c r="I657" s="5" t="s">
        <v>82</v>
      </c>
      <c r="J657" s="16">
        <f t="shared" si="43"/>
        <v>0.46220083910828624</v>
      </c>
    </row>
    <row r="658" spans="1:10" ht="15" hidden="1" customHeight="1" x14ac:dyDescent="0.3">
      <c r="A658" s="5" t="s">
        <v>5</v>
      </c>
      <c r="B658" s="5" t="s">
        <v>18</v>
      </c>
      <c r="C658" s="5" t="s">
        <v>118</v>
      </c>
      <c r="D658" s="5">
        <v>0</v>
      </c>
      <c r="E658" s="6">
        <v>0</v>
      </c>
      <c r="F658" s="6">
        <f t="shared" si="44"/>
        <v>0</v>
      </c>
      <c r="G658" s="5" t="s">
        <v>170</v>
      </c>
      <c r="H658" s="38">
        <v>177925</v>
      </c>
      <c r="I658" s="5" t="s">
        <v>82</v>
      </c>
      <c r="J658" s="16">
        <f t="shared" si="43"/>
        <v>0.46220083910828624</v>
      </c>
    </row>
    <row r="659" spans="1:10" ht="15" hidden="1" customHeight="1" x14ac:dyDescent="0.3">
      <c r="A659" s="5" t="s">
        <v>5</v>
      </c>
      <c r="B659" s="5" t="s">
        <v>18</v>
      </c>
      <c r="C659" s="5" t="s">
        <v>75</v>
      </c>
      <c r="D659" s="5">
        <v>0</v>
      </c>
      <c r="E659" s="6"/>
      <c r="F659" s="6">
        <f t="shared" si="44"/>
        <v>0</v>
      </c>
      <c r="G659" s="5"/>
      <c r="H659" s="38">
        <v>177925</v>
      </c>
      <c r="I659" s="5" t="s">
        <v>82</v>
      </c>
      <c r="J659" s="16">
        <f t="shared" si="43"/>
        <v>0.46220083910828624</v>
      </c>
    </row>
    <row r="660" spans="1:10" ht="15" hidden="1" customHeight="1" x14ac:dyDescent="0.3">
      <c r="A660" s="5" t="s">
        <v>5</v>
      </c>
      <c r="B660" s="5" t="s">
        <v>18</v>
      </c>
      <c r="C660" s="5" t="s">
        <v>64</v>
      </c>
      <c r="D660" s="5">
        <v>1</v>
      </c>
      <c r="E660" s="6"/>
      <c r="F660" s="6">
        <f t="shared" si="44"/>
        <v>0</v>
      </c>
      <c r="G660" s="5"/>
      <c r="H660" s="38">
        <v>177925</v>
      </c>
      <c r="I660" s="5" t="s">
        <v>82</v>
      </c>
      <c r="J660" s="16">
        <f t="shared" si="43"/>
        <v>0.46220083910828624</v>
      </c>
    </row>
    <row r="661" spans="1:10" ht="15" hidden="1" customHeight="1" x14ac:dyDescent="0.3">
      <c r="A661" s="5" t="s">
        <v>5</v>
      </c>
      <c r="B661" s="5" t="s">
        <v>19</v>
      </c>
      <c r="C661" s="5" t="s">
        <v>53</v>
      </c>
      <c r="D661" s="133">
        <v>7</v>
      </c>
      <c r="E661" s="6">
        <v>30559.279999999999</v>
      </c>
      <c r="F661" s="6">
        <f>E661</f>
        <v>30559.279999999999</v>
      </c>
      <c r="G661" s="5" t="s">
        <v>180</v>
      </c>
      <c r="H661" s="38">
        <v>177925</v>
      </c>
      <c r="I661" s="5" t="s">
        <v>82</v>
      </c>
      <c r="J661" s="16">
        <f t="shared" si="43"/>
        <v>0.18331559649023219</v>
      </c>
    </row>
    <row r="662" spans="1:10" ht="15" hidden="1" customHeight="1" x14ac:dyDescent="0.3">
      <c r="A662" s="5" t="s">
        <v>5</v>
      </c>
      <c r="B662" s="5" t="s">
        <v>19</v>
      </c>
      <c r="C662" s="5" t="s">
        <v>55</v>
      </c>
      <c r="D662" s="133">
        <v>7</v>
      </c>
      <c r="E662" s="59">
        <v>64.569224000000006</v>
      </c>
      <c r="F662" s="6">
        <f t="shared" ref="F662:F679" si="45">D662*E662</f>
        <v>451.98456800000002</v>
      </c>
      <c r="G662" s="5"/>
      <c r="H662" s="38">
        <v>177925</v>
      </c>
      <c r="I662" s="5" t="s">
        <v>82</v>
      </c>
      <c r="J662" s="16">
        <f t="shared" si="43"/>
        <v>0.18331559649023219</v>
      </c>
    </row>
    <row r="663" spans="1:10" ht="15" hidden="1" customHeight="1" x14ac:dyDescent="0.3">
      <c r="A663" s="5" t="s">
        <v>5</v>
      </c>
      <c r="B663" s="5" t="s">
        <v>19</v>
      </c>
      <c r="C663" s="5" t="s">
        <v>26</v>
      </c>
      <c r="D663" s="133">
        <v>7</v>
      </c>
      <c r="E663" s="37">
        <v>28.310635756385071</v>
      </c>
      <c r="F663" s="6">
        <f t="shared" si="45"/>
        <v>198.1744502946955</v>
      </c>
      <c r="G663" s="5"/>
      <c r="H663" s="38">
        <v>177925</v>
      </c>
      <c r="I663" s="5" t="s">
        <v>82</v>
      </c>
      <c r="J663" s="16">
        <f t="shared" si="43"/>
        <v>0.18331559649023219</v>
      </c>
    </row>
    <row r="664" spans="1:10" ht="15" hidden="1" customHeight="1" x14ac:dyDescent="0.3">
      <c r="A664" s="5" t="s">
        <v>5</v>
      </c>
      <c r="B664" s="5" t="s">
        <v>19</v>
      </c>
      <c r="C664" s="5" t="s">
        <v>14</v>
      </c>
      <c r="D664" s="133">
        <v>7</v>
      </c>
      <c r="E664" s="37">
        <v>47.792983889980349</v>
      </c>
      <c r="F664" s="6">
        <f t="shared" si="45"/>
        <v>334.55088722986244</v>
      </c>
      <c r="G664" s="5"/>
      <c r="H664" s="38">
        <v>177925</v>
      </c>
      <c r="I664" s="5" t="s">
        <v>82</v>
      </c>
      <c r="J664" s="16">
        <f t="shared" si="43"/>
        <v>0.18331559649023219</v>
      </c>
    </row>
    <row r="665" spans="1:10" ht="15" hidden="1" customHeight="1" x14ac:dyDescent="0.3">
      <c r="A665" s="5" t="s">
        <v>5</v>
      </c>
      <c r="B665" s="5" t="s">
        <v>19</v>
      </c>
      <c r="C665" s="5" t="s">
        <v>56</v>
      </c>
      <c r="D665" s="5">
        <v>10</v>
      </c>
      <c r="E665" s="6">
        <v>50</v>
      </c>
      <c r="F665" s="6">
        <f t="shared" si="45"/>
        <v>500</v>
      </c>
      <c r="G665" s="5" t="s">
        <v>170</v>
      </c>
      <c r="H665" s="38">
        <v>177925</v>
      </c>
      <c r="I665" s="5" t="s">
        <v>82</v>
      </c>
      <c r="J665" s="16">
        <f t="shared" si="43"/>
        <v>0.18331559649023219</v>
      </c>
    </row>
    <row r="666" spans="1:10" ht="15" hidden="1" customHeight="1" x14ac:dyDescent="0.3">
      <c r="A666" s="5" t="s">
        <v>5</v>
      </c>
      <c r="B666" s="5" t="s">
        <v>19</v>
      </c>
      <c r="C666" s="5" t="s">
        <v>70</v>
      </c>
      <c r="D666" s="5">
        <v>1</v>
      </c>
      <c r="E666" s="6">
        <v>65</v>
      </c>
      <c r="F666" s="6">
        <f t="shared" si="45"/>
        <v>65</v>
      </c>
      <c r="G666" s="5" t="s">
        <v>173</v>
      </c>
      <c r="H666" s="38">
        <v>177925</v>
      </c>
      <c r="I666" s="5" t="s">
        <v>82</v>
      </c>
      <c r="J666" s="16">
        <f t="shared" si="43"/>
        <v>0.18331559649023219</v>
      </c>
    </row>
    <row r="667" spans="1:10" ht="15" hidden="1" customHeight="1" x14ac:dyDescent="0.3">
      <c r="A667" s="5" t="s">
        <v>5</v>
      </c>
      <c r="B667" s="5" t="s">
        <v>19</v>
      </c>
      <c r="C667" s="5" t="s">
        <v>119</v>
      </c>
      <c r="D667" s="5">
        <v>1</v>
      </c>
      <c r="E667" s="6">
        <v>0</v>
      </c>
      <c r="F667" s="6">
        <f t="shared" si="45"/>
        <v>0</v>
      </c>
      <c r="G667" s="5" t="s">
        <v>170</v>
      </c>
      <c r="H667" s="38">
        <v>177925</v>
      </c>
      <c r="I667" s="5" t="s">
        <v>82</v>
      </c>
      <c r="J667" s="16">
        <f t="shared" si="43"/>
        <v>0.18331559649023219</v>
      </c>
    </row>
    <row r="668" spans="1:10" ht="15" hidden="1" customHeight="1" x14ac:dyDescent="0.3">
      <c r="A668" s="5" t="s">
        <v>5</v>
      </c>
      <c r="B668" s="5" t="s">
        <v>19</v>
      </c>
      <c r="C668" s="5" t="s">
        <v>57</v>
      </c>
      <c r="D668" s="5">
        <v>4</v>
      </c>
      <c r="E668" s="6">
        <v>30</v>
      </c>
      <c r="F668" s="6">
        <f t="shared" si="45"/>
        <v>120</v>
      </c>
      <c r="G668" s="5" t="s">
        <v>170</v>
      </c>
      <c r="H668" s="38">
        <v>177925</v>
      </c>
      <c r="I668" s="5" t="s">
        <v>82</v>
      </c>
      <c r="J668" s="16">
        <f t="shared" si="43"/>
        <v>0.18331559649023219</v>
      </c>
    </row>
    <row r="669" spans="1:10" ht="15" hidden="1" customHeight="1" x14ac:dyDescent="0.3">
      <c r="A669" s="5" t="s">
        <v>5</v>
      </c>
      <c r="B669" s="5" t="s">
        <v>19</v>
      </c>
      <c r="C669" s="5" t="s">
        <v>76</v>
      </c>
      <c r="D669" s="5">
        <v>0</v>
      </c>
      <c r="E669" s="6">
        <v>0</v>
      </c>
      <c r="F669" s="6">
        <f t="shared" si="45"/>
        <v>0</v>
      </c>
      <c r="G669" s="5" t="s">
        <v>170</v>
      </c>
      <c r="H669" s="38">
        <v>177925</v>
      </c>
      <c r="I669" s="5" t="s">
        <v>82</v>
      </c>
      <c r="J669" s="16">
        <f t="shared" si="43"/>
        <v>0.18331559649023219</v>
      </c>
    </row>
    <row r="670" spans="1:10" ht="15" hidden="1" customHeight="1" x14ac:dyDescent="0.3">
      <c r="A670" s="5" t="s">
        <v>5</v>
      </c>
      <c r="B670" s="5" t="s">
        <v>19</v>
      </c>
      <c r="C670" s="5" t="s">
        <v>71</v>
      </c>
      <c r="D670" s="5">
        <v>2</v>
      </c>
      <c r="E670" s="6">
        <v>40.520000000000003</v>
      </c>
      <c r="F670" s="6">
        <f t="shared" si="45"/>
        <v>81.040000000000006</v>
      </c>
      <c r="G670" s="5" t="s">
        <v>170</v>
      </c>
      <c r="H670" s="38">
        <v>177925</v>
      </c>
      <c r="I670" s="5" t="s">
        <v>82</v>
      </c>
      <c r="J670" s="16">
        <f t="shared" si="43"/>
        <v>0.18331559649023219</v>
      </c>
    </row>
    <row r="671" spans="1:10" ht="15" hidden="1" customHeight="1" x14ac:dyDescent="0.3">
      <c r="A671" s="5" t="s">
        <v>5</v>
      </c>
      <c r="B671" s="5" t="s">
        <v>19</v>
      </c>
      <c r="C671" s="5" t="s">
        <v>72</v>
      </c>
      <c r="D671" s="5">
        <v>1</v>
      </c>
      <c r="E671" s="6">
        <v>153.58000000000001</v>
      </c>
      <c r="F671" s="6">
        <f t="shared" si="45"/>
        <v>153.58000000000001</v>
      </c>
      <c r="G671" s="5" t="s">
        <v>170</v>
      </c>
      <c r="H671" s="38">
        <v>177925</v>
      </c>
      <c r="I671" s="5" t="s">
        <v>82</v>
      </c>
      <c r="J671" s="16">
        <f t="shared" si="43"/>
        <v>0.18331559649023219</v>
      </c>
    </row>
    <row r="672" spans="1:10" ht="15" hidden="1" customHeight="1" x14ac:dyDescent="0.3">
      <c r="A672" s="5" t="s">
        <v>5</v>
      </c>
      <c r="B672" s="5" t="s">
        <v>19</v>
      </c>
      <c r="C672" s="5" t="s">
        <v>58</v>
      </c>
      <c r="D672" s="133">
        <v>7</v>
      </c>
      <c r="E672" s="6">
        <v>10.047000000000001</v>
      </c>
      <c r="F672" s="6">
        <f t="shared" si="45"/>
        <v>70.329000000000008</v>
      </c>
      <c r="G672" s="5" t="s">
        <v>171</v>
      </c>
      <c r="H672" s="38">
        <v>177925</v>
      </c>
      <c r="I672" s="5" t="s">
        <v>82</v>
      </c>
      <c r="J672" s="16">
        <f t="shared" si="43"/>
        <v>0.18331559649023219</v>
      </c>
    </row>
    <row r="673" spans="1:10" ht="15" hidden="1" customHeight="1" x14ac:dyDescent="0.3">
      <c r="A673" s="5" t="s">
        <v>5</v>
      </c>
      <c r="B673" s="5" t="s">
        <v>19</v>
      </c>
      <c r="C673" s="5" t="s">
        <v>59</v>
      </c>
      <c r="D673" s="133">
        <v>7</v>
      </c>
      <c r="E673" s="6">
        <v>2.0697999999999999</v>
      </c>
      <c r="F673" s="6">
        <f t="shared" si="45"/>
        <v>14.488599999999998</v>
      </c>
      <c r="G673" s="5" t="s">
        <v>171</v>
      </c>
      <c r="H673" s="38">
        <v>177925</v>
      </c>
      <c r="I673" s="5" t="s">
        <v>82</v>
      </c>
      <c r="J673" s="16">
        <f t="shared" si="43"/>
        <v>0.18331559649023219</v>
      </c>
    </row>
    <row r="674" spans="1:10" ht="15" hidden="1" customHeight="1" x14ac:dyDescent="0.3">
      <c r="A674" s="5" t="s">
        <v>5</v>
      </c>
      <c r="B674" s="5" t="s">
        <v>19</v>
      </c>
      <c r="C674" s="5" t="s">
        <v>89</v>
      </c>
      <c r="D674" s="5">
        <v>0</v>
      </c>
      <c r="E674" s="6"/>
      <c r="F674" s="6">
        <f t="shared" si="45"/>
        <v>0</v>
      </c>
      <c r="G674" s="5"/>
      <c r="H674" s="38">
        <v>177925</v>
      </c>
      <c r="I674" s="5" t="s">
        <v>82</v>
      </c>
      <c r="J674" s="16">
        <f t="shared" si="43"/>
        <v>0.18331559649023219</v>
      </c>
    </row>
    <row r="675" spans="1:10" ht="15" hidden="1" customHeight="1" x14ac:dyDescent="0.3">
      <c r="A675" s="5" t="s">
        <v>5</v>
      </c>
      <c r="B675" s="5" t="s">
        <v>19</v>
      </c>
      <c r="C675" s="5" t="s">
        <v>74</v>
      </c>
      <c r="D675" s="5">
        <v>1</v>
      </c>
      <c r="E675" s="6">
        <v>0</v>
      </c>
      <c r="F675" s="6">
        <f t="shared" si="45"/>
        <v>0</v>
      </c>
      <c r="G675" s="5" t="s">
        <v>172</v>
      </c>
      <c r="H675" s="38">
        <v>177925</v>
      </c>
      <c r="I675" s="5" t="s">
        <v>82</v>
      </c>
      <c r="J675" s="16">
        <f t="shared" si="43"/>
        <v>0.18331559649023219</v>
      </c>
    </row>
    <row r="676" spans="1:10" ht="15" hidden="1" customHeight="1" x14ac:dyDescent="0.3">
      <c r="A676" s="5" t="s">
        <v>5</v>
      </c>
      <c r="B676" s="5" t="s">
        <v>19</v>
      </c>
      <c r="C676" s="5" t="s">
        <v>62</v>
      </c>
      <c r="D676" s="5">
        <v>1</v>
      </c>
      <c r="E676" s="6">
        <v>68</v>
      </c>
      <c r="F676" s="6">
        <f t="shared" si="45"/>
        <v>68</v>
      </c>
      <c r="G676" s="5" t="s">
        <v>172</v>
      </c>
      <c r="H676" s="38">
        <v>177925</v>
      </c>
      <c r="I676" s="5" t="s">
        <v>82</v>
      </c>
      <c r="J676" s="16">
        <f t="shared" si="43"/>
        <v>0.18331559649023219</v>
      </c>
    </row>
    <row r="677" spans="1:10" ht="15" hidden="1" customHeight="1" x14ac:dyDescent="0.3">
      <c r="A677" s="5" t="s">
        <v>5</v>
      </c>
      <c r="B677" s="5" t="s">
        <v>19</v>
      </c>
      <c r="C677" s="5" t="s">
        <v>114</v>
      </c>
      <c r="D677" s="5">
        <v>0</v>
      </c>
      <c r="E677" s="6"/>
      <c r="F677" s="6">
        <f t="shared" si="45"/>
        <v>0</v>
      </c>
      <c r="G677" s="5"/>
      <c r="H677" s="38">
        <v>177925</v>
      </c>
      <c r="I677" s="5" t="s">
        <v>82</v>
      </c>
      <c r="J677" s="16">
        <f t="shared" si="43"/>
        <v>0.18331559649023219</v>
      </c>
    </row>
    <row r="678" spans="1:10" ht="15" hidden="1" customHeight="1" x14ac:dyDescent="0.3">
      <c r="A678" s="5" t="s">
        <v>5</v>
      </c>
      <c r="B678" s="5" t="s">
        <v>19</v>
      </c>
      <c r="C678" s="5" t="s">
        <v>75</v>
      </c>
      <c r="D678" s="5">
        <v>0</v>
      </c>
      <c r="E678" s="6"/>
      <c r="F678" s="6">
        <f t="shared" si="45"/>
        <v>0</v>
      </c>
      <c r="G678" s="5"/>
      <c r="H678" s="38">
        <v>177925</v>
      </c>
      <c r="I678" s="5" t="s">
        <v>82</v>
      </c>
      <c r="J678" s="16">
        <f t="shared" si="43"/>
        <v>0.18331559649023219</v>
      </c>
    </row>
    <row r="679" spans="1:10" ht="15" hidden="1" customHeight="1" x14ac:dyDescent="0.3">
      <c r="A679" s="5" t="s">
        <v>5</v>
      </c>
      <c r="B679" s="5" t="s">
        <v>19</v>
      </c>
      <c r="C679" s="5" t="s">
        <v>64</v>
      </c>
      <c r="D679" s="5">
        <v>1</v>
      </c>
      <c r="E679" s="6"/>
      <c r="F679" s="6">
        <f t="shared" si="45"/>
        <v>0</v>
      </c>
      <c r="G679" s="5"/>
      <c r="H679" s="38">
        <v>177925</v>
      </c>
      <c r="I679" s="5" t="s">
        <v>82</v>
      </c>
      <c r="J679" s="16">
        <f t="shared" si="43"/>
        <v>0.18331559649023219</v>
      </c>
    </row>
    <row r="680" spans="1:10" ht="15" hidden="1" customHeight="1" x14ac:dyDescent="0.3">
      <c r="A680" s="5" t="s">
        <v>5</v>
      </c>
      <c r="B680" s="5" t="s">
        <v>20</v>
      </c>
      <c r="C680" s="5" t="s">
        <v>53</v>
      </c>
      <c r="D680" s="133">
        <v>2</v>
      </c>
      <c r="E680" s="6">
        <v>10036.200000000001</v>
      </c>
      <c r="F680" s="6">
        <f>E680</f>
        <v>10036.200000000001</v>
      </c>
      <c r="G680" s="5" t="s">
        <v>185</v>
      </c>
      <c r="H680" s="38">
        <v>191327</v>
      </c>
      <c r="I680" s="5" t="s">
        <v>54</v>
      </c>
      <c r="J680" s="16">
        <f t="shared" si="43"/>
        <v>5.5098231233922705E-2</v>
      </c>
    </row>
    <row r="681" spans="1:10" ht="15" hidden="1" customHeight="1" x14ac:dyDescent="0.3">
      <c r="A681" s="5" t="s">
        <v>5</v>
      </c>
      <c r="B681" s="5" t="s">
        <v>20</v>
      </c>
      <c r="C681" s="5" t="s">
        <v>55</v>
      </c>
      <c r="D681" s="133">
        <v>2</v>
      </c>
      <c r="E681" s="59">
        <v>64.569224000000006</v>
      </c>
      <c r="F681" s="6">
        <f t="shared" ref="F681:F696" si="46">D681*E681</f>
        <v>129.13844800000001</v>
      </c>
      <c r="G681" s="5"/>
      <c r="H681" s="38">
        <v>191327</v>
      </c>
      <c r="I681" s="5" t="s">
        <v>54</v>
      </c>
      <c r="J681" s="16">
        <f t="shared" si="43"/>
        <v>5.5098231233922705E-2</v>
      </c>
    </row>
    <row r="682" spans="1:10" ht="15" hidden="1" customHeight="1" x14ac:dyDescent="0.3">
      <c r="A682" s="5" t="s">
        <v>5</v>
      </c>
      <c r="B682" s="5" t="s">
        <v>20</v>
      </c>
      <c r="C682" s="5" t="s">
        <v>26</v>
      </c>
      <c r="D682" s="133">
        <v>2</v>
      </c>
      <c r="E682" s="37">
        <v>28.310635756385071</v>
      </c>
      <c r="F682" s="6">
        <f t="shared" si="46"/>
        <v>56.621271512770143</v>
      </c>
      <c r="G682" s="5"/>
      <c r="H682" s="38">
        <v>191327</v>
      </c>
      <c r="I682" s="5" t="s">
        <v>54</v>
      </c>
      <c r="J682" s="16">
        <f t="shared" si="43"/>
        <v>5.5098231233922705E-2</v>
      </c>
    </row>
    <row r="683" spans="1:10" ht="15" hidden="1" customHeight="1" x14ac:dyDescent="0.3">
      <c r="A683" s="5" t="s">
        <v>5</v>
      </c>
      <c r="B683" s="5" t="s">
        <v>20</v>
      </c>
      <c r="C683" s="5" t="s">
        <v>14</v>
      </c>
      <c r="D683" s="133">
        <v>2</v>
      </c>
      <c r="E683" s="37">
        <v>47.792983889980349</v>
      </c>
      <c r="F683" s="6">
        <f t="shared" si="46"/>
        <v>95.585967779960697</v>
      </c>
      <c r="G683" s="5"/>
      <c r="H683" s="38">
        <v>191327</v>
      </c>
      <c r="I683" s="5" t="s">
        <v>54</v>
      </c>
      <c r="J683" s="16">
        <f t="shared" si="43"/>
        <v>5.5098231233922705E-2</v>
      </c>
    </row>
    <row r="684" spans="1:10" ht="15" hidden="1" customHeight="1" x14ac:dyDescent="0.3">
      <c r="A684" s="5" t="s">
        <v>5</v>
      </c>
      <c r="B684" s="5" t="s">
        <v>20</v>
      </c>
      <c r="C684" s="5" t="s">
        <v>56</v>
      </c>
      <c r="D684" s="5">
        <v>1</v>
      </c>
      <c r="E684" s="6">
        <v>90</v>
      </c>
      <c r="F684" s="6">
        <f t="shared" si="46"/>
        <v>90</v>
      </c>
      <c r="G684" s="5" t="s">
        <v>170</v>
      </c>
      <c r="H684" s="38">
        <v>191327</v>
      </c>
      <c r="I684" s="5" t="s">
        <v>54</v>
      </c>
      <c r="J684" s="16">
        <f t="shared" si="43"/>
        <v>5.5098231233922705E-2</v>
      </c>
    </row>
    <row r="685" spans="1:10" ht="15" hidden="1" customHeight="1" x14ac:dyDescent="0.3">
      <c r="A685" s="5" t="s">
        <v>5</v>
      </c>
      <c r="B685" s="5" t="s">
        <v>20</v>
      </c>
      <c r="C685" s="5" t="s">
        <v>56</v>
      </c>
      <c r="D685" s="5">
        <v>1</v>
      </c>
      <c r="E685" s="6">
        <v>50</v>
      </c>
      <c r="F685" s="6">
        <f t="shared" si="46"/>
        <v>50</v>
      </c>
      <c r="G685" s="5" t="s">
        <v>170</v>
      </c>
      <c r="H685" s="38">
        <v>191327</v>
      </c>
      <c r="I685" s="5" t="s">
        <v>54</v>
      </c>
      <c r="J685" s="16">
        <f t="shared" si="43"/>
        <v>5.5098231233922705E-2</v>
      </c>
    </row>
    <row r="686" spans="1:10" ht="15" hidden="1" customHeight="1" x14ac:dyDescent="0.3">
      <c r="A686" s="5" t="s">
        <v>5</v>
      </c>
      <c r="B686" s="5" t="s">
        <v>20</v>
      </c>
      <c r="C686" s="5" t="s">
        <v>70</v>
      </c>
      <c r="D686" s="5">
        <v>0</v>
      </c>
      <c r="E686" s="6"/>
      <c r="F686" s="6">
        <f t="shared" si="46"/>
        <v>0</v>
      </c>
      <c r="G686" s="5"/>
      <c r="H686" s="38">
        <v>191327</v>
      </c>
      <c r="I686" s="5" t="s">
        <v>54</v>
      </c>
      <c r="J686" s="16">
        <f t="shared" si="43"/>
        <v>5.5098231233922705E-2</v>
      </c>
    </row>
    <row r="687" spans="1:10" ht="15" hidden="1" customHeight="1" x14ac:dyDescent="0.3">
      <c r="A687" s="5" t="s">
        <v>5</v>
      </c>
      <c r="B687" s="5" t="s">
        <v>20</v>
      </c>
      <c r="C687" s="5" t="s">
        <v>57</v>
      </c>
      <c r="D687" s="5">
        <v>2</v>
      </c>
      <c r="E687" s="6">
        <v>30</v>
      </c>
      <c r="F687" s="6">
        <f t="shared" si="46"/>
        <v>60</v>
      </c>
      <c r="G687" s="5" t="s">
        <v>170</v>
      </c>
      <c r="H687" s="38">
        <v>191327</v>
      </c>
      <c r="I687" s="5" t="s">
        <v>54</v>
      </c>
      <c r="J687" s="16">
        <f t="shared" si="43"/>
        <v>5.5098231233922705E-2</v>
      </c>
    </row>
    <row r="688" spans="1:10" ht="15" hidden="1" customHeight="1" x14ac:dyDescent="0.3">
      <c r="A688" s="5" t="s">
        <v>5</v>
      </c>
      <c r="B688" s="5" t="s">
        <v>20</v>
      </c>
      <c r="C688" s="5" t="s">
        <v>72</v>
      </c>
      <c r="D688" s="5">
        <v>1</v>
      </c>
      <c r="E688" s="6">
        <v>0</v>
      </c>
      <c r="F688" s="6">
        <f t="shared" si="46"/>
        <v>0</v>
      </c>
      <c r="G688" s="5" t="s">
        <v>170</v>
      </c>
      <c r="H688" s="38">
        <v>191327</v>
      </c>
      <c r="I688" s="5" t="s">
        <v>54</v>
      </c>
      <c r="J688" s="16">
        <f t="shared" si="43"/>
        <v>5.5098231233922705E-2</v>
      </c>
    </row>
    <row r="689" spans="1:10" ht="15" hidden="1" customHeight="1" x14ac:dyDescent="0.3">
      <c r="A689" s="5" t="s">
        <v>5</v>
      </c>
      <c r="B689" s="5" t="s">
        <v>20</v>
      </c>
      <c r="C689" s="5" t="s">
        <v>58</v>
      </c>
      <c r="D689" s="133">
        <v>2</v>
      </c>
      <c r="E689" s="6">
        <v>10.047000000000001</v>
      </c>
      <c r="F689" s="6">
        <f t="shared" si="46"/>
        <v>20.094000000000001</v>
      </c>
      <c r="G689" s="5" t="s">
        <v>171</v>
      </c>
      <c r="H689" s="38">
        <v>191327</v>
      </c>
      <c r="I689" s="5" t="s">
        <v>54</v>
      </c>
      <c r="J689" s="16">
        <f t="shared" si="43"/>
        <v>5.5098231233922705E-2</v>
      </c>
    </row>
    <row r="690" spans="1:10" ht="15" hidden="1" customHeight="1" x14ac:dyDescent="0.3">
      <c r="A690" s="5" t="s">
        <v>5</v>
      </c>
      <c r="B690" s="5" t="s">
        <v>20</v>
      </c>
      <c r="C690" s="5" t="s">
        <v>59</v>
      </c>
      <c r="D690" s="133">
        <v>2</v>
      </c>
      <c r="E690" s="6">
        <v>2.0697999999999999</v>
      </c>
      <c r="F690" s="6">
        <f t="shared" si="46"/>
        <v>4.1395999999999997</v>
      </c>
      <c r="G690" s="5" t="s">
        <v>171</v>
      </c>
      <c r="H690" s="38">
        <v>191327</v>
      </c>
      <c r="I690" s="5" t="s">
        <v>54</v>
      </c>
      <c r="J690" s="16">
        <f t="shared" si="43"/>
        <v>5.5098231233922705E-2</v>
      </c>
    </row>
    <row r="691" spans="1:10" ht="15" hidden="1" customHeight="1" x14ac:dyDescent="0.3">
      <c r="A691" s="5" t="s">
        <v>5</v>
      </c>
      <c r="B691" s="5" t="s">
        <v>20</v>
      </c>
      <c r="C691" s="5" t="s">
        <v>89</v>
      </c>
      <c r="D691" s="5">
        <v>0</v>
      </c>
      <c r="E691" s="6"/>
      <c r="F691" s="6">
        <f t="shared" si="46"/>
        <v>0</v>
      </c>
      <c r="G691" s="5"/>
      <c r="H691" s="38">
        <v>191327</v>
      </c>
      <c r="I691" s="5" t="s">
        <v>54</v>
      </c>
      <c r="J691" s="16">
        <f t="shared" si="43"/>
        <v>5.5098231233922705E-2</v>
      </c>
    </row>
    <row r="692" spans="1:10" ht="15" hidden="1" customHeight="1" x14ac:dyDescent="0.3">
      <c r="A692" s="5" t="s">
        <v>5</v>
      </c>
      <c r="B692" s="5" t="s">
        <v>20</v>
      </c>
      <c r="C692" s="5" t="s">
        <v>74</v>
      </c>
      <c r="D692" s="5">
        <v>0</v>
      </c>
      <c r="E692" s="6"/>
      <c r="F692" s="6">
        <f t="shared" si="46"/>
        <v>0</v>
      </c>
      <c r="G692" s="5"/>
      <c r="H692" s="38">
        <v>191327</v>
      </c>
      <c r="I692" s="5" t="s">
        <v>54</v>
      </c>
      <c r="J692" s="16">
        <f t="shared" si="43"/>
        <v>5.5098231233922705E-2</v>
      </c>
    </row>
    <row r="693" spans="1:10" ht="15" hidden="1" customHeight="1" x14ac:dyDescent="0.3">
      <c r="A693" s="5" t="s">
        <v>5</v>
      </c>
      <c r="B693" s="5" t="s">
        <v>20</v>
      </c>
      <c r="C693" s="5" t="s">
        <v>62</v>
      </c>
      <c r="D693" s="5">
        <v>0</v>
      </c>
      <c r="E693" s="6"/>
      <c r="F693" s="6">
        <f t="shared" si="46"/>
        <v>0</v>
      </c>
      <c r="G693" s="5"/>
      <c r="H693" s="38">
        <v>191327</v>
      </c>
      <c r="I693" s="5" t="s">
        <v>54</v>
      </c>
      <c r="J693" s="16">
        <f t="shared" si="43"/>
        <v>5.5098231233922705E-2</v>
      </c>
    </row>
    <row r="694" spans="1:10" ht="15" hidden="1" customHeight="1" x14ac:dyDescent="0.3">
      <c r="A694" s="5" t="s">
        <v>5</v>
      </c>
      <c r="B694" s="5" t="s">
        <v>20</v>
      </c>
      <c r="C694" s="5" t="s">
        <v>114</v>
      </c>
      <c r="D694" s="5">
        <v>0</v>
      </c>
      <c r="E694" s="6"/>
      <c r="F694" s="6">
        <f t="shared" si="46"/>
        <v>0</v>
      </c>
      <c r="G694" s="5"/>
      <c r="H694" s="38">
        <v>191327</v>
      </c>
      <c r="I694" s="5" t="s">
        <v>54</v>
      </c>
      <c r="J694" s="16">
        <f t="shared" si="43"/>
        <v>5.5098231233922705E-2</v>
      </c>
    </row>
    <row r="695" spans="1:10" ht="15" hidden="1" customHeight="1" x14ac:dyDescent="0.3">
      <c r="A695" s="5" t="s">
        <v>5</v>
      </c>
      <c r="B695" s="5" t="s">
        <v>20</v>
      </c>
      <c r="C695" s="5" t="s">
        <v>75</v>
      </c>
      <c r="D695" s="5">
        <v>0</v>
      </c>
      <c r="E695" s="6"/>
      <c r="F695" s="6">
        <f t="shared" si="46"/>
        <v>0</v>
      </c>
      <c r="G695" s="5"/>
      <c r="H695" s="38">
        <v>191327</v>
      </c>
      <c r="I695" s="5" t="s">
        <v>54</v>
      </c>
      <c r="J695" s="16">
        <f t="shared" si="43"/>
        <v>5.5098231233922705E-2</v>
      </c>
    </row>
    <row r="696" spans="1:10" ht="15" hidden="1" customHeight="1" x14ac:dyDescent="0.3">
      <c r="A696" s="5" t="s">
        <v>5</v>
      </c>
      <c r="B696" s="5" t="s">
        <v>20</v>
      </c>
      <c r="C696" s="5" t="s">
        <v>64</v>
      </c>
      <c r="D696" s="5">
        <v>1</v>
      </c>
      <c r="E696" s="6"/>
      <c r="F696" s="6">
        <f t="shared" si="46"/>
        <v>0</v>
      </c>
      <c r="G696" s="5"/>
      <c r="H696" s="38">
        <v>191327</v>
      </c>
      <c r="I696" s="5" t="s">
        <v>54</v>
      </c>
      <c r="J696" s="16">
        <f t="shared" si="43"/>
        <v>5.5098231233922705E-2</v>
      </c>
    </row>
    <row r="697" spans="1:10" ht="15" hidden="1" customHeight="1" x14ac:dyDescent="0.3">
      <c r="A697" s="5" t="s">
        <v>5</v>
      </c>
      <c r="B697" s="5" t="s">
        <v>21</v>
      </c>
      <c r="C697" s="5" t="s">
        <v>53</v>
      </c>
      <c r="D697" s="133">
        <v>2</v>
      </c>
      <c r="E697" s="6">
        <v>5745.48</v>
      </c>
      <c r="F697" s="6">
        <f>E697</f>
        <v>5745.48</v>
      </c>
      <c r="G697" s="5" t="s">
        <v>185</v>
      </c>
      <c r="H697" s="38">
        <v>191327</v>
      </c>
      <c r="I697" s="5" t="s">
        <v>54</v>
      </c>
      <c r="J697" s="16">
        <f t="shared" si="43"/>
        <v>3.2567589975762597E-2</v>
      </c>
    </row>
    <row r="698" spans="1:10" ht="15" hidden="1" customHeight="1" x14ac:dyDescent="0.3">
      <c r="A698" s="5" t="s">
        <v>5</v>
      </c>
      <c r="B698" s="5" t="s">
        <v>21</v>
      </c>
      <c r="C698" s="5" t="s">
        <v>55</v>
      </c>
      <c r="D698" s="133">
        <v>2</v>
      </c>
      <c r="E698" s="59">
        <v>64.569224000000006</v>
      </c>
      <c r="F698" s="6">
        <f t="shared" ref="F698:F711" si="47">D698*E698</f>
        <v>129.13844800000001</v>
      </c>
      <c r="G698" s="5"/>
      <c r="H698" s="38">
        <v>191327</v>
      </c>
      <c r="I698" s="5" t="s">
        <v>54</v>
      </c>
      <c r="J698" s="16">
        <f t="shared" si="43"/>
        <v>3.2567589975762597E-2</v>
      </c>
    </row>
    <row r="699" spans="1:10" ht="15" hidden="1" customHeight="1" x14ac:dyDescent="0.3">
      <c r="A699" s="5" t="s">
        <v>5</v>
      </c>
      <c r="B699" s="5" t="s">
        <v>21</v>
      </c>
      <c r="C699" s="5" t="s">
        <v>26</v>
      </c>
      <c r="D699" s="133">
        <v>2</v>
      </c>
      <c r="E699" s="37">
        <v>28.310635756385071</v>
      </c>
      <c r="F699" s="6">
        <f t="shared" si="47"/>
        <v>56.621271512770143</v>
      </c>
      <c r="G699" s="5"/>
      <c r="H699" s="38">
        <v>191327</v>
      </c>
      <c r="I699" s="5" t="s">
        <v>54</v>
      </c>
      <c r="J699" s="16">
        <f t="shared" si="43"/>
        <v>3.2567589975762597E-2</v>
      </c>
    </row>
    <row r="700" spans="1:10" ht="15" hidden="1" customHeight="1" x14ac:dyDescent="0.3">
      <c r="A700" s="5" t="s">
        <v>5</v>
      </c>
      <c r="B700" s="5" t="s">
        <v>21</v>
      </c>
      <c r="C700" s="5" t="s">
        <v>14</v>
      </c>
      <c r="D700" s="133">
        <v>2</v>
      </c>
      <c r="E700" s="37">
        <v>47.792983889980349</v>
      </c>
      <c r="F700" s="6">
        <f t="shared" si="47"/>
        <v>95.585967779960697</v>
      </c>
      <c r="G700" s="5"/>
      <c r="H700" s="38">
        <v>191327</v>
      </c>
      <c r="I700" s="5" t="s">
        <v>54</v>
      </c>
      <c r="J700" s="16">
        <f t="shared" si="43"/>
        <v>3.2567589975762597E-2</v>
      </c>
    </row>
    <row r="701" spans="1:10" ht="15" hidden="1" customHeight="1" x14ac:dyDescent="0.3">
      <c r="A701" s="5" t="s">
        <v>5</v>
      </c>
      <c r="B701" s="5" t="s">
        <v>21</v>
      </c>
      <c r="C701" s="5" t="s">
        <v>87</v>
      </c>
      <c r="D701" s="5">
        <v>3</v>
      </c>
      <c r="E701" s="6">
        <v>50</v>
      </c>
      <c r="F701" s="6">
        <f t="shared" si="47"/>
        <v>150</v>
      </c>
      <c r="G701" s="5" t="s">
        <v>170</v>
      </c>
      <c r="H701" s="38">
        <v>191327</v>
      </c>
      <c r="I701" s="5" t="s">
        <v>54</v>
      </c>
      <c r="J701" s="16">
        <f t="shared" si="43"/>
        <v>3.2567589975762597E-2</v>
      </c>
    </row>
    <row r="702" spans="1:10" ht="15" hidden="1" customHeight="1" x14ac:dyDescent="0.3">
      <c r="A702" s="5" t="s">
        <v>5</v>
      </c>
      <c r="B702" s="5" t="s">
        <v>21</v>
      </c>
      <c r="C702" s="5" t="s">
        <v>70</v>
      </c>
      <c r="D702" s="5">
        <v>0</v>
      </c>
      <c r="E702" s="6"/>
      <c r="F702" s="6">
        <f t="shared" si="47"/>
        <v>0</v>
      </c>
      <c r="G702" s="5"/>
      <c r="H702" s="38">
        <v>191327</v>
      </c>
      <c r="I702" s="5" t="s">
        <v>54</v>
      </c>
      <c r="J702" s="16">
        <f t="shared" si="43"/>
        <v>3.2567589975762597E-2</v>
      </c>
    </row>
    <row r="703" spans="1:10" ht="15" hidden="1" customHeight="1" x14ac:dyDescent="0.3">
      <c r="A703" s="5" t="s">
        <v>5</v>
      </c>
      <c r="B703" s="5" t="s">
        <v>21</v>
      </c>
      <c r="C703" s="5" t="s">
        <v>120</v>
      </c>
      <c r="D703" s="5">
        <v>1</v>
      </c>
      <c r="E703" s="6">
        <v>30</v>
      </c>
      <c r="F703" s="6">
        <f t="shared" si="47"/>
        <v>30</v>
      </c>
      <c r="G703" s="5" t="s">
        <v>170</v>
      </c>
      <c r="H703" s="38">
        <v>191327</v>
      </c>
      <c r="I703" s="5" t="s">
        <v>54</v>
      </c>
      <c r="J703" s="16">
        <f t="shared" si="43"/>
        <v>3.2567589975762597E-2</v>
      </c>
    </row>
    <row r="704" spans="1:10" ht="15" hidden="1" customHeight="1" x14ac:dyDescent="0.3">
      <c r="A704" s="5" t="s">
        <v>5</v>
      </c>
      <c r="B704" s="5" t="s">
        <v>21</v>
      </c>
      <c r="C704" s="5" t="s">
        <v>71</v>
      </c>
      <c r="D704" s="5">
        <v>0</v>
      </c>
      <c r="E704" s="6">
        <v>0</v>
      </c>
      <c r="F704" s="6">
        <f t="shared" si="47"/>
        <v>0</v>
      </c>
      <c r="G704" s="5" t="s">
        <v>170</v>
      </c>
      <c r="H704" s="38">
        <v>191327</v>
      </c>
      <c r="I704" s="5" t="s">
        <v>54</v>
      </c>
      <c r="J704" s="16">
        <f t="shared" si="43"/>
        <v>3.2567589975762597E-2</v>
      </c>
    </row>
    <row r="705" spans="1:10" ht="15" hidden="1" customHeight="1" x14ac:dyDescent="0.3">
      <c r="A705" s="5" t="s">
        <v>5</v>
      </c>
      <c r="B705" s="5" t="s">
        <v>21</v>
      </c>
      <c r="C705" s="5" t="s">
        <v>58</v>
      </c>
      <c r="D705" s="133">
        <v>2</v>
      </c>
      <c r="E705" s="6">
        <v>10.047000000000001</v>
      </c>
      <c r="F705" s="6">
        <f t="shared" si="47"/>
        <v>20.094000000000001</v>
      </c>
      <c r="G705" s="5" t="s">
        <v>171</v>
      </c>
      <c r="H705" s="38">
        <v>191327</v>
      </c>
      <c r="I705" s="5" t="s">
        <v>54</v>
      </c>
      <c r="J705" s="16">
        <f t="shared" si="43"/>
        <v>3.2567589975762597E-2</v>
      </c>
    </row>
    <row r="706" spans="1:10" ht="15" hidden="1" customHeight="1" x14ac:dyDescent="0.3">
      <c r="A706" s="5" t="s">
        <v>5</v>
      </c>
      <c r="B706" s="5" t="s">
        <v>21</v>
      </c>
      <c r="C706" s="5" t="s">
        <v>59</v>
      </c>
      <c r="D706" s="133">
        <v>2</v>
      </c>
      <c r="E706" s="6">
        <v>2.0697999999999999</v>
      </c>
      <c r="F706" s="6">
        <f t="shared" si="47"/>
        <v>4.1395999999999997</v>
      </c>
      <c r="G706" s="5" t="s">
        <v>171</v>
      </c>
      <c r="H706" s="38">
        <v>191327</v>
      </c>
      <c r="I706" s="5" t="s">
        <v>54</v>
      </c>
      <c r="J706" s="16">
        <f t="shared" ref="J706:J769" si="48">IFERROR(SUMIFS($F$2:$F$1749,$A$2:$A$1749,A706,$B$2:$B$1749,B706)/H706,"")</f>
        <v>3.2567589975762597E-2</v>
      </c>
    </row>
    <row r="707" spans="1:10" ht="15" hidden="1" customHeight="1" x14ac:dyDescent="0.3">
      <c r="A707" s="5" t="s">
        <v>5</v>
      </c>
      <c r="B707" s="5" t="s">
        <v>21</v>
      </c>
      <c r="C707" s="5" t="s">
        <v>74</v>
      </c>
      <c r="D707" s="5">
        <v>0</v>
      </c>
      <c r="E707" s="6"/>
      <c r="F707" s="6">
        <f t="shared" si="47"/>
        <v>0</v>
      </c>
      <c r="G707" s="5"/>
      <c r="H707" s="38">
        <v>191327</v>
      </c>
      <c r="I707" s="5" t="s">
        <v>54</v>
      </c>
      <c r="J707" s="16">
        <f t="shared" si="48"/>
        <v>3.2567589975762597E-2</v>
      </c>
    </row>
    <row r="708" spans="1:10" ht="15" hidden="1" customHeight="1" x14ac:dyDescent="0.3">
      <c r="A708" s="5" t="s">
        <v>5</v>
      </c>
      <c r="B708" s="5" t="s">
        <v>21</v>
      </c>
      <c r="C708" s="5" t="s">
        <v>62</v>
      </c>
      <c r="D708" s="5">
        <v>0</v>
      </c>
      <c r="E708" s="6"/>
      <c r="F708" s="6">
        <f t="shared" si="47"/>
        <v>0</v>
      </c>
      <c r="G708" s="5"/>
      <c r="H708" s="38">
        <v>191327</v>
      </c>
      <c r="I708" s="5" t="s">
        <v>54</v>
      </c>
      <c r="J708" s="16">
        <f t="shared" si="48"/>
        <v>3.2567589975762597E-2</v>
      </c>
    </row>
    <row r="709" spans="1:10" ht="15" hidden="1" customHeight="1" x14ac:dyDescent="0.3">
      <c r="A709" s="5" t="s">
        <v>5</v>
      </c>
      <c r="B709" s="5" t="s">
        <v>21</v>
      </c>
      <c r="C709" s="5" t="s">
        <v>121</v>
      </c>
      <c r="D709" s="5">
        <v>0</v>
      </c>
      <c r="E709" s="6"/>
      <c r="F709" s="6">
        <f t="shared" si="47"/>
        <v>0</v>
      </c>
      <c r="G709" s="5"/>
      <c r="H709" s="38">
        <v>191327</v>
      </c>
      <c r="I709" s="5" t="s">
        <v>54</v>
      </c>
      <c r="J709" s="16">
        <f t="shared" si="48"/>
        <v>3.2567589975762597E-2</v>
      </c>
    </row>
    <row r="710" spans="1:10" ht="15" hidden="1" customHeight="1" x14ac:dyDescent="0.3">
      <c r="A710" s="5" t="s">
        <v>5</v>
      </c>
      <c r="B710" s="5" t="s">
        <v>21</v>
      </c>
      <c r="C710" s="5" t="s">
        <v>75</v>
      </c>
      <c r="D710" s="5">
        <v>0</v>
      </c>
      <c r="E710" s="6"/>
      <c r="F710" s="6">
        <f t="shared" si="47"/>
        <v>0</v>
      </c>
      <c r="G710" s="5"/>
      <c r="H710" s="38">
        <v>191327</v>
      </c>
      <c r="I710" s="5" t="s">
        <v>54</v>
      </c>
      <c r="J710" s="16">
        <f t="shared" si="48"/>
        <v>3.2567589975762597E-2</v>
      </c>
    </row>
    <row r="711" spans="1:10" ht="15" hidden="1" customHeight="1" x14ac:dyDescent="0.3">
      <c r="A711" s="5" t="s">
        <v>5</v>
      </c>
      <c r="B711" s="5" t="s">
        <v>21</v>
      </c>
      <c r="C711" s="5" t="s">
        <v>64</v>
      </c>
      <c r="D711" s="5">
        <v>1</v>
      </c>
      <c r="E711" s="6"/>
      <c r="F711" s="6">
        <f t="shared" si="47"/>
        <v>0</v>
      </c>
      <c r="G711" s="5"/>
      <c r="H711" s="38">
        <v>191327</v>
      </c>
      <c r="I711" s="5" t="s">
        <v>54</v>
      </c>
      <c r="J711" s="16">
        <f t="shared" si="48"/>
        <v>3.2567589975762597E-2</v>
      </c>
    </row>
    <row r="712" spans="1:10" ht="15" hidden="1" customHeight="1" x14ac:dyDescent="0.3">
      <c r="A712" s="5" t="s">
        <v>5</v>
      </c>
      <c r="B712" s="5" t="s">
        <v>22</v>
      </c>
      <c r="C712" s="5" t="s">
        <v>53</v>
      </c>
      <c r="D712" s="133">
        <v>17</v>
      </c>
      <c r="E712" s="6">
        <v>90646.73</v>
      </c>
      <c r="F712" s="6">
        <f>E712</f>
        <v>90646.73</v>
      </c>
      <c r="G712" s="5" t="s">
        <v>169</v>
      </c>
      <c r="H712" s="38">
        <v>177925</v>
      </c>
      <c r="I712" s="5" t="s">
        <v>82</v>
      </c>
      <c r="J712" s="16">
        <f t="shared" si="48"/>
        <v>0.54292119680757744</v>
      </c>
    </row>
    <row r="713" spans="1:10" ht="15" hidden="1" customHeight="1" x14ac:dyDescent="0.3">
      <c r="A713" s="5" t="s">
        <v>5</v>
      </c>
      <c r="B713" s="5" t="s">
        <v>22</v>
      </c>
      <c r="C713" s="5" t="s">
        <v>55</v>
      </c>
      <c r="D713" s="133">
        <v>17</v>
      </c>
      <c r="E713" s="59">
        <v>64.569224000000006</v>
      </c>
      <c r="F713" s="6">
        <f t="shared" ref="F713:F732" si="49">D713*E713</f>
        <v>1097.6768080000002</v>
      </c>
      <c r="G713" s="5"/>
      <c r="H713" s="38">
        <v>177925</v>
      </c>
      <c r="I713" s="5" t="s">
        <v>82</v>
      </c>
      <c r="J713" s="16">
        <f t="shared" si="48"/>
        <v>0.54292119680757744</v>
      </c>
    </row>
    <row r="714" spans="1:10" ht="15" hidden="1" customHeight="1" x14ac:dyDescent="0.3">
      <c r="A714" s="5" t="s">
        <v>5</v>
      </c>
      <c r="B714" s="5" t="s">
        <v>22</v>
      </c>
      <c r="C714" s="5" t="s">
        <v>26</v>
      </c>
      <c r="D714" s="133">
        <v>17</v>
      </c>
      <c r="E714" s="37">
        <v>28.310635756385071</v>
      </c>
      <c r="F714" s="6">
        <f t="shared" si="49"/>
        <v>481.28080785854621</v>
      </c>
      <c r="G714" s="5"/>
      <c r="H714" s="38">
        <v>177925</v>
      </c>
      <c r="I714" s="5" t="s">
        <v>82</v>
      </c>
      <c r="J714" s="16">
        <f t="shared" si="48"/>
        <v>0.54292119680757744</v>
      </c>
    </row>
    <row r="715" spans="1:10" ht="15" hidden="1" customHeight="1" x14ac:dyDescent="0.3">
      <c r="A715" s="5" t="s">
        <v>5</v>
      </c>
      <c r="B715" s="5" t="s">
        <v>22</v>
      </c>
      <c r="C715" s="5" t="s">
        <v>14</v>
      </c>
      <c r="D715" s="133">
        <v>17</v>
      </c>
      <c r="E715" s="37">
        <v>47.792983889980349</v>
      </c>
      <c r="F715" s="6">
        <f t="shared" si="49"/>
        <v>812.48072612966598</v>
      </c>
      <c r="G715" s="5"/>
      <c r="H715" s="38">
        <v>177925</v>
      </c>
      <c r="I715" s="5" t="s">
        <v>82</v>
      </c>
      <c r="J715" s="16">
        <f t="shared" si="48"/>
        <v>0.54292119680757744</v>
      </c>
    </row>
    <row r="716" spans="1:10" ht="15" hidden="1" customHeight="1" x14ac:dyDescent="0.3">
      <c r="A716" s="5" t="s">
        <v>5</v>
      </c>
      <c r="B716" s="5" t="s">
        <v>22</v>
      </c>
      <c r="C716" s="5" t="s">
        <v>87</v>
      </c>
      <c r="D716" s="5">
        <v>4</v>
      </c>
      <c r="E716" s="6">
        <v>50</v>
      </c>
      <c r="F716" s="6">
        <f t="shared" si="49"/>
        <v>200</v>
      </c>
      <c r="G716" s="5" t="s">
        <v>170</v>
      </c>
      <c r="H716" s="38">
        <v>177925</v>
      </c>
      <c r="I716" s="5" t="s">
        <v>82</v>
      </c>
      <c r="J716" s="16">
        <f t="shared" si="48"/>
        <v>0.54292119680757744</v>
      </c>
    </row>
    <row r="717" spans="1:10" ht="15" hidden="1" customHeight="1" x14ac:dyDescent="0.3">
      <c r="A717" s="5" t="s">
        <v>5</v>
      </c>
      <c r="B717" s="5" t="s">
        <v>22</v>
      </c>
      <c r="C717" s="5" t="s">
        <v>70</v>
      </c>
      <c r="D717" s="5">
        <v>1</v>
      </c>
      <c r="E717" s="6">
        <v>65</v>
      </c>
      <c r="F717" s="6">
        <f t="shared" si="49"/>
        <v>65</v>
      </c>
      <c r="G717" s="5" t="s">
        <v>173</v>
      </c>
      <c r="H717" s="38">
        <v>177925</v>
      </c>
      <c r="I717" s="5" t="s">
        <v>82</v>
      </c>
      <c r="J717" s="16">
        <f t="shared" si="48"/>
        <v>0.54292119680757744</v>
      </c>
    </row>
    <row r="718" spans="1:10" ht="15" hidden="1" customHeight="1" x14ac:dyDescent="0.3">
      <c r="A718" s="5" t="s">
        <v>5</v>
      </c>
      <c r="B718" s="5" t="s">
        <v>22</v>
      </c>
      <c r="C718" s="5" t="s">
        <v>76</v>
      </c>
      <c r="D718" s="5">
        <v>3</v>
      </c>
      <c r="E718" s="6">
        <v>30</v>
      </c>
      <c r="F718" s="6">
        <f t="shared" si="49"/>
        <v>90</v>
      </c>
      <c r="G718" s="5" t="s">
        <v>170</v>
      </c>
      <c r="H718" s="38">
        <v>177925</v>
      </c>
      <c r="I718" s="5" t="s">
        <v>82</v>
      </c>
      <c r="J718" s="16">
        <f t="shared" si="48"/>
        <v>0.54292119680757744</v>
      </c>
    </row>
    <row r="719" spans="1:10" ht="15" hidden="1" customHeight="1" x14ac:dyDescent="0.3">
      <c r="A719" s="5" t="s">
        <v>5</v>
      </c>
      <c r="B719" s="5" t="s">
        <v>22</v>
      </c>
      <c r="C719" s="5" t="s">
        <v>71</v>
      </c>
      <c r="D719" s="5">
        <v>1</v>
      </c>
      <c r="E719" s="6">
        <v>40.520000000000003</v>
      </c>
      <c r="F719" s="6">
        <f t="shared" si="49"/>
        <v>40.520000000000003</v>
      </c>
      <c r="G719" s="5" t="s">
        <v>170</v>
      </c>
      <c r="H719" s="38">
        <v>177925</v>
      </c>
      <c r="I719" s="5" t="s">
        <v>82</v>
      </c>
      <c r="J719" s="16">
        <f t="shared" si="48"/>
        <v>0.54292119680757744</v>
      </c>
    </row>
    <row r="720" spans="1:10" ht="15" hidden="1" customHeight="1" x14ac:dyDescent="0.3">
      <c r="A720" s="5" t="s">
        <v>5</v>
      </c>
      <c r="B720" s="5" t="s">
        <v>22</v>
      </c>
      <c r="C720" s="5" t="s">
        <v>72</v>
      </c>
      <c r="D720" s="5">
        <v>1</v>
      </c>
      <c r="E720" s="6">
        <v>153.58000000000001</v>
      </c>
      <c r="F720" s="6">
        <f t="shared" si="49"/>
        <v>153.58000000000001</v>
      </c>
      <c r="G720" s="5" t="s">
        <v>170</v>
      </c>
      <c r="H720" s="38">
        <v>177925</v>
      </c>
      <c r="I720" s="5" t="s">
        <v>82</v>
      </c>
      <c r="J720" s="16">
        <f t="shared" si="48"/>
        <v>0.54292119680757744</v>
      </c>
    </row>
    <row r="721" spans="1:10" ht="15" hidden="1" customHeight="1" x14ac:dyDescent="0.3">
      <c r="A721" s="5" t="s">
        <v>5</v>
      </c>
      <c r="B721" s="5" t="s">
        <v>22</v>
      </c>
      <c r="C721" s="5" t="s">
        <v>58</v>
      </c>
      <c r="D721" s="133">
        <v>17</v>
      </c>
      <c r="E721" s="6">
        <v>10.047000000000001</v>
      </c>
      <c r="F721" s="6">
        <f t="shared" si="49"/>
        <v>170.79900000000001</v>
      </c>
      <c r="G721" s="5" t="s">
        <v>171</v>
      </c>
      <c r="H721" s="38">
        <v>177925</v>
      </c>
      <c r="I721" s="5" t="s">
        <v>82</v>
      </c>
      <c r="J721" s="16">
        <f t="shared" si="48"/>
        <v>0.54292119680757744</v>
      </c>
    </row>
    <row r="722" spans="1:10" ht="15" hidden="1" customHeight="1" x14ac:dyDescent="0.3">
      <c r="A722" s="5" t="s">
        <v>5</v>
      </c>
      <c r="B722" s="5" t="s">
        <v>22</v>
      </c>
      <c r="C722" s="5" t="s">
        <v>59</v>
      </c>
      <c r="D722" s="133">
        <v>17</v>
      </c>
      <c r="E722" s="6">
        <v>2.0697999999999999</v>
      </c>
      <c r="F722" s="6">
        <f t="shared" si="49"/>
        <v>35.186599999999999</v>
      </c>
      <c r="G722" s="5" t="s">
        <v>171</v>
      </c>
      <c r="H722" s="38">
        <v>177925</v>
      </c>
      <c r="I722" s="5" t="s">
        <v>82</v>
      </c>
      <c r="J722" s="16">
        <f t="shared" si="48"/>
        <v>0.54292119680757744</v>
      </c>
    </row>
    <row r="723" spans="1:10" ht="15" hidden="1" customHeight="1" x14ac:dyDescent="0.3">
      <c r="A723" s="5" t="s">
        <v>5</v>
      </c>
      <c r="B723" s="5" t="s">
        <v>22</v>
      </c>
      <c r="C723" s="5" t="s">
        <v>74</v>
      </c>
      <c r="D723" s="5">
        <v>1</v>
      </c>
      <c r="E723" s="6">
        <v>272</v>
      </c>
      <c r="F723" s="6">
        <f t="shared" si="49"/>
        <v>272</v>
      </c>
      <c r="G723" s="5" t="s">
        <v>172</v>
      </c>
      <c r="H723" s="38">
        <v>177925</v>
      </c>
      <c r="I723" s="5" t="s">
        <v>82</v>
      </c>
      <c r="J723" s="16">
        <f t="shared" si="48"/>
        <v>0.54292119680757744</v>
      </c>
    </row>
    <row r="724" spans="1:10" ht="15" hidden="1" customHeight="1" x14ac:dyDescent="0.3">
      <c r="A724" s="5" t="s">
        <v>5</v>
      </c>
      <c r="B724" s="5" t="s">
        <v>22</v>
      </c>
      <c r="C724" s="5" t="s">
        <v>62</v>
      </c>
      <c r="D724" s="5">
        <v>1</v>
      </c>
      <c r="E724" s="6">
        <v>0</v>
      </c>
      <c r="F724" s="6">
        <f t="shared" si="49"/>
        <v>0</v>
      </c>
      <c r="G724" s="5" t="s">
        <v>172</v>
      </c>
      <c r="H724" s="38">
        <v>177925</v>
      </c>
      <c r="I724" s="5" t="s">
        <v>82</v>
      </c>
      <c r="J724" s="16">
        <f t="shared" si="48"/>
        <v>0.54292119680757744</v>
      </c>
    </row>
    <row r="725" spans="1:10" ht="15" hidden="1" customHeight="1" x14ac:dyDescent="0.3">
      <c r="A725" s="5" t="s">
        <v>5</v>
      </c>
      <c r="B725" s="5" t="s">
        <v>22</v>
      </c>
      <c r="C725" s="5" t="s">
        <v>122</v>
      </c>
      <c r="D725" s="5">
        <v>1</v>
      </c>
      <c r="E725" s="6"/>
      <c r="F725" s="6">
        <f t="shared" si="49"/>
        <v>0</v>
      </c>
      <c r="G725" s="5"/>
      <c r="H725" s="38">
        <v>177925</v>
      </c>
      <c r="I725" s="5" t="s">
        <v>82</v>
      </c>
      <c r="J725" s="16">
        <f t="shared" si="48"/>
        <v>0.54292119680757744</v>
      </c>
    </row>
    <row r="726" spans="1:10" ht="15" hidden="1" customHeight="1" x14ac:dyDescent="0.3">
      <c r="A726" s="5" t="s">
        <v>5</v>
      </c>
      <c r="B726" s="5" t="s">
        <v>22</v>
      </c>
      <c r="C726" s="5" t="s">
        <v>123</v>
      </c>
      <c r="D726" s="5">
        <v>1</v>
      </c>
      <c r="E726" s="6">
        <v>2534</v>
      </c>
      <c r="F726" s="6">
        <f t="shared" si="49"/>
        <v>2534</v>
      </c>
      <c r="G726" s="5" t="s">
        <v>170</v>
      </c>
      <c r="H726" s="38">
        <v>177925</v>
      </c>
      <c r="I726" s="5" t="s">
        <v>82</v>
      </c>
      <c r="J726" s="16">
        <f t="shared" si="48"/>
        <v>0.54292119680757744</v>
      </c>
    </row>
    <row r="727" spans="1:10" ht="15" hidden="1" customHeight="1" x14ac:dyDescent="0.3">
      <c r="A727" s="5" t="s">
        <v>5</v>
      </c>
      <c r="B727" s="5" t="s">
        <v>22</v>
      </c>
      <c r="C727" s="5" t="s">
        <v>121</v>
      </c>
      <c r="D727" s="5">
        <v>1</v>
      </c>
      <c r="E727" s="6"/>
      <c r="F727" s="6">
        <f t="shared" si="49"/>
        <v>0</v>
      </c>
      <c r="G727" s="5"/>
      <c r="H727" s="38">
        <v>177925</v>
      </c>
      <c r="I727" s="5" t="s">
        <v>82</v>
      </c>
      <c r="J727" s="16">
        <f t="shared" si="48"/>
        <v>0.54292119680757744</v>
      </c>
    </row>
    <row r="728" spans="1:10" ht="15" hidden="1" customHeight="1" x14ac:dyDescent="0.3">
      <c r="A728" s="5" t="s">
        <v>5</v>
      </c>
      <c r="B728" s="5" t="s">
        <v>22</v>
      </c>
      <c r="C728" s="5" t="s">
        <v>89</v>
      </c>
      <c r="D728" s="5">
        <v>0</v>
      </c>
      <c r="E728" s="6"/>
      <c r="F728" s="6">
        <f t="shared" si="49"/>
        <v>0</v>
      </c>
      <c r="G728" s="5"/>
      <c r="H728" s="38">
        <v>177925</v>
      </c>
      <c r="I728" s="5" t="s">
        <v>82</v>
      </c>
      <c r="J728" s="16">
        <f t="shared" si="48"/>
        <v>0.54292119680757744</v>
      </c>
    </row>
    <row r="729" spans="1:10" ht="15" hidden="1" customHeight="1" x14ac:dyDescent="0.3">
      <c r="A729" s="5" t="s">
        <v>5</v>
      </c>
      <c r="B729" s="5" t="s">
        <v>22</v>
      </c>
      <c r="C729" s="5" t="s">
        <v>67</v>
      </c>
      <c r="D729" s="5">
        <v>0</v>
      </c>
      <c r="E729" s="6"/>
      <c r="F729" s="6">
        <f t="shared" si="49"/>
        <v>0</v>
      </c>
      <c r="G729" s="5"/>
      <c r="H729" s="38">
        <v>177925</v>
      </c>
      <c r="I729" s="5" t="s">
        <v>82</v>
      </c>
      <c r="J729" s="16">
        <f t="shared" si="48"/>
        <v>0.54292119680757744</v>
      </c>
    </row>
    <row r="730" spans="1:10" ht="15" hidden="1" customHeight="1" x14ac:dyDescent="0.3">
      <c r="A730" s="5" t="s">
        <v>5</v>
      </c>
      <c r="B730" s="5" t="s">
        <v>22</v>
      </c>
      <c r="C730" s="5" t="s">
        <v>114</v>
      </c>
      <c r="D730" s="5">
        <v>0</v>
      </c>
      <c r="E730" s="6"/>
      <c r="F730" s="6">
        <f t="shared" si="49"/>
        <v>0</v>
      </c>
      <c r="G730" s="5"/>
      <c r="H730" s="38">
        <v>177925</v>
      </c>
      <c r="I730" s="5" t="s">
        <v>82</v>
      </c>
      <c r="J730" s="16">
        <f t="shared" si="48"/>
        <v>0.54292119680757744</v>
      </c>
    </row>
    <row r="731" spans="1:10" ht="15" hidden="1" customHeight="1" x14ac:dyDescent="0.3">
      <c r="A731" s="5" t="s">
        <v>5</v>
      </c>
      <c r="B731" s="5" t="s">
        <v>22</v>
      </c>
      <c r="C731" s="5" t="s">
        <v>75</v>
      </c>
      <c r="D731" s="5">
        <v>1</v>
      </c>
      <c r="E731" s="6"/>
      <c r="F731" s="6">
        <f t="shared" si="49"/>
        <v>0</v>
      </c>
      <c r="G731" s="5"/>
      <c r="H731" s="38">
        <v>177925</v>
      </c>
      <c r="I731" s="5" t="s">
        <v>82</v>
      </c>
      <c r="J731" s="16">
        <f t="shared" si="48"/>
        <v>0.54292119680757744</v>
      </c>
    </row>
    <row r="732" spans="1:10" ht="15" hidden="1" customHeight="1" x14ac:dyDescent="0.3">
      <c r="A732" s="5" t="s">
        <v>5</v>
      </c>
      <c r="B732" s="5" t="s">
        <v>22</v>
      </c>
      <c r="C732" s="5" t="s">
        <v>64</v>
      </c>
      <c r="D732" s="5">
        <v>1</v>
      </c>
      <c r="E732" s="6"/>
      <c r="F732" s="6">
        <f t="shared" si="49"/>
        <v>0</v>
      </c>
      <c r="G732" s="5"/>
      <c r="H732" s="38">
        <v>177925</v>
      </c>
      <c r="I732" s="5" t="s">
        <v>82</v>
      </c>
      <c r="J732" s="16">
        <f t="shared" si="48"/>
        <v>0.54292119680757744</v>
      </c>
    </row>
    <row r="733" spans="1:10" ht="15" hidden="1" customHeight="1" x14ac:dyDescent="0.3">
      <c r="A733" s="5" t="s">
        <v>5</v>
      </c>
      <c r="B733" s="5" t="s">
        <v>23</v>
      </c>
      <c r="C733" s="5" t="s">
        <v>53</v>
      </c>
      <c r="D733" s="133">
        <v>12</v>
      </c>
      <c r="E733" s="6">
        <v>58578.33</v>
      </c>
      <c r="F733" s="6">
        <f>E733</f>
        <v>58578.33</v>
      </c>
      <c r="G733" s="5" t="s">
        <v>186</v>
      </c>
      <c r="H733" s="38">
        <v>177925</v>
      </c>
      <c r="I733" s="5" t="s">
        <v>82</v>
      </c>
      <c r="J733" s="16">
        <f t="shared" si="48"/>
        <v>0.35130676253340676</v>
      </c>
    </row>
    <row r="734" spans="1:10" ht="15" hidden="1" customHeight="1" x14ac:dyDescent="0.3">
      <c r="A734" s="5" t="s">
        <v>5</v>
      </c>
      <c r="B734" s="5" t="s">
        <v>23</v>
      </c>
      <c r="C734" s="5" t="s">
        <v>55</v>
      </c>
      <c r="D734" s="133">
        <v>12</v>
      </c>
      <c r="E734" s="59">
        <v>64.569224000000006</v>
      </c>
      <c r="F734" s="6">
        <f t="shared" ref="F734:F763" si="50">D734*E734</f>
        <v>774.83068800000001</v>
      </c>
      <c r="G734" s="5"/>
      <c r="H734" s="38">
        <v>177925</v>
      </c>
      <c r="I734" s="5" t="s">
        <v>82</v>
      </c>
      <c r="J734" s="16">
        <f t="shared" si="48"/>
        <v>0.35130676253340676</v>
      </c>
    </row>
    <row r="735" spans="1:10" ht="15" hidden="1" customHeight="1" x14ac:dyDescent="0.3">
      <c r="A735" s="5" t="s">
        <v>5</v>
      </c>
      <c r="B735" s="5" t="s">
        <v>23</v>
      </c>
      <c r="C735" s="5" t="s">
        <v>26</v>
      </c>
      <c r="D735" s="133">
        <v>12</v>
      </c>
      <c r="E735" s="37">
        <v>28.310635756385071</v>
      </c>
      <c r="F735" s="6">
        <f t="shared" si="50"/>
        <v>339.72762907662087</v>
      </c>
      <c r="G735" s="5"/>
      <c r="H735" s="38">
        <v>177925</v>
      </c>
      <c r="I735" s="5" t="s">
        <v>82</v>
      </c>
      <c r="J735" s="16">
        <f t="shared" si="48"/>
        <v>0.35130676253340676</v>
      </c>
    </row>
    <row r="736" spans="1:10" ht="15" hidden="1" customHeight="1" x14ac:dyDescent="0.3">
      <c r="A736" s="5" t="s">
        <v>5</v>
      </c>
      <c r="B736" s="5" t="s">
        <v>23</v>
      </c>
      <c r="C736" s="5" t="s">
        <v>14</v>
      </c>
      <c r="D736" s="133">
        <v>12</v>
      </c>
      <c r="E736" s="37">
        <v>47.792983889980349</v>
      </c>
      <c r="F736" s="6">
        <f t="shared" si="50"/>
        <v>573.51580667976418</v>
      </c>
      <c r="G736" s="5"/>
      <c r="H736" s="38">
        <v>177925</v>
      </c>
      <c r="I736" s="5" t="s">
        <v>82</v>
      </c>
      <c r="J736" s="16">
        <f t="shared" si="48"/>
        <v>0.35130676253340676</v>
      </c>
    </row>
    <row r="737" spans="1:10" ht="15" hidden="1" customHeight="1" x14ac:dyDescent="0.3">
      <c r="A737" s="5" t="s">
        <v>5</v>
      </c>
      <c r="B737" s="5" t="s">
        <v>23</v>
      </c>
      <c r="C737" s="5" t="s">
        <v>56</v>
      </c>
      <c r="D737" s="5">
        <v>17</v>
      </c>
      <c r="E737" s="6">
        <v>50</v>
      </c>
      <c r="F737" s="6">
        <f t="shared" si="50"/>
        <v>850</v>
      </c>
      <c r="G737" s="5" t="s">
        <v>170</v>
      </c>
      <c r="H737" s="38">
        <v>177925</v>
      </c>
      <c r="I737" s="5" t="s">
        <v>82</v>
      </c>
      <c r="J737" s="16">
        <f t="shared" si="48"/>
        <v>0.35130676253340676</v>
      </c>
    </row>
    <row r="738" spans="1:10" ht="15" hidden="1" customHeight="1" x14ac:dyDescent="0.3">
      <c r="A738" s="5" t="s">
        <v>5</v>
      </c>
      <c r="B738" s="5" t="s">
        <v>23</v>
      </c>
      <c r="C738" s="5" t="s">
        <v>70</v>
      </c>
      <c r="D738" s="5">
        <v>1</v>
      </c>
      <c r="E738" s="6"/>
      <c r="F738" s="6">
        <f t="shared" si="50"/>
        <v>0</v>
      </c>
      <c r="G738" s="5"/>
      <c r="H738" s="38">
        <v>177925</v>
      </c>
      <c r="I738" s="5" t="s">
        <v>82</v>
      </c>
      <c r="J738" s="16">
        <f t="shared" si="48"/>
        <v>0.35130676253340676</v>
      </c>
    </row>
    <row r="739" spans="1:10" ht="15" hidden="1" customHeight="1" x14ac:dyDescent="0.3">
      <c r="A739" s="5" t="s">
        <v>5</v>
      </c>
      <c r="B739" s="5" t="s">
        <v>23</v>
      </c>
      <c r="C739" s="5" t="s">
        <v>76</v>
      </c>
      <c r="D739" s="5">
        <v>1</v>
      </c>
      <c r="E739" s="6">
        <v>33.72</v>
      </c>
      <c r="F739" s="6">
        <f t="shared" si="50"/>
        <v>33.72</v>
      </c>
      <c r="G739" s="5" t="s">
        <v>170</v>
      </c>
      <c r="H739" s="38">
        <v>177925</v>
      </c>
      <c r="I739" s="5" t="s">
        <v>82</v>
      </c>
      <c r="J739" s="16">
        <f t="shared" si="48"/>
        <v>0.35130676253340676</v>
      </c>
    </row>
    <row r="740" spans="1:10" ht="15" hidden="1" customHeight="1" x14ac:dyDescent="0.3">
      <c r="A740" s="5" t="s">
        <v>5</v>
      </c>
      <c r="B740" s="5" t="s">
        <v>23</v>
      </c>
      <c r="C740" s="5" t="s">
        <v>57</v>
      </c>
      <c r="D740" s="5">
        <v>11</v>
      </c>
      <c r="E740" s="6">
        <v>30</v>
      </c>
      <c r="F740" s="6">
        <f t="shared" si="50"/>
        <v>330</v>
      </c>
      <c r="G740" s="5" t="s">
        <v>170</v>
      </c>
      <c r="H740" s="38">
        <v>177925</v>
      </c>
      <c r="I740" s="5" t="s">
        <v>82</v>
      </c>
      <c r="J740" s="16">
        <f t="shared" si="48"/>
        <v>0.35130676253340676</v>
      </c>
    </row>
    <row r="741" spans="1:10" ht="15" hidden="1" customHeight="1" x14ac:dyDescent="0.3">
      <c r="A741" s="5" t="s">
        <v>5</v>
      </c>
      <c r="B741" s="5" t="s">
        <v>23</v>
      </c>
      <c r="C741" s="5" t="s">
        <v>72</v>
      </c>
      <c r="D741" s="5">
        <v>1</v>
      </c>
      <c r="E741" s="6">
        <v>128.68</v>
      </c>
      <c r="F741" s="6">
        <f t="shared" si="50"/>
        <v>128.68</v>
      </c>
      <c r="G741" s="5" t="s">
        <v>170</v>
      </c>
      <c r="H741" s="38">
        <v>177925</v>
      </c>
      <c r="I741" s="5" t="s">
        <v>82</v>
      </c>
      <c r="J741" s="16">
        <f t="shared" si="48"/>
        <v>0.35130676253340676</v>
      </c>
    </row>
    <row r="742" spans="1:10" ht="15" hidden="1" customHeight="1" x14ac:dyDescent="0.3">
      <c r="A742" s="5" t="s">
        <v>5</v>
      </c>
      <c r="B742" s="5" t="s">
        <v>23</v>
      </c>
      <c r="C742" s="5" t="s">
        <v>58</v>
      </c>
      <c r="D742" s="133">
        <v>12</v>
      </c>
      <c r="E742" s="6">
        <v>10.047000000000001</v>
      </c>
      <c r="F742" s="6">
        <f t="shared" si="50"/>
        <v>120.56400000000001</v>
      </c>
      <c r="G742" s="5" t="s">
        <v>171</v>
      </c>
      <c r="H742" s="38">
        <v>177925</v>
      </c>
      <c r="I742" s="5" t="s">
        <v>82</v>
      </c>
      <c r="J742" s="16">
        <f t="shared" si="48"/>
        <v>0.35130676253340676</v>
      </c>
    </row>
    <row r="743" spans="1:10" ht="15" hidden="1" customHeight="1" x14ac:dyDescent="0.3">
      <c r="A743" s="5" t="s">
        <v>5</v>
      </c>
      <c r="B743" s="5" t="s">
        <v>23</v>
      </c>
      <c r="C743" s="5" t="s">
        <v>59</v>
      </c>
      <c r="D743" s="133">
        <v>12</v>
      </c>
      <c r="E743" s="6">
        <v>2.0697999999999999</v>
      </c>
      <c r="F743" s="6">
        <f t="shared" si="50"/>
        <v>24.837599999999998</v>
      </c>
      <c r="G743" s="5" t="s">
        <v>171</v>
      </c>
      <c r="H743" s="38">
        <v>177925</v>
      </c>
      <c r="I743" s="5" t="s">
        <v>82</v>
      </c>
      <c r="J743" s="16">
        <f t="shared" si="48"/>
        <v>0.35130676253340676</v>
      </c>
    </row>
    <row r="744" spans="1:10" ht="15" hidden="1" customHeight="1" x14ac:dyDescent="0.3">
      <c r="A744" s="5" t="s">
        <v>5</v>
      </c>
      <c r="B744" s="5" t="s">
        <v>23</v>
      </c>
      <c r="C744" s="5" t="s">
        <v>74</v>
      </c>
      <c r="D744" s="5">
        <v>1</v>
      </c>
      <c r="E744" s="6">
        <v>0</v>
      </c>
      <c r="F744" s="6">
        <f t="shared" si="50"/>
        <v>0</v>
      </c>
      <c r="G744" s="5" t="s">
        <v>172</v>
      </c>
      <c r="H744" s="38">
        <v>177925</v>
      </c>
      <c r="I744" s="5" t="s">
        <v>82</v>
      </c>
      <c r="J744" s="16">
        <f t="shared" si="48"/>
        <v>0.35130676253340676</v>
      </c>
    </row>
    <row r="745" spans="1:10" ht="15" hidden="1" customHeight="1" x14ac:dyDescent="0.3">
      <c r="A745" s="5" t="s">
        <v>5</v>
      </c>
      <c r="B745" s="5" t="s">
        <v>23</v>
      </c>
      <c r="C745" s="5" t="s">
        <v>62</v>
      </c>
      <c r="D745" s="5">
        <v>1</v>
      </c>
      <c r="E745" s="6">
        <v>68</v>
      </c>
      <c r="F745" s="6">
        <f t="shared" si="50"/>
        <v>68</v>
      </c>
      <c r="G745" s="5" t="s">
        <v>172</v>
      </c>
      <c r="H745" s="38">
        <v>177925</v>
      </c>
      <c r="I745" s="5" t="s">
        <v>82</v>
      </c>
      <c r="J745" s="16">
        <f t="shared" si="48"/>
        <v>0.35130676253340676</v>
      </c>
    </row>
    <row r="746" spans="1:10" ht="15" hidden="1" customHeight="1" x14ac:dyDescent="0.3">
      <c r="A746" s="5" t="s">
        <v>5</v>
      </c>
      <c r="B746" s="5" t="s">
        <v>23</v>
      </c>
      <c r="C746" s="5" t="s">
        <v>75</v>
      </c>
      <c r="D746" s="5">
        <v>0</v>
      </c>
      <c r="E746" s="6"/>
      <c r="F746" s="6">
        <f t="shared" si="50"/>
        <v>0</v>
      </c>
      <c r="G746" s="5"/>
      <c r="H746" s="38">
        <v>177925</v>
      </c>
      <c r="I746" s="5" t="s">
        <v>82</v>
      </c>
      <c r="J746" s="16">
        <f t="shared" si="48"/>
        <v>0.35130676253340676</v>
      </c>
    </row>
    <row r="747" spans="1:10" ht="15" hidden="1" customHeight="1" x14ac:dyDescent="0.3">
      <c r="A747" s="5" t="s">
        <v>5</v>
      </c>
      <c r="B747" s="5" t="s">
        <v>23</v>
      </c>
      <c r="C747" s="5" t="s">
        <v>64</v>
      </c>
      <c r="D747" s="5">
        <v>1</v>
      </c>
      <c r="E747" s="6"/>
      <c r="F747" s="6">
        <f t="shared" si="50"/>
        <v>0</v>
      </c>
      <c r="G747" s="5"/>
      <c r="H747" s="38">
        <v>177925</v>
      </c>
      <c r="I747" s="5" t="s">
        <v>82</v>
      </c>
      <c r="J747" s="16">
        <f t="shared" si="48"/>
        <v>0.35130676253340676</v>
      </c>
    </row>
    <row r="748" spans="1:10" ht="15" hidden="1" customHeight="1" x14ac:dyDescent="0.3">
      <c r="A748" s="5" t="s">
        <v>5</v>
      </c>
      <c r="B748" s="5" t="s">
        <v>23</v>
      </c>
      <c r="C748" s="5" t="s">
        <v>124</v>
      </c>
      <c r="D748" s="5">
        <v>1</v>
      </c>
      <c r="E748" s="6"/>
      <c r="F748" s="6">
        <f t="shared" si="50"/>
        <v>0</v>
      </c>
      <c r="G748" s="5"/>
      <c r="H748" s="38">
        <v>177925</v>
      </c>
      <c r="I748" s="5" t="s">
        <v>82</v>
      </c>
      <c r="J748" s="16">
        <f t="shared" si="48"/>
        <v>0.35130676253340676</v>
      </c>
    </row>
    <row r="749" spans="1:10" ht="15" hidden="1" customHeight="1" x14ac:dyDescent="0.3">
      <c r="A749" s="5" t="s">
        <v>5</v>
      </c>
      <c r="B749" s="5" t="s">
        <v>23</v>
      </c>
      <c r="C749" s="5" t="s">
        <v>125</v>
      </c>
      <c r="D749" s="5">
        <v>1</v>
      </c>
      <c r="E749" s="6"/>
      <c r="F749" s="6">
        <f t="shared" si="50"/>
        <v>0</v>
      </c>
      <c r="G749" s="5"/>
      <c r="H749" s="38">
        <v>177925</v>
      </c>
      <c r="I749" s="5" t="s">
        <v>82</v>
      </c>
      <c r="J749" s="16">
        <f t="shared" si="48"/>
        <v>0.35130676253340676</v>
      </c>
    </row>
    <row r="750" spans="1:10" ht="15" hidden="1" customHeight="1" x14ac:dyDescent="0.3">
      <c r="A750" s="5" t="s">
        <v>5</v>
      </c>
      <c r="B750" s="5" t="s">
        <v>23</v>
      </c>
      <c r="C750" s="5" t="s">
        <v>126</v>
      </c>
      <c r="D750" s="5">
        <v>1</v>
      </c>
      <c r="E750" s="6"/>
      <c r="F750" s="6">
        <f t="shared" si="50"/>
        <v>0</v>
      </c>
      <c r="G750" s="5"/>
      <c r="H750" s="38">
        <v>177925</v>
      </c>
      <c r="I750" s="5" t="s">
        <v>82</v>
      </c>
      <c r="J750" s="16">
        <f t="shared" si="48"/>
        <v>0.35130676253340676</v>
      </c>
    </row>
    <row r="751" spans="1:10" ht="15" hidden="1" customHeight="1" x14ac:dyDescent="0.3">
      <c r="A751" s="5" t="s">
        <v>5</v>
      </c>
      <c r="B751" s="5" t="s">
        <v>23</v>
      </c>
      <c r="C751" s="5" t="s">
        <v>127</v>
      </c>
      <c r="D751" s="5">
        <v>1</v>
      </c>
      <c r="E751" s="6"/>
      <c r="F751" s="6">
        <f t="shared" si="50"/>
        <v>0</v>
      </c>
      <c r="G751" s="5"/>
      <c r="H751" s="38">
        <v>177925</v>
      </c>
      <c r="I751" s="5" t="s">
        <v>82</v>
      </c>
      <c r="J751" s="16">
        <f t="shared" si="48"/>
        <v>0.35130676253340676</v>
      </c>
    </row>
    <row r="752" spans="1:10" ht="15" hidden="1" customHeight="1" x14ac:dyDescent="0.3">
      <c r="A752" s="5" t="s">
        <v>5</v>
      </c>
      <c r="B752" s="5" t="s">
        <v>23</v>
      </c>
      <c r="C752" s="5" t="s">
        <v>128</v>
      </c>
      <c r="D752" s="5">
        <v>1</v>
      </c>
      <c r="E752" s="6">
        <v>684.05</v>
      </c>
      <c r="F752" s="6">
        <f t="shared" si="50"/>
        <v>684.05</v>
      </c>
      <c r="G752" s="5" t="s">
        <v>170</v>
      </c>
      <c r="H752" s="38">
        <v>177925</v>
      </c>
      <c r="I752" s="5" t="s">
        <v>82</v>
      </c>
      <c r="J752" s="16">
        <f t="shared" si="48"/>
        <v>0.35130676253340676</v>
      </c>
    </row>
    <row r="753" spans="1:10" ht="15" hidden="1" customHeight="1" x14ac:dyDescent="0.3">
      <c r="A753" s="5" t="s">
        <v>5</v>
      </c>
      <c r="B753" s="5" t="s">
        <v>23</v>
      </c>
      <c r="C753" s="5" t="s">
        <v>129</v>
      </c>
      <c r="D753" s="5">
        <v>0</v>
      </c>
      <c r="E753" s="6"/>
      <c r="F753" s="6">
        <f t="shared" si="50"/>
        <v>0</v>
      </c>
      <c r="G753" s="5"/>
      <c r="H753" s="38">
        <v>177925</v>
      </c>
      <c r="I753" s="5" t="s">
        <v>82</v>
      </c>
      <c r="J753" s="16">
        <f t="shared" si="48"/>
        <v>0.35130676253340676</v>
      </c>
    </row>
    <row r="754" spans="1:10" ht="15" hidden="1" customHeight="1" x14ac:dyDescent="0.3">
      <c r="A754" s="5" t="s">
        <v>5</v>
      </c>
      <c r="B754" s="5" t="s">
        <v>23</v>
      </c>
      <c r="C754" s="5" t="s">
        <v>102</v>
      </c>
      <c r="D754" s="5">
        <v>0</v>
      </c>
      <c r="E754" s="6"/>
      <c r="F754" s="6">
        <f t="shared" si="50"/>
        <v>0</v>
      </c>
      <c r="G754" s="5"/>
      <c r="H754" s="38">
        <v>177925</v>
      </c>
      <c r="I754" s="5" t="s">
        <v>82</v>
      </c>
      <c r="J754" s="16">
        <f t="shared" si="48"/>
        <v>0.35130676253340676</v>
      </c>
    </row>
    <row r="755" spans="1:10" ht="15" hidden="1" customHeight="1" x14ac:dyDescent="0.3">
      <c r="A755" s="5" t="s">
        <v>5</v>
      </c>
      <c r="B755" s="5" t="s">
        <v>23</v>
      </c>
      <c r="C755" s="5" t="s">
        <v>89</v>
      </c>
      <c r="D755" s="5">
        <v>0</v>
      </c>
      <c r="E755" s="6"/>
      <c r="F755" s="6">
        <f t="shared" si="50"/>
        <v>0</v>
      </c>
      <c r="G755" s="5"/>
      <c r="H755" s="38">
        <v>177925</v>
      </c>
      <c r="I755" s="5" t="s">
        <v>82</v>
      </c>
      <c r="J755" s="16">
        <f t="shared" si="48"/>
        <v>0.35130676253340676</v>
      </c>
    </row>
    <row r="756" spans="1:10" ht="15" hidden="1" customHeight="1" x14ac:dyDescent="0.3">
      <c r="A756" s="5" t="s">
        <v>5</v>
      </c>
      <c r="B756" s="5" t="s">
        <v>23</v>
      </c>
      <c r="C756" s="5" t="s">
        <v>130</v>
      </c>
      <c r="D756" s="5">
        <v>1</v>
      </c>
      <c r="E756" s="6"/>
      <c r="F756" s="6">
        <f t="shared" si="50"/>
        <v>0</v>
      </c>
      <c r="G756" s="5"/>
      <c r="H756" s="38">
        <v>177925</v>
      </c>
      <c r="I756" s="5" t="s">
        <v>82</v>
      </c>
      <c r="J756" s="16">
        <f t="shared" si="48"/>
        <v>0.35130676253340676</v>
      </c>
    </row>
    <row r="757" spans="1:10" ht="15" hidden="1" customHeight="1" x14ac:dyDescent="0.3">
      <c r="A757" s="5" t="s">
        <v>5</v>
      </c>
      <c r="B757" s="5" t="s">
        <v>23</v>
      </c>
      <c r="C757" s="5" t="s">
        <v>131</v>
      </c>
      <c r="D757" s="5">
        <v>1</v>
      </c>
      <c r="E757" s="6"/>
      <c r="F757" s="6">
        <f t="shared" si="50"/>
        <v>0</v>
      </c>
      <c r="G757" s="5"/>
      <c r="H757" s="38">
        <v>177925</v>
      </c>
      <c r="I757" s="5" t="s">
        <v>82</v>
      </c>
      <c r="J757" s="16">
        <f t="shared" si="48"/>
        <v>0.35130676253340676</v>
      </c>
    </row>
    <row r="758" spans="1:10" ht="15" hidden="1" customHeight="1" x14ac:dyDescent="0.3">
      <c r="A758" s="5" t="s">
        <v>5</v>
      </c>
      <c r="B758" s="5" t="s">
        <v>23</v>
      </c>
      <c r="C758" s="5" t="s">
        <v>132</v>
      </c>
      <c r="D758" s="5">
        <v>0</v>
      </c>
      <c r="E758" s="6"/>
      <c r="F758" s="6">
        <f t="shared" si="50"/>
        <v>0</v>
      </c>
      <c r="G758" s="5"/>
      <c r="H758" s="38">
        <v>177925</v>
      </c>
      <c r="I758" s="5" t="s">
        <v>82</v>
      </c>
      <c r="J758" s="16">
        <f t="shared" si="48"/>
        <v>0.35130676253340676</v>
      </c>
    </row>
    <row r="759" spans="1:10" ht="15" hidden="1" customHeight="1" x14ac:dyDescent="0.3">
      <c r="A759" s="5" t="s">
        <v>5</v>
      </c>
      <c r="B759" s="5" t="s">
        <v>23</v>
      </c>
      <c r="C759" s="5" t="s">
        <v>121</v>
      </c>
      <c r="D759" s="5">
        <v>1</v>
      </c>
      <c r="E759" s="6"/>
      <c r="F759" s="6">
        <f t="shared" si="50"/>
        <v>0</v>
      </c>
      <c r="G759" s="5"/>
      <c r="H759" s="38">
        <v>177925</v>
      </c>
      <c r="I759" s="5" t="s">
        <v>82</v>
      </c>
      <c r="J759" s="16">
        <f t="shared" si="48"/>
        <v>0.35130676253340676</v>
      </c>
    </row>
    <row r="760" spans="1:10" ht="15" hidden="1" customHeight="1" x14ac:dyDescent="0.3">
      <c r="A760" s="5" t="s">
        <v>5</v>
      </c>
      <c r="B760" s="5" t="s">
        <v>23</v>
      </c>
      <c r="C760" s="5" t="s">
        <v>67</v>
      </c>
      <c r="D760" s="5">
        <v>0</v>
      </c>
      <c r="E760" s="6"/>
      <c r="F760" s="6">
        <f t="shared" si="50"/>
        <v>0</v>
      </c>
      <c r="G760" s="5"/>
      <c r="H760" s="38">
        <v>177925</v>
      </c>
      <c r="I760" s="5" t="s">
        <v>82</v>
      </c>
      <c r="J760" s="16">
        <f t="shared" si="48"/>
        <v>0.35130676253340676</v>
      </c>
    </row>
    <row r="761" spans="1:10" ht="15" hidden="1" customHeight="1" x14ac:dyDescent="0.3">
      <c r="A761" s="5" t="s">
        <v>5</v>
      </c>
      <c r="B761" s="5" t="s">
        <v>23</v>
      </c>
      <c r="C761" s="5" t="s">
        <v>86</v>
      </c>
      <c r="D761" s="5">
        <v>0</v>
      </c>
      <c r="E761" s="6"/>
      <c r="F761" s="6">
        <f t="shared" si="50"/>
        <v>0</v>
      </c>
      <c r="G761" s="5"/>
      <c r="H761" s="38">
        <v>177925</v>
      </c>
      <c r="I761" s="5" t="s">
        <v>82</v>
      </c>
      <c r="J761" s="16">
        <f t="shared" si="48"/>
        <v>0.35130676253340676</v>
      </c>
    </row>
    <row r="762" spans="1:10" ht="15" hidden="1" customHeight="1" x14ac:dyDescent="0.3">
      <c r="A762" s="5" t="s">
        <v>5</v>
      </c>
      <c r="B762" s="5" t="s">
        <v>23</v>
      </c>
      <c r="C762" s="5" t="s">
        <v>106</v>
      </c>
      <c r="D762" s="5">
        <v>0</v>
      </c>
      <c r="E762" s="6"/>
      <c r="F762" s="6">
        <f t="shared" si="50"/>
        <v>0</v>
      </c>
      <c r="G762" s="5"/>
      <c r="H762" s="38">
        <v>177925</v>
      </c>
      <c r="I762" s="5" t="s">
        <v>82</v>
      </c>
      <c r="J762" s="16">
        <f t="shared" si="48"/>
        <v>0.35130676253340676</v>
      </c>
    </row>
    <row r="763" spans="1:10" ht="15" hidden="1" customHeight="1" x14ac:dyDescent="0.3">
      <c r="A763" s="5" t="s">
        <v>5</v>
      </c>
      <c r="B763" s="5" t="s">
        <v>23</v>
      </c>
      <c r="C763" s="5" t="s">
        <v>73</v>
      </c>
      <c r="D763" s="5">
        <v>0</v>
      </c>
      <c r="E763" s="6"/>
      <c r="F763" s="6">
        <f t="shared" si="50"/>
        <v>0</v>
      </c>
      <c r="G763" s="5"/>
      <c r="H763" s="38">
        <v>177925</v>
      </c>
      <c r="I763" s="5" t="s">
        <v>82</v>
      </c>
      <c r="J763" s="16">
        <f t="shared" si="48"/>
        <v>0.35130676253340676</v>
      </c>
    </row>
    <row r="764" spans="1:10" ht="15" hidden="1" customHeight="1" x14ac:dyDescent="0.3">
      <c r="A764" s="5" t="s">
        <v>5</v>
      </c>
      <c r="B764" s="5" t="s">
        <v>24</v>
      </c>
      <c r="C764" s="5" t="s">
        <v>53</v>
      </c>
      <c r="D764" s="133">
        <v>8</v>
      </c>
      <c r="E764" s="6">
        <v>35840.31</v>
      </c>
      <c r="F764" s="6">
        <f>E764</f>
        <v>35840.31</v>
      </c>
      <c r="G764" s="5" t="s">
        <v>187</v>
      </c>
      <c r="H764" s="38">
        <v>191327</v>
      </c>
      <c r="I764" s="5" t="s">
        <v>54</v>
      </c>
      <c r="J764" s="16">
        <f t="shared" si="48"/>
        <v>0.21242687727906107</v>
      </c>
    </row>
    <row r="765" spans="1:10" ht="15" hidden="1" customHeight="1" x14ac:dyDescent="0.3">
      <c r="A765" s="5" t="s">
        <v>5</v>
      </c>
      <c r="B765" s="5" t="s">
        <v>24</v>
      </c>
      <c r="C765" s="5" t="s">
        <v>55</v>
      </c>
      <c r="D765" s="133">
        <v>8</v>
      </c>
      <c r="E765" s="59">
        <v>64.569224000000006</v>
      </c>
      <c r="F765" s="6">
        <f t="shared" ref="F765:F785" si="51">D765*E765</f>
        <v>516.55379200000004</v>
      </c>
      <c r="G765" s="5"/>
      <c r="H765" s="38">
        <v>191327</v>
      </c>
      <c r="I765" s="5" t="s">
        <v>54</v>
      </c>
      <c r="J765" s="16">
        <f t="shared" si="48"/>
        <v>0.21242687727906107</v>
      </c>
    </row>
    <row r="766" spans="1:10" ht="15" hidden="1" customHeight="1" x14ac:dyDescent="0.3">
      <c r="A766" s="5" t="s">
        <v>5</v>
      </c>
      <c r="B766" s="5" t="s">
        <v>24</v>
      </c>
      <c r="C766" s="5" t="s">
        <v>26</v>
      </c>
      <c r="D766" s="133">
        <v>8</v>
      </c>
      <c r="E766" s="37">
        <v>28.310635756385071</v>
      </c>
      <c r="F766" s="6">
        <f t="shared" si="51"/>
        <v>226.48508605108057</v>
      </c>
      <c r="G766" s="5"/>
      <c r="H766" s="38">
        <v>191327</v>
      </c>
      <c r="I766" s="5" t="s">
        <v>54</v>
      </c>
      <c r="J766" s="16">
        <f t="shared" si="48"/>
        <v>0.21242687727906107</v>
      </c>
    </row>
    <row r="767" spans="1:10" ht="15" hidden="1" customHeight="1" x14ac:dyDescent="0.3">
      <c r="A767" s="5" t="s">
        <v>5</v>
      </c>
      <c r="B767" s="5" t="s">
        <v>24</v>
      </c>
      <c r="C767" s="5" t="s">
        <v>14</v>
      </c>
      <c r="D767" s="133">
        <v>8</v>
      </c>
      <c r="E767" s="37">
        <v>47.792983889980349</v>
      </c>
      <c r="F767" s="6">
        <f t="shared" si="51"/>
        <v>382.34387111984279</v>
      </c>
      <c r="G767" s="5"/>
      <c r="H767" s="38">
        <v>191327</v>
      </c>
      <c r="I767" s="5" t="s">
        <v>54</v>
      </c>
      <c r="J767" s="16">
        <f t="shared" si="48"/>
        <v>0.21242687727906107</v>
      </c>
    </row>
    <row r="768" spans="1:10" ht="15" hidden="1" customHeight="1" x14ac:dyDescent="0.3">
      <c r="A768" s="5" t="s">
        <v>5</v>
      </c>
      <c r="B768" s="5" t="s">
        <v>24</v>
      </c>
      <c r="C768" s="5" t="s">
        <v>56</v>
      </c>
      <c r="D768" s="5">
        <v>9</v>
      </c>
      <c r="E768" s="6">
        <v>50</v>
      </c>
      <c r="F768" s="6">
        <f t="shared" si="51"/>
        <v>450</v>
      </c>
      <c r="G768" s="5" t="s">
        <v>170</v>
      </c>
      <c r="H768" s="38">
        <v>191327</v>
      </c>
      <c r="I768" s="5" t="s">
        <v>54</v>
      </c>
      <c r="J768" s="16">
        <f t="shared" si="48"/>
        <v>0.21242687727906107</v>
      </c>
    </row>
    <row r="769" spans="1:10" ht="15" hidden="1" customHeight="1" x14ac:dyDescent="0.3">
      <c r="A769" s="5" t="s">
        <v>5</v>
      </c>
      <c r="B769" s="5" t="s">
        <v>24</v>
      </c>
      <c r="C769" s="5" t="s">
        <v>133</v>
      </c>
      <c r="D769" s="5">
        <v>0</v>
      </c>
      <c r="E769" s="6"/>
      <c r="F769" s="6">
        <f t="shared" si="51"/>
        <v>0</v>
      </c>
      <c r="G769" s="5"/>
      <c r="H769" s="38">
        <v>191327</v>
      </c>
      <c r="I769" s="5" t="s">
        <v>54</v>
      </c>
      <c r="J769" s="16">
        <f t="shared" si="48"/>
        <v>0.21242687727906107</v>
      </c>
    </row>
    <row r="770" spans="1:10" ht="15" hidden="1" customHeight="1" x14ac:dyDescent="0.3">
      <c r="A770" s="5" t="s">
        <v>5</v>
      </c>
      <c r="B770" s="5" t="s">
        <v>24</v>
      </c>
      <c r="C770" s="5" t="s">
        <v>70</v>
      </c>
      <c r="D770" s="5">
        <v>0</v>
      </c>
      <c r="E770" s="6"/>
      <c r="F770" s="6">
        <f t="shared" si="51"/>
        <v>0</v>
      </c>
      <c r="G770" s="5"/>
      <c r="H770" s="38">
        <v>191327</v>
      </c>
      <c r="I770" s="5" t="s">
        <v>54</v>
      </c>
      <c r="J770" s="16">
        <f t="shared" ref="J770:J833" si="52">IFERROR(SUMIFS($F$2:$F$1749,$A$2:$A$1749,A770,$B$2:$B$1749,B770)/H770,"")</f>
        <v>0.21242687727906107</v>
      </c>
    </row>
    <row r="771" spans="1:10" ht="15" hidden="1" customHeight="1" x14ac:dyDescent="0.3">
      <c r="A771" s="5" t="s">
        <v>5</v>
      </c>
      <c r="B771" s="5" t="s">
        <v>24</v>
      </c>
      <c r="C771" s="5" t="s">
        <v>76</v>
      </c>
      <c r="D771" s="5">
        <v>0</v>
      </c>
      <c r="E771" s="6">
        <v>0</v>
      </c>
      <c r="F771" s="6">
        <f t="shared" si="51"/>
        <v>0</v>
      </c>
      <c r="G771" s="5" t="s">
        <v>170</v>
      </c>
      <c r="H771" s="38">
        <v>191327</v>
      </c>
      <c r="I771" s="5" t="s">
        <v>54</v>
      </c>
      <c r="J771" s="16">
        <f t="shared" si="52"/>
        <v>0.21242687727906107</v>
      </c>
    </row>
    <row r="772" spans="1:10" ht="15" hidden="1" customHeight="1" x14ac:dyDescent="0.3">
      <c r="A772" s="5" t="s">
        <v>5</v>
      </c>
      <c r="B772" s="5" t="s">
        <v>24</v>
      </c>
      <c r="C772" s="5" t="s">
        <v>57</v>
      </c>
      <c r="D772" s="5">
        <v>3</v>
      </c>
      <c r="E772" s="6">
        <v>30</v>
      </c>
      <c r="F772" s="6">
        <f t="shared" si="51"/>
        <v>90</v>
      </c>
      <c r="G772" s="5" t="s">
        <v>170</v>
      </c>
      <c r="H772" s="38">
        <v>191327</v>
      </c>
      <c r="I772" s="5" t="s">
        <v>54</v>
      </c>
      <c r="J772" s="16">
        <f t="shared" si="52"/>
        <v>0.21242687727906107</v>
      </c>
    </row>
    <row r="773" spans="1:10" ht="15" hidden="1" customHeight="1" x14ac:dyDescent="0.3">
      <c r="A773" s="5" t="s">
        <v>5</v>
      </c>
      <c r="B773" s="5" t="s">
        <v>24</v>
      </c>
      <c r="C773" s="5" t="s">
        <v>72</v>
      </c>
      <c r="D773" s="5">
        <v>1</v>
      </c>
      <c r="E773" s="6">
        <v>25.6</v>
      </c>
      <c r="F773" s="6">
        <f t="shared" si="51"/>
        <v>25.6</v>
      </c>
      <c r="G773" s="5" t="s">
        <v>170</v>
      </c>
      <c r="H773" s="38">
        <v>191327</v>
      </c>
      <c r="I773" s="5" t="s">
        <v>54</v>
      </c>
      <c r="J773" s="16">
        <f t="shared" si="52"/>
        <v>0.21242687727906107</v>
      </c>
    </row>
    <row r="774" spans="1:10" ht="15" hidden="1" customHeight="1" x14ac:dyDescent="0.3">
      <c r="A774" s="5" t="s">
        <v>5</v>
      </c>
      <c r="B774" s="5" t="s">
        <v>24</v>
      </c>
      <c r="C774" s="5" t="s">
        <v>58</v>
      </c>
      <c r="D774" s="133">
        <v>8</v>
      </c>
      <c r="E774" s="6">
        <v>10.047000000000001</v>
      </c>
      <c r="F774" s="6">
        <f t="shared" si="51"/>
        <v>80.376000000000005</v>
      </c>
      <c r="G774" s="5" t="s">
        <v>171</v>
      </c>
      <c r="H774" s="38">
        <v>191327</v>
      </c>
      <c r="I774" s="5" t="s">
        <v>54</v>
      </c>
      <c r="J774" s="16">
        <f t="shared" si="52"/>
        <v>0.21242687727906107</v>
      </c>
    </row>
    <row r="775" spans="1:10" ht="15" hidden="1" customHeight="1" x14ac:dyDescent="0.3">
      <c r="A775" s="5" t="s">
        <v>5</v>
      </c>
      <c r="B775" s="5" t="s">
        <v>24</v>
      </c>
      <c r="C775" s="5" t="s">
        <v>59</v>
      </c>
      <c r="D775" s="133">
        <v>8</v>
      </c>
      <c r="E775" s="6">
        <v>2.0697999999999999</v>
      </c>
      <c r="F775" s="6">
        <f t="shared" si="51"/>
        <v>16.558399999999999</v>
      </c>
      <c r="G775" s="5" t="s">
        <v>171</v>
      </c>
      <c r="H775" s="38">
        <v>191327</v>
      </c>
      <c r="I775" s="5" t="s">
        <v>54</v>
      </c>
      <c r="J775" s="16">
        <f t="shared" si="52"/>
        <v>0.21242687727906107</v>
      </c>
    </row>
    <row r="776" spans="1:10" ht="15" hidden="1" customHeight="1" x14ac:dyDescent="0.3">
      <c r="A776" s="5" t="s">
        <v>5</v>
      </c>
      <c r="B776" s="5" t="s">
        <v>24</v>
      </c>
      <c r="C776" s="5" t="s">
        <v>188</v>
      </c>
      <c r="D776" s="5">
        <v>0</v>
      </c>
      <c r="E776" s="6">
        <v>0</v>
      </c>
      <c r="F776" s="6">
        <f t="shared" si="51"/>
        <v>0</v>
      </c>
      <c r="G776" s="5" t="s">
        <v>170</v>
      </c>
      <c r="H776" s="38">
        <v>191327</v>
      </c>
      <c r="I776" s="5" t="s">
        <v>54</v>
      </c>
      <c r="J776" s="16">
        <f t="shared" si="52"/>
        <v>0.21242687727906107</v>
      </c>
    </row>
    <row r="777" spans="1:10" ht="15" hidden="1" customHeight="1" x14ac:dyDescent="0.3">
      <c r="A777" s="5" t="s">
        <v>5</v>
      </c>
      <c r="B777" s="5" t="s">
        <v>24</v>
      </c>
      <c r="C777" s="5" t="s">
        <v>135</v>
      </c>
      <c r="D777" s="5">
        <v>1</v>
      </c>
      <c r="E777" s="6">
        <v>1317.91</v>
      </c>
      <c r="F777" s="6">
        <f t="shared" si="51"/>
        <v>1317.91</v>
      </c>
      <c r="G777" s="5" t="s">
        <v>170</v>
      </c>
      <c r="H777" s="38">
        <v>191327</v>
      </c>
      <c r="I777" s="5" t="s">
        <v>54</v>
      </c>
      <c r="J777" s="16">
        <f t="shared" si="52"/>
        <v>0.21242687727906107</v>
      </c>
    </row>
    <row r="778" spans="1:10" ht="15" hidden="1" customHeight="1" x14ac:dyDescent="0.3">
      <c r="A778" s="5" t="s">
        <v>5</v>
      </c>
      <c r="B778" s="5" t="s">
        <v>24</v>
      </c>
      <c r="C778" s="5" t="s">
        <v>136</v>
      </c>
      <c r="D778" s="5">
        <v>1</v>
      </c>
      <c r="E778" s="6">
        <v>1400</v>
      </c>
      <c r="F778" s="6">
        <f t="shared" si="51"/>
        <v>1400</v>
      </c>
      <c r="G778" s="5" t="s">
        <v>170</v>
      </c>
      <c r="H778" s="38">
        <v>191327</v>
      </c>
      <c r="I778" s="5" t="s">
        <v>54</v>
      </c>
      <c r="J778" s="16">
        <f t="shared" si="52"/>
        <v>0.21242687727906107</v>
      </c>
    </row>
    <row r="779" spans="1:10" ht="15" hidden="1" customHeight="1" x14ac:dyDescent="0.3">
      <c r="A779" s="5" t="s">
        <v>5</v>
      </c>
      <c r="B779" s="5" t="s">
        <v>24</v>
      </c>
      <c r="C779" s="5" t="s">
        <v>89</v>
      </c>
      <c r="D779" s="5">
        <v>0</v>
      </c>
      <c r="E779" s="6"/>
      <c r="F779" s="6">
        <f t="shared" si="51"/>
        <v>0</v>
      </c>
      <c r="G779" s="5"/>
      <c r="H779" s="38">
        <v>191327</v>
      </c>
      <c r="I779" s="5" t="s">
        <v>54</v>
      </c>
      <c r="J779" s="16">
        <f t="shared" si="52"/>
        <v>0.21242687727906107</v>
      </c>
    </row>
    <row r="780" spans="1:10" ht="15" hidden="1" customHeight="1" x14ac:dyDescent="0.3">
      <c r="A780" s="5" t="s">
        <v>5</v>
      </c>
      <c r="B780" s="5" t="s">
        <v>24</v>
      </c>
      <c r="C780" s="5" t="s">
        <v>74</v>
      </c>
      <c r="D780" s="5">
        <v>1</v>
      </c>
      <c r="E780" s="6">
        <v>0</v>
      </c>
      <c r="F780" s="6">
        <f t="shared" si="51"/>
        <v>0</v>
      </c>
      <c r="G780" s="5" t="s">
        <v>172</v>
      </c>
      <c r="H780" s="38">
        <v>191327</v>
      </c>
      <c r="I780" s="5" t="s">
        <v>54</v>
      </c>
      <c r="J780" s="16">
        <f t="shared" si="52"/>
        <v>0.21242687727906107</v>
      </c>
    </row>
    <row r="781" spans="1:10" ht="15" hidden="1" customHeight="1" x14ac:dyDescent="0.3">
      <c r="A781" s="5" t="s">
        <v>5</v>
      </c>
      <c r="B781" s="5" t="s">
        <v>24</v>
      </c>
      <c r="C781" s="5" t="s">
        <v>62</v>
      </c>
      <c r="D781" s="5">
        <v>1</v>
      </c>
      <c r="E781" s="6">
        <v>136</v>
      </c>
      <c r="F781" s="6">
        <f t="shared" si="51"/>
        <v>136</v>
      </c>
      <c r="G781" s="5" t="s">
        <v>172</v>
      </c>
      <c r="H781" s="38">
        <v>191327</v>
      </c>
      <c r="I781" s="5" t="s">
        <v>54</v>
      </c>
      <c r="J781" s="16">
        <f t="shared" si="52"/>
        <v>0.21242687727906107</v>
      </c>
    </row>
    <row r="782" spans="1:10" ht="15" hidden="1" customHeight="1" x14ac:dyDescent="0.3">
      <c r="A782" s="5" t="s">
        <v>5</v>
      </c>
      <c r="B782" s="5" t="s">
        <v>24</v>
      </c>
      <c r="C782" s="5" t="s">
        <v>137</v>
      </c>
      <c r="D782" s="5">
        <v>0</v>
      </c>
      <c r="E782" s="6"/>
      <c r="F782" s="6">
        <f t="shared" si="51"/>
        <v>0</v>
      </c>
      <c r="G782" s="5"/>
      <c r="H782" s="38">
        <v>191327</v>
      </c>
      <c r="I782" s="5" t="s">
        <v>54</v>
      </c>
      <c r="J782" s="16">
        <f t="shared" si="52"/>
        <v>0.21242687727906107</v>
      </c>
    </row>
    <row r="783" spans="1:10" ht="15" hidden="1" customHeight="1" x14ac:dyDescent="0.3">
      <c r="A783" s="5" t="s">
        <v>5</v>
      </c>
      <c r="B783" s="5" t="s">
        <v>24</v>
      </c>
      <c r="C783" s="5" t="s">
        <v>114</v>
      </c>
      <c r="D783" s="5">
        <v>0</v>
      </c>
      <c r="E783" s="6"/>
      <c r="F783" s="6">
        <f t="shared" si="51"/>
        <v>0</v>
      </c>
      <c r="G783" s="5"/>
      <c r="H783" s="38">
        <v>191327</v>
      </c>
      <c r="I783" s="5" t="s">
        <v>54</v>
      </c>
      <c r="J783" s="16">
        <f t="shared" si="52"/>
        <v>0.21242687727906107</v>
      </c>
    </row>
    <row r="784" spans="1:10" ht="15" hidden="1" customHeight="1" x14ac:dyDescent="0.3">
      <c r="A784" s="5" t="s">
        <v>5</v>
      </c>
      <c r="B784" s="5" t="s">
        <v>24</v>
      </c>
      <c r="C784" s="5" t="s">
        <v>75</v>
      </c>
      <c r="D784" s="5">
        <v>1</v>
      </c>
      <c r="E784" s="134">
        <v>0</v>
      </c>
      <c r="F784" s="6">
        <f t="shared" si="51"/>
        <v>0</v>
      </c>
      <c r="G784" s="133" t="s">
        <v>65</v>
      </c>
      <c r="H784" s="38">
        <v>191327</v>
      </c>
      <c r="I784" s="5" t="s">
        <v>54</v>
      </c>
      <c r="J784" s="16">
        <f t="shared" si="52"/>
        <v>0.21242687727906107</v>
      </c>
    </row>
    <row r="785" spans="1:10" ht="15" hidden="1" customHeight="1" x14ac:dyDescent="0.3">
      <c r="A785" s="5" t="s">
        <v>5</v>
      </c>
      <c r="B785" s="5" t="s">
        <v>24</v>
      </c>
      <c r="C785" s="5" t="s">
        <v>64</v>
      </c>
      <c r="D785" s="5">
        <v>1</v>
      </c>
      <c r="E785" s="6">
        <v>160.86000000000001</v>
      </c>
      <c r="F785" s="6">
        <f t="shared" si="51"/>
        <v>160.86000000000001</v>
      </c>
      <c r="G785" s="5" t="s">
        <v>65</v>
      </c>
      <c r="H785" s="38">
        <v>191327</v>
      </c>
      <c r="I785" s="5" t="s">
        <v>54</v>
      </c>
      <c r="J785" s="16">
        <f t="shared" si="52"/>
        <v>0.21242687727906107</v>
      </c>
    </row>
    <row r="786" spans="1:10" ht="15" hidden="1" customHeight="1" x14ac:dyDescent="0.3">
      <c r="A786" s="5" t="s">
        <v>5</v>
      </c>
      <c r="B786" s="5" t="s">
        <v>26</v>
      </c>
      <c r="C786" s="5" t="s">
        <v>53</v>
      </c>
      <c r="D786" s="133">
        <v>4</v>
      </c>
      <c r="E786" s="6">
        <v>23291.93</v>
      </c>
      <c r="F786" s="6">
        <f>E786</f>
        <v>23291.93</v>
      </c>
      <c r="G786" s="5" t="s">
        <v>177</v>
      </c>
      <c r="H786" s="34">
        <v>1018</v>
      </c>
      <c r="I786" s="5" t="s">
        <v>93</v>
      </c>
      <c r="J786" s="16">
        <f t="shared" si="52"/>
        <v>28.310635756385071</v>
      </c>
    </row>
    <row r="787" spans="1:10" ht="15" hidden="1" customHeight="1" x14ac:dyDescent="0.3">
      <c r="A787" s="5" t="s">
        <v>5</v>
      </c>
      <c r="B787" s="5" t="s">
        <v>26</v>
      </c>
      <c r="C787" s="5" t="s">
        <v>87</v>
      </c>
      <c r="D787" s="5">
        <v>4</v>
      </c>
      <c r="E787" s="6">
        <v>50</v>
      </c>
      <c r="F787" s="6">
        <f t="shared" ref="F787:F806" si="53">D787*E787</f>
        <v>200</v>
      </c>
      <c r="G787" s="5" t="s">
        <v>170</v>
      </c>
      <c r="H787" s="34">
        <v>1018</v>
      </c>
      <c r="I787" s="5" t="s">
        <v>93</v>
      </c>
      <c r="J787" s="16">
        <f t="shared" si="52"/>
        <v>28.310635756385071</v>
      </c>
    </row>
    <row r="788" spans="1:10" ht="15" hidden="1" customHeight="1" x14ac:dyDescent="0.3">
      <c r="A788" s="5" t="s">
        <v>5</v>
      </c>
      <c r="B788" s="5" t="s">
        <v>26</v>
      </c>
      <c r="C788" s="5" t="s">
        <v>133</v>
      </c>
      <c r="D788" s="5">
        <v>1</v>
      </c>
      <c r="E788" s="6"/>
      <c r="F788" s="6">
        <f t="shared" si="53"/>
        <v>0</v>
      </c>
      <c r="G788" s="5"/>
      <c r="H788" s="34">
        <v>1018</v>
      </c>
      <c r="I788" s="5" t="s">
        <v>93</v>
      </c>
      <c r="J788" s="16">
        <f t="shared" si="52"/>
        <v>28.310635756385071</v>
      </c>
    </row>
    <row r="789" spans="1:10" ht="15" hidden="1" customHeight="1" x14ac:dyDescent="0.3">
      <c r="A789" s="5" t="s">
        <v>5</v>
      </c>
      <c r="B789" s="5" t="s">
        <v>26</v>
      </c>
      <c r="C789" s="5" t="s">
        <v>74</v>
      </c>
      <c r="D789" s="5">
        <v>0</v>
      </c>
      <c r="E789" s="6"/>
      <c r="F789" s="6">
        <f t="shared" si="53"/>
        <v>0</v>
      </c>
      <c r="G789" s="5"/>
      <c r="H789" s="34">
        <v>1018</v>
      </c>
      <c r="I789" s="5" t="s">
        <v>93</v>
      </c>
      <c r="J789" s="16">
        <f t="shared" si="52"/>
        <v>28.310635756385071</v>
      </c>
    </row>
    <row r="790" spans="1:10" ht="15" hidden="1" customHeight="1" x14ac:dyDescent="0.3">
      <c r="A790" s="5" t="s">
        <v>5</v>
      </c>
      <c r="B790" s="5" t="s">
        <v>26</v>
      </c>
      <c r="C790" s="5" t="s">
        <v>138</v>
      </c>
      <c r="D790" s="5">
        <v>0</v>
      </c>
      <c r="E790" s="6"/>
      <c r="F790" s="6">
        <f t="shared" si="53"/>
        <v>0</v>
      </c>
      <c r="G790" s="5"/>
      <c r="H790" s="34">
        <v>1018</v>
      </c>
      <c r="I790" s="5" t="s">
        <v>93</v>
      </c>
      <c r="J790" s="16">
        <f t="shared" si="52"/>
        <v>28.310635756385071</v>
      </c>
    </row>
    <row r="791" spans="1:10" ht="15" hidden="1" customHeight="1" x14ac:dyDescent="0.3">
      <c r="A791" s="5" t="s">
        <v>5</v>
      </c>
      <c r="B791" s="5" t="s">
        <v>26</v>
      </c>
      <c r="C791" s="5" t="s">
        <v>72</v>
      </c>
      <c r="D791" s="5">
        <v>1</v>
      </c>
      <c r="E791" s="6">
        <v>30.71</v>
      </c>
      <c r="F791" s="6">
        <f t="shared" si="53"/>
        <v>30.71</v>
      </c>
      <c r="G791" s="5" t="s">
        <v>170</v>
      </c>
      <c r="H791" s="34">
        <v>1018</v>
      </c>
      <c r="I791" s="5" t="s">
        <v>93</v>
      </c>
      <c r="J791" s="16">
        <f t="shared" si="52"/>
        <v>28.310635756385071</v>
      </c>
    </row>
    <row r="792" spans="1:10" ht="15" hidden="1" customHeight="1" x14ac:dyDescent="0.3">
      <c r="A792" s="5" t="s">
        <v>5</v>
      </c>
      <c r="B792" s="5" t="s">
        <v>26</v>
      </c>
      <c r="C792" s="5" t="s">
        <v>71</v>
      </c>
      <c r="D792" s="5">
        <v>1</v>
      </c>
      <c r="E792" s="6">
        <v>40.520000000000003</v>
      </c>
      <c r="F792" s="6">
        <f t="shared" si="53"/>
        <v>40.520000000000003</v>
      </c>
      <c r="G792" s="5" t="s">
        <v>170</v>
      </c>
      <c r="H792" s="34">
        <v>1018</v>
      </c>
      <c r="I792" s="5" t="s">
        <v>93</v>
      </c>
      <c r="J792" s="16">
        <f t="shared" si="52"/>
        <v>28.310635756385071</v>
      </c>
    </row>
    <row r="793" spans="1:10" ht="15" hidden="1" customHeight="1" x14ac:dyDescent="0.3">
      <c r="A793" s="5" t="s">
        <v>5</v>
      </c>
      <c r="B793" s="5" t="s">
        <v>26</v>
      </c>
      <c r="C793" s="5" t="s">
        <v>76</v>
      </c>
      <c r="D793" s="5">
        <v>1</v>
      </c>
      <c r="E793" s="6">
        <v>30</v>
      </c>
      <c r="F793" s="6">
        <f t="shared" si="53"/>
        <v>30</v>
      </c>
      <c r="G793" s="5" t="s">
        <v>170</v>
      </c>
      <c r="H793" s="34">
        <v>1018</v>
      </c>
      <c r="I793" s="5" t="s">
        <v>93</v>
      </c>
      <c r="J793" s="16">
        <f t="shared" si="52"/>
        <v>28.310635756385071</v>
      </c>
    </row>
    <row r="794" spans="1:10" ht="15" hidden="1" customHeight="1" x14ac:dyDescent="0.3">
      <c r="A794" s="5" t="s">
        <v>5</v>
      </c>
      <c r="B794" s="5" t="s">
        <v>26</v>
      </c>
      <c r="C794" s="5" t="s">
        <v>95</v>
      </c>
      <c r="D794" s="5">
        <v>1</v>
      </c>
      <c r="E794" s="6">
        <v>0</v>
      </c>
      <c r="F794" s="6">
        <f t="shared" si="53"/>
        <v>0</v>
      </c>
      <c r="G794" s="5" t="s">
        <v>65</v>
      </c>
      <c r="H794" s="34">
        <v>1018</v>
      </c>
      <c r="I794" s="5" t="s">
        <v>93</v>
      </c>
      <c r="J794" s="16">
        <f t="shared" si="52"/>
        <v>28.310635756385071</v>
      </c>
    </row>
    <row r="795" spans="1:10" ht="15" hidden="1" customHeight="1" x14ac:dyDescent="0.3">
      <c r="A795" s="5" t="s">
        <v>5</v>
      </c>
      <c r="B795" s="5" t="s">
        <v>26</v>
      </c>
      <c r="C795" s="5" t="s">
        <v>139</v>
      </c>
      <c r="D795" s="5">
        <v>1</v>
      </c>
      <c r="E795" s="6">
        <v>65.7</v>
      </c>
      <c r="F795" s="6">
        <f t="shared" si="53"/>
        <v>65.7</v>
      </c>
      <c r="G795" s="5" t="s">
        <v>65</v>
      </c>
      <c r="H795" s="34">
        <v>1018</v>
      </c>
      <c r="I795" s="5" t="s">
        <v>93</v>
      </c>
      <c r="J795" s="16">
        <f t="shared" si="52"/>
        <v>28.310635756385071</v>
      </c>
    </row>
    <row r="796" spans="1:10" ht="15" hidden="1" customHeight="1" x14ac:dyDescent="0.3">
      <c r="A796" s="5" t="s">
        <v>5</v>
      </c>
      <c r="B796" s="5" t="s">
        <v>26</v>
      </c>
      <c r="C796" s="5" t="s">
        <v>73</v>
      </c>
      <c r="D796" s="5">
        <v>0</v>
      </c>
      <c r="E796" s="6"/>
      <c r="F796" s="6">
        <f t="shared" si="53"/>
        <v>0</v>
      </c>
      <c r="G796" s="5"/>
      <c r="H796" s="34">
        <v>1018</v>
      </c>
      <c r="I796" s="5" t="s">
        <v>93</v>
      </c>
      <c r="J796" s="16">
        <f t="shared" si="52"/>
        <v>28.310635756385071</v>
      </c>
    </row>
    <row r="797" spans="1:10" ht="15" hidden="1" customHeight="1" x14ac:dyDescent="0.3">
      <c r="A797" s="5" t="s">
        <v>5</v>
      </c>
      <c r="B797" s="5" t="s">
        <v>26</v>
      </c>
      <c r="C797" s="5" t="s">
        <v>140</v>
      </c>
      <c r="D797" s="5">
        <v>1</v>
      </c>
      <c r="E797" s="6">
        <v>2500</v>
      </c>
      <c r="F797" s="6">
        <f t="shared" si="53"/>
        <v>2500</v>
      </c>
      <c r="G797" s="5" t="s">
        <v>170</v>
      </c>
      <c r="H797" s="34">
        <v>1018</v>
      </c>
      <c r="I797" s="5" t="s">
        <v>93</v>
      </c>
      <c r="J797" s="16">
        <f t="shared" si="52"/>
        <v>28.310635756385071</v>
      </c>
    </row>
    <row r="798" spans="1:10" ht="15" hidden="1" customHeight="1" x14ac:dyDescent="0.3">
      <c r="A798" s="5" t="s">
        <v>5</v>
      </c>
      <c r="B798" s="5" t="s">
        <v>26</v>
      </c>
      <c r="C798" s="5" t="s">
        <v>141</v>
      </c>
      <c r="D798" s="5">
        <v>1</v>
      </c>
      <c r="E798" s="6">
        <v>2612.9</v>
      </c>
      <c r="F798" s="6">
        <f t="shared" si="53"/>
        <v>2612.9</v>
      </c>
      <c r="G798" s="5" t="s">
        <v>170</v>
      </c>
      <c r="H798" s="34">
        <v>1018</v>
      </c>
      <c r="I798" s="5" t="s">
        <v>93</v>
      </c>
      <c r="J798" s="16">
        <f t="shared" si="52"/>
        <v>28.310635756385071</v>
      </c>
    </row>
    <row r="799" spans="1:10" ht="15" hidden="1" customHeight="1" x14ac:dyDescent="0.3">
      <c r="A799" s="5" t="s">
        <v>5</v>
      </c>
      <c r="B799" s="5" t="s">
        <v>26</v>
      </c>
      <c r="C799" s="5" t="s">
        <v>63</v>
      </c>
      <c r="D799" s="5">
        <v>0</v>
      </c>
      <c r="E799" s="6"/>
      <c r="F799" s="6">
        <f t="shared" si="53"/>
        <v>0</v>
      </c>
      <c r="G799" s="5"/>
      <c r="H799" s="34">
        <v>1018</v>
      </c>
      <c r="I799" s="5" t="s">
        <v>93</v>
      </c>
      <c r="J799" s="16">
        <f t="shared" si="52"/>
        <v>28.310635756385071</v>
      </c>
    </row>
    <row r="800" spans="1:10" ht="15" hidden="1" customHeight="1" x14ac:dyDescent="0.3">
      <c r="A800" s="5" t="s">
        <v>5</v>
      </c>
      <c r="B800" s="5" t="s">
        <v>26</v>
      </c>
      <c r="C800" s="5" t="s">
        <v>58</v>
      </c>
      <c r="D800" s="133">
        <v>4</v>
      </c>
      <c r="E800" s="6">
        <v>10.047000000000001</v>
      </c>
      <c r="F800" s="6">
        <f t="shared" si="53"/>
        <v>40.188000000000002</v>
      </c>
      <c r="G800" s="5" t="s">
        <v>171</v>
      </c>
      <c r="H800" s="34">
        <v>1018</v>
      </c>
      <c r="I800" s="5" t="s">
        <v>93</v>
      </c>
      <c r="J800" s="16">
        <f t="shared" si="52"/>
        <v>28.310635756385071</v>
      </c>
    </row>
    <row r="801" spans="1:10" ht="15" hidden="1" customHeight="1" x14ac:dyDescent="0.3">
      <c r="A801" s="5" t="s">
        <v>5</v>
      </c>
      <c r="B801" s="5" t="s">
        <v>26</v>
      </c>
      <c r="C801" s="5" t="s">
        <v>59</v>
      </c>
      <c r="D801" s="133">
        <v>4</v>
      </c>
      <c r="E801" s="6">
        <v>2.0697999999999999</v>
      </c>
      <c r="F801" s="6">
        <f t="shared" si="53"/>
        <v>8.2791999999999994</v>
      </c>
      <c r="G801" s="5" t="s">
        <v>171</v>
      </c>
      <c r="H801" s="34">
        <v>1018</v>
      </c>
      <c r="I801" s="5" t="s">
        <v>93</v>
      </c>
      <c r="J801" s="16">
        <f t="shared" si="52"/>
        <v>28.310635756385071</v>
      </c>
    </row>
    <row r="802" spans="1:10" ht="15" hidden="1" customHeight="1" x14ac:dyDescent="0.3">
      <c r="A802" s="5" t="s">
        <v>5</v>
      </c>
      <c r="B802" s="5" t="s">
        <v>26</v>
      </c>
      <c r="C802" s="5" t="s">
        <v>142</v>
      </c>
      <c r="D802" s="5">
        <v>1</v>
      </c>
      <c r="E802" s="6"/>
      <c r="F802" s="6">
        <f t="shared" si="53"/>
        <v>0</v>
      </c>
      <c r="G802" s="5"/>
      <c r="H802" s="34">
        <v>1018</v>
      </c>
      <c r="I802" s="5" t="s">
        <v>93</v>
      </c>
      <c r="J802" s="16">
        <f t="shared" si="52"/>
        <v>28.310635756385071</v>
      </c>
    </row>
    <row r="803" spans="1:10" ht="15" hidden="1" customHeight="1" x14ac:dyDescent="0.3">
      <c r="A803" s="5" t="s">
        <v>5</v>
      </c>
      <c r="B803" s="5" t="s">
        <v>26</v>
      </c>
      <c r="C803" s="5" t="s">
        <v>143</v>
      </c>
      <c r="D803" s="5">
        <v>0</v>
      </c>
      <c r="E803" s="6"/>
      <c r="F803" s="6">
        <f t="shared" si="53"/>
        <v>0</v>
      </c>
      <c r="G803" s="5"/>
      <c r="H803" s="34">
        <v>1018</v>
      </c>
      <c r="I803" s="5" t="s">
        <v>93</v>
      </c>
      <c r="J803" s="16">
        <f t="shared" si="52"/>
        <v>28.310635756385071</v>
      </c>
    </row>
    <row r="804" spans="1:10" ht="15" hidden="1" customHeight="1" x14ac:dyDescent="0.3">
      <c r="A804" s="5" t="s">
        <v>5</v>
      </c>
      <c r="B804" s="5" t="s">
        <v>26</v>
      </c>
      <c r="C804" s="5" t="s">
        <v>144</v>
      </c>
      <c r="D804" s="5">
        <v>0</v>
      </c>
      <c r="E804" s="6"/>
      <c r="F804" s="6">
        <f t="shared" si="53"/>
        <v>0</v>
      </c>
      <c r="G804" s="5"/>
      <c r="H804" s="34">
        <v>1018</v>
      </c>
      <c r="I804" s="5" t="s">
        <v>93</v>
      </c>
      <c r="J804" s="16">
        <f t="shared" si="52"/>
        <v>28.310635756385071</v>
      </c>
    </row>
    <row r="805" spans="1:10" ht="15" hidden="1" customHeight="1" x14ac:dyDescent="0.3">
      <c r="A805" s="5" t="s">
        <v>5</v>
      </c>
      <c r="B805" s="5" t="s">
        <v>26</v>
      </c>
      <c r="C805" s="5" t="s">
        <v>145</v>
      </c>
      <c r="D805" s="5">
        <v>0</v>
      </c>
      <c r="E805" s="6"/>
      <c r="F805" s="6">
        <f t="shared" si="53"/>
        <v>0</v>
      </c>
      <c r="G805" s="5"/>
      <c r="H805" s="34">
        <v>1018</v>
      </c>
      <c r="I805" s="5" t="s">
        <v>93</v>
      </c>
      <c r="J805" s="16">
        <f t="shared" si="52"/>
        <v>28.310635756385071</v>
      </c>
    </row>
    <row r="806" spans="1:10" ht="15" hidden="1" customHeight="1" x14ac:dyDescent="0.3">
      <c r="A806" s="5" t="s">
        <v>5</v>
      </c>
      <c r="B806" s="5" t="s">
        <v>26</v>
      </c>
      <c r="C806" s="5" t="s">
        <v>121</v>
      </c>
      <c r="D806" s="5">
        <v>0</v>
      </c>
      <c r="E806" s="6"/>
      <c r="F806" s="6">
        <f t="shared" si="53"/>
        <v>0</v>
      </c>
      <c r="G806" s="5"/>
      <c r="H806" s="34">
        <v>1018</v>
      </c>
      <c r="I806" s="5" t="s">
        <v>93</v>
      </c>
      <c r="J806" s="16">
        <f t="shared" si="52"/>
        <v>28.310635756385071</v>
      </c>
    </row>
    <row r="807" spans="1:10" ht="15" hidden="1" customHeight="1" x14ac:dyDescent="0.3">
      <c r="A807" s="5" t="s">
        <v>5</v>
      </c>
      <c r="B807" s="5" t="s">
        <v>25</v>
      </c>
      <c r="C807" s="5" t="s">
        <v>53</v>
      </c>
      <c r="D807" s="133">
        <v>118</v>
      </c>
      <c r="E807" s="6">
        <v>415601.59</v>
      </c>
      <c r="F807" s="6">
        <f>E807</f>
        <v>415601.59</v>
      </c>
      <c r="G807" s="5"/>
      <c r="H807" s="38">
        <v>191327</v>
      </c>
      <c r="I807" s="5" t="s">
        <v>54</v>
      </c>
      <c r="J807" s="16">
        <f t="shared" si="52"/>
        <v>2.6420083520132875</v>
      </c>
    </row>
    <row r="808" spans="1:10" ht="15" hidden="1" customHeight="1" x14ac:dyDescent="0.3">
      <c r="A808" s="5" t="s">
        <v>5</v>
      </c>
      <c r="B808" s="5" t="s">
        <v>25</v>
      </c>
      <c r="C808" s="5" t="s">
        <v>146</v>
      </c>
      <c r="D808" s="5">
        <v>1</v>
      </c>
      <c r="E808" s="6">
        <v>9851.1299999999992</v>
      </c>
      <c r="F808" s="6">
        <f t="shared" ref="F808:F829" si="54">D808*E808</f>
        <v>9851.1299999999992</v>
      </c>
      <c r="G808" s="5"/>
      <c r="H808" s="38">
        <v>191327</v>
      </c>
      <c r="I808" s="5" t="s">
        <v>54</v>
      </c>
      <c r="J808" s="16">
        <f t="shared" si="52"/>
        <v>2.6420083520132875</v>
      </c>
    </row>
    <row r="809" spans="1:10" ht="15" hidden="1" customHeight="1" x14ac:dyDescent="0.3">
      <c r="A809" s="5" t="s">
        <v>5</v>
      </c>
      <c r="B809" s="5" t="s">
        <v>25</v>
      </c>
      <c r="C809" s="5" t="s">
        <v>147</v>
      </c>
      <c r="D809" s="5">
        <v>1</v>
      </c>
      <c r="E809" s="6">
        <v>31905.54</v>
      </c>
      <c r="F809" s="6">
        <f t="shared" si="54"/>
        <v>31905.54</v>
      </c>
      <c r="G809" s="5" t="s">
        <v>170</v>
      </c>
      <c r="H809" s="38">
        <v>191327</v>
      </c>
      <c r="I809" s="5" t="s">
        <v>54</v>
      </c>
      <c r="J809" s="16">
        <f t="shared" si="52"/>
        <v>2.6420083520132875</v>
      </c>
    </row>
    <row r="810" spans="1:10" ht="15" hidden="1" customHeight="1" x14ac:dyDescent="0.3">
      <c r="A810" s="5" t="s">
        <v>5</v>
      </c>
      <c r="B810" s="5" t="s">
        <v>25</v>
      </c>
      <c r="C810" s="5" t="s">
        <v>72</v>
      </c>
      <c r="D810" s="5">
        <v>1</v>
      </c>
      <c r="E810" s="6">
        <v>153.58000000000001</v>
      </c>
      <c r="F810" s="6">
        <f t="shared" si="54"/>
        <v>153.58000000000001</v>
      </c>
      <c r="G810" s="5" t="s">
        <v>170</v>
      </c>
      <c r="H810" s="38">
        <v>191327</v>
      </c>
      <c r="I810" s="5" t="s">
        <v>54</v>
      </c>
      <c r="J810" s="16">
        <f t="shared" si="52"/>
        <v>2.6420083520132875</v>
      </c>
    </row>
    <row r="811" spans="1:10" ht="15" hidden="1" customHeight="1" x14ac:dyDescent="0.3">
      <c r="A811" s="5" t="s">
        <v>5</v>
      </c>
      <c r="B811" s="5" t="s">
        <v>25</v>
      </c>
      <c r="C811" s="5" t="s">
        <v>148</v>
      </c>
      <c r="D811" s="5">
        <v>1</v>
      </c>
      <c r="E811" s="6">
        <v>15000</v>
      </c>
      <c r="F811" s="6">
        <f t="shared" si="54"/>
        <v>15000</v>
      </c>
      <c r="G811" s="5" t="s">
        <v>149</v>
      </c>
      <c r="H811" s="38">
        <v>191327</v>
      </c>
      <c r="I811" s="5" t="s">
        <v>54</v>
      </c>
      <c r="J811" s="16">
        <f t="shared" si="52"/>
        <v>2.6420083520132875</v>
      </c>
    </row>
    <row r="812" spans="1:10" ht="15" hidden="1" customHeight="1" x14ac:dyDescent="0.3">
      <c r="A812" s="5" t="s">
        <v>5</v>
      </c>
      <c r="B812" s="5" t="s">
        <v>25</v>
      </c>
      <c r="C812" s="5" t="s">
        <v>150</v>
      </c>
      <c r="D812" s="5">
        <v>1</v>
      </c>
      <c r="E812" s="6">
        <v>2000</v>
      </c>
      <c r="F812" s="6">
        <f t="shared" si="54"/>
        <v>2000</v>
      </c>
      <c r="G812" s="5" t="s">
        <v>151</v>
      </c>
      <c r="H812" s="38">
        <v>191327</v>
      </c>
      <c r="I812" s="5" t="s">
        <v>54</v>
      </c>
      <c r="J812" s="16">
        <f t="shared" si="52"/>
        <v>2.6420083520132875</v>
      </c>
    </row>
    <row r="813" spans="1:10" ht="15" hidden="1" customHeight="1" x14ac:dyDescent="0.3">
      <c r="A813" s="5" t="s">
        <v>5</v>
      </c>
      <c r="B813" s="5" t="s">
        <v>25</v>
      </c>
      <c r="C813" s="5" t="s">
        <v>152</v>
      </c>
      <c r="D813" s="5">
        <v>1</v>
      </c>
      <c r="E813" s="6">
        <v>5543</v>
      </c>
      <c r="F813" s="6">
        <f t="shared" si="54"/>
        <v>5543</v>
      </c>
      <c r="G813" s="5"/>
      <c r="H813" s="38">
        <v>191327</v>
      </c>
      <c r="I813" s="5" t="s">
        <v>54</v>
      </c>
      <c r="J813" s="16">
        <f t="shared" si="52"/>
        <v>2.6420083520132875</v>
      </c>
    </row>
    <row r="814" spans="1:10" ht="15" hidden="1" customHeight="1" x14ac:dyDescent="0.3">
      <c r="A814" s="5" t="s">
        <v>5</v>
      </c>
      <c r="B814" s="5" t="s">
        <v>25</v>
      </c>
      <c r="C814" s="5" t="s">
        <v>153</v>
      </c>
      <c r="D814" s="5">
        <v>1</v>
      </c>
      <c r="E814" s="6">
        <v>900</v>
      </c>
      <c r="F814" s="6">
        <f t="shared" si="54"/>
        <v>900</v>
      </c>
      <c r="G814" s="5" t="s">
        <v>170</v>
      </c>
      <c r="H814" s="38">
        <v>191327</v>
      </c>
      <c r="I814" s="5" t="s">
        <v>54</v>
      </c>
      <c r="J814" s="16">
        <f t="shared" si="52"/>
        <v>2.6420083520132875</v>
      </c>
    </row>
    <row r="815" spans="1:10" ht="15" hidden="1" customHeight="1" x14ac:dyDescent="0.3">
      <c r="A815" s="5" t="s">
        <v>5</v>
      </c>
      <c r="B815" s="5" t="s">
        <v>25</v>
      </c>
      <c r="C815" s="5" t="s">
        <v>189</v>
      </c>
      <c r="D815" s="5">
        <v>2</v>
      </c>
      <c r="E815" s="6">
        <v>30</v>
      </c>
      <c r="F815" s="6">
        <f t="shared" si="54"/>
        <v>60</v>
      </c>
      <c r="G815" s="5"/>
      <c r="H815" s="38">
        <v>191327</v>
      </c>
      <c r="I815" s="5" t="s">
        <v>54</v>
      </c>
      <c r="J815" s="16">
        <f t="shared" si="52"/>
        <v>2.6420083520132875</v>
      </c>
    </row>
    <row r="816" spans="1:10" ht="15" hidden="1" customHeight="1" x14ac:dyDescent="0.3">
      <c r="A816" s="5" t="s">
        <v>5</v>
      </c>
      <c r="B816" s="5" t="s">
        <v>25</v>
      </c>
      <c r="C816" s="5" t="s">
        <v>61</v>
      </c>
      <c r="D816" s="5">
        <v>1</v>
      </c>
      <c r="E816" s="6">
        <v>1564</v>
      </c>
      <c r="F816" s="6">
        <f t="shared" si="54"/>
        <v>1564</v>
      </c>
      <c r="G816" s="5" t="s">
        <v>172</v>
      </c>
      <c r="H816" s="38">
        <v>191327</v>
      </c>
      <c r="I816" s="5" t="s">
        <v>54</v>
      </c>
      <c r="J816" s="16">
        <f t="shared" si="52"/>
        <v>2.6420083520132875</v>
      </c>
    </row>
    <row r="817" spans="1:10" ht="15" hidden="1" customHeight="1" x14ac:dyDescent="0.3">
      <c r="A817" s="5" t="s">
        <v>5</v>
      </c>
      <c r="B817" s="5" t="s">
        <v>25</v>
      </c>
      <c r="C817" s="5" t="s">
        <v>26</v>
      </c>
      <c r="D817" s="133">
        <v>118</v>
      </c>
      <c r="E817" s="37">
        <v>28.310635756385071</v>
      </c>
      <c r="F817" s="6">
        <f t="shared" si="54"/>
        <v>3340.6550192534382</v>
      </c>
      <c r="G817" s="5"/>
      <c r="H817" s="38">
        <v>191327</v>
      </c>
      <c r="I817" s="5" t="s">
        <v>54</v>
      </c>
      <c r="J817" s="16">
        <f t="shared" si="52"/>
        <v>2.6420083520132875</v>
      </c>
    </row>
    <row r="818" spans="1:10" ht="15" hidden="1" customHeight="1" x14ac:dyDescent="0.3">
      <c r="A818" s="5" t="s">
        <v>5</v>
      </c>
      <c r="B818" s="5" t="s">
        <v>25</v>
      </c>
      <c r="C818" s="5" t="s">
        <v>14</v>
      </c>
      <c r="D818" s="133">
        <v>118</v>
      </c>
      <c r="E818" s="37">
        <v>47.792983889980349</v>
      </c>
      <c r="F818" s="6">
        <f t="shared" si="54"/>
        <v>5639.5720990176815</v>
      </c>
      <c r="G818" s="5"/>
      <c r="H818" s="38">
        <v>191327</v>
      </c>
      <c r="I818" s="5" t="s">
        <v>54</v>
      </c>
      <c r="J818" s="16">
        <f t="shared" si="52"/>
        <v>2.6420083520132875</v>
      </c>
    </row>
    <row r="819" spans="1:10" ht="15" hidden="1" customHeight="1" x14ac:dyDescent="0.3">
      <c r="A819" s="5" t="s">
        <v>5</v>
      </c>
      <c r="B819" s="5" t="s">
        <v>25</v>
      </c>
      <c r="C819" s="5" t="s">
        <v>114</v>
      </c>
      <c r="D819" s="5">
        <v>0</v>
      </c>
      <c r="E819" s="6"/>
      <c r="F819" s="6">
        <f t="shared" si="54"/>
        <v>0</v>
      </c>
      <c r="G819" s="5"/>
      <c r="H819" s="38">
        <v>191327</v>
      </c>
      <c r="I819" s="5" t="s">
        <v>54</v>
      </c>
      <c r="J819" s="16">
        <f t="shared" si="52"/>
        <v>2.6420083520132875</v>
      </c>
    </row>
    <row r="820" spans="1:10" ht="15" hidden="1" customHeight="1" x14ac:dyDescent="0.3">
      <c r="A820" s="5" t="s">
        <v>5</v>
      </c>
      <c r="B820" s="5" t="s">
        <v>25</v>
      </c>
      <c r="C820" s="5" t="s">
        <v>155</v>
      </c>
      <c r="D820" s="133">
        <v>118</v>
      </c>
      <c r="E820" s="37">
        <v>64.541715655721575</v>
      </c>
      <c r="F820" s="6">
        <f t="shared" si="54"/>
        <v>7615.9224473751456</v>
      </c>
      <c r="G820" s="5"/>
      <c r="H820" s="38">
        <v>191327</v>
      </c>
      <c r="I820" s="5" t="s">
        <v>54</v>
      </c>
      <c r="J820" s="16">
        <f t="shared" si="52"/>
        <v>2.6420083520132875</v>
      </c>
    </row>
    <row r="821" spans="1:10" ht="15" hidden="1" customHeight="1" x14ac:dyDescent="0.3">
      <c r="A821" s="5" t="s">
        <v>5</v>
      </c>
      <c r="B821" s="5" t="s">
        <v>25</v>
      </c>
      <c r="C821" s="5" t="s">
        <v>58</v>
      </c>
      <c r="D821" s="133">
        <v>118</v>
      </c>
      <c r="E821" s="6">
        <v>10.047000000000001</v>
      </c>
      <c r="F821" s="6">
        <f t="shared" si="54"/>
        <v>1185.546</v>
      </c>
      <c r="G821" s="5" t="s">
        <v>171</v>
      </c>
      <c r="H821" s="38">
        <v>191327</v>
      </c>
      <c r="I821" s="5" t="s">
        <v>54</v>
      </c>
      <c r="J821" s="16">
        <f t="shared" si="52"/>
        <v>2.6420083520132875</v>
      </c>
    </row>
    <row r="822" spans="1:10" ht="15" hidden="1" customHeight="1" x14ac:dyDescent="0.3">
      <c r="A822" s="5" t="s">
        <v>5</v>
      </c>
      <c r="B822" s="5" t="s">
        <v>25</v>
      </c>
      <c r="C822" s="5" t="s">
        <v>113</v>
      </c>
      <c r="D822" s="133">
        <v>118</v>
      </c>
      <c r="E822" s="6">
        <v>2.0697999999999999</v>
      </c>
      <c r="F822" s="6">
        <f t="shared" si="54"/>
        <v>244.23639999999997</v>
      </c>
      <c r="G822" s="5" t="s">
        <v>171</v>
      </c>
      <c r="H822" s="38">
        <v>191327</v>
      </c>
      <c r="I822" s="5" t="s">
        <v>54</v>
      </c>
      <c r="J822" s="16">
        <f t="shared" si="52"/>
        <v>2.6420083520132875</v>
      </c>
    </row>
    <row r="823" spans="1:10" ht="15" hidden="1" customHeight="1" x14ac:dyDescent="0.3">
      <c r="A823" s="5" t="s">
        <v>5</v>
      </c>
      <c r="B823" s="5" t="s">
        <v>25</v>
      </c>
      <c r="C823" s="5" t="s">
        <v>156</v>
      </c>
      <c r="D823" s="5">
        <v>0</v>
      </c>
      <c r="E823" s="6"/>
      <c r="F823" s="6">
        <f t="shared" si="54"/>
        <v>0</v>
      </c>
      <c r="G823" s="5" t="s">
        <v>157</v>
      </c>
      <c r="H823" s="38">
        <v>191327</v>
      </c>
      <c r="I823" s="5" t="s">
        <v>54</v>
      </c>
      <c r="J823" s="16">
        <f t="shared" si="52"/>
        <v>2.6420083520132875</v>
      </c>
    </row>
    <row r="824" spans="1:10" ht="15" hidden="1" customHeight="1" x14ac:dyDescent="0.3">
      <c r="A824" s="5" t="s">
        <v>5</v>
      </c>
      <c r="B824" s="5" t="s">
        <v>25</v>
      </c>
      <c r="C824" s="5" t="s">
        <v>158</v>
      </c>
      <c r="D824" s="5">
        <v>1</v>
      </c>
      <c r="E824" s="6">
        <v>1456.38</v>
      </c>
      <c r="F824" s="6">
        <f t="shared" si="54"/>
        <v>1456.38</v>
      </c>
      <c r="G824" s="5" t="s">
        <v>159</v>
      </c>
      <c r="H824" s="38">
        <v>191327</v>
      </c>
      <c r="I824" s="5" t="s">
        <v>54</v>
      </c>
      <c r="J824" s="16">
        <f t="shared" si="52"/>
        <v>2.6420083520132875</v>
      </c>
    </row>
    <row r="825" spans="1:10" ht="15" hidden="1" customHeight="1" x14ac:dyDescent="0.3">
      <c r="A825" s="5" t="s">
        <v>5</v>
      </c>
      <c r="B825" s="5" t="s">
        <v>25</v>
      </c>
      <c r="C825" s="5" t="s">
        <v>89</v>
      </c>
      <c r="D825" s="5">
        <v>1</v>
      </c>
      <c r="E825" s="6">
        <v>312</v>
      </c>
      <c r="F825" s="6">
        <f t="shared" si="54"/>
        <v>312</v>
      </c>
      <c r="G825" s="5"/>
      <c r="H825" s="38">
        <v>191327</v>
      </c>
      <c r="I825" s="5" t="s">
        <v>54</v>
      </c>
      <c r="J825" s="16">
        <f t="shared" si="52"/>
        <v>2.6420083520132875</v>
      </c>
    </row>
    <row r="826" spans="1:10" ht="15" hidden="1" customHeight="1" x14ac:dyDescent="0.3">
      <c r="A826" s="5" t="s">
        <v>5</v>
      </c>
      <c r="B826" s="5" t="s">
        <v>25</v>
      </c>
      <c r="C826" s="5" t="s">
        <v>133</v>
      </c>
      <c r="D826" s="5">
        <v>1</v>
      </c>
      <c r="E826" s="6">
        <v>141</v>
      </c>
      <c r="F826" s="6">
        <f t="shared" si="54"/>
        <v>141</v>
      </c>
      <c r="G826" s="5" t="s">
        <v>190</v>
      </c>
      <c r="H826" s="38">
        <v>191327</v>
      </c>
      <c r="I826" s="5" t="s">
        <v>54</v>
      </c>
      <c r="J826" s="16">
        <f t="shared" si="52"/>
        <v>2.6420083520132875</v>
      </c>
    </row>
    <row r="827" spans="1:10" ht="15" hidden="1" customHeight="1" x14ac:dyDescent="0.3">
      <c r="A827" s="5" t="s">
        <v>5</v>
      </c>
      <c r="B827" s="5" t="s">
        <v>25</v>
      </c>
      <c r="C827" s="5" t="s">
        <v>160</v>
      </c>
      <c r="D827" s="5">
        <v>1</v>
      </c>
      <c r="E827" s="6">
        <v>2909.88</v>
      </c>
      <c r="F827" s="6">
        <f t="shared" si="54"/>
        <v>2909.88</v>
      </c>
      <c r="G827" s="5" t="s">
        <v>65</v>
      </c>
      <c r="H827" s="38">
        <v>191327</v>
      </c>
      <c r="I827" s="5" t="s">
        <v>54</v>
      </c>
      <c r="J827" s="16">
        <f t="shared" si="52"/>
        <v>2.6420083520132875</v>
      </c>
    </row>
    <row r="828" spans="1:10" ht="15" hidden="1" customHeight="1" x14ac:dyDescent="0.3">
      <c r="A828" s="5" t="s">
        <v>5</v>
      </c>
      <c r="B828" s="5" t="s">
        <v>25</v>
      </c>
      <c r="C828" s="5" t="s">
        <v>161</v>
      </c>
      <c r="D828" s="5">
        <v>1</v>
      </c>
      <c r="E828" s="6">
        <v>63.5</v>
      </c>
      <c r="F828" s="6">
        <f t="shared" si="54"/>
        <v>63.5</v>
      </c>
      <c r="G828" s="5" t="s">
        <v>65</v>
      </c>
      <c r="H828" s="38">
        <v>191327</v>
      </c>
      <c r="I828" s="5" t="s">
        <v>54</v>
      </c>
      <c r="J828" s="16">
        <f t="shared" si="52"/>
        <v>2.6420083520132875</v>
      </c>
    </row>
    <row r="829" spans="1:10" ht="15" hidden="1" customHeight="1" x14ac:dyDescent="0.3">
      <c r="A829" s="5" t="s">
        <v>5</v>
      </c>
      <c r="B829" s="5" t="s">
        <v>25</v>
      </c>
      <c r="C829" s="5" t="s">
        <v>70</v>
      </c>
      <c r="D829" s="5">
        <v>0</v>
      </c>
      <c r="E829" s="6"/>
      <c r="F829" s="6">
        <f t="shared" si="54"/>
        <v>0</v>
      </c>
      <c r="G829" s="5"/>
      <c r="H829" s="38">
        <v>191327</v>
      </c>
      <c r="I829" s="5" t="s">
        <v>54</v>
      </c>
      <c r="J829" s="16">
        <f t="shared" si="52"/>
        <v>2.6420083520132875</v>
      </c>
    </row>
    <row r="830" spans="1:10" ht="15" hidden="1" customHeight="1" x14ac:dyDescent="0.3">
      <c r="A830" s="5" t="s">
        <v>5</v>
      </c>
      <c r="B830" s="5" t="s">
        <v>27</v>
      </c>
      <c r="C830" s="5" t="s">
        <v>53</v>
      </c>
      <c r="D830" s="133">
        <v>8</v>
      </c>
      <c r="E830" s="6">
        <v>52372.160000000003</v>
      </c>
      <c r="F830" s="6">
        <f>E830</f>
        <v>52372.160000000003</v>
      </c>
      <c r="G830" s="5" t="s">
        <v>178</v>
      </c>
      <c r="H830" s="34">
        <v>1018</v>
      </c>
      <c r="I830" s="5" t="s">
        <v>93</v>
      </c>
      <c r="J830" s="16">
        <f t="shared" si="52"/>
        <v>64.604571077771041</v>
      </c>
    </row>
    <row r="831" spans="1:10" ht="15" hidden="1" customHeight="1" x14ac:dyDescent="0.3">
      <c r="A831" s="5" t="s">
        <v>5</v>
      </c>
      <c r="B831" s="5" t="s">
        <v>27</v>
      </c>
      <c r="C831" s="5" t="s">
        <v>26</v>
      </c>
      <c r="D831" s="133">
        <v>8</v>
      </c>
      <c r="E831" s="37">
        <v>28.310635756385071</v>
      </c>
      <c r="F831" s="6">
        <f t="shared" ref="F831:F853" si="55">D831*E831</f>
        <v>226.48508605108057</v>
      </c>
      <c r="G831" s="5"/>
      <c r="H831" s="34">
        <v>1018</v>
      </c>
      <c r="I831" s="5" t="s">
        <v>93</v>
      </c>
      <c r="J831" s="16">
        <f t="shared" si="52"/>
        <v>64.604571077771041</v>
      </c>
    </row>
    <row r="832" spans="1:10" ht="15" hidden="1" customHeight="1" x14ac:dyDescent="0.3">
      <c r="A832" s="5" t="s">
        <v>5</v>
      </c>
      <c r="B832" s="5" t="s">
        <v>27</v>
      </c>
      <c r="C832" s="5" t="s">
        <v>14</v>
      </c>
      <c r="D832" s="133">
        <v>8</v>
      </c>
      <c r="E832" s="37">
        <v>47.792983889980349</v>
      </c>
      <c r="F832" s="6">
        <f t="shared" si="55"/>
        <v>382.34387111984279</v>
      </c>
      <c r="G832" s="5"/>
      <c r="H832" s="34">
        <v>1018</v>
      </c>
      <c r="I832" s="5" t="s">
        <v>93</v>
      </c>
      <c r="J832" s="16">
        <f t="shared" si="52"/>
        <v>64.604571077771041</v>
      </c>
    </row>
    <row r="833" spans="1:10" ht="15" hidden="1" customHeight="1" x14ac:dyDescent="0.3">
      <c r="A833" s="5" t="s">
        <v>5</v>
      </c>
      <c r="B833" s="5" t="s">
        <v>27</v>
      </c>
      <c r="C833" s="5" t="s">
        <v>87</v>
      </c>
      <c r="D833" s="5">
        <v>9</v>
      </c>
      <c r="E833" s="6">
        <v>28</v>
      </c>
      <c r="F833" s="6">
        <f t="shared" si="55"/>
        <v>252</v>
      </c>
      <c r="G833" s="5" t="s">
        <v>170</v>
      </c>
      <c r="H833" s="34">
        <v>1018</v>
      </c>
      <c r="I833" s="5" t="s">
        <v>93</v>
      </c>
      <c r="J833" s="16">
        <f t="shared" si="52"/>
        <v>64.604571077771041</v>
      </c>
    </row>
    <row r="834" spans="1:10" ht="15" hidden="1" customHeight="1" x14ac:dyDescent="0.3">
      <c r="A834" s="5" t="s">
        <v>5</v>
      </c>
      <c r="B834" s="5" t="s">
        <v>27</v>
      </c>
      <c r="C834" s="5" t="s">
        <v>76</v>
      </c>
      <c r="D834" s="5">
        <v>0</v>
      </c>
      <c r="E834" s="6">
        <v>0</v>
      </c>
      <c r="F834" s="6">
        <f t="shared" si="55"/>
        <v>0</v>
      </c>
      <c r="G834" s="5" t="s">
        <v>170</v>
      </c>
      <c r="H834" s="34">
        <v>1018</v>
      </c>
      <c r="I834" s="5" t="s">
        <v>93</v>
      </c>
      <c r="J834" s="16">
        <f t="shared" ref="J834:J897" si="56">IFERROR(SUMIFS($F$2:$F$1749,$A$2:$A$1749,A834,$B$2:$B$1749,B834)/H834,"")</f>
        <v>64.604571077771041</v>
      </c>
    </row>
    <row r="835" spans="1:10" ht="15" hidden="1" customHeight="1" x14ac:dyDescent="0.3">
      <c r="A835" s="5" t="s">
        <v>5</v>
      </c>
      <c r="B835" s="5" t="s">
        <v>27</v>
      </c>
      <c r="C835" s="5" t="s">
        <v>71</v>
      </c>
      <c r="D835" s="5">
        <v>1</v>
      </c>
      <c r="E835" s="6">
        <v>40.520000000000003</v>
      </c>
      <c r="F835" s="6">
        <f t="shared" si="55"/>
        <v>40.520000000000003</v>
      </c>
      <c r="G835" s="5" t="s">
        <v>170</v>
      </c>
      <c r="H835" s="34">
        <v>1018</v>
      </c>
      <c r="I835" s="5" t="s">
        <v>93</v>
      </c>
      <c r="J835" s="16">
        <f t="shared" si="56"/>
        <v>64.604571077771041</v>
      </c>
    </row>
    <row r="836" spans="1:10" ht="15" hidden="1" customHeight="1" x14ac:dyDescent="0.3">
      <c r="A836" s="5" t="s">
        <v>5</v>
      </c>
      <c r="B836" s="5" t="s">
        <v>27</v>
      </c>
      <c r="C836" s="5" t="s">
        <v>57</v>
      </c>
      <c r="D836" s="5">
        <v>4</v>
      </c>
      <c r="E836" s="6">
        <v>30</v>
      </c>
      <c r="F836" s="6">
        <f t="shared" si="55"/>
        <v>120</v>
      </c>
      <c r="G836" s="5" t="s">
        <v>170</v>
      </c>
      <c r="H836" s="34">
        <v>1018</v>
      </c>
      <c r="I836" s="5" t="s">
        <v>93</v>
      </c>
      <c r="J836" s="16">
        <f t="shared" si="56"/>
        <v>64.604571077771041</v>
      </c>
    </row>
    <row r="837" spans="1:10" ht="15" hidden="1" customHeight="1" x14ac:dyDescent="0.3">
      <c r="A837" s="5" t="s">
        <v>5</v>
      </c>
      <c r="B837" s="5" t="s">
        <v>27</v>
      </c>
      <c r="C837" s="5" t="s">
        <v>58</v>
      </c>
      <c r="D837" s="133">
        <v>8</v>
      </c>
      <c r="E837" s="6">
        <v>10.047000000000001</v>
      </c>
      <c r="F837" s="6">
        <f t="shared" si="55"/>
        <v>80.376000000000005</v>
      </c>
      <c r="G837" s="5" t="s">
        <v>171</v>
      </c>
      <c r="H837" s="34">
        <v>1018</v>
      </c>
      <c r="I837" s="5" t="s">
        <v>93</v>
      </c>
      <c r="J837" s="16">
        <f t="shared" si="56"/>
        <v>64.604571077771041</v>
      </c>
    </row>
    <row r="838" spans="1:10" ht="15" hidden="1" customHeight="1" x14ac:dyDescent="0.3">
      <c r="A838" s="5" t="s">
        <v>5</v>
      </c>
      <c r="B838" s="5" t="s">
        <v>27</v>
      </c>
      <c r="C838" s="5" t="s">
        <v>59</v>
      </c>
      <c r="D838" s="133">
        <v>8</v>
      </c>
      <c r="E838" s="6">
        <v>2.0697999999999999</v>
      </c>
      <c r="F838" s="6">
        <f t="shared" si="55"/>
        <v>16.558399999999999</v>
      </c>
      <c r="G838" s="5" t="s">
        <v>171</v>
      </c>
      <c r="H838" s="34">
        <v>1018</v>
      </c>
      <c r="I838" s="5" t="s">
        <v>93</v>
      </c>
      <c r="J838" s="16">
        <f t="shared" si="56"/>
        <v>64.604571077771041</v>
      </c>
    </row>
    <row r="839" spans="1:10" ht="15" hidden="1" customHeight="1" x14ac:dyDescent="0.3">
      <c r="A839" s="5" t="s">
        <v>5</v>
      </c>
      <c r="B839" s="5" t="s">
        <v>27</v>
      </c>
      <c r="C839" s="5" t="s">
        <v>62</v>
      </c>
      <c r="D839" s="5">
        <v>0</v>
      </c>
      <c r="E839" s="6"/>
      <c r="F839" s="6">
        <f t="shared" si="55"/>
        <v>0</v>
      </c>
      <c r="G839" s="5"/>
      <c r="H839" s="34">
        <v>1018</v>
      </c>
      <c r="I839" s="5" t="s">
        <v>93</v>
      </c>
      <c r="J839" s="16">
        <f t="shared" si="56"/>
        <v>64.604571077771041</v>
      </c>
    </row>
    <row r="840" spans="1:10" ht="15" hidden="1" customHeight="1" x14ac:dyDescent="0.3">
      <c r="A840" s="5" t="s">
        <v>5</v>
      </c>
      <c r="B840" s="5" t="s">
        <v>27</v>
      </c>
      <c r="C840" s="5" t="s">
        <v>74</v>
      </c>
      <c r="D840" s="5">
        <v>2</v>
      </c>
      <c r="E840" s="6"/>
      <c r="F840" s="6">
        <f t="shared" si="55"/>
        <v>0</v>
      </c>
      <c r="G840" s="5"/>
      <c r="H840" s="34">
        <v>1018</v>
      </c>
      <c r="I840" s="5" t="s">
        <v>93</v>
      </c>
      <c r="J840" s="16">
        <f t="shared" si="56"/>
        <v>64.604571077771041</v>
      </c>
    </row>
    <row r="841" spans="1:10" ht="15" hidden="1" customHeight="1" x14ac:dyDescent="0.3">
      <c r="A841" s="5" t="s">
        <v>5</v>
      </c>
      <c r="B841" s="5" t="s">
        <v>27</v>
      </c>
      <c r="C841" s="5" t="s">
        <v>162</v>
      </c>
      <c r="D841" s="5">
        <v>0</v>
      </c>
      <c r="E841" s="6"/>
      <c r="F841" s="6">
        <f t="shared" si="55"/>
        <v>0</v>
      </c>
      <c r="G841" s="5"/>
      <c r="H841" s="34">
        <v>1018</v>
      </c>
      <c r="I841" s="5" t="s">
        <v>93</v>
      </c>
      <c r="J841" s="16">
        <f t="shared" si="56"/>
        <v>64.604571077771041</v>
      </c>
    </row>
    <row r="842" spans="1:10" ht="15" hidden="1" customHeight="1" x14ac:dyDescent="0.3">
      <c r="A842" s="5" t="s">
        <v>5</v>
      </c>
      <c r="B842" s="5" t="s">
        <v>27</v>
      </c>
      <c r="C842" s="5" t="s">
        <v>72</v>
      </c>
      <c r="D842" s="5">
        <v>1</v>
      </c>
      <c r="E842" s="6">
        <v>76.790000000000006</v>
      </c>
      <c r="F842" s="6">
        <f t="shared" si="55"/>
        <v>76.790000000000006</v>
      </c>
      <c r="G842" s="5" t="s">
        <v>170</v>
      </c>
      <c r="H842" s="34">
        <v>1018</v>
      </c>
      <c r="I842" s="5" t="s">
        <v>93</v>
      </c>
      <c r="J842" s="16">
        <f t="shared" si="56"/>
        <v>64.604571077771041</v>
      </c>
    </row>
    <row r="843" spans="1:10" ht="15" hidden="1" customHeight="1" x14ac:dyDescent="0.3">
      <c r="A843" s="5" t="s">
        <v>5</v>
      </c>
      <c r="B843" s="5" t="s">
        <v>27</v>
      </c>
      <c r="C843" s="5" t="s">
        <v>70</v>
      </c>
      <c r="D843" s="5">
        <v>1</v>
      </c>
      <c r="E843" s="6">
        <v>65</v>
      </c>
      <c r="F843" s="6">
        <f t="shared" si="55"/>
        <v>65</v>
      </c>
      <c r="G843" s="5" t="s">
        <v>173</v>
      </c>
      <c r="H843" s="34">
        <v>1018</v>
      </c>
      <c r="I843" s="5" t="s">
        <v>93</v>
      </c>
      <c r="J843" s="16">
        <f t="shared" si="56"/>
        <v>64.604571077771041</v>
      </c>
    </row>
    <row r="844" spans="1:10" ht="15" hidden="1" customHeight="1" x14ac:dyDescent="0.3">
      <c r="A844" s="5" t="s">
        <v>5</v>
      </c>
      <c r="B844" s="5" t="s">
        <v>27</v>
      </c>
      <c r="C844" s="5" t="s">
        <v>64</v>
      </c>
      <c r="D844" s="5">
        <v>0</v>
      </c>
      <c r="E844" s="6"/>
      <c r="F844" s="6">
        <f t="shared" si="55"/>
        <v>0</v>
      </c>
      <c r="G844" s="5"/>
      <c r="H844" s="34">
        <v>1018</v>
      </c>
      <c r="I844" s="5" t="s">
        <v>93</v>
      </c>
      <c r="J844" s="16">
        <f t="shared" si="56"/>
        <v>64.604571077771041</v>
      </c>
    </row>
    <row r="845" spans="1:10" ht="15" hidden="1" customHeight="1" x14ac:dyDescent="0.3">
      <c r="A845" s="5" t="s">
        <v>5</v>
      </c>
      <c r="B845" s="5" t="s">
        <v>27</v>
      </c>
      <c r="C845" s="5" t="s">
        <v>66</v>
      </c>
      <c r="D845" s="5">
        <v>1</v>
      </c>
      <c r="E845" s="6"/>
      <c r="F845" s="6">
        <f t="shared" si="55"/>
        <v>0</v>
      </c>
      <c r="G845" s="5"/>
      <c r="H845" s="34">
        <v>1018</v>
      </c>
      <c r="I845" s="5" t="s">
        <v>93</v>
      </c>
      <c r="J845" s="16">
        <f t="shared" si="56"/>
        <v>64.604571077771041</v>
      </c>
    </row>
    <row r="846" spans="1:10" ht="15" hidden="1" customHeight="1" x14ac:dyDescent="0.3">
      <c r="A846" s="5" t="s">
        <v>5</v>
      </c>
      <c r="B846" s="5" t="s">
        <v>27</v>
      </c>
      <c r="C846" s="5" t="s">
        <v>133</v>
      </c>
      <c r="D846" s="5">
        <v>0</v>
      </c>
      <c r="E846" s="6"/>
      <c r="F846" s="6">
        <f t="shared" si="55"/>
        <v>0</v>
      </c>
      <c r="G846" s="5"/>
      <c r="H846" s="34">
        <v>1018</v>
      </c>
      <c r="I846" s="5" t="s">
        <v>93</v>
      </c>
      <c r="J846" s="16">
        <f t="shared" si="56"/>
        <v>64.604571077771041</v>
      </c>
    </row>
    <row r="847" spans="1:10" ht="15" hidden="1" customHeight="1" x14ac:dyDescent="0.3">
      <c r="A847" s="5" t="s">
        <v>5</v>
      </c>
      <c r="B847" s="5" t="s">
        <v>27</v>
      </c>
      <c r="C847" s="5" t="s">
        <v>67</v>
      </c>
      <c r="D847" s="5">
        <v>0</v>
      </c>
      <c r="E847" s="6"/>
      <c r="F847" s="6">
        <f t="shared" si="55"/>
        <v>0</v>
      </c>
      <c r="G847" s="5"/>
      <c r="H847" s="34">
        <v>1018</v>
      </c>
      <c r="I847" s="5" t="s">
        <v>93</v>
      </c>
      <c r="J847" s="16">
        <f t="shared" si="56"/>
        <v>64.604571077771041</v>
      </c>
    </row>
    <row r="848" spans="1:10" ht="15" hidden="1" customHeight="1" x14ac:dyDescent="0.3">
      <c r="A848" s="5" t="s">
        <v>5</v>
      </c>
      <c r="B848" s="5" t="s">
        <v>27</v>
      </c>
      <c r="C848" s="5" t="s">
        <v>84</v>
      </c>
      <c r="D848" s="5">
        <v>1</v>
      </c>
      <c r="E848" s="6"/>
      <c r="F848" s="6">
        <f t="shared" si="55"/>
        <v>0</v>
      </c>
      <c r="G848" s="5"/>
      <c r="H848" s="34">
        <v>1018</v>
      </c>
      <c r="I848" s="5" t="s">
        <v>93</v>
      </c>
      <c r="J848" s="16">
        <f t="shared" si="56"/>
        <v>64.604571077771041</v>
      </c>
    </row>
    <row r="849" spans="1:10" ht="15" hidden="1" customHeight="1" x14ac:dyDescent="0.3">
      <c r="A849" s="5" t="s">
        <v>5</v>
      </c>
      <c r="B849" s="5" t="s">
        <v>27</v>
      </c>
      <c r="C849" s="5" t="s">
        <v>114</v>
      </c>
      <c r="D849" s="5">
        <v>0</v>
      </c>
      <c r="E849" s="6"/>
      <c r="F849" s="6">
        <f t="shared" si="55"/>
        <v>0</v>
      </c>
      <c r="G849" s="5"/>
      <c r="H849" s="34">
        <v>1018</v>
      </c>
      <c r="I849" s="5" t="s">
        <v>93</v>
      </c>
      <c r="J849" s="16">
        <f t="shared" si="56"/>
        <v>64.604571077771041</v>
      </c>
    </row>
    <row r="850" spans="1:10" ht="15" hidden="1" customHeight="1" x14ac:dyDescent="0.3">
      <c r="A850" s="5" t="s">
        <v>5</v>
      </c>
      <c r="B850" s="5" t="s">
        <v>27</v>
      </c>
      <c r="C850" s="5" t="s">
        <v>121</v>
      </c>
      <c r="D850" s="5">
        <v>1</v>
      </c>
      <c r="E850" s="6">
        <v>4445.72</v>
      </c>
      <c r="F850" s="6">
        <f t="shared" si="55"/>
        <v>4445.72</v>
      </c>
      <c r="G850" s="5"/>
      <c r="H850" s="34">
        <v>1018</v>
      </c>
      <c r="I850" s="5" t="s">
        <v>93</v>
      </c>
      <c r="J850" s="16">
        <f t="shared" si="56"/>
        <v>64.604571077771041</v>
      </c>
    </row>
    <row r="851" spans="1:10" ht="15" hidden="1" customHeight="1" x14ac:dyDescent="0.3">
      <c r="A851" s="5" t="s">
        <v>5</v>
      </c>
      <c r="B851" s="5" t="s">
        <v>27</v>
      </c>
      <c r="C851" s="5" t="s">
        <v>106</v>
      </c>
      <c r="D851" s="5">
        <v>0</v>
      </c>
      <c r="E851" s="6"/>
      <c r="F851" s="6">
        <f t="shared" si="55"/>
        <v>0</v>
      </c>
      <c r="G851" s="5"/>
      <c r="H851" s="34">
        <v>1018</v>
      </c>
      <c r="I851" s="5" t="s">
        <v>93</v>
      </c>
      <c r="J851" s="16">
        <f t="shared" si="56"/>
        <v>64.604571077771041</v>
      </c>
    </row>
    <row r="852" spans="1:10" ht="15" hidden="1" customHeight="1" x14ac:dyDescent="0.3">
      <c r="A852" s="5" t="s">
        <v>5</v>
      </c>
      <c r="B852" s="5" t="s">
        <v>27</v>
      </c>
      <c r="C852" s="5" t="s">
        <v>86</v>
      </c>
      <c r="D852" s="5">
        <v>0</v>
      </c>
      <c r="E852" s="6"/>
      <c r="F852" s="6">
        <f t="shared" si="55"/>
        <v>0</v>
      </c>
      <c r="G852" s="5"/>
      <c r="H852" s="34">
        <v>1018</v>
      </c>
      <c r="I852" s="5" t="s">
        <v>93</v>
      </c>
      <c r="J852" s="16">
        <f t="shared" si="56"/>
        <v>64.604571077771041</v>
      </c>
    </row>
    <row r="853" spans="1:10" ht="15" hidden="1" customHeight="1" x14ac:dyDescent="0.3">
      <c r="A853" s="5" t="s">
        <v>5</v>
      </c>
      <c r="B853" s="5" t="s">
        <v>27</v>
      </c>
      <c r="C853" s="5" t="s">
        <v>163</v>
      </c>
      <c r="D853" s="5">
        <v>1</v>
      </c>
      <c r="E853" s="6">
        <v>7689.5</v>
      </c>
      <c r="F853" s="6">
        <f t="shared" si="55"/>
        <v>7689.5</v>
      </c>
      <c r="G853" s="5"/>
      <c r="H853" s="34">
        <v>1018</v>
      </c>
      <c r="I853" s="5" t="s">
        <v>93</v>
      </c>
      <c r="J853" s="16">
        <f t="shared" si="56"/>
        <v>64.604571077771041</v>
      </c>
    </row>
    <row r="854" spans="1:10" ht="15" hidden="1" customHeight="1" x14ac:dyDescent="0.3">
      <c r="A854" s="5" t="s">
        <v>5</v>
      </c>
      <c r="B854" s="5" t="s">
        <v>28</v>
      </c>
      <c r="C854" s="5" t="s">
        <v>53</v>
      </c>
      <c r="D854" s="133">
        <v>6</v>
      </c>
      <c r="E854" s="6">
        <v>29646.33</v>
      </c>
      <c r="F854" s="6">
        <f>E854</f>
        <v>29646.33</v>
      </c>
      <c r="G854" s="5" t="s">
        <v>191</v>
      </c>
      <c r="H854" s="38">
        <v>177925</v>
      </c>
      <c r="I854" s="5" t="s">
        <v>82</v>
      </c>
      <c r="J854" s="16">
        <f t="shared" si="56"/>
        <v>0.41050042355980437</v>
      </c>
    </row>
    <row r="855" spans="1:10" ht="15" hidden="1" customHeight="1" x14ac:dyDescent="0.3">
      <c r="A855" s="5" t="s">
        <v>5</v>
      </c>
      <c r="B855" s="5" t="s">
        <v>28</v>
      </c>
      <c r="C855" s="5" t="s">
        <v>55</v>
      </c>
      <c r="D855" s="133">
        <v>6</v>
      </c>
      <c r="E855" s="59">
        <v>64.569224000000006</v>
      </c>
      <c r="F855" s="6">
        <f t="shared" ref="F855:F875" si="57">D855*E855</f>
        <v>387.415344</v>
      </c>
      <c r="G855" s="5"/>
      <c r="H855" s="38">
        <v>177925</v>
      </c>
      <c r="I855" s="5" t="s">
        <v>82</v>
      </c>
      <c r="J855" s="16">
        <f t="shared" si="56"/>
        <v>0.41050042355980437</v>
      </c>
    </row>
    <row r="856" spans="1:10" ht="15" hidden="1" customHeight="1" x14ac:dyDescent="0.3">
      <c r="A856" s="5" t="s">
        <v>5</v>
      </c>
      <c r="B856" s="5" t="s">
        <v>28</v>
      </c>
      <c r="C856" s="5" t="s">
        <v>26</v>
      </c>
      <c r="D856" s="133">
        <v>6</v>
      </c>
      <c r="E856" s="37">
        <v>28.310635756385071</v>
      </c>
      <c r="F856" s="6">
        <f t="shared" si="57"/>
        <v>169.86381453831044</v>
      </c>
      <c r="G856" s="5"/>
      <c r="H856" s="38">
        <v>177925</v>
      </c>
      <c r="I856" s="5" t="s">
        <v>82</v>
      </c>
      <c r="J856" s="16">
        <f t="shared" si="56"/>
        <v>0.41050042355980437</v>
      </c>
    </row>
    <row r="857" spans="1:10" ht="15" hidden="1" customHeight="1" x14ac:dyDescent="0.3">
      <c r="A857" s="5" t="s">
        <v>5</v>
      </c>
      <c r="B857" s="5" t="s">
        <v>28</v>
      </c>
      <c r="C857" s="5" t="s">
        <v>14</v>
      </c>
      <c r="D857" s="133">
        <v>6</v>
      </c>
      <c r="E857" s="37">
        <v>47.792983889980349</v>
      </c>
      <c r="F857" s="6">
        <f t="shared" si="57"/>
        <v>286.75790333988209</v>
      </c>
      <c r="G857" s="5"/>
      <c r="H857" s="38">
        <v>177925</v>
      </c>
      <c r="I857" s="5" t="s">
        <v>82</v>
      </c>
      <c r="J857" s="16">
        <f t="shared" si="56"/>
        <v>0.41050042355980437</v>
      </c>
    </row>
    <row r="858" spans="1:10" ht="15" hidden="1" customHeight="1" x14ac:dyDescent="0.3">
      <c r="A858" s="5" t="s">
        <v>5</v>
      </c>
      <c r="B858" s="5" t="s">
        <v>28</v>
      </c>
      <c r="C858" s="5" t="s">
        <v>56</v>
      </c>
      <c r="D858" s="5">
        <v>7</v>
      </c>
      <c r="E858" s="6">
        <v>50</v>
      </c>
      <c r="F858" s="6">
        <f t="shared" si="57"/>
        <v>350</v>
      </c>
      <c r="G858" s="5" t="s">
        <v>170</v>
      </c>
      <c r="H858" s="38">
        <v>177925</v>
      </c>
      <c r="I858" s="5" t="s">
        <v>82</v>
      </c>
      <c r="J858" s="16">
        <f t="shared" si="56"/>
        <v>0.41050042355980437</v>
      </c>
    </row>
    <row r="859" spans="1:10" ht="15" hidden="1" customHeight="1" x14ac:dyDescent="0.3">
      <c r="A859" s="5" t="s">
        <v>5</v>
      </c>
      <c r="B859" s="5" t="s">
        <v>28</v>
      </c>
      <c r="C859" s="5" t="s">
        <v>70</v>
      </c>
      <c r="D859" s="5">
        <v>0</v>
      </c>
      <c r="E859" s="6"/>
      <c r="F859" s="6">
        <f t="shared" si="57"/>
        <v>0</v>
      </c>
      <c r="G859" s="5"/>
      <c r="H859" s="38">
        <v>177925</v>
      </c>
      <c r="I859" s="5" t="s">
        <v>82</v>
      </c>
      <c r="J859" s="16">
        <f t="shared" si="56"/>
        <v>0.41050042355980437</v>
      </c>
    </row>
    <row r="860" spans="1:10" ht="15" hidden="1" customHeight="1" x14ac:dyDescent="0.3">
      <c r="A860" s="5" t="s">
        <v>5</v>
      </c>
      <c r="B860" s="5" t="s">
        <v>28</v>
      </c>
      <c r="C860" s="5" t="s">
        <v>76</v>
      </c>
      <c r="D860" s="5">
        <v>7</v>
      </c>
      <c r="E860" s="6">
        <v>33.72</v>
      </c>
      <c r="F860" s="6">
        <f t="shared" si="57"/>
        <v>236.04</v>
      </c>
      <c r="G860" s="5" t="s">
        <v>170</v>
      </c>
      <c r="H860" s="38">
        <v>177925</v>
      </c>
      <c r="I860" s="5" t="s">
        <v>82</v>
      </c>
      <c r="J860" s="16">
        <f t="shared" si="56"/>
        <v>0.41050042355980437</v>
      </c>
    </row>
    <row r="861" spans="1:10" ht="15" hidden="1" customHeight="1" x14ac:dyDescent="0.3">
      <c r="A861" s="5" t="s">
        <v>5</v>
      </c>
      <c r="B861" s="5" t="s">
        <v>28</v>
      </c>
      <c r="C861" s="5" t="s">
        <v>71</v>
      </c>
      <c r="D861" s="5">
        <v>1</v>
      </c>
      <c r="E861" s="6">
        <v>40.520000000000003</v>
      </c>
      <c r="F861" s="6">
        <f t="shared" si="57"/>
        <v>40.520000000000003</v>
      </c>
      <c r="G861" s="5" t="s">
        <v>170</v>
      </c>
      <c r="H861" s="38">
        <v>177925</v>
      </c>
      <c r="I861" s="5" t="s">
        <v>82</v>
      </c>
      <c r="J861" s="16">
        <f t="shared" si="56"/>
        <v>0.41050042355980437</v>
      </c>
    </row>
    <row r="862" spans="1:10" ht="15" hidden="1" customHeight="1" x14ac:dyDescent="0.3">
      <c r="A862" s="5" t="s">
        <v>5</v>
      </c>
      <c r="B862" s="5" t="s">
        <v>28</v>
      </c>
      <c r="C862" s="5" t="s">
        <v>72</v>
      </c>
      <c r="D862" s="5">
        <v>1</v>
      </c>
      <c r="E862" s="6">
        <v>153.58000000000001</v>
      </c>
      <c r="F862" s="6">
        <f t="shared" si="57"/>
        <v>153.58000000000001</v>
      </c>
      <c r="G862" s="5" t="s">
        <v>170</v>
      </c>
      <c r="H862" s="38">
        <v>177925</v>
      </c>
      <c r="I862" s="5" t="s">
        <v>82</v>
      </c>
      <c r="J862" s="16">
        <f t="shared" si="56"/>
        <v>0.41050042355980437</v>
      </c>
    </row>
    <row r="863" spans="1:10" ht="15" hidden="1" customHeight="1" x14ac:dyDescent="0.3">
      <c r="A863" s="5" t="s">
        <v>5</v>
      </c>
      <c r="B863" s="5" t="s">
        <v>28</v>
      </c>
      <c r="C863" s="5" t="s">
        <v>58</v>
      </c>
      <c r="D863" s="133">
        <v>6</v>
      </c>
      <c r="E863" s="6">
        <v>10.047000000000001</v>
      </c>
      <c r="F863" s="6">
        <f t="shared" si="57"/>
        <v>60.282000000000004</v>
      </c>
      <c r="G863" s="5" t="s">
        <v>171</v>
      </c>
      <c r="H863" s="38">
        <v>177925</v>
      </c>
      <c r="I863" s="5" t="s">
        <v>82</v>
      </c>
      <c r="J863" s="16">
        <f t="shared" si="56"/>
        <v>0.41050042355980437</v>
      </c>
    </row>
    <row r="864" spans="1:10" ht="15" hidden="1" customHeight="1" x14ac:dyDescent="0.3">
      <c r="A864" s="5" t="s">
        <v>5</v>
      </c>
      <c r="B864" s="5" t="s">
        <v>28</v>
      </c>
      <c r="C864" s="5" t="s">
        <v>59</v>
      </c>
      <c r="D864" s="133">
        <v>6</v>
      </c>
      <c r="E864" s="6">
        <v>2.0697999999999999</v>
      </c>
      <c r="F864" s="6">
        <f t="shared" si="57"/>
        <v>12.418799999999999</v>
      </c>
      <c r="G864" s="5" t="s">
        <v>171</v>
      </c>
      <c r="H864" s="38">
        <v>177925</v>
      </c>
      <c r="I864" s="5" t="s">
        <v>82</v>
      </c>
      <c r="J864" s="16">
        <f t="shared" si="56"/>
        <v>0.41050042355980437</v>
      </c>
    </row>
    <row r="865" spans="1:10" ht="15" hidden="1" customHeight="1" x14ac:dyDescent="0.3">
      <c r="A865" s="5" t="s">
        <v>5</v>
      </c>
      <c r="B865" s="5" t="s">
        <v>28</v>
      </c>
      <c r="C865" s="5" t="s">
        <v>164</v>
      </c>
      <c r="D865" s="5">
        <v>1</v>
      </c>
      <c r="E865" s="6">
        <v>1949.81</v>
      </c>
      <c r="F865" s="6">
        <f t="shared" si="57"/>
        <v>1949.81</v>
      </c>
      <c r="G865" s="5" t="s">
        <v>170</v>
      </c>
      <c r="H865" s="38">
        <v>177925</v>
      </c>
      <c r="I865" s="5" t="s">
        <v>82</v>
      </c>
      <c r="J865" s="16">
        <f t="shared" si="56"/>
        <v>0.41050042355980437</v>
      </c>
    </row>
    <row r="866" spans="1:10" ht="15" hidden="1" customHeight="1" x14ac:dyDescent="0.3">
      <c r="A866" s="5" t="s">
        <v>5</v>
      </c>
      <c r="B866" s="5" t="s">
        <v>28</v>
      </c>
      <c r="C866" s="5" t="s">
        <v>165</v>
      </c>
      <c r="D866" s="5">
        <v>1</v>
      </c>
      <c r="E866" s="6">
        <v>10310.17</v>
      </c>
      <c r="F866" s="6">
        <f t="shared" si="57"/>
        <v>10310.17</v>
      </c>
      <c r="G866" s="5" t="s">
        <v>170</v>
      </c>
      <c r="H866" s="38">
        <v>177925</v>
      </c>
      <c r="I866" s="5" t="s">
        <v>82</v>
      </c>
      <c r="J866" s="16">
        <f t="shared" si="56"/>
        <v>0.41050042355980437</v>
      </c>
    </row>
    <row r="867" spans="1:10" ht="15" hidden="1" customHeight="1" x14ac:dyDescent="0.3">
      <c r="A867" s="5" t="s">
        <v>5</v>
      </c>
      <c r="B867" s="5" t="s">
        <v>28</v>
      </c>
      <c r="C867" s="5" t="s">
        <v>166</v>
      </c>
      <c r="D867" s="5">
        <v>1</v>
      </c>
      <c r="E867" s="6">
        <v>5394.7</v>
      </c>
      <c r="F867" s="6">
        <f t="shared" si="57"/>
        <v>5394.7</v>
      </c>
      <c r="G867" s="5" t="s">
        <v>170</v>
      </c>
      <c r="H867" s="38">
        <v>177925</v>
      </c>
      <c r="I867" s="5" t="s">
        <v>82</v>
      </c>
      <c r="J867" s="16">
        <f t="shared" si="56"/>
        <v>0.41050042355980437</v>
      </c>
    </row>
    <row r="868" spans="1:10" ht="15" hidden="1" customHeight="1" x14ac:dyDescent="0.3">
      <c r="A868" s="5" t="s">
        <v>5</v>
      </c>
      <c r="B868" s="5" t="s">
        <v>28</v>
      </c>
      <c r="C868" s="5" t="s">
        <v>167</v>
      </c>
      <c r="D868" s="5">
        <v>1</v>
      </c>
      <c r="E868" s="6">
        <v>21414</v>
      </c>
      <c r="F868" s="6">
        <f t="shared" si="57"/>
        <v>21414</v>
      </c>
      <c r="G868" s="5" t="s">
        <v>170</v>
      </c>
      <c r="H868" s="38">
        <v>177925</v>
      </c>
      <c r="I868" s="5" t="s">
        <v>82</v>
      </c>
      <c r="J868" s="16">
        <f t="shared" si="56"/>
        <v>0.41050042355980437</v>
      </c>
    </row>
    <row r="869" spans="1:10" ht="15" hidden="1" customHeight="1" x14ac:dyDescent="0.3">
      <c r="A869" s="5" t="s">
        <v>5</v>
      </c>
      <c r="B869" s="5" t="s">
        <v>28</v>
      </c>
      <c r="C869" s="5" t="s">
        <v>74</v>
      </c>
      <c r="D869" s="5">
        <v>0</v>
      </c>
      <c r="E869" s="6"/>
      <c r="F869" s="6">
        <f t="shared" si="57"/>
        <v>0</v>
      </c>
      <c r="G869" s="5"/>
      <c r="H869" s="38">
        <v>177925</v>
      </c>
      <c r="I869" s="5" t="s">
        <v>82</v>
      </c>
      <c r="J869" s="16">
        <f t="shared" si="56"/>
        <v>0.41050042355980437</v>
      </c>
    </row>
    <row r="870" spans="1:10" ht="15" hidden="1" customHeight="1" x14ac:dyDescent="0.3">
      <c r="A870" s="5" t="s">
        <v>5</v>
      </c>
      <c r="B870" s="5" t="s">
        <v>28</v>
      </c>
      <c r="C870" s="5" t="s">
        <v>62</v>
      </c>
      <c r="D870" s="5">
        <v>0</v>
      </c>
      <c r="E870" s="6"/>
      <c r="F870" s="6">
        <f t="shared" si="57"/>
        <v>0</v>
      </c>
      <c r="G870" s="5"/>
      <c r="H870" s="38">
        <v>177925</v>
      </c>
      <c r="I870" s="5" t="s">
        <v>82</v>
      </c>
      <c r="J870" s="16">
        <f t="shared" si="56"/>
        <v>0.41050042355980437</v>
      </c>
    </row>
    <row r="871" spans="1:10" ht="15" hidden="1" customHeight="1" x14ac:dyDescent="0.3">
      <c r="A871" s="5" t="s">
        <v>5</v>
      </c>
      <c r="B871" s="5" t="s">
        <v>28</v>
      </c>
      <c r="C871" s="5" t="s">
        <v>60</v>
      </c>
      <c r="D871" s="5">
        <v>0</v>
      </c>
      <c r="E871" s="6"/>
      <c r="F871" s="6">
        <f t="shared" si="57"/>
        <v>0</v>
      </c>
      <c r="G871" s="5"/>
      <c r="H871" s="38">
        <v>177925</v>
      </c>
      <c r="I871" s="5" t="s">
        <v>82</v>
      </c>
      <c r="J871" s="16">
        <f t="shared" si="56"/>
        <v>0.41050042355980437</v>
      </c>
    </row>
    <row r="872" spans="1:10" ht="15" hidden="1" customHeight="1" x14ac:dyDescent="0.3">
      <c r="A872" s="5" t="s">
        <v>5</v>
      </c>
      <c r="B872" s="5" t="s">
        <v>28</v>
      </c>
      <c r="C872" s="5" t="s">
        <v>89</v>
      </c>
      <c r="D872" s="5">
        <v>0</v>
      </c>
      <c r="E872" s="6"/>
      <c r="F872" s="6">
        <f t="shared" si="57"/>
        <v>0</v>
      </c>
      <c r="G872" s="5"/>
      <c r="H872" s="38">
        <v>177925</v>
      </c>
      <c r="I872" s="5" t="s">
        <v>82</v>
      </c>
      <c r="J872" s="16">
        <f t="shared" si="56"/>
        <v>0.41050042355980437</v>
      </c>
    </row>
    <row r="873" spans="1:10" ht="15" hidden="1" customHeight="1" x14ac:dyDescent="0.3">
      <c r="A873" s="5" t="s">
        <v>5</v>
      </c>
      <c r="B873" s="5" t="s">
        <v>28</v>
      </c>
      <c r="C873" s="5" t="s">
        <v>168</v>
      </c>
      <c r="D873" s="5">
        <v>1</v>
      </c>
      <c r="E873" s="6">
        <v>2626.4</v>
      </c>
      <c r="F873" s="6">
        <f t="shared" si="57"/>
        <v>2626.4</v>
      </c>
      <c r="G873" s="5" t="s">
        <v>170</v>
      </c>
      <c r="H873" s="38">
        <v>177925</v>
      </c>
      <c r="I873" s="5" t="s">
        <v>82</v>
      </c>
      <c r="J873" s="16">
        <f t="shared" si="56"/>
        <v>0.41050042355980437</v>
      </c>
    </row>
    <row r="874" spans="1:10" ht="15" hidden="1" customHeight="1" x14ac:dyDescent="0.3">
      <c r="A874" s="5" t="s">
        <v>5</v>
      </c>
      <c r="B874" s="5" t="s">
        <v>28</v>
      </c>
      <c r="C874" s="5" t="s">
        <v>75</v>
      </c>
      <c r="D874" s="5">
        <v>1</v>
      </c>
      <c r="E874" s="6"/>
      <c r="F874" s="6">
        <f t="shared" si="57"/>
        <v>0</v>
      </c>
      <c r="G874" s="5"/>
      <c r="H874" s="38">
        <v>177925</v>
      </c>
      <c r="I874" s="5" t="s">
        <v>82</v>
      </c>
      <c r="J874" s="16">
        <f t="shared" si="56"/>
        <v>0.41050042355980437</v>
      </c>
    </row>
    <row r="875" spans="1:10" ht="15" hidden="1" customHeight="1" x14ac:dyDescent="0.3">
      <c r="A875" s="5" t="s">
        <v>5</v>
      </c>
      <c r="B875" s="5" t="s">
        <v>28</v>
      </c>
      <c r="C875" s="5" t="s">
        <v>64</v>
      </c>
      <c r="D875" s="5">
        <v>1</v>
      </c>
      <c r="E875" s="6"/>
      <c r="F875" s="6">
        <f t="shared" si="57"/>
        <v>0</v>
      </c>
      <c r="G875" s="5"/>
      <c r="H875" s="38">
        <v>177925</v>
      </c>
      <c r="I875" s="5" t="s">
        <v>82</v>
      </c>
      <c r="J875" s="16">
        <f t="shared" si="56"/>
        <v>0.41050042355980437</v>
      </c>
    </row>
    <row r="876" spans="1:10" ht="14.25" hidden="1" customHeight="1" x14ac:dyDescent="0.3">
      <c r="A876" t="s">
        <v>6</v>
      </c>
      <c r="B876" t="s">
        <v>7</v>
      </c>
      <c r="C876" t="s">
        <v>53</v>
      </c>
      <c r="D876" s="133">
        <v>19</v>
      </c>
      <c r="E876" s="17">
        <v>79168.179999999993</v>
      </c>
      <c r="F876" s="17">
        <f>E876</f>
        <v>79168.179999999993</v>
      </c>
      <c r="G876" s="18"/>
      <c r="H876" s="38">
        <v>193343</v>
      </c>
      <c r="I876" s="18" t="s">
        <v>54</v>
      </c>
      <c r="J876" s="19">
        <f t="shared" si="56"/>
        <v>0.42745395758506427</v>
      </c>
    </row>
    <row r="877" spans="1:10" ht="14.25" hidden="1" customHeight="1" x14ac:dyDescent="0.3">
      <c r="A877" t="s">
        <v>6</v>
      </c>
      <c r="B877" t="s">
        <v>7</v>
      </c>
      <c r="C877" t="s">
        <v>55</v>
      </c>
      <c r="D877" s="133">
        <v>19</v>
      </c>
      <c r="E877" s="37">
        <v>58.416942229951687</v>
      </c>
      <c r="F877" s="17">
        <f t="shared" ref="F877:F890" si="58">D877*E877</f>
        <v>1109.9219023690821</v>
      </c>
      <c r="G877" s="18"/>
      <c r="H877" s="38">
        <v>193343</v>
      </c>
      <c r="I877" s="18" t="s">
        <v>54</v>
      </c>
      <c r="J877" s="19">
        <f t="shared" si="56"/>
        <v>0.42745395758506427</v>
      </c>
    </row>
    <row r="878" spans="1:10" ht="14.25" hidden="1" customHeight="1" x14ac:dyDescent="0.3">
      <c r="A878" t="s">
        <v>6</v>
      </c>
      <c r="B878" t="s">
        <v>7</v>
      </c>
      <c r="C878" t="s">
        <v>26</v>
      </c>
      <c r="D878" s="133">
        <v>19</v>
      </c>
      <c r="E878" s="17">
        <v>25.999313999999998</v>
      </c>
      <c r="F878" s="17">
        <f t="shared" si="58"/>
        <v>493.98696599999994</v>
      </c>
      <c r="G878" s="18" t="s">
        <v>171</v>
      </c>
      <c r="H878" s="38">
        <v>193343</v>
      </c>
      <c r="I878" s="18" t="s">
        <v>54</v>
      </c>
      <c r="J878" s="19">
        <f t="shared" si="56"/>
        <v>0.42745395758506427</v>
      </c>
    </row>
    <row r="879" spans="1:10" ht="14.25" hidden="1" customHeight="1" x14ac:dyDescent="0.3">
      <c r="A879" t="s">
        <v>6</v>
      </c>
      <c r="B879" t="s">
        <v>7</v>
      </c>
      <c r="C879" t="s">
        <v>14</v>
      </c>
      <c r="D879" s="133">
        <v>19</v>
      </c>
      <c r="E879" s="17">
        <v>42.772965999999997</v>
      </c>
      <c r="F879" s="17">
        <f t="shared" si="58"/>
        <v>812.68635399999994</v>
      </c>
      <c r="G879" s="18" t="s">
        <v>171</v>
      </c>
      <c r="H879" s="38">
        <v>193343</v>
      </c>
      <c r="I879" s="18" t="s">
        <v>54</v>
      </c>
      <c r="J879" s="19">
        <f t="shared" si="56"/>
        <v>0.42745395758506427</v>
      </c>
    </row>
    <row r="880" spans="1:10" ht="14.25" hidden="1" customHeight="1" x14ac:dyDescent="0.3">
      <c r="A880" t="s">
        <v>6</v>
      </c>
      <c r="B880" t="s">
        <v>7</v>
      </c>
      <c r="C880" t="s">
        <v>56</v>
      </c>
      <c r="D880" s="5">
        <v>10</v>
      </c>
      <c r="E880" s="6">
        <v>50</v>
      </c>
      <c r="F880" s="17">
        <f t="shared" si="58"/>
        <v>500</v>
      </c>
      <c r="G880" s="18" t="s">
        <v>192</v>
      </c>
      <c r="H880" s="38">
        <v>193343</v>
      </c>
      <c r="I880" s="18" t="s">
        <v>54</v>
      </c>
      <c r="J880" s="19">
        <f t="shared" si="56"/>
        <v>0.42745395758506427</v>
      </c>
    </row>
    <row r="881" spans="1:10" ht="14.25" hidden="1" customHeight="1" x14ac:dyDescent="0.3">
      <c r="A881" t="s">
        <v>6</v>
      </c>
      <c r="B881" t="s">
        <v>7</v>
      </c>
      <c r="C881" t="s">
        <v>57</v>
      </c>
      <c r="D881" s="5">
        <v>5</v>
      </c>
      <c r="E881" s="6">
        <v>30</v>
      </c>
      <c r="F881" s="17">
        <f t="shared" si="58"/>
        <v>150</v>
      </c>
      <c r="G881" s="18" t="s">
        <v>192</v>
      </c>
      <c r="H881" s="38">
        <v>193343</v>
      </c>
      <c r="I881" s="18" t="s">
        <v>54</v>
      </c>
      <c r="J881" s="19">
        <f t="shared" si="56"/>
        <v>0.42745395758506427</v>
      </c>
    </row>
    <row r="882" spans="1:10" ht="14.25" hidden="1" customHeight="1" x14ac:dyDescent="0.3">
      <c r="A882" t="s">
        <v>6</v>
      </c>
      <c r="B882" t="s">
        <v>7</v>
      </c>
      <c r="C882" t="s">
        <v>58</v>
      </c>
      <c r="D882" s="133">
        <v>19</v>
      </c>
      <c r="E882" s="17">
        <v>9.8512850000000007</v>
      </c>
      <c r="F882" s="17">
        <f t="shared" si="58"/>
        <v>187.17441500000001</v>
      </c>
      <c r="G882" s="18" t="s">
        <v>171</v>
      </c>
      <c r="H882" s="38">
        <v>193343</v>
      </c>
      <c r="I882" s="18" t="s">
        <v>54</v>
      </c>
      <c r="J882" s="19">
        <f t="shared" si="56"/>
        <v>0.42745395758506427</v>
      </c>
    </row>
    <row r="883" spans="1:10" ht="14.25" hidden="1" customHeight="1" x14ac:dyDescent="0.3">
      <c r="A883" t="s">
        <v>6</v>
      </c>
      <c r="B883" t="s">
        <v>7</v>
      </c>
      <c r="C883" t="s">
        <v>59</v>
      </c>
      <c r="D883" s="133">
        <v>19</v>
      </c>
      <c r="E883" s="17">
        <v>2.0358360000000002</v>
      </c>
      <c r="F883" s="17">
        <f t="shared" si="58"/>
        <v>38.680884000000006</v>
      </c>
      <c r="G883" s="18" t="s">
        <v>171</v>
      </c>
      <c r="H883" s="38">
        <v>193343</v>
      </c>
      <c r="I883" s="18" t="s">
        <v>54</v>
      </c>
      <c r="J883" s="19">
        <f t="shared" si="56"/>
        <v>0.42745395758506427</v>
      </c>
    </row>
    <row r="884" spans="1:10" ht="14.25" hidden="1" customHeight="1" x14ac:dyDescent="0.3">
      <c r="A884" t="s">
        <v>6</v>
      </c>
      <c r="B884" t="s">
        <v>7</v>
      </c>
      <c r="C884" t="s">
        <v>60</v>
      </c>
      <c r="D884" s="5">
        <v>0</v>
      </c>
      <c r="E884" s="17"/>
      <c r="F884" s="17">
        <f t="shared" si="58"/>
        <v>0</v>
      </c>
      <c r="G884" s="18"/>
      <c r="H884" s="38">
        <v>193343</v>
      </c>
      <c r="I884" s="18" t="s">
        <v>54</v>
      </c>
      <c r="J884" s="19">
        <f t="shared" si="56"/>
        <v>0.42745395758506427</v>
      </c>
    </row>
    <row r="885" spans="1:10" ht="14.25" hidden="1" customHeight="1" x14ac:dyDescent="0.3">
      <c r="A885" t="s">
        <v>6</v>
      </c>
      <c r="B885" t="s">
        <v>7</v>
      </c>
      <c r="C885" t="s">
        <v>61</v>
      </c>
      <c r="D885" s="60">
        <v>0</v>
      </c>
      <c r="E885" s="17"/>
      <c r="F885" s="17">
        <f t="shared" si="58"/>
        <v>0</v>
      </c>
      <c r="G885" s="18"/>
      <c r="H885" s="38">
        <v>193343</v>
      </c>
      <c r="I885" s="18" t="s">
        <v>54</v>
      </c>
      <c r="J885" s="19">
        <f t="shared" si="56"/>
        <v>0.42745395758506427</v>
      </c>
    </row>
    <row r="886" spans="1:10" ht="14.25" hidden="1" customHeight="1" x14ac:dyDescent="0.3">
      <c r="A886" t="s">
        <v>6</v>
      </c>
      <c r="B886" t="s">
        <v>7</v>
      </c>
      <c r="C886" t="s">
        <v>62</v>
      </c>
      <c r="D886" s="60">
        <v>0</v>
      </c>
      <c r="E886" s="17"/>
      <c r="F886" s="17">
        <f t="shared" si="58"/>
        <v>0</v>
      </c>
      <c r="G886" s="18"/>
      <c r="H886" s="38">
        <v>193343</v>
      </c>
      <c r="I886" s="18" t="s">
        <v>54</v>
      </c>
      <c r="J886" s="19">
        <f t="shared" si="56"/>
        <v>0.42745395758506427</v>
      </c>
    </row>
    <row r="887" spans="1:10" ht="14.25" hidden="1" customHeight="1" x14ac:dyDescent="0.3">
      <c r="A887" t="s">
        <v>6</v>
      </c>
      <c r="B887" t="s">
        <v>7</v>
      </c>
      <c r="C887" t="s">
        <v>63</v>
      </c>
      <c r="D887" s="5">
        <v>1</v>
      </c>
      <c r="E887" s="17"/>
      <c r="F887" s="17">
        <f t="shared" si="58"/>
        <v>0</v>
      </c>
      <c r="G887" s="18"/>
      <c r="H887" s="38">
        <v>193343</v>
      </c>
      <c r="I887" s="18" t="s">
        <v>54</v>
      </c>
      <c r="J887" s="19">
        <f t="shared" si="56"/>
        <v>0.42745395758506427</v>
      </c>
    </row>
    <row r="888" spans="1:10" ht="14.25" hidden="1" customHeight="1" x14ac:dyDescent="0.3">
      <c r="A888" t="s">
        <v>6</v>
      </c>
      <c r="B888" t="s">
        <v>7</v>
      </c>
      <c r="C888" t="s">
        <v>64</v>
      </c>
      <c r="D888" s="5">
        <v>1</v>
      </c>
      <c r="E888" s="134">
        <v>155.6</v>
      </c>
      <c r="F888" s="17">
        <f t="shared" si="58"/>
        <v>155.6</v>
      </c>
      <c r="G888" s="133" t="s">
        <v>65</v>
      </c>
      <c r="H888" s="38">
        <v>193343</v>
      </c>
      <c r="I888" s="18" t="s">
        <v>54</v>
      </c>
      <c r="J888" s="19">
        <f t="shared" si="56"/>
        <v>0.42745395758506427</v>
      </c>
    </row>
    <row r="889" spans="1:10" ht="14.25" hidden="1" customHeight="1" x14ac:dyDescent="0.3">
      <c r="A889" t="s">
        <v>6</v>
      </c>
      <c r="B889" t="s">
        <v>7</v>
      </c>
      <c r="C889" t="s">
        <v>66</v>
      </c>
      <c r="D889" s="60">
        <v>1</v>
      </c>
      <c r="E889" s="134">
        <v>29</v>
      </c>
      <c r="F889" s="17">
        <f t="shared" si="58"/>
        <v>29</v>
      </c>
      <c r="G889" s="133" t="s">
        <v>65</v>
      </c>
      <c r="H889" s="38">
        <v>193343</v>
      </c>
      <c r="I889" s="18" t="s">
        <v>54</v>
      </c>
      <c r="J889" s="19">
        <f t="shared" si="56"/>
        <v>0.42745395758506427</v>
      </c>
    </row>
    <row r="890" spans="1:10" ht="14.25" hidden="1" customHeight="1" x14ac:dyDescent="0.3">
      <c r="A890" t="s">
        <v>6</v>
      </c>
      <c r="B890" t="s">
        <v>7</v>
      </c>
      <c r="C890" t="s">
        <v>67</v>
      </c>
      <c r="D890" s="5">
        <v>0</v>
      </c>
      <c r="E890" s="17"/>
      <c r="F890" s="17">
        <f t="shared" si="58"/>
        <v>0</v>
      </c>
      <c r="G890" s="18"/>
      <c r="H890" s="38">
        <v>193343</v>
      </c>
      <c r="I890" s="18" t="s">
        <v>54</v>
      </c>
      <c r="J890" s="19">
        <f t="shared" si="56"/>
        <v>0.42745395758506427</v>
      </c>
    </row>
    <row r="891" spans="1:10" ht="14.25" hidden="1" customHeight="1" x14ac:dyDescent="0.3">
      <c r="A891" t="s">
        <v>6</v>
      </c>
      <c r="B891" t="s">
        <v>68</v>
      </c>
      <c r="C891" t="s">
        <v>53</v>
      </c>
      <c r="D891" s="133">
        <v>15</v>
      </c>
      <c r="E891" s="134">
        <v>92292.3</v>
      </c>
      <c r="F891" s="17">
        <f>E891</f>
        <v>92292.3</v>
      </c>
      <c r="G891" s="18" t="s">
        <v>193</v>
      </c>
      <c r="H891" s="38">
        <v>168731</v>
      </c>
      <c r="I891" s="18" t="s">
        <v>175</v>
      </c>
      <c r="J891" s="19">
        <f t="shared" si="56"/>
        <v>0.56378759770551512</v>
      </c>
    </row>
    <row r="892" spans="1:10" ht="14.25" hidden="1" customHeight="1" x14ac:dyDescent="0.3">
      <c r="A892" t="s">
        <v>6</v>
      </c>
      <c r="B892" t="s">
        <v>68</v>
      </c>
      <c r="C892" t="s">
        <v>55</v>
      </c>
      <c r="D892" s="133">
        <v>15</v>
      </c>
      <c r="E892" s="37">
        <v>58.416942229951687</v>
      </c>
      <c r="F892" s="17">
        <f t="shared" ref="F892:F906" si="59">D892*E892</f>
        <v>876.25413344927529</v>
      </c>
      <c r="G892" s="18"/>
      <c r="H892" s="38">
        <v>168731</v>
      </c>
      <c r="I892" s="18" t="s">
        <v>175</v>
      </c>
      <c r="J892" s="19">
        <f t="shared" si="56"/>
        <v>0.56378759770551512</v>
      </c>
    </row>
    <row r="893" spans="1:10" ht="14.25" hidden="1" customHeight="1" x14ac:dyDescent="0.3">
      <c r="A893" t="s">
        <v>6</v>
      </c>
      <c r="B893" t="s">
        <v>68</v>
      </c>
      <c r="C893" t="s">
        <v>26</v>
      </c>
      <c r="D893" s="133">
        <v>15</v>
      </c>
      <c r="E893" s="17">
        <v>25.999313999999998</v>
      </c>
      <c r="F893" s="17">
        <f t="shared" si="59"/>
        <v>389.98970999999995</v>
      </c>
      <c r="G893" s="18" t="s">
        <v>171</v>
      </c>
      <c r="H893" s="38">
        <v>168731</v>
      </c>
      <c r="I893" s="18" t="s">
        <v>175</v>
      </c>
      <c r="J893" s="19">
        <f t="shared" si="56"/>
        <v>0.56378759770551512</v>
      </c>
    </row>
    <row r="894" spans="1:10" ht="14.25" hidden="1" customHeight="1" x14ac:dyDescent="0.3">
      <c r="A894" t="s">
        <v>6</v>
      </c>
      <c r="B894" t="s">
        <v>68</v>
      </c>
      <c r="C894" t="s">
        <v>14</v>
      </c>
      <c r="D894" s="133">
        <v>15</v>
      </c>
      <c r="E894" s="17">
        <v>42.772965999999997</v>
      </c>
      <c r="F894" s="17">
        <f t="shared" si="59"/>
        <v>641.59448999999995</v>
      </c>
      <c r="G894" s="18" t="s">
        <v>171</v>
      </c>
      <c r="H894" s="38">
        <v>168731</v>
      </c>
      <c r="I894" s="18" t="s">
        <v>175</v>
      </c>
      <c r="J894" s="19">
        <f t="shared" si="56"/>
        <v>0.56378759770551512</v>
      </c>
    </row>
    <row r="895" spans="1:10" ht="14.25" hidden="1" customHeight="1" x14ac:dyDescent="0.3">
      <c r="A895" t="s">
        <v>6</v>
      </c>
      <c r="B895" t="s">
        <v>68</v>
      </c>
      <c r="C895" t="s">
        <v>56</v>
      </c>
      <c r="D895" s="5">
        <v>6</v>
      </c>
      <c r="E895" s="6">
        <v>50</v>
      </c>
      <c r="F895" s="17">
        <f t="shared" si="59"/>
        <v>300</v>
      </c>
      <c r="G895" s="18" t="s">
        <v>192</v>
      </c>
      <c r="H895" s="38">
        <v>168731</v>
      </c>
      <c r="I895" s="18" t="s">
        <v>175</v>
      </c>
      <c r="J895" s="19">
        <f t="shared" si="56"/>
        <v>0.56378759770551512</v>
      </c>
    </row>
    <row r="896" spans="1:10" ht="14.25" hidden="1" customHeight="1" x14ac:dyDescent="0.3">
      <c r="A896" t="s">
        <v>6</v>
      </c>
      <c r="B896" t="s">
        <v>68</v>
      </c>
      <c r="C896" t="s">
        <v>70</v>
      </c>
      <c r="D896" s="5">
        <v>1</v>
      </c>
      <c r="E896" s="17"/>
      <c r="F896" s="17">
        <f t="shared" si="59"/>
        <v>0</v>
      </c>
      <c r="G896" s="18"/>
      <c r="H896" s="38">
        <v>168731</v>
      </c>
      <c r="I896" s="18" t="s">
        <v>175</v>
      </c>
      <c r="J896" s="19">
        <f t="shared" si="56"/>
        <v>0.56378759770551512</v>
      </c>
    </row>
    <row r="897" spans="1:10" ht="14.25" hidden="1" customHeight="1" x14ac:dyDescent="0.3">
      <c r="A897" t="s">
        <v>6</v>
      </c>
      <c r="B897" t="s">
        <v>68</v>
      </c>
      <c r="C897" t="s">
        <v>71</v>
      </c>
      <c r="D897" s="60">
        <v>0</v>
      </c>
      <c r="E897" s="37">
        <v>0</v>
      </c>
      <c r="F897" s="17">
        <f t="shared" si="59"/>
        <v>0</v>
      </c>
      <c r="G897" s="18" t="s">
        <v>170</v>
      </c>
      <c r="H897" s="38">
        <v>168731</v>
      </c>
      <c r="I897" s="18" t="s">
        <v>175</v>
      </c>
      <c r="J897" s="19">
        <f t="shared" si="56"/>
        <v>0.56378759770551512</v>
      </c>
    </row>
    <row r="898" spans="1:10" ht="14.25" hidden="1" customHeight="1" x14ac:dyDescent="0.3">
      <c r="A898" t="s">
        <v>6</v>
      </c>
      <c r="B898" t="s">
        <v>68</v>
      </c>
      <c r="C898" t="s">
        <v>57</v>
      </c>
      <c r="D898" s="5">
        <v>15</v>
      </c>
      <c r="E898" s="6">
        <v>30</v>
      </c>
      <c r="F898" s="17">
        <f t="shared" si="59"/>
        <v>450</v>
      </c>
      <c r="G898" s="18" t="s">
        <v>192</v>
      </c>
      <c r="H898" s="38">
        <v>168731</v>
      </c>
      <c r="I898" s="18" t="s">
        <v>175</v>
      </c>
      <c r="J898" s="19">
        <f t="shared" ref="J898:J961" si="60">IFERROR(SUMIFS($F$2:$F$1749,$A$2:$A$1749,A898,$B$2:$B$1749,B898)/H898,"")</f>
        <v>0.56378759770551512</v>
      </c>
    </row>
    <row r="899" spans="1:10" ht="14.25" hidden="1" customHeight="1" x14ac:dyDescent="0.3">
      <c r="A899" t="s">
        <v>6</v>
      </c>
      <c r="B899" t="s">
        <v>68</v>
      </c>
      <c r="C899" t="s">
        <v>72</v>
      </c>
      <c r="D899" s="60">
        <v>0</v>
      </c>
      <c r="E899" s="37">
        <v>0</v>
      </c>
      <c r="F899" s="17">
        <f t="shared" si="59"/>
        <v>0</v>
      </c>
      <c r="G899" s="18" t="s">
        <v>170</v>
      </c>
      <c r="H899" s="38">
        <v>168731</v>
      </c>
      <c r="I899" s="18" t="s">
        <v>175</v>
      </c>
      <c r="J899" s="19">
        <f t="shared" si="60"/>
        <v>0.56378759770551512</v>
      </c>
    </row>
    <row r="900" spans="1:10" ht="14.25" hidden="1" customHeight="1" x14ac:dyDescent="0.3">
      <c r="A900" t="s">
        <v>6</v>
      </c>
      <c r="B900" t="s">
        <v>68</v>
      </c>
      <c r="C900" t="s">
        <v>58</v>
      </c>
      <c r="D900" s="133">
        <v>15</v>
      </c>
      <c r="E900" s="17">
        <v>9.8512850000000007</v>
      </c>
      <c r="F900" s="17">
        <f t="shared" si="59"/>
        <v>147.76927500000002</v>
      </c>
      <c r="G900" s="18" t="s">
        <v>171</v>
      </c>
      <c r="H900" s="38">
        <v>168731</v>
      </c>
      <c r="I900" s="18" t="s">
        <v>175</v>
      </c>
      <c r="J900" s="19">
        <f t="shared" si="60"/>
        <v>0.56378759770551512</v>
      </c>
    </row>
    <row r="901" spans="1:10" ht="14.25" hidden="1" customHeight="1" x14ac:dyDescent="0.3">
      <c r="A901" t="s">
        <v>6</v>
      </c>
      <c r="B901" t="s">
        <v>68</v>
      </c>
      <c r="C901" t="s">
        <v>59</v>
      </c>
      <c r="D901" s="133">
        <v>15</v>
      </c>
      <c r="E901" s="17">
        <v>2.0358360000000002</v>
      </c>
      <c r="F901" s="17">
        <f t="shared" si="59"/>
        <v>30.537540000000003</v>
      </c>
      <c r="G901" s="18" t="s">
        <v>171</v>
      </c>
      <c r="H901" s="38">
        <v>168731</v>
      </c>
      <c r="I901" s="18" t="s">
        <v>175</v>
      </c>
      <c r="J901" s="19">
        <f t="shared" si="60"/>
        <v>0.56378759770551512</v>
      </c>
    </row>
    <row r="902" spans="1:10" ht="14.25" hidden="1" customHeight="1" x14ac:dyDescent="0.3">
      <c r="A902" t="s">
        <v>6</v>
      </c>
      <c r="B902" t="s">
        <v>68</v>
      </c>
      <c r="C902" t="s">
        <v>73</v>
      </c>
      <c r="D902" s="5">
        <v>0</v>
      </c>
      <c r="E902" s="17"/>
      <c r="F902" s="17">
        <f t="shared" si="59"/>
        <v>0</v>
      </c>
      <c r="G902" s="18"/>
      <c r="H902" s="38">
        <v>168731</v>
      </c>
      <c r="I902" s="18" t="s">
        <v>175</v>
      </c>
      <c r="J902" s="19">
        <f t="shared" si="60"/>
        <v>0.56378759770551512</v>
      </c>
    </row>
    <row r="903" spans="1:10" ht="14.25" hidden="1" customHeight="1" x14ac:dyDescent="0.3">
      <c r="A903" t="s">
        <v>6</v>
      </c>
      <c r="B903" t="s">
        <v>68</v>
      </c>
      <c r="C903" t="s">
        <v>74</v>
      </c>
      <c r="D903" s="5">
        <v>0</v>
      </c>
      <c r="E903" s="17"/>
      <c r="F903" s="17">
        <f t="shared" si="59"/>
        <v>0</v>
      </c>
      <c r="G903" s="18"/>
      <c r="H903" s="38">
        <v>168731</v>
      </c>
      <c r="I903" s="18" t="s">
        <v>175</v>
      </c>
      <c r="J903" s="19">
        <f t="shared" si="60"/>
        <v>0.56378759770551512</v>
      </c>
    </row>
    <row r="904" spans="1:10" ht="14.25" hidden="1" customHeight="1" x14ac:dyDescent="0.3">
      <c r="A904" t="s">
        <v>6</v>
      </c>
      <c r="B904" t="s">
        <v>68</v>
      </c>
      <c r="C904" t="s">
        <v>62</v>
      </c>
      <c r="D904" s="5">
        <v>0</v>
      </c>
      <c r="E904" s="17"/>
      <c r="F904" s="17">
        <f t="shared" si="59"/>
        <v>0</v>
      </c>
      <c r="G904" s="18"/>
      <c r="H904" s="38">
        <v>168731</v>
      </c>
      <c r="I904" s="18" t="s">
        <v>175</v>
      </c>
      <c r="J904" s="19">
        <f t="shared" si="60"/>
        <v>0.56378759770551512</v>
      </c>
    </row>
    <row r="905" spans="1:10" ht="14.25" hidden="1" customHeight="1" x14ac:dyDescent="0.3">
      <c r="A905" t="s">
        <v>6</v>
      </c>
      <c r="B905" t="s">
        <v>68</v>
      </c>
      <c r="C905" t="s">
        <v>75</v>
      </c>
      <c r="D905" s="5">
        <v>0</v>
      </c>
      <c r="E905" s="59">
        <v>14</v>
      </c>
      <c r="F905" s="17">
        <f t="shared" si="59"/>
        <v>0</v>
      </c>
      <c r="G905" s="18"/>
      <c r="H905" s="38">
        <v>168731</v>
      </c>
      <c r="I905" s="18" t="s">
        <v>175</v>
      </c>
      <c r="J905" s="19">
        <f t="shared" si="60"/>
        <v>0.56378759770551512</v>
      </c>
    </row>
    <row r="906" spans="1:10" ht="14.25" hidden="1" customHeight="1" x14ac:dyDescent="0.3">
      <c r="A906" t="s">
        <v>6</v>
      </c>
      <c r="B906" t="s">
        <v>68</v>
      </c>
      <c r="C906" t="s">
        <v>64</v>
      </c>
      <c r="D906" s="5">
        <v>0</v>
      </c>
      <c r="E906" s="59">
        <v>162.6</v>
      </c>
      <c r="F906" s="17">
        <f t="shared" si="59"/>
        <v>0</v>
      </c>
      <c r="G906" s="18"/>
      <c r="H906" s="38">
        <v>168731</v>
      </c>
      <c r="I906" s="18" t="s">
        <v>175</v>
      </c>
      <c r="J906" s="19">
        <f t="shared" si="60"/>
        <v>0.56378759770551512</v>
      </c>
    </row>
    <row r="907" spans="1:10" ht="14.25" hidden="1" customHeight="1" x14ac:dyDescent="0.3">
      <c r="A907" t="s">
        <v>6</v>
      </c>
      <c r="B907" t="s">
        <v>9</v>
      </c>
      <c r="C907" t="s">
        <v>53</v>
      </c>
      <c r="D907" s="133">
        <v>11</v>
      </c>
      <c r="E907" s="134">
        <v>122831.93</v>
      </c>
      <c r="F907" s="17">
        <f>E907</f>
        <v>122831.93</v>
      </c>
      <c r="G907" s="18" t="s">
        <v>194</v>
      </c>
      <c r="H907" s="38">
        <v>193343</v>
      </c>
      <c r="I907" s="18" t="s">
        <v>54</v>
      </c>
      <c r="J907" s="19">
        <f t="shared" si="60"/>
        <v>0.6471360213482229</v>
      </c>
    </row>
    <row r="908" spans="1:10" ht="14.25" hidden="1" customHeight="1" x14ac:dyDescent="0.3">
      <c r="A908" t="s">
        <v>6</v>
      </c>
      <c r="B908" t="s">
        <v>9</v>
      </c>
      <c r="C908" t="s">
        <v>55</v>
      </c>
      <c r="D908" s="133">
        <v>11</v>
      </c>
      <c r="E908" s="37">
        <v>58.416942229951687</v>
      </c>
      <c r="F908" s="17">
        <f t="shared" ref="F908:F927" si="61">D908*E908</f>
        <v>642.5863645294686</v>
      </c>
      <c r="G908" s="18"/>
      <c r="H908" s="38">
        <v>193343</v>
      </c>
      <c r="I908" s="18" t="s">
        <v>54</v>
      </c>
      <c r="J908" s="19">
        <f t="shared" si="60"/>
        <v>0.6471360213482229</v>
      </c>
    </row>
    <row r="909" spans="1:10" ht="14.25" hidden="1" customHeight="1" x14ac:dyDescent="0.3">
      <c r="A909" t="s">
        <v>6</v>
      </c>
      <c r="B909" t="s">
        <v>9</v>
      </c>
      <c r="C909" t="s">
        <v>26</v>
      </c>
      <c r="D909" s="133">
        <v>11</v>
      </c>
      <c r="E909" s="17">
        <v>25.999313999999998</v>
      </c>
      <c r="F909" s="17">
        <f t="shared" si="61"/>
        <v>285.99245399999995</v>
      </c>
      <c r="G909" s="18" t="s">
        <v>171</v>
      </c>
      <c r="H909" s="38">
        <v>193343</v>
      </c>
      <c r="I909" s="18" t="s">
        <v>54</v>
      </c>
      <c r="J909" s="19">
        <f t="shared" si="60"/>
        <v>0.6471360213482229</v>
      </c>
    </row>
    <row r="910" spans="1:10" ht="14.25" hidden="1" customHeight="1" x14ac:dyDescent="0.3">
      <c r="A910" t="s">
        <v>6</v>
      </c>
      <c r="B910" t="s">
        <v>9</v>
      </c>
      <c r="C910" t="s">
        <v>14</v>
      </c>
      <c r="D910" s="133">
        <v>11</v>
      </c>
      <c r="E910" s="17">
        <v>42.772965999999997</v>
      </c>
      <c r="F910" s="17">
        <f t="shared" si="61"/>
        <v>470.50262599999996</v>
      </c>
      <c r="G910" s="18" t="s">
        <v>171</v>
      </c>
      <c r="H910" s="38">
        <v>193343</v>
      </c>
      <c r="I910" s="18" t="s">
        <v>54</v>
      </c>
      <c r="J910" s="19">
        <f t="shared" si="60"/>
        <v>0.6471360213482229</v>
      </c>
    </row>
    <row r="911" spans="1:10" ht="14.25" hidden="1" customHeight="1" x14ac:dyDescent="0.3">
      <c r="A911" t="s">
        <v>6</v>
      </c>
      <c r="B911" t="s">
        <v>9</v>
      </c>
      <c r="C911" t="s">
        <v>56</v>
      </c>
      <c r="D911" s="5">
        <v>9</v>
      </c>
      <c r="E911" s="6">
        <v>50</v>
      </c>
      <c r="F911" s="17">
        <f t="shared" si="61"/>
        <v>450</v>
      </c>
      <c r="G911" s="18" t="s">
        <v>192</v>
      </c>
      <c r="H911" s="38">
        <v>193343</v>
      </c>
      <c r="I911" s="18" t="s">
        <v>54</v>
      </c>
      <c r="J911" s="19">
        <f t="shared" si="60"/>
        <v>0.6471360213482229</v>
      </c>
    </row>
    <row r="912" spans="1:10" ht="14.25" hidden="1" customHeight="1" x14ac:dyDescent="0.3">
      <c r="A912" t="s">
        <v>6</v>
      </c>
      <c r="B912" t="s">
        <v>9</v>
      </c>
      <c r="C912" t="s">
        <v>76</v>
      </c>
      <c r="D912" s="60">
        <v>0</v>
      </c>
      <c r="E912" s="37">
        <v>0</v>
      </c>
      <c r="F912" s="17">
        <f t="shared" si="61"/>
        <v>0</v>
      </c>
      <c r="G912" s="18" t="s">
        <v>170</v>
      </c>
      <c r="H912" s="38">
        <v>193343</v>
      </c>
      <c r="I912" s="18" t="s">
        <v>54</v>
      </c>
      <c r="J912" s="19">
        <f t="shared" si="60"/>
        <v>0.6471360213482229</v>
      </c>
    </row>
    <row r="913" spans="1:10" ht="14.25" hidden="1" customHeight="1" x14ac:dyDescent="0.3">
      <c r="A913" t="s">
        <v>6</v>
      </c>
      <c r="B913" t="s">
        <v>9</v>
      </c>
      <c r="C913" t="s">
        <v>57</v>
      </c>
      <c r="D913" s="5">
        <v>7</v>
      </c>
      <c r="E913" s="6">
        <v>30</v>
      </c>
      <c r="F913" s="17">
        <f t="shared" si="61"/>
        <v>210</v>
      </c>
      <c r="G913" s="18" t="s">
        <v>192</v>
      </c>
      <c r="H913" s="38">
        <v>193343</v>
      </c>
      <c r="I913" s="18" t="s">
        <v>54</v>
      </c>
      <c r="J913" s="19">
        <f t="shared" si="60"/>
        <v>0.6471360213482229</v>
      </c>
    </row>
    <row r="914" spans="1:10" ht="14.25" hidden="1" customHeight="1" x14ac:dyDescent="0.3">
      <c r="A914" t="s">
        <v>6</v>
      </c>
      <c r="B914" t="s">
        <v>9</v>
      </c>
      <c r="C914" t="s">
        <v>58</v>
      </c>
      <c r="D914" s="133">
        <v>11</v>
      </c>
      <c r="E914" s="17">
        <v>9.8512850000000007</v>
      </c>
      <c r="F914" s="17">
        <f t="shared" si="61"/>
        <v>108.364135</v>
      </c>
      <c r="G914" s="18" t="s">
        <v>171</v>
      </c>
      <c r="H914" s="38">
        <v>193343</v>
      </c>
      <c r="I914" s="18" t="s">
        <v>54</v>
      </c>
      <c r="J914" s="19">
        <f t="shared" si="60"/>
        <v>0.6471360213482229</v>
      </c>
    </row>
    <row r="915" spans="1:10" ht="14.25" hidden="1" customHeight="1" x14ac:dyDescent="0.3">
      <c r="A915" t="s">
        <v>6</v>
      </c>
      <c r="B915" t="s">
        <v>9</v>
      </c>
      <c r="C915" t="s">
        <v>59</v>
      </c>
      <c r="D915" s="133">
        <v>11</v>
      </c>
      <c r="E915" s="17">
        <v>2.0358360000000002</v>
      </c>
      <c r="F915" s="17">
        <f t="shared" si="61"/>
        <v>22.394196000000001</v>
      </c>
      <c r="G915" s="18" t="s">
        <v>171</v>
      </c>
      <c r="H915" s="38">
        <v>193343</v>
      </c>
      <c r="I915" s="18" t="s">
        <v>54</v>
      </c>
      <c r="J915" s="19">
        <f t="shared" si="60"/>
        <v>0.6471360213482229</v>
      </c>
    </row>
    <row r="916" spans="1:10" ht="14.25" hidden="1" customHeight="1" x14ac:dyDescent="0.3">
      <c r="A916" t="s">
        <v>6</v>
      </c>
      <c r="B916" t="s">
        <v>9</v>
      </c>
      <c r="C916" t="s">
        <v>60</v>
      </c>
      <c r="D916" s="5">
        <v>0</v>
      </c>
      <c r="E916" s="17"/>
      <c r="F916" s="17">
        <f t="shared" si="61"/>
        <v>0</v>
      </c>
      <c r="G916" s="18"/>
      <c r="H916" s="38">
        <v>193343</v>
      </c>
      <c r="I916" s="18" t="s">
        <v>54</v>
      </c>
      <c r="J916" s="19">
        <f t="shared" si="60"/>
        <v>0.6471360213482229</v>
      </c>
    </row>
    <row r="917" spans="1:10" ht="14.25" hidden="1" customHeight="1" x14ac:dyDescent="0.3">
      <c r="A917" t="s">
        <v>6</v>
      </c>
      <c r="B917" t="s">
        <v>9</v>
      </c>
      <c r="C917" t="s">
        <v>61</v>
      </c>
      <c r="D917" s="60">
        <v>0</v>
      </c>
      <c r="E917" s="17"/>
      <c r="F917" s="17">
        <f t="shared" si="61"/>
        <v>0</v>
      </c>
      <c r="G917" s="18"/>
      <c r="H917" s="38">
        <v>193343</v>
      </c>
      <c r="I917" s="18" t="s">
        <v>54</v>
      </c>
      <c r="J917" s="19">
        <f t="shared" si="60"/>
        <v>0.6471360213482229</v>
      </c>
    </row>
    <row r="918" spans="1:10" ht="14.25" hidden="1" customHeight="1" x14ac:dyDescent="0.3">
      <c r="A918" t="s">
        <v>6</v>
      </c>
      <c r="B918" t="s">
        <v>9</v>
      </c>
      <c r="C918" t="s">
        <v>62</v>
      </c>
      <c r="D918" s="60">
        <v>0</v>
      </c>
      <c r="E918" s="17"/>
      <c r="F918" s="17">
        <f t="shared" si="61"/>
        <v>0</v>
      </c>
      <c r="G918" s="18"/>
      <c r="H918" s="38">
        <v>193343</v>
      </c>
      <c r="I918" s="18" t="s">
        <v>54</v>
      </c>
      <c r="J918" s="19">
        <f t="shared" si="60"/>
        <v>0.6471360213482229</v>
      </c>
    </row>
    <row r="919" spans="1:10" ht="14.25" hidden="1" customHeight="1" x14ac:dyDescent="0.3">
      <c r="A919" t="s">
        <v>6</v>
      </c>
      <c r="B919" t="s">
        <v>9</v>
      </c>
      <c r="C919" t="s">
        <v>63</v>
      </c>
      <c r="D919" s="5">
        <v>0</v>
      </c>
      <c r="E919" s="17"/>
      <c r="F919" s="17">
        <f t="shared" si="61"/>
        <v>0</v>
      </c>
      <c r="G919" s="18"/>
      <c r="H919" s="38">
        <v>193343</v>
      </c>
      <c r="I919" s="18" t="s">
        <v>54</v>
      </c>
      <c r="J919" s="19">
        <f t="shared" si="60"/>
        <v>0.6471360213482229</v>
      </c>
    </row>
    <row r="920" spans="1:10" ht="14.25" hidden="1" customHeight="1" x14ac:dyDescent="0.3">
      <c r="A920" t="s">
        <v>6</v>
      </c>
      <c r="B920" t="s">
        <v>9</v>
      </c>
      <c r="C920" t="s">
        <v>64</v>
      </c>
      <c r="D920" s="60">
        <v>1</v>
      </c>
      <c r="E920" s="134">
        <v>97.45</v>
      </c>
      <c r="F920" s="17">
        <f t="shared" si="61"/>
        <v>97.45</v>
      </c>
      <c r="G920" s="133" t="s">
        <v>65</v>
      </c>
      <c r="H920" s="38">
        <v>193343</v>
      </c>
      <c r="I920" s="18" t="s">
        <v>54</v>
      </c>
      <c r="J920" s="19">
        <f t="shared" si="60"/>
        <v>0.6471360213482229</v>
      </c>
    </row>
    <row r="921" spans="1:10" ht="14.25" hidden="1" customHeight="1" x14ac:dyDescent="0.3">
      <c r="A921" t="s">
        <v>6</v>
      </c>
      <c r="B921" t="s">
        <v>9</v>
      </c>
      <c r="C921" t="s">
        <v>66</v>
      </c>
      <c r="D921" s="60">
        <v>1</v>
      </c>
      <c r="E921" s="134">
        <v>0</v>
      </c>
      <c r="F921" s="17">
        <f t="shared" si="61"/>
        <v>0</v>
      </c>
      <c r="G921" s="133" t="s">
        <v>65</v>
      </c>
      <c r="H921" s="38">
        <v>193343</v>
      </c>
      <c r="I921" s="18" t="s">
        <v>54</v>
      </c>
      <c r="J921" s="19">
        <f t="shared" si="60"/>
        <v>0.6471360213482229</v>
      </c>
    </row>
    <row r="922" spans="1:10" ht="14.25" hidden="1" customHeight="1" x14ac:dyDescent="0.3">
      <c r="A922" t="s">
        <v>6</v>
      </c>
      <c r="B922" t="s">
        <v>9</v>
      </c>
      <c r="C922" t="s">
        <v>67</v>
      </c>
      <c r="D922" s="5">
        <v>0</v>
      </c>
      <c r="E922" s="17"/>
      <c r="F922" s="17">
        <f t="shared" si="61"/>
        <v>0</v>
      </c>
      <c r="G922" s="18"/>
      <c r="H922" s="38">
        <v>193343</v>
      </c>
      <c r="I922" s="18" t="s">
        <v>54</v>
      </c>
      <c r="J922" s="19">
        <f t="shared" si="60"/>
        <v>0.6471360213482229</v>
      </c>
    </row>
    <row r="923" spans="1:10" ht="14.25" hidden="1" customHeight="1" x14ac:dyDescent="0.3">
      <c r="A923" t="s">
        <v>6</v>
      </c>
      <c r="B923" t="s">
        <v>9</v>
      </c>
      <c r="C923" t="s">
        <v>77</v>
      </c>
      <c r="D923" s="5">
        <v>1</v>
      </c>
      <c r="E923" s="17"/>
      <c r="F923" s="17">
        <f t="shared" si="61"/>
        <v>0</v>
      </c>
      <c r="G923" s="18"/>
      <c r="H923" s="38">
        <v>193343</v>
      </c>
      <c r="I923" s="18" t="s">
        <v>54</v>
      </c>
      <c r="J923" s="19">
        <f t="shared" si="60"/>
        <v>0.6471360213482229</v>
      </c>
    </row>
    <row r="924" spans="1:10" ht="14.25" hidden="1" customHeight="1" x14ac:dyDescent="0.3">
      <c r="A924" t="s">
        <v>6</v>
      </c>
      <c r="B924" t="s">
        <v>9</v>
      </c>
      <c r="C924" t="s">
        <v>78</v>
      </c>
      <c r="D924" s="5">
        <v>1</v>
      </c>
      <c r="E924" s="17"/>
      <c r="F924" s="17">
        <f t="shared" si="61"/>
        <v>0</v>
      </c>
      <c r="G924" s="18"/>
      <c r="H924" s="38">
        <v>193343</v>
      </c>
      <c r="I924" s="18" t="s">
        <v>54</v>
      </c>
      <c r="J924" s="19">
        <f t="shared" si="60"/>
        <v>0.6471360213482229</v>
      </c>
    </row>
    <row r="925" spans="1:10" ht="14.25" hidden="1" customHeight="1" x14ac:dyDescent="0.3">
      <c r="A925" t="s">
        <v>6</v>
      </c>
      <c r="B925" t="s">
        <v>9</v>
      </c>
      <c r="C925" t="s">
        <v>79</v>
      </c>
      <c r="D925" s="5">
        <v>1</v>
      </c>
      <c r="E925" s="17"/>
      <c r="F925" s="17">
        <f t="shared" si="61"/>
        <v>0</v>
      </c>
      <c r="G925" s="18"/>
      <c r="H925" s="38">
        <v>193343</v>
      </c>
      <c r="I925" s="18" t="s">
        <v>54</v>
      </c>
      <c r="J925" s="19">
        <f t="shared" si="60"/>
        <v>0.6471360213482229</v>
      </c>
    </row>
    <row r="926" spans="1:10" ht="14.25" hidden="1" customHeight="1" x14ac:dyDescent="0.3">
      <c r="A926" t="s">
        <v>6</v>
      </c>
      <c r="B926" t="s">
        <v>9</v>
      </c>
      <c r="C926" t="s">
        <v>80</v>
      </c>
      <c r="D926" s="5">
        <v>1</v>
      </c>
      <c r="E926" s="17"/>
      <c r="F926" s="17">
        <f t="shared" si="61"/>
        <v>0</v>
      </c>
      <c r="G926" s="18"/>
      <c r="H926" s="38">
        <v>193343</v>
      </c>
      <c r="I926" s="18" t="s">
        <v>54</v>
      </c>
      <c r="J926" s="19">
        <f t="shared" si="60"/>
        <v>0.6471360213482229</v>
      </c>
    </row>
    <row r="927" spans="1:10" ht="14.25" hidden="1" customHeight="1" x14ac:dyDescent="0.3">
      <c r="A927" t="s">
        <v>6</v>
      </c>
      <c r="B927" t="s">
        <v>9</v>
      </c>
      <c r="C927" t="s">
        <v>81</v>
      </c>
      <c r="D927" s="5">
        <v>0</v>
      </c>
      <c r="E927" s="17"/>
      <c r="F927" s="17">
        <f t="shared" si="61"/>
        <v>0</v>
      </c>
      <c r="G927" s="18"/>
      <c r="H927" s="38">
        <v>193343</v>
      </c>
      <c r="I927" s="18" t="s">
        <v>54</v>
      </c>
      <c r="J927" s="19">
        <f t="shared" si="60"/>
        <v>0.6471360213482229</v>
      </c>
    </row>
    <row r="928" spans="1:10" ht="14.25" hidden="1" customHeight="1" x14ac:dyDescent="0.3">
      <c r="A928" t="s">
        <v>6</v>
      </c>
      <c r="B928" t="s">
        <v>10</v>
      </c>
      <c r="C928" t="s">
        <v>53</v>
      </c>
      <c r="D928" s="133">
        <v>4</v>
      </c>
      <c r="E928" s="134">
        <v>24004.85</v>
      </c>
      <c r="F928" s="17">
        <f>E928</f>
        <v>24004.85</v>
      </c>
      <c r="G928" s="18" t="s">
        <v>195</v>
      </c>
      <c r="H928" s="38">
        <v>179925</v>
      </c>
      <c r="I928" s="18" t="s">
        <v>82</v>
      </c>
      <c r="J928" s="19">
        <f t="shared" si="60"/>
        <v>0.13749770945071449</v>
      </c>
    </row>
    <row r="929" spans="1:10" ht="14.25" hidden="1" customHeight="1" x14ac:dyDescent="0.3">
      <c r="A929" t="s">
        <v>6</v>
      </c>
      <c r="B929" t="s">
        <v>10</v>
      </c>
      <c r="C929" t="s">
        <v>55</v>
      </c>
      <c r="D929" s="133">
        <v>4</v>
      </c>
      <c r="E929" s="37">
        <v>58.416942229951687</v>
      </c>
      <c r="F929" s="17">
        <f t="shared" ref="F929:F947" si="62">D929*E929</f>
        <v>233.66776891980675</v>
      </c>
      <c r="G929" s="18"/>
      <c r="H929" s="38">
        <v>179925</v>
      </c>
      <c r="I929" s="18" t="s">
        <v>82</v>
      </c>
      <c r="J929" s="19">
        <f t="shared" si="60"/>
        <v>0.13749770945071449</v>
      </c>
    </row>
    <row r="930" spans="1:10" ht="14.25" hidden="1" customHeight="1" x14ac:dyDescent="0.3">
      <c r="A930" t="s">
        <v>6</v>
      </c>
      <c r="B930" t="s">
        <v>10</v>
      </c>
      <c r="C930" t="s">
        <v>26</v>
      </c>
      <c r="D930" s="133">
        <v>4</v>
      </c>
      <c r="E930" s="17">
        <v>25.999313999999998</v>
      </c>
      <c r="F930" s="17">
        <f t="shared" si="62"/>
        <v>103.99725599999999</v>
      </c>
      <c r="G930" s="18" t="s">
        <v>171</v>
      </c>
      <c r="H930" s="38">
        <v>179925</v>
      </c>
      <c r="I930" s="18" t="s">
        <v>82</v>
      </c>
      <c r="J930" s="19">
        <f t="shared" si="60"/>
        <v>0.13749770945071449</v>
      </c>
    </row>
    <row r="931" spans="1:10" ht="14.25" hidden="1" customHeight="1" x14ac:dyDescent="0.3">
      <c r="A931" t="s">
        <v>6</v>
      </c>
      <c r="B931" t="s">
        <v>10</v>
      </c>
      <c r="C931" t="s">
        <v>14</v>
      </c>
      <c r="D931" s="133">
        <v>4</v>
      </c>
      <c r="E931" s="17">
        <v>42.772965999999997</v>
      </c>
      <c r="F931" s="17">
        <f t="shared" si="62"/>
        <v>171.09186399999999</v>
      </c>
      <c r="G931" s="18" t="s">
        <v>171</v>
      </c>
      <c r="H931" s="38">
        <v>179925</v>
      </c>
      <c r="I931" s="18" t="s">
        <v>82</v>
      </c>
      <c r="J931" s="19">
        <f t="shared" si="60"/>
        <v>0.13749770945071449</v>
      </c>
    </row>
    <row r="932" spans="1:10" ht="14.25" hidden="1" customHeight="1" x14ac:dyDescent="0.3">
      <c r="A932" t="s">
        <v>6</v>
      </c>
      <c r="B932" t="s">
        <v>10</v>
      </c>
      <c r="C932" t="s">
        <v>56</v>
      </c>
      <c r="D932" s="5">
        <v>4</v>
      </c>
      <c r="E932" s="6">
        <v>28</v>
      </c>
      <c r="F932" s="17">
        <f t="shared" si="62"/>
        <v>112</v>
      </c>
      <c r="G932" s="18" t="s">
        <v>192</v>
      </c>
      <c r="H932" s="38">
        <v>179925</v>
      </c>
      <c r="I932" s="18" t="s">
        <v>82</v>
      </c>
      <c r="J932" s="19">
        <f t="shared" si="60"/>
        <v>0.13749770945071449</v>
      </c>
    </row>
    <row r="933" spans="1:10" ht="14.25" hidden="1" customHeight="1" x14ac:dyDescent="0.3">
      <c r="A933" t="s">
        <v>6</v>
      </c>
      <c r="B933" t="s">
        <v>10</v>
      </c>
      <c r="C933" t="s">
        <v>70</v>
      </c>
      <c r="D933" s="5">
        <v>0</v>
      </c>
      <c r="E933" s="17"/>
      <c r="F933" s="17">
        <f t="shared" si="62"/>
        <v>0</v>
      </c>
      <c r="G933" s="18"/>
      <c r="H933" s="38">
        <v>179925</v>
      </c>
      <c r="I933" s="18" t="s">
        <v>82</v>
      </c>
      <c r="J933" s="19">
        <f t="shared" si="60"/>
        <v>0.13749770945071449</v>
      </c>
    </row>
    <row r="934" spans="1:10" ht="14.25" hidden="1" customHeight="1" x14ac:dyDescent="0.3">
      <c r="A934" t="s">
        <v>6</v>
      </c>
      <c r="B934" t="s">
        <v>10</v>
      </c>
      <c r="C934" t="s">
        <v>57</v>
      </c>
      <c r="D934" s="60">
        <v>0</v>
      </c>
      <c r="E934" s="37">
        <v>0</v>
      </c>
      <c r="F934" s="17">
        <f t="shared" si="62"/>
        <v>0</v>
      </c>
      <c r="G934" s="18" t="s">
        <v>170</v>
      </c>
      <c r="H934" s="38">
        <v>179925</v>
      </c>
      <c r="I934" s="18" t="s">
        <v>82</v>
      </c>
      <c r="J934" s="19">
        <f t="shared" si="60"/>
        <v>0.13749770945071449</v>
      </c>
    </row>
    <row r="935" spans="1:10" ht="14.25" hidden="1" customHeight="1" x14ac:dyDescent="0.3">
      <c r="A935" t="s">
        <v>6</v>
      </c>
      <c r="B935" t="s">
        <v>10</v>
      </c>
      <c r="C935" t="s">
        <v>71</v>
      </c>
      <c r="D935" s="5">
        <v>1</v>
      </c>
      <c r="E935" s="6">
        <v>40.520000000000003</v>
      </c>
      <c r="F935" s="17">
        <f t="shared" si="62"/>
        <v>40.520000000000003</v>
      </c>
      <c r="G935" s="18" t="s">
        <v>192</v>
      </c>
      <c r="H935" s="38">
        <v>179925</v>
      </c>
      <c r="I935" s="18" t="s">
        <v>82</v>
      </c>
      <c r="J935" s="19">
        <f t="shared" si="60"/>
        <v>0.13749770945071449</v>
      </c>
    </row>
    <row r="936" spans="1:10" ht="14.25" hidden="1" customHeight="1" x14ac:dyDescent="0.3">
      <c r="A936" t="s">
        <v>6</v>
      </c>
      <c r="B936" t="s">
        <v>10</v>
      </c>
      <c r="C936" t="s">
        <v>72</v>
      </c>
      <c r="D936" s="5">
        <v>1</v>
      </c>
      <c r="E936" s="6">
        <v>25.6</v>
      </c>
      <c r="F936" s="17">
        <f t="shared" si="62"/>
        <v>25.6</v>
      </c>
      <c r="G936" s="18" t="s">
        <v>192</v>
      </c>
      <c r="H936" s="38">
        <v>179925</v>
      </c>
      <c r="I936" s="18" t="s">
        <v>82</v>
      </c>
      <c r="J936" s="19">
        <f t="shared" si="60"/>
        <v>0.13749770945071449</v>
      </c>
    </row>
    <row r="937" spans="1:10" ht="14.25" hidden="1" customHeight="1" x14ac:dyDescent="0.3">
      <c r="A937" t="s">
        <v>6</v>
      </c>
      <c r="B937" t="s">
        <v>10</v>
      </c>
      <c r="C937" t="s">
        <v>58</v>
      </c>
      <c r="D937" s="133">
        <v>4</v>
      </c>
      <c r="E937" s="17">
        <v>9.8512850000000007</v>
      </c>
      <c r="F937" s="17">
        <f t="shared" si="62"/>
        <v>39.405140000000003</v>
      </c>
      <c r="G937" s="18" t="s">
        <v>171</v>
      </c>
      <c r="H937" s="38">
        <v>179925</v>
      </c>
      <c r="I937" s="18" t="s">
        <v>82</v>
      </c>
      <c r="J937" s="19">
        <f t="shared" si="60"/>
        <v>0.13749770945071449</v>
      </c>
    </row>
    <row r="938" spans="1:10" ht="14.25" hidden="1" customHeight="1" x14ac:dyDescent="0.3">
      <c r="A938" t="s">
        <v>6</v>
      </c>
      <c r="B938" t="s">
        <v>10</v>
      </c>
      <c r="C938" t="s">
        <v>59</v>
      </c>
      <c r="D938" s="133">
        <v>4</v>
      </c>
      <c r="E938" s="17">
        <v>2.0358360000000002</v>
      </c>
      <c r="F938" s="17">
        <f t="shared" si="62"/>
        <v>8.1433440000000008</v>
      </c>
      <c r="G938" s="18" t="s">
        <v>171</v>
      </c>
      <c r="H938" s="38">
        <v>179925</v>
      </c>
      <c r="I938" s="18" t="s">
        <v>82</v>
      </c>
      <c r="J938" s="19">
        <f t="shared" si="60"/>
        <v>0.13749770945071449</v>
      </c>
    </row>
    <row r="939" spans="1:10" ht="14.25" hidden="1" customHeight="1" x14ac:dyDescent="0.3">
      <c r="A939" t="s">
        <v>6</v>
      </c>
      <c r="B939" t="s">
        <v>10</v>
      </c>
      <c r="C939" t="s">
        <v>74</v>
      </c>
      <c r="D939" s="5">
        <v>0</v>
      </c>
      <c r="E939" s="17"/>
      <c r="F939" s="17">
        <f t="shared" si="62"/>
        <v>0</v>
      </c>
      <c r="G939" s="18"/>
      <c r="H939" s="38">
        <v>179925</v>
      </c>
      <c r="I939" s="18" t="s">
        <v>82</v>
      </c>
      <c r="J939" s="19">
        <f t="shared" si="60"/>
        <v>0.13749770945071449</v>
      </c>
    </row>
    <row r="940" spans="1:10" ht="14.25" hidden="1" customHeight="1" x14ac:dyDescent="0.3">
      <c r="A940" t="s">
        <v>6</v>
      </c>
      <c r="B940" t="s">
        <v>10</v>
      </c>
      <c r="C940" t="s">
        <v>62</v>
      </c>
      <c r="D940" s="5">
        <v>0</v>
      </c>
      <c r="E940" s="17"/>
      <c r="F940" s="17">
        <f t="shared" si="62"/>
        <v>0</v>
      </c>
      <c r="G940" s="18"/>
      <c r="H940" s="38">
        <v>179925</v>
      </c>
      <c r="I940" s="18" t="s">
        <v>82</v>
      </c>
      <c r="J940" s="19">
        <f t="shared" si="60"/>
        <v>0.13749770945071449</v>
      </c>
    </row>
    <row r="941" spans="1:10" ht="14.25" hidden="1" customHeight="1" x14ac:dyDescent="0.3">
      <c r="A941" t="s">
        <v>6</v>
      </c>
      <c r="B941" t="s">
        <v>10</v>
      </c>
      <c r="C941" t="s">
        <v>83</v>
      </c>
      <c r="D941" s="5">
        <v>0</v>
      </c>
      <c r="E941" s="17"/>
      <c r="F941" s="17">
        <f t="shared" si="62"/>
        <v>0</v>
      </c>
      <c r="G941" s="18"/>
      <c r="H941" s="38">
        <v>179925</v>
      </c>
      <c r="I941" s="18" t="s">
        <v>82</v>
      </c>
      <c r="J941" s="19">
        <f t="shared" si="60"/>
        <v>0.13749770945071449</v>
      </c>
    </row>
    <row r="942" spans="1:10" ht="14.25" hidden="1" customHeight="1" x14ac:dyDescent="0.3">
      <c r="A942" t="s">
        <v>6</v>
      </c>
      <c r="B942" t="s">
        <v>10</v>
      </c>
      <c r="C942" t="s">
        <v>84</v>
      </c>
      <c r="D942" s="5">
        <v>0</v>
      </c>
      <c r="E942" s="17"/>
      <c r="F942" s="17">
        <f t="shared" si="62"/>
        <v>0</v>
      </c>
      <c r="G942" s="18"/>
      <c r="H942" s="38">
        <v>179925</v>
      </c>
      <c r="I942" s="18" t="s">
        <v>82</v>
      </c>
      <c r="J942" s="19">
        <f t="shared" si="60"/>
        <v>0.13749770945071449</v>
      </c>
    </row>
    <row r="943" spans="1:10" ht="14.25" hidden="1" customHeight="1" x14ac:dyDescent="0.3">
      <c r="A943" t="s">
        <v>6</v>
      </c>
      <c r="B943" t="s">
        <v>10</v>
      </c>
      <c r="C943" t="s">
        <v>85</v>
      </c>
      <c r="D943" s="5">
        <v>0</v>
      </c>
      <c r="E943" s="17"/>
      <c r="F943" s="17">
        <f t="shared" si="62"/>
        <v>0</v>
      </c>
      <c r="G943" s="18"/>
      <c r="H943" s="38">
        <v>179925</v>
      </c>
      <c r="I943" s="18" t="s">
        <v>82</v>
      </c>
      <c r="J943" s="19">
        <f t="shared" si="60"/>
        <v>0.13749770945071449</v>
      </c>
    </row>
    <row r="944" spans="1:10" ht="14.25" hidden="1" customHeight="1" x14ac:dyDescent="0.3">
      <c r="A944" t="s">
        <v>6</v>
      </c>
      <c r="B944" t="s">
        <v>10</v>
      </c>
      <c r="C944" t="s">
        <v>86</v>
      </c>
      <c r="D944" s="5">
        <v>0</v>
      </c>
      <c r="E944" s="17"/>
      <c r="F944" s="17">
        <f t="shared" si="62"/>
        <v>0</v>
      </c>
      <c r="G944" s="18"/>
      <c r="H944" s="38">
        <v>179925</v>
      </c>
      <c r="I944" s="18" t="s">
        <v>82</v>
      </c>
      <c r="J944" s="19">
        <f t="shared" si="60"/>
        <v>0.13749770945071449</v>
      </c>
    </row>
    <row r="945" spans="1:10" ht="14.25" hidden="1" customHeight="1" x14ac:dyDescent="0.3">
      <c r="A945" t="s">
        <v>6</v>
      </c>
      <c r="B945" t="s">
        <v>10</v>
      </c>
      <c r="C945" t="s">
        <v>67</v>
      </c>
      <c r="D945" s="5">
        <v>0</v>
      </c>
      <c r="E945" s="17"/>
      <c r="F945" s="17">
        <f t="shared" si="62"/>
        <v>0</v>
      </c>
      <c r="G945" s="18"/>
      <c r="H945" s="38">
        <v>179925</v>
      </c>
      <c r="I945" s="18" t="s">
        <v>82</v>
      </c>
      <c r="J945" s="19">
        <f t="shared" si="60"/>
        <v>0.13749770945071449</v>
      </c>
    </row>
    <row r="946" spans="1:10" ht="14.25" hidden="1" customHeight="1" x14ac:dyDescent="0.3">
      <c r="A946" t="s">
        <v>6</v>
      </c>
      <c r="B946" t="s">
        <v>10</v>
      </c>
      <c r="C946" t="s">
        <v>75</v>
      </c>
      <c r="D946" s="5">
        <v>0</v>
      </c>
      <c r="E946" s="17"/>
      <c r="F946" s="17">
        <f t="shared" si="62"/>
        <v>0</v>
      </c>
      <c r="G946" s="18"/>
      <c r="H946" s="38">
        <v>179925</v>
      </c>
      <c r="I946" s="18" t="s">
        <v>82</v>
      </c>
      <c r="J946" s="19">
        <f t="shared" si="60"/>
        <v>0.13749770945071449</v>
      </c>
    </row>
    <row r="947" spans="1:10" ht="14.25" hidden="1" customHeight="1" x14ac:dyDescent="0.3">
      <c r="A947" t="s">
        <v>6</v>
      </c>
      <c r="B947" t="s">
        <v>10</v>
      </c>
      <c r="C947" t="s">
        <v>64</v>
      </c>
      <c r="D947" s="60">
        <v>0</v>
      </c>
      <c r="E947" s="17"/>
      <c r="F947" s="17">
        <f t="shared" si="62"/>
        <v>0</v>
      </c>
      <c r="G947" s="18"/>
      <c r="H947" s="38">
        <v>179925</v>
      </c>
      <c r="I947" s="18" t="s">
        <v>82</v>
      </c>
      <c r="J947" s="19">
        <f t="shared" si="60"/>
        <v>0.13749770945071449</v>
      </c>
    </row>
    <row r="948" spans="1:10" ht="14.25" hidden="1" customHeight="1" x14ac:dyDescent="0.3">
      <c r="A948" t="s">
        <v>6</v>
      </c>
      <c r="B948" t="s">
        <v>11</v>
      </c>
      <c r="C948" t="s">
        <v>53</v>
      </c>
      <c r="D948" s="133">
        <v>10</v>
      </c>
      <c r="E948" s="134">
        <v>46920.21</v>
      </c>
      <c r="F948" s="17">
        <f>E948</f>
        <v>46920.21</v>
      </c>
      <c r="G948" s="18" t="s">
        <v>196</v>
      </c>
      <c r="H948" s="38">
        <v>193343</v>
      </c>
      <c r="I948" s="18" t="s">
        <v>54</v>
      </c>
      <c r="J948" s="19">
        <f t="shared" si="60"/>
        <v>0.25375464036608258</v>
      </c>
    </row>
    <row r="949" spans="1:10" ht="14.25" hidden="1" customHeight="1" x14ac:dyDescent="0.3">
      <c r="A949" t="s">
        <v>6</v>
      </c>
      <c r="B949" t="s">
        <v>11</v>
      </c>
      <c r="C949" t="s">
        <v>55</v>
      </c>
      <c r="D949" s="133">
        <v>10</v>
      </c>
      <c r="E949" s="37">
        <v>58.416942229951687</v>
      </c>
      <c r="F949" s="17">
        <f t="shared" ref="F949:F963" si="63">D949*E949</f>
        <v>584.1694222995169</v>
      </c>
      <c r="G949" s="18"/>
      <c r="H949" s="38">
        <v>193343</v>
      </c>
      <c r="I949" s="18" t="s">
        <v>54</v>
      </c>
      <c r="J949" s="19">
        <f t="shared" si="60"/>
        <v>0.25375464036608258</v>
      </c>
    </row>
    <row r="950" spans="1:10" ht="14.25" hidden="1" customHeight="1" x14ac:dyDescent="0.3">
      <c r="A950" t="s">
        <v>6</v>
      </c>
      <c r="B950" t="s">
        <v>11</v>
      </c>
      <c r="C950" t="s">
        <v>26</v>
      </c>
      <c r="D950" s="133">
        <v>10</v>
      </c>
      <c r="E950" s="17">
        <v>25.999313999999998</v>
      </c>
      <c r="F950" s="17">
        <f t="shared" si="63"/>
        <v>259.99313999999998</v>
      </c>
      <c r="G950" s="18" t="s">
        <v>171</v>
      </c>
      <c r="H950" s="38">
        <v>193343</v>
      </c>
      <c r="I950" s="18" t="s">
        <v>54</v>
      </c>
      <c r="J950" s="19">
        <f t="shared" si="60"/>
        <v>0.25375464036608258</v>
      </c>
    </row>
    <row r="951" spans="1:10" ht="14.25" hidden="1" customHeight="1" x14ac:dyDescent="0.3">
      <c r="A951" t="s">
        <v>6</v>
      </c>
      <c r="B951" t="s">
        <v>11</v>
      </c>
      <c r="C951" t="s">
        <v>14</v>
      </c>
      <c r="D951" s="133">
        <v>10</v>
      </c>
      <c r="E951" s="17">
        <v>42.772965999999997</v>
      </c>
      <c r="F951" s="17">
        <f t="shared" si="63"/>
        <v>427.72965999999997</v>
      </c>
      <c r="G951" s="18" t="s">
        <v>171</v>
      </c>
      <c r="H951" s="38">
        <v>193343</v>
      </c>
      <c r="I951" s="18" t="s">
        <v>54</v>
      </c>
      <c r="J951" s="19">
        <f t="shared" si="60"/>
        <v>0.25375464036608258</v>
      </c>
    </row>
    <row r="952" spans="1:10" ht="14.25" hidden="1" customHeight="1" x14ac:dyDescent="0.3">
      <c r="A952" t="s">
        <v>6</v>
      </c>
      <c r="B952" t="s">
        <v>11</v>
      </c>
      <c r="C952" t="s">
        <v>87</v>
      </c>
      <c r="D952" s="5">
        <v>9</v>
      </c>
      <c r="E952" s="6">
        <v>50</v>
      </c>
      <c r="F952" s="17">
        <f t="shared" si="63"/>
        <v>450</v>
      </c>
      <c r="G952" s="18" t="s">
        <v>192</v>
      </c>
      <c r="H952" s="38">
        <v>193343</v>
      </c>
      <c r="I952" s="18" t="s">
        <v>54</v>
      </c>
      <c r="J952" s="19">
        <f t="shared" si="60"/>
        <v>0.25375464036608258</v>
      </c>
    </row>
    <row r="953" spans="1:10" ht="14.25" hidden="1" customHeight="1" x14ac:dyDescent="0.3">
      <c r="A953" t="s">
        <v>6</v>
      </c>
      <c r="B953" t="s">
        <v>11</v>
      </c>
      <c r="C953" t="s">
        <v>57</v>
      </c>
      <c r="D953" s="5">
        <v>9</v>
      </c>
      <c r="E953" s="6">
        <v>30</v>
      </c>
      <c r="F953" s="17">
        <f t="shared" si="63"/>
        <v>270</v>
      </c>
      <c r="G953" s="18" t="s">
        <v>192</v>
      </c>
      <c r="H953" s="38">
        <v>193343</v>
      </c>
      <c r="I953" s="18" t="s">
        <v>54</v>
      </c>
      <c r="J953" s="19">
        <f t="shared" si="60"/>
        <v>0.25375464036608258</v>
      </c>
    </row>
    <row r="954" spans="1:10" ht="14.25" hidden="1" customHeight="1" x14ac:dyDescent="0.3">
      <c r="A954" t="s">
        <v>6</v>
      </c>
      <c r="B954" t="s">
        <v>11</v>
      </c>
      <c r="C954" t="s">
        <v>71</v>
      </c>
      <c r="D954" s="60">
        <v>0</v>
      </c>
      <c r="E954" s="37">
        <v>0</v>
      </c>
      <c r="F954" s="17">
        <f t="shared" si="63"/>
        <v>0</v>
      </c>
      <c r="G954" s="18" t="s">
        <v>170</v>
      </c>
      <c r="H954" s="38">
        <v>193343</v>
      </c>
      <c r="I954" s="18" t="s">
        <v>54</v>
      </c>
      <c r="J954" s="19">
        <f t="shared" si="60"/>
        <v>0.25375464036608258</v>
      </c>
    </row>
    <row r="955" spans="1:10" ht="14.25" hidden="1" customHeight="1" x14ac:dyDescent="0.3">
      <c r="A955" t="s">
        <v>6</v>
      </c>
      <c r="B955" t="s">
        <v>11</v>
      </c>
      <c r="C955" t="s">
        <v>72</v>
      </c>
      <c r="D955" s="5">
        <v>1</v>
      </c>
      <c r="E955" s="6">
        <v>30.71</v>
      </c>
      <c r="F955" s="17">
        <f t="shared" si="63"/>
        <v>30.71</v>
      </c>
      <c r="G955" s="18" t="s">
        <v>192</v>
      </c>
      <c r="H955" s="38">
        <v>193343</v>
      </c>
      <c r="I955" s="18" t="s">
        <v>54</v>
      </c>
      <c r="J955" s="19">
        <f t="shared" si="60"/>
        <v>0.25375464036608258</v>
      </c>
    </row>
    <row r="956" spans="1:10" ht="14.25" hidden="1" customHeight="1" x14ac:dyDescent="0.3">
      <c r="A956" t="s">
        <v>6</v>
      </c>
      <c r="B956" t="s">
        <v>11</v>
      </c>
      <c r="C956" t="s">
        <v>58</v>
      </c>
      <c r="D956" s="133">
        <v>10</v>
      </c>
      <c r="E956" s="17">
        <v>9.8512850000000007</v>
      </c>
      <c r="F956" s="17">
        <f t="shared" si="63"/>
        <v>98.512850000000014</v>
      </c>
      <c r="G956" s="18" t="s">
        <v>171</v>
      </c>
      <c r="H956" s="38">
        <v>193343</v>
      </c>
      <c r="I956" s="18" t="s">
        <v>54</v>
      </c>
      <c r="J956" s="19">
        <f t="shared" si="60"/>
        <v>0.25375464036608258</v>
      </c>
    </row>
    <row r="957" spans="1:10" ht="14.25" hidden="1" customHeight="1" x14ac:dyDescent="0.3">
      <c r="A957" t="s">
        <v>6</v>
      </c>
      <c r="B957" t="s">
        <v>11</v>
      </c>
      <c r="C957" t="s">
        <v>59</v>
      </c>
      <c r="D957" s="133">
        <v>10</v>
      </c>
      <c r="E957" s="17">
        <v>2.0358360000000002</v>
      </c>
      <c r="F957" s="17">
        <f t="shared" si="63"/>
        <v>20.358360000000001</v>
      </c>
      <c r="G957" s="18" t="s">
        <v>171</v>
      </c>
      <c r="H957" s="38">
        <v>193343</v>
      </c>
      <c r="I957" s="18" t="s">
        <v>54</v>
      </c>
      <c r="J957" s="19">
        <f t="shared" si="60"/>
        <v>0.25375464036608258</v>
      </c>
    </row>
    <row r="958" spans="1:10" ht="14.25" hidden="1" customHeight="1" x14ac:dyDescent="0.3">
      <c r="A958" t="s">
        <v>6</v>
      </c>
      <c r="B958" t="s">
        <v>11</v>
      </c>
      <c r="C958" t="s">
        <v>74</v>
      </c>
      <c r="D958" s="5">
        <v>0</v>
      </c>
      <c r="E958" s="17"/>
      <c r="F958" s="17">
        <f t="shared" si="63"/>
        <v>0</v>
      </c>
      <c r="G958" s="18"/>
      <c r="H958" s="38">
        <v>193343</v>
      </c>
      <c r="I958" s="18" t="s">
        <v>54</v>
      </c>
      <c r="J958" s="19">
        <f t="shared" si="60"/>
        <v>0.25375464036608258</v>
      </c>
    </row>
    <row r="959" spans="1:10" ht="14.25" hidden="1" customHeight="1" x14ac:dyDescent="0.3">
      <c r="A959" t="s">
        <v>6</v>
      </c>
      <c r="B959" t="s">
        <v>11</v>
      </c>
      <c r="C959" t="s">
        <v>62</v>
      </c>
      <c r="D959" s="60">
        <v>0</v>
      </c>
      <c r="E959" s="17"/>
      <c r="F959" s="17">
        <f t="shared" si="63"/>
        <v>0</v>
      </c>
      <c r="G959" s="18"/>
      <c r="H959" s="38">
        <v>193343</v>
      </c>
      <c r="I959" s="18" t="s">
        <v>54</v>
      </c>
      <c r="J959" s="19">
        <f t="shared" si="60"/>
        <v>0.25375464036608258</v>
      </c>
    </row>
    <row r="960" spans="1:10" ht="14.25" hidden="1" customHeight="1" x14ac:dyDescent="0.3">
      <c r="A960" t="s">
        <v>6</v>
      </c>
      <c r="B960" t="s">
        <v>11</v>
      </c>
      <c r="C960" t="s">
        <v>60</v>
      </c>
      <c r="D960" s="5">
        <v>0</v>
      </c>
      <c r="E960" s="17"/>
      <c r="F960" s="17">
        <f t="shared" si="63"/>
        <v>0</v>
      </c>
      <c r="G960" s="18"/>
      <c r="H960" s="38">
        <v>193343</v>
      </c>
      <c r="I960" s="18" t="s">
        <v>54</v>
      </c>
      <c r="J960" s="19">
        <f t="shared" si="60"/>
        <v>0.25375464036608258</v>
      </c>
    </row>
    <row r="961" spans="1:10" ht="14.25" hidden="1" customHeight="1" x14ac:dyDescent="0.3">
      <c r="A961" t="s">
        <v>6</v>
      </c>
      <c r="B961" t="s">
        <v>11</v>
      </c>
      <c r="C961" t="s">
        <v>70</v>
      </c>
      <c r="D961" s="5">
        <v>0</v>
      </c>
      <c r="E961" s="17"/>
      <c r="F961" s="17">
        <f t="shared" si="63"/>
        <v>0</v>
      </c>
      <c r="G961" s="18"/>
      <c r="H961" s="38">
        <v>193343</v>
      </c>
      <c r="I961" s="18" t="s">
        <v>54</v>
      </c>
      <c r="J961" s="19">
        <f t="shared" si="60"/>
        <v>0.25375464036608258</v>
      </c>
    </row>
    <row r="962" spans="1:10" ht="14.25" hidden="1" customHeight="1" x14ac:dyDescent="0.3">
      <c r="A962" t="s">
        <v>6</v>
      </c>
      <c r="B962" t="s">
        <v>11</v>
      </c>
      <c r="C962" t="s">
        <v>64</v>
      </c>
      <c r="D962" s="5">
        <v>0</v>
      </c>
      <c r="E962" s="17"/>
      <c r="F962" s="17">
        <f t="shared" si="63"/>
        <v>0</v>
      </c>
      <c r="G962" s="18"/>
      <c r="H962" s="38">
        <v>193343</v>
      </c>
      <c r="I962" s="18" t="s">
        <v>54</v>
      </c>
      <c r="J962" s="19">
        <f t="shared" ref="J962:J1025" si="64">IFERROR(SUMIFS($F$2:$F$1749,$A$2:$A$1749,A962,$B$2:$B$1749,B962)/H962,"")</f>
        <v>0.25375464036608258</v>
      </c>
    </row>
    <row r="963" spans="1:10" ht="14.25" hidden="1" customHeight="1" x14ac:dyDescent="0.3">
      <c r="A963" t="s">
        <v>6</v>
      </c>
      <c r="B963" t="s">
        <v>11</v>
      </c>
      <c r="C963" t="s">
        <v>66</v>
      </c>
      <c r="D963" s="5">
        <v>0</v>
      </c>
      <c r="E963" s="17"/>
      <c r="F963" s="17">
        <f t="shared" si="63"/>
        <v>0</v>
      </c>
      <c r="G963" s="18"/>
      <c r="H963" s="38">
        <v>193343</v>
      </c>
      <c r="I963" s="18" t="s">
        <v>54</v>
      </c>
      <c r="J963" s="19">
        <f t="shared" si="64"/>
        <v>0.25375464036608258</v>
      </c>
    </row>
    <row r="964" spans="1:10" ht="14.25" hidden="1" customHeight="1" x14ac:dyDescent="0.3">
      <c r="A964" t="s">
        <v>6</v>
      </c>
      <c r="B964" t="s">
        <v>12</v>
      </c>
      <c r="C964" t="s">
        <v>53</v>
      </c>
      <c r="D964" s="133">
        <v>5</v>
      </c>
      <c r="E964" s="134">
        <v>25854.09</v>
      </c>
      <c r="F964" s="17">
        <f>E964</f>
        <v>25854.09</v>
      </c>
      <c r="G964" s="18" t="s">
        <v>197</v>
      </c>
      <c r="H964" s="38">
        <v>179925</v>
      </c>
      <c r="I964" s="18" t="s">
        <v>82</v>
      </c>
      <c r="J964" s="19">
        <f t="shared" si="64"/>
        <v>0.16413990115964849</v>
      </c>
    </row>
    <row r="965" spans="1:10" ht="14.25" hidden="1" customHeight="1" x14ac:dyDescent="0.3">
      <c r="A965" t="s">
        <v>6</v>
      </c>
      <c r="B965" t="s">
        <v>12</v>
      </c>
      <c r="C965" t="s">
        <v>55</v>
      </c>
      <c r="D965" s="133">
        <v>5</v>
      </c>
      <c r="E965" s="37">
        <v>58.416942229951687</v>
      </c>
      <c r="F965" s="17">
        <f t="shared" ref="F965:F984" si="65">D965*E965</f>
        <v>292.08471114975845</v>
      </c>
      <c r="G965" s="18"/>
      <c r="H965" s="38">
        <v>179925</v>
      </c>
      <c r="I965" s="18" t="s">
        <v>82</v>
      </c>
      <c r="J965" s="19">
        <f t="shared" si="64"/>
        <v>0.16413990115964849</v>
      </c>
    </row>
    <row r="966" spans="1:10" ht="14.25" hidden="1" customHeight="1" x14ac:dyDescent="0.3">
      <c r="A966" t="s">
        <v>6</v>
      </c>
      <c r="B966" t="s">
        <v>12</v>
      </c>
      <c r="C966" t="s">
        <v>26</v>
      </c>
      <c r="D966" s="133">
        <v>5</v>
      </c>
      <c r="E966" s="17">
        <v>25.999313999999998</v>
      </c>
      <c r="F966" s="17">
        <f t="shared" si="65"/>
        <v>129.99656999999999</v>
      </c>
      <c r="G966" s="18" t="s">
        <v>171</v>
      </c>
      <c r="H966" s="38">
        <v>179925</v>
      </c>
      <c r="I966" s="18" t="s">
        <v>82</v>
      </c>
      <c r="J966" s="19">
        <f t="shared" si="64"/>
        <v>0.16413990115964849</v>
      </c>
    </row>
    <row r="967" spans="1:10" ht="14.25" hidden="1" customHeight="1" x14ac:dyDescent="0.3">
      <c r="A967" t="s">
        <v>6</v>
      </c>
      <c r="B967" t="s">
        <v>12</v>
      </c>
      <c r="C967" t="s">
        <v>14</v>
      </c>
      <c r="D967" s="133">
        <v>5</v>
      </c>
      <c r="E967" s="17">
        <v>42.772965999999997</v>
      </c>
      <c r="F967" s="17">
        <f t="shared" si="65"/>
        <v>213.86482999999998</v>
      </c>
      <c r="G967" s="18" t="s">
        <v>171</v>
      </c>
      <c r="H967" s="38">
        <v>179925</v>
      </c>
      <c r="I967" s="18" t="s">
        <v>82</v>
      </c>
      <c r="J967" s="19">
        <f t="shared" si="64"/>
        <v>0.16413990115964849</v>
      </c>
    </row>
    <row r="968" spans="1:10" ht="14.25" hidden="1" customHeight="1" x14ac:dyDescent="0.3">
      <c r="A968" t="s">
        <v>6</v>
      </c>
      <c r="B968" t="s">
        <v>12</v>
      </c>
      <c r="C968" t="s">
        <v>87</v>
      </c>
      <c r="D968" s="5">
        <v>6</v>
      </c>
      <c r="E968" s="6">
        <v>50</v>
      </c>
      <c r="F968" s="17">
        <f t="shared" si="65"/>
        <v>300</v>
      </c>
      <c r="G968" s="18" t="s">
        <v>192</v>
      </c>
      <c r="H968" s="38">
        <v>179925</v>
      </c>
      <c r="I968" s="18" t="s">
        <v>82</v>
      </c>
      <c r="J968" s="19">
        <f t="shared" si="64"/>
        <v>0.16413990115964849</v>
      </c>
    </row>
    <row r="969" spans="1:10" ht="14.25" hidden="1" customHeight="1" x14ac:dyDescent="0.3">
      <c r="A969" t="s">
        <v>6</v>
      </c>
      <c r="B969" t="s">
        <v>12</v>
      </c>
      <c r="C969" t="s">
        <v>57</v>
      </c>
      <c r="D969" s="5">
        <v>2</v>
      </c>
      <c r="E969" s="6">
        <v>30</v>
      </c>
      <c r="F969" s="17">
        <f t="shared" si="65"/>
        <v>60</v>
      </c>
      <c r="G969" s="18" t="s">
        <v>192</v>
      </c>
      <c r="H969" s="38">
        <v>179925</v>
      </c>
      <c r="I969" s="18" t="s">
        <v>82</v>
      </c>
      <c r="J969" s="19">
        <f t="shared" si="64"/>
        <v>0.16413990115964849</v>
      </c>
    </row>
    <row r="970" spans="1:10" ht="14.25" hidden="1" customHeight="1" x14ac:dyDescent="0.3">
      <c r="A970" t="s">
        <v>6</v>
      </c>
      <c r="B970" t="s">
        <v>12</v>
      </c>
      <c r="C970" t="s">
        <v>71</v>
      </c>
      <c r="D970" s="60">
        <v>0</v>
      </c>
      <c r="E970" s="37">
        <v>0</v>
      </c>
      <c r="F970" s="17">
        <f t="shared" si="65"/>
        <v>0</v>
      </c>
      <c r="G970" s="18" t="s">
        <v>170</v>
      </c>
      <c r="H970" s="38">
        <v>179925</v>
      </c>
      <c r="I970" s="18" t="s">
        <v>82</v>
      </c>
      <c r="J970" s="19">
        <f t="shared" si="64"/>
        <v>0.16413990115964849</v>
      </c>
    </row>
    <row r="971" spans="1:10" ht="14.25" hidden="1" customHeight="1" x14ac:dyDescent="0.3">
      <c r="A971" t="s">
        <v>6</v>
      </c>
      <c r="B971" t="s">
        <v>12</v>
      </c>
      <c r="C971" t="s">
        <v>58</v>
      </c>
      <c r="D971" s="133">
        <v>5</v>
      </c>
      <c r="E971" s="17">
        <v>9.8512850000000007</v>
      </c>
      <c r="F971" s="17">
        <f t="shared" si="65"/>
        <v>49.256425000000007</v>
      </c>
      <c r="G971" s="18" t="s">
        <v>171</v>
      </c>
      <c r="H971" s="38">
        <v>179925</v>
      </c>
      <c r="I971" s="18" t="s">
        <v>82</v>
      </c>
      <c r="J971" s="19">
        <f t="shared" si="64"/>
        <v>0.16413990115964849</v>
      </c>
    </row>
    <row r="972" spans="1:10" ht="14.25" hidden="1" customHeight="1" x14ac:dyDescent="0.3">
      <c r="A972" t="s">
        <v>6</v>
      </c>
      <c r="B972" t="s">
        <v>12</v>
      </c>
      <c r="C972" t="s">
        <v>59</v>
      </c>
      <c r="D972" s="133">
        <v>5</v>
      </c>
      <c r="E972" s="17">
        <v>2.0358360000000002</v>
      </c>
      <c r="F972" s="17">
        <f t="shared" si="65"/>
        <v>10.179180000000001</v>
      </c>
      <c r="G972" s="18" t="s">
        <v>171</v>
      </c>
      <c r="H972" s="38">
        <v>179925</v>
      </c>
      <c r="I972" s="18" t="s">
        <v>82</v>
      </c>
      <c r="J972" s="19">
        <f t="shared" si="64"/>
        <v>0.16413990115964849</v>
      </c>
    </row>
    <row r="973" spans="1:10" ht="14.25" hidden="1" customHeight="1" x14ac:dyDescent="0.3">
      <c r="A973" t="s">
        <v>6</v>
      </c>
      <c r="B973" t="s">
        <v>12</v>
      </c>
      <c r="C973" t="s">
        <v>88</v>
      </c>
      <c r="D973" s="5">
        <v>1</v>
      </c>
      <c r="E973" s="17"/>
      <c r="F973" s="17">
        <f t="shared" si="65"/>
        <v>0</v>
      </c>
      <c r="G973" s="18"/>
      <c r="H973" s="38">
        <v>179925</v>
      </c>
      <c r="I973" s="18" t="s">
        <v>82</v>
      </c>
      <c r="J973" s="19">
        <f t="shared" si="64"/>
        <v>0.16413990115964849</v>
      </c>
    </row>
    <row r="974" spans="1:10" ht="14.25" hidden="1" customHeight="1" x14ac:dyDescent="0.3">
      <c r="A974" t="s">
        <v>6</v>
      </c>
      <c r="B974" t="s">
        <v>12</v>
      </c>
      <c r="C974" t="s">
        <v>74</v>
      </c>
      <c r="D974" s="60">
        <v>0</v>
      </c>
      <c r="E974" s="17"/>
      <c r="F974" s="17">
        <f t="shared" si="65"/>
        <v>0</v>
      </c>
      <c r="G974" s="18"/>
      <c r="H974" s="38">
        <v>179925</v>
      </c>
      <c r="I974" s="18" t="s">
        <v>82</v>
      </c>
      <c r="J974" s="19">
        <f t="shared" si="64"/>
        <v>0.16413990115964849</v>
      </c>
    </row>
    <row r="975" spans="1:10" ht="14.25" hidden="1" customHeight="1" x14ac:dyDescent="0.3">
      <c r="A975" t="s">
        <v>6</v>
      </c>
      <c r="B975" t="s">
        <v>12</v>
      </c>
      <c r="C975" t="s">
        <v>62</v>
      </c>
      <c r="D975" s="60">
        <v>0</v>
      </c>
      <c r="E975" s="17"/>
      <c r="F975" s="17">
        <f t="shared" si="65"/>
        <v>0</v>
      </c>
      <c r="G975" s="18"/>
      <c r="H975" s="38">
        <v>179925</v>
      </c>
      <c r="I975" s="18" t="s">
        <v>82</v>
      </c>
      <c r="J975" s="19">
        <f t="shared" si="64"/>
        <v>0.16413990115964849</v>
      </c>
    </row>
    <row r="976" spans="1:10" ht="14.25" hidden="1" customHeight="1" x14ac:dyDescent="0.3">
      <c r="A976" t="s">
        <v>6</v>
      </c>
      <c r="B976" t="s">
        <v>12</v>
      </c>
      <c r="C976" t="s">
        <v>89</v>
      </c>
      <c r="D976" s="5">
        <v>0</v>
      </c>
      <c r="E976" s="17"/>
      <c r="F976" s="17">
        <f t="shared" si="65"/>
        <v>0</v>
      </c>
      <c r="G976" s="18"/>
      <c r="H976" s="38">
        <v>179925</v>
      </c>
      <c r="I976" s="18" t="s">
        <v>82</v>
      </c>
      <c r="J976" s="19">
        <f t="shared" si="64"/>
        <v>0.16413990115964849</v>
      </c>
    </row>
    <row r="977" spans="1:10" ht="14.25" hidden="1" customHeight="1" x14ac:dyDescent="0.3">
      <c r="A977" t="s">
        <v>6</v>
      </c>
      <c r="B977" t="s">
        <v>12</v>
      </c>
      <c r="C977" t="s">
        <v>64</v>
      </c>
      <c r="D977" s="5">
        <v>1</v>
      </c>
      <c r="E977" s="134">
        <v>63.95</v>
      </c>
      <c r="F977" s="17">
        <f t="shared" si="65"/>
        <v>63.95</v>
      </c>
      <c r="G977" s="133" t="s">
        <v>65</v>
      </c>
      <c r="H977" s="38">
        <v>179925</v>
      </c>
      <c r="I977" s="18" t="s">
        <v>82</v>
      </c>
      <c r="J977" s="19">
        <f t="shared" si="64"/>
        <v>0.16413990115964849</v>
      </c>
    </row>
    <row r="978" spans="1:10" ht="14.25" hidden="1" customHeight="1" x14ac:dyDescent="0.3">
      <c r="A978" t="s">
        <v>6</v>
      </c>
      <c r="B978" t="s">
        <v>12</v>
      </c>
      <c r="C978" t="s">
        <v>66</v>
      </c>
      <c r="D978" s="5">
        <v>1</v>
      </c>
      <c r="E978" s="134">
        <v>0</v>
      </c>
      <c r="F978" s="17">
        <f t="shared" si="65"/>
        <v>0</v>
      </c>
      <c r="G978" s="133" t="s">
        <v>65</v>
      </c>
      <c r="H978" s="38">
        <v>179925</v>
      </c>
      <c r="I978" s="18" t="s">
        <v>82</v>
      </c>
      <c r="J978" s="19">
        <f t="shared" si="64"/>
        <v>0.16413990115964849</v>
      </c>
    </row>
    <row r="979" spans="1:10" ht="14.25" hidden="1" customHeight="1" x14ac:dyDescent="0.3">
      <c r="A979" t="s">
        <v>6</v>
      </c>
      <c r="B979" t="s">
        <v>12</v>
      </c>
      <c r="C979" t="s">
        <v>60</v>
      </c>
      <c r="D979" s="5">
        <v>0</v>
      </c>
      <c r="E979" s="17"/>
      <c r="F979" s="17">
        <f t="shared" si="65"/>
        <v>0</v>
      </c>
      <c r="G979" s="18"/>
      <c r="H979" s="38">
        <v>179925</v>
      </c>
      <c r="I979" s="18" t="s">
        <v>82</v>
      </c>
      <c r="J979" s="19">
        <f t="shared" si="64"/>
        <v>0.16413990115964849</v>
      </c>
    </row>
    <row r="980" spans="1:10" ht="14.25" hidden="1" customHeight="1" x14ac:dyDescent="0.3">
      <c r="A980" t="s">
        <v>6</v>
      </c>
      <c r="B980" t="s">
        <v>12</v>
      </c>
      <c r="C980" t="s">
        <v>83</v>
      </c>
      <c r="D980" s="5">
        <v>0</v>
      </c>
      <c r="E980" s="17"/>
      <c r="F980" s="17">
        <f t="shared" si="65"/>
        <v>0</v>
      </c>
      <c r="G980" s="18"/>
      <c r="H980" s="38">
        <v>179925</v>
      </c>
      <c r="I980" s="18" t="s">
        <v>82</v>
      </c>
      <c r="J980" s="19">
        <f t="shared" si="64"/>
        <v>0.16413990115964849</v>
      </c>
    </row>
    <row r="981" spans="1:10" ht="14.25" hidden="1" customHeight="1" x14ac:dyDescent="0.3">
      <c r="A981" t="s">
        <v>6</v>
      </c>
      <c r="B981" t="s">
        <v>12</v>
      </c>
      <c r="C981" t="s">
        <v>67</v>
      </c>
      <c r="D981" s="5">
        <v>0</v>
      </c>
      <c r="E981" s="17"/>
      <c r="F981" s="17">
        <f t="shared" si="65"/>
        <v>0</v>
      </c>
      <c r="G981" s="18"/>
      <c r="H981" s="38">
        <v>179925</v>
      </c>
      <c r="I981" s="18" t="s">
        <v>82</v>
      </c>
      <c r="J981" s="19">
        <f t="shared" si="64"/>
        <v>0.16413990115964849</v>
      </c>
    </row>
    <row r="982" spans="1:10" ht="14.25" hidden="1" customHeight="1" x14ac:dyDescent="0.3">
      <c r="A982" t="s">
        <v>6</v>
      </c>
      <c r="B982" t="s">
        <v>12</v>
      </c>
      <c r="C982" t="s">
        <v>90</v>
      </c>
      <c r="D982" s="5">
        <v>0</v>
      </c>
      <c r="E982" s="17"/>
      <c r="F982" s="17">
        <f t="shared" si="65"/>
        <v>0</v>
      </c>
      <c r="G982" s="18"/>
      <c r="H982" s="38">
        <v>179925</v>
      </c>
      <c r="I982" s="18" t="s">
        <v>82</v>
      </c>
      <c r="J982" s="19">
        <f t="shared" si="64"/>
        <v>0.16413990115964849</v>
      </c>
    </row>
    <row r="983" spans="1:10" ht="14.25" hidden="1" customHeight="1" x14ac:dyDescent="0.3">
      <c r="A983" t="s">
        <v>6</v>
      </c>
      <c r="B983" t="s">
        <v>12</v>
      </c>
      <c r="C983" t="s">
        <v>91</v>
      </c>
      <c r="D983" s="5">
        <v>2</v>
      </c>
      <c r="E983" s="17"/>
      <c r="F983" s="17">
        <f t="shared" si="65"/>
        <v>0</v>
      </c>
      <c r="G983" s="18"/>
      <c r="H983" s="38">
        <v>179925</v>
      </c>
      <c r="I983" s="18" t="s">
        <v>82</v>
      </c>
      <c r="J983" s="19">
        <f t="shared" si="64"/>
        <v>0.16413990115964849</v>
      </c>
    </row>
    <row r="984" spans="1:10" ht="14.25" hidden="1" customHeight="1" x14ac:dyDescent="0.3">
      <c r="A984" t="s">
        <v>6</v>
      </c>
      <c r="B984" t="s">
        <v>12</v>
      </c>
      <c r="C984" t="s">
        <v>92</v>
      </c>
      <c r="D984" s="5">
        <v>1</v>
      </c>
      <c r="E984" s="6">
        <v>2559.4499999999998</v>
      </c>
      <c r="F984" s="17">
        <f t="shared" si="65"/>
        <v>2559.4499999999998</v>
      </c>
      <c r="G984" s="18" t="s">
        <v>192</v>
      </c>
      <c r="H984" s="38">
        <v>179925</v>
      </c>
      <c r="I984" s="18" t="s">
        <v>82</v>
      </c>
      <c r="J984" s="19">
        <f t="shared" si="64"/>
        <v>0.16413990115964849</v>
      </c>
    </row>
    <row r="985" spans="1:10" ht="14.25" hidden="1" customHeight="1" x14ac:dyDescent="0.3">
      <c r="A985" t="s">
        <v>6</v>
      </c>
      <c r="B985" t="s">
        <v>14</v>
      </c>
      <c r="C985" t="s">
        <v>53</v>
      </c>
      <c r="D985" s="133">
        <v>7</v>
      </c>
      <c r="E985" s="134">
        <v>44270.02</v>
      </c>
      <c r="F985" s="17">
        <f>E985</f>
        <v>44270.02</v>
      </c>
      <c r="G985" s="18" t="s">
        <v>198</v>
      </c>
      <c r="H985" s="38">
        <v>1035</v>
      </c>
      <c r="I985" s="18" t="s">
        <v>93</v>
      </c>
      <c r="J985" s="19">
        <f t="shared" si="64"/>
        <v>51.124424972946862</v>
      </c>
    </row>
    <row r="986" spans="1:10" ht="14.25" hidden="1" customHeight="1" x14ac:dyDescent="0.3">
      <c r="A986" t="s">
        <v>6</v>
      </c>
      <c r="B986" t="s">
        <v>14</v>
      </c>
      <c r="C986" t="s">
        <v>87</v>
      </c>
      <c r="D986" s="5">
        <v>8</v>
      </c>
      <c r="E986" s="6">
        <v>50</v>
      </c>
      <c r="F986" s="17">
        <f t="shared" ref="F986:F1001" si="66">D986*E986</f>
        <v>400</v>
      </c>
      <c r="G986" s="18" t="s">
        <v>192</v>
      </c>
      <c r="H986" s="38">
        <v>1035</v>
      </c>
      <c r="I986" s="18" t="s">
        <v>93</v>
      </c>
      <c r="J986" s="19">
        <f t="shared" si="64"/>
        <v>51.124424972946862</v>
      </c>
    </row>
    <row r="987" spans="1:10" ht="14.25" hidden="1" customHeight="1" x14ac:dyDescent="0.3">
      <c r="A987" t="s">
        <v>6</v>
      </c>
      <c r="B987" t="s">
        <v>14</v>
      </c>
      <c r="C987" t="s">
        <v>74</v>
      </c>
      <c r="D987" s="60">
        <v>0</v>
      </c>
      <c r="E987" s="17"/>
      <c r="F987" s="17">
        <f t="shared" si="66"/>
        <v>0</v>
      </c>
      <c r="G987" s="18"/>
      <c r="H987" s="38">
        <v>1035</v>
      </c>
      <c r="I987" s="18" t="s">
        <v>93</v>
      </c>
      <c r="J987" s="19">
        <f t="shared" si="64"/>
        <v>51.124424972946862</v>
      </c>
    </row>
    <row r="988" spans="1:10" ht="14.25" hidden="1" customHeight="1" x14ac:dyDescent="0.3">
      <c r="A988" t="s">
        <v>6</v>
      </c>
      <c r="B988" t="s">
        <v>14</v>
      </c>
      <c r="C988" t="s">
        <v>62</v>
      </c>
      <c r="D988" s="60">
        <v>0</v>
      </c>
      <c r="E988" s="17"/>
      <c r="F988" s="17">
        <f t="shared" si="66"/>
        <v>0</v>
      </c>
      <c r="G988" s="18"/>
      <c r="H988" s="38">
        <v>1035</v>
      </c>
      <c r="I988" s="18" t="s">
        <v>93</v>
      </c>
      <c r="J988" s="19">
        <f t="shared" si="64"/>
        <v>51.124424972946862</v>
      </c>
    </row>
    <row r="989" spans="1:10" ht="14.25" hidden="1" customHeight="1" x14ac:dyDescent="0.3">
      <c r="A989" t="s">
        <v>6</v>
      </c>
      <c r="B989" t="s">
        <v>14</v>
      </c>
      <c r="C989" t="s">
        <v>58</v>
      </c>
      <c r="D989" s="133">
        <v>7</v>
      </c>
      <c r="E989" s="17">
        <v>9.8512850000000007</v>
      </c>
      <c r="F989" s="17">
        <f t="shared" si="66"/>
        <v>68.958995000000002</v>
      </c>
      <c r="G989" s="18" t="s">
        <v>171</v>
      </c>
      <c r="H989" s="38">
        <v>1035</v>
      </c>
      <c r="I989" s="18" t="s">
        <v>93</v>
      </c>
      <c r="J989" s="19">
        <f t="shared" si="64"/>
        <v>51.124424972946862</v>
      </c>
    </row>
    <row r="990" spans="1:10" ht="14.25" hidden="1" customHeight="1" x14ac:dyDescent="0.3">
      <c r="A990" t="s">
        <v>6</v>
      </c>
      <c r="B990" t="s">
        <v>14</v>
      </c>
      <c r="C990" t="s">
        <v>59</v>
      </c>
      <c r="D990" s="133">
        <v>7</v>
      </c>
      <c r="E990" s="17">
        <v>2.0358360000000002</v>
      </c>
      <c r="F990" s="17">
        <f t="shared" si="66"/>
        <v>14.250852000000002</v>
      </c>
      <c r="G990" s="18" t="s">
        <v>171</v>
      </c>
      <c r="H990" s="38">
        <v>1035</v>
      </c>
      <c r="I990" s="18" t="s">
        <v>93</v>
      </c>
      <c r="J990" s="19">
        <f t="shared" si="64"/>
        <v>51.124424972946862</v>
      </c>
    </row>
    <row r="991" spans="1:10" ht="14.25" hidden="1" customHeight="1" x14ac:dyDescent="0.3">
      <c r="A991" t="s">
        <v>6</v>
      </c>
      <c r="B991" t="s">
        <v>14</v>
      </c>
      <c r="C991" t="s">
        <v>70</v>
      </c>
      <c r="D991" s="5">
        <v>0</v>
      </c>
      <c r="E991" s="17"/>
      <c r="F991" s="17">
        <f t="shared" si="66"/>
        <v>0</v>
      </c>
      <c r="G991" s="18"/>
      <c r="H991" s="38">
        <v>1035</v>
      </c>
      <c r="I991" s="18" t="s">
        <v>93</v>
      </c>
      <c r="J991" s="19">
        <f t="shared" si="64"/>
        <v>51.124424972946862</v>
      </c>
    </row>
    <row r="992" spans="1:10" ht="14.25" hidden="1" customHeight="1" x14ac:dyDescent="0.3">
      <c r="A992" t="s">
        <v>6</v>
      </c>
      <c r="B992" t="s">
        <v>14</v>
      </c>
      <c r="C992" t="s">
        <v>72</v>
      </c>
      <c r="D992" s="5">
        <v>1</v>
      </c>
      <c r="E992" s="6">
        <v>153.58000000000001</v>
      </c>
      <c r="F992" s="17">
        <f t="shared" si="66"/>
        <v>153.58000000000001</v>
      </c>
      <c r="G992" s="18" t="s">
        <v>192</v>
      </c>
      <c r="H992" s="38">
        <v>1035</v>
      </c>
      <c r="I992" s="18" t="s">
        <v>93</v>
      </c>
      <c r="J992" s="19">
        <f t="shared" si="64"/>
        <v>51.124424972946862</v>
      </c>
    </row>
    <row r="993" spans="1:10" ht="14.25" hidden="1" customHeight="1" x14ac:dyDescent="0.3">
      <c r="A993" t="s">
        <v>6</v>
      </c>
      <c r="B993" t="s">
        <v>14</v>
      </c>
      <c r="C993" t="s">
        <v>94</v>
      </c>
      <c r="D993" s="5">
        <v>2</v>
      </c>
      <c r="E993" s="6">
        <v>30</v>
      </c>
      <c r="F993" s="17">
        <f t="shared" si="66"/>
        <v>60</v>
      </c>
      <c r="G993" s="18" t="s">
        <v>192</v>
      </c>
      <c r="H993" s="38">
        <v>1035</v>
      </c>
      <c r="I993" s="18" t="s">
        <v>93</v>
      </c>
      <c r="J993" s="19">
        <f t="shared" si="64"/>
        <v>51.124424972946862</v>
      </c>
    </row>
    <row r="994" spans="1:10" ht="14.25" hidden="1" customHeight="1" x14ac:dyDescent="0.3">
      <c r="A994" t="s">
        <v>6</v>
      </c>
      <c r="B994" t="s">
        <v>14</v>
      </c>
      <c r="C994" t="s">
        <v>76</v>
      </c>
      <c r="D994" s="60">
        <v>0</v>
      </c>
      <c r="E994" s="37">
        <v>0</v>
      </c>
      <c r="F994" s="17">
        <f t="shared" si="66"/>
        <v>0</v>
      </c>
      <c r="G994" s="18" t="s">
        <v>170</v>
      </c>
      <c r="H994" s="38">
        <v>1035</v>
      </c>
      <c r="I994" s="18" t="s">
        <v>93</v>
      </c>
      <c r="J994" s="19">
        <f t="shared" si="64"/>
        <v>51.124424972946862</v>
      </c>
    </row>
    <row r="995" spans="1:10" ht="14.25" hidden="1" customHeight="1" x14ac:dyDescent="0.3">
      <c r="A995" t="s">
        <v>6</v>
      </c>
      <c r="B995" t="s">
        <v>14</v>
      </c>
      <c r="C995" t="s">
        <v>95</v>
      </c>
      <c r="D995" s="5">
        <v>1</v>
      </c>
      <c r="E995" s="134">
        <v>7</v>
      </c>
      <c r="F995" s="17">
        <f t="shared" si="66"/>
        <v>7</v>
      </c>
      <c r="G995" s="133" t="s">
        <v>65</v>
      </c>
      <c r="H995" s="38">
        <v>1035</v>
      </c>
      <c r="I995" s="18" t="s">
        <v>93</v>
      </c>
      <c r="J995" s="19">
        <f t="shared" si="64"/>
        <v>51.124424972946862</v>
      </c>
    </row>
    <row r="996" spans="1:10" ht="14.25" hidden="1" customHeight="1" x14ac:dyDescent="0.3">
      <c r="A996" t="s">
        <v>6</v>
      </c>
      <c r="B996" t="s">
        <v>14</v>
      </c>
      <c r="C996" t="s">
        <v>64</v>
      </c>
      <c r="D996" s="5">
        <v>1</v>
      </c>
      <c r="E996" s="134">
        <v>53.8</v>
      </c>
      <c r="F996" s="17">
        <f t="shared" si="66"/>
        <v>53.8</v>
      </c>
      <c r="G996" s="133" t="s">
        <v>65</v>
      </c>
      <c r="H996" s="38">
        <v>1035</v>
      </c>
      <c r="I996" s="18" t="s">
        <v>93</v>
      </c>
      <c r="J996" s="19">
        <f t="shared" si="64"/>
        <v>51.124424972946862</v>
      </c>
    </row>
    <row r="997" spans="1:10" ht="14.25" hidden="1" customHeight="1" x14ac:dyDescent="0.3">
      <c r="A997" t="s">
        <v>6</v>
      </c>
      <c r="B997" t="s">
        <v>14</v>
      </c>
      <c r="C997" t="s">
        <v>73</v>
      </c>
      <c r="D997" s="5">
        <v>0</v>
      </c>
      <c r="E997" s="17"/>
      <c r="F997" s="17">
        <f t="shared" si="66"/>
        <v>0</v>
      </c>
      <c r="G997" s="18"/>
      <c r="H997" s="38">
        <v>1035</v>
      </c>
      <c r="I997" s="18" t="s">
        <v>93</v>
      </c>
      <c r="J997" s="19">
        <f t="shared" si="64"/>
        <v>51.124424972946862</v>
      </c>
    </row>
    <row r="998" spans="1:10" ht="14.25" hidden="1" customHeight="1" x14ac:dyDescent="0.3">
      <c r="A998" t="s">
        <v>6</v>
      </c>
      <c r="B998" t="s">
        <v>14</v>
      </c>
      <c r="C998" t="s">
        <v>89</v>
      </c>
      <c r="D998" s="5">
        <v>0</v>
      </c>
      <c r="E998" s="17"/>
      <c r="F998" s="17">
        <f t="shared" si="66"/>
        <v>0</v>
      </c>
      <c r="G998" s="18"/>
      <c r="H998" s="38">
        <v>1035</v>
      </c>
      <c r="I998" s="18" t="s">
        <v>93</v>
      </c>
      <c r="J998" s="19">
        <f t="shared" si="64"/>
        <v>51.124424972946862</v>
      </c>
    </row>
    <row r="999" spans="1:10" ht="14.25" hidden="1" customHeight="1" x14ac:dyDescent="0.3">
      <c r="A999" t="s">
        <v>6</v>
      </c>
      <c r="B999" t="s">
        <v>14</v>
      </c>
      <c r="C999" t="s">
        <v>96</v>
      </c>
      <c r="D999" s="5">
        <v>1</v>
      </c>
      <c r="E999" s="6">
        <v>4226.8</v>
      </c>
      <c r="F999" s="17">
        <f t="shared" si="66"/>
        <v>4226.8</v>
      </c>
      <c r="G999" s="18" t="s">
        <v>192</v>
      </c>
      <c r="H999" s="38">
        <v>1035</v>
      </c>
      <c r="I999" s="18" t="s">
        <v>93</v>
      </c>
      <c r="J999" s="19">
        <f t="shared" si="64"/>
        <v>51.124424972946862</v>
      </c>
    </row>
    <row r="1000" spans="1:10" ht="14.25" hidden="1" customHeight="1" x14ac:dyDescent="0.3">
      <c r="A1000" t="s">
        <v>6</v>
      </c>
      <c r="B1000" t="s">
        <v>14</v>
      </c>
      <c r="C1000" t="s">
        <v>97</v>
      </c>
      <c r="D1000" s="5">
        <v>1</v>
      </c>
      <c r="E1000" s="6">
        <v>2559.44</v>
      </c>
      <c r="F1000" s="17">
        <f t="shared" si="66"/>
        <v>2559.44</v>
      </c>
      <c r="G1000" s="18" t="s">
        <v>192</v>
      </c>
      <c r="H1000" s="38">
        <v>1035</v>
      </c>
      <c r="I1000" s="18" t="s">
        <v>93</v>
      </c>
      <c r="J1000" s="19">
        <f t="shared" si="64"/>
        <v>51.124424972946862</v>
      </c>
    </row>
    <row r="1001" spans="1:10" ht="14.25" hidden="1" customHeight="1" x14ac:dyDescent="0.3">
      <c r="A1001" t="s">
        <v>6</v>
      </c>
      <c r="B1001" t="s">
        <v>14</v>
      </c>
      <c r="C1001" t="s">
        <v>98</v>
      </c>
      <c r="D1001" s="5">
        <v>1</v>
      </c>
      <c r="E1001" s="6">
        <v>1099.93</v>
      </c>
      <c r="F1001" s="17">
        <f t="shared" si="66"/>
        <v>1099.93</v>
      </c>
      <c r="G1001" s="18" t="s">
        <v>192</v>
      </c>
      <c r="H1001" s="38">
        <v>1035</v>
      </c>
      <c r="I1001" s="18" t="s">
        <v>93</v>
      </c>
      <c r="J1001" s="19">
        <f t="shared" si="64"/>
        <v>51.124424972946862</v>
      </c>
    </row>
    <row r="1002" spans="1:10" ht="14.25" hidden="1" customHeight="1" x14ac:dyDescent="0.3">
      <c r="A1002" t="s">
        <v>6</v>
      </c>
      <c r="B1002" t="s">
        <v>13</v>
      </c>
      <c r="C1002" t="s">
        <v>99</v>
      </c>
      <c r="D1002" s="133">
        <v>5</v>
      </c>
      <c r="E1002" s="134">
        <v>22209.64</v>
      </c>
      <c r="F1002" s="17">
        <f>E1002</f>
        <v>22209.64</v>
      </c>
      <c r="G1002" s="18" t="s">
        <v>197</v>
      </c>
      <c r="H1002" s="38">
        <v>193343</v>
      </c>
      <c r="I1002" s="18" t="s">
        <v>54</v>
      </c>
      <c r="J1002" s="19">
        <f t="shared" si="64"/>
        <v>0.11976136563594106</v>
      </c>
    </row>
    <row r="1003" spans="1:10" ht="14.25" hidden="1" customHeight="1" x14ac:dyDescent="0.3">
      <c r="A1003" t="s">
        <v>6</v>
      </c>
      <c r="B1003" t="s">
        <v>13</v>
      </c>
      <c r="C1003" t="s">
        <v>55</v>
      </c>
      <c r="D1003" s="133">
        <v>5</v>
      </c>
      <c r="E1003" s="37">
        <v>58.416942229951687</v>
      </c>
      <c r="F1003" s="17">
        <f t="shared" ref="F1003:F1017" si="67">D1003*E1003</f>
        <v>292.08471114975845</v>
      </c>
      <c r="G1003" s="18"/>
      <c r="H1003" s="38">
        <v>193343</v>
      </c>
      <c r="I1003" s="18" t="s">
        <v>54</v>
      </c>
      <c r="J1003" s="19">
        <f t="shared" si="64"/>
        <v>0.11976136563594106</v>
      </c>
    </row>
    <row r="1004" spans="1:10" ht="14.25" hidden="1" customHeight="1" x14ac:dyDescent="0.3">
      <c r="A1004" t="s">
        <v>6</v>
      </c>
      <c r="B1004" t="s">
        <v>13</v>
      </c>
      <c r="C1004" t="s">
        <v>26</v>
      </c>
      <c r="D1004" s="133">
        <v>5</v>
      </c>
      <c r="E1004" s="17">
        <v>25.999313999999998</v>
      </c>
      <c r="F1004" s="17">
        <f t="shared" si="67"/>
        <v>129.99656999999999</v>
      </c>
      <c r="G1004" s="18" t="s">
        <v>171</v>
      </c>
      <c r="H1004" s="38">
        <v>193343</v>
      </c>
      <c r="I1004" s="18" t="s">
        <v>54</v>
      </c>
      <c r="J1004" s="19">
        <f t="shared" si="64"/>
        <v>0.11976136563594106</v>
      </c>
    </row>
    <row r="1005" spans="1:10" ht="14.25" hidden="1" customHeight="1" x14ac:dyDescent="0.3">
      <c r="A1005" t="s">
        <v>6</v>
      </c>
      <c r="B1005" t="s">
        <v>13</v>
      </c>
      <c r="C1005" t="s">
        <v>14</v>
      </c>
      <c r="D1005" s="133">
        <v>5</v>
      </c>
      <c r="E1005" s="17">
        <v>42.772965999999997</v>
      </c>
      <c r="F1005" s="17">
        <f t="shared" si="67"/>
        <v>213.86482999999998</v>
      </c>
      <c r="G1005" s="18" t="s">
        <v>171</v>
      </c>
      <c r="H1005" s="38">
        <v>193343</v>
      </c>
      <c r="I1005" s="18" t="s">
        <v>54</v>
      </c>
      <c r="J1005" s="19">
        <f t="shared" si="64"/>
        <v>0.11976136563594106</v>
      </c>
    </row>
    <row r="1006" spans="1:10" ht="14.25" hidden="1" customHeight="1" x14ac:dyDescent="0.3">
      <c r="A1006" t="s">
        <v>6</v>
      </c>
      <c r="B1006" t="s">
        <v>13</v>
      </c>
      <c r="C1006" t="s">
        <v>87</v>
      </c>
      <c r="D1006" s="5">
        <v>5</v>
      </c>
      <c r="E1006" s="6">
        <v>50</v>
      </c>
      <c r="F1006" s="17">
        <f t="shared" si="67"/>
        <v>250</v>
      </c>
      <c r="G1006" s="18" t="s">
        <v>192</v>
      </c>
      <c r="H1006" s="38">
        <v>193343</v>
      </c>
      <c r="I1006" s="18" t="s">
        <v>54</v>
      </c>
      <c r="J1006" s="19">
        <f t="shared" si="64"/>
        <v>0.11976136563594106</v>
      </c>
    </row>
    <row r="1007" spans="1:10" ht="14.25" hidden="1" customHeight="1" x14ac:dyDescent="0.3">
      <c r="A1007" t="s">
        <v>6</v>
      </c>
      <c r="B1007" t="s">
        <v>13</v>
      </c>
      <c r="C1007" t="s">
        <v>70</v>
      </c>
      <c r="D1007" s="5">
        <v>0</v>
      </c>
      <c r="E1007" s="17"/>
      <c r="F1007" s="17">
        <f t="shared" si="67"/>
        <v>0</v>
      </c>
      <c r="G1007" s="18"/>
      <c r="H1007" s="38">
        <v>193343</v>
      </c>
      <c r="I1007" s="18" t="s">
        <v>54</v>
      </c>
      <c r="J1007" s="19">
        <f t="shared" si="64"/>
        <v>0.11976136563594106</v>
      </c>
    </row>
    <row r="1008" spans="1:10" ht="14.25" hidden="1" customHeight="1" x14ac:dyDescent="0.3">
      <c r="A1008" t="s">
        <v>6</v>
      </c>
      <c r="B1008" t="s">
        <v>13</v>
      </c>
      <c r="C1008" t="s">
        <v>76</v>
      </c>
      <c r="D1008" s="60">
        <v>0</v>
      </c>
      <c r="E1008" s="37">
        <v>0</v>
      </c>
      <c r="F1008" s="17">
        <f t="shared" si="67"/>
        <v>0</v>
      </c>
      <c r="G1008" s="18" t="s">
        <v>170</v>
      </c>
      <c r="H1008" s="38">
        <v>193343</v>
      </c>
      <c r="I1008" s="18" t="s">
        <v>54</v>
      </c>
      <c r="J1008" s="19">
        <f t="shared" si="64"/>
        <v>0.11976136563594106</v>
      </c>
    </row>
    <row r="1009" spans="1:10" ht="14.25" hidden="1" customHeight="1" x14ac:dyDescent="0.3">
      <c r="A1009" t="s">
        <v>6</v>
      </c>
      <c r="B1009" t="s">
        <v>13</v>
      </c>
      <c r="C1009" t="s">
        <v>71</v>
      </c>
      <c r="D1009" s="60">
        <v>0</v>
      </c>
      <c r="E1009" s="37">
        <v>0</v>
      </c>
      <c r="F1009" s="17">
        <f t="shared" si="67"/>
        <v>0</v>
      </c>
      <c r="G1009" s="18" t="s">
        <v>170</v>
      </c>
      <c r="H1009" s="38">
        <v>193343</v>
      </c>
      <c r="I1009" s="18" t="s">
        <v>54</v>
      </c>
      <c r="J1009" s="19">
        <f t="shared" si="64"/>
        <v>0.11976136563594106</v>
      </c>
    </row>
    <row r="1010" spans="1:10" ht="14.25" hidden="1" customHeight="1" x14ac:dyDescent="0.3">
      <c r="A1010" t="s">
        <v>6</v>
      </c>
      <c r="B1010" t="s">
        <v>13</v>
      </c>
      <c r="C1010" t="s">
        <v>83</v>
      </c>
      <c r="D1010" s="5">
        <v>0</v>
      </c>
      <c r="E1010" s="17"/>
      <c r="F1010" s="17">
        <f t="shared" si="67"/>
        <v>0</v>
      </c>
      <c r="G1010" s="18"/>
      <c r="H1010" s="38">
        <v>193343</v>
      </c>
      <c r="I1010" s="18" t="s">
        <v>54</v>
      </c>
      <c r="J1010" s="19">
        <f t="shared" si="64"/>
        <v>0.11976136563594106</v>
      </c>
    </row>
    <row r="1011" spans="1:10" ht="14.25" hidden="1" customHeight="1" x14ac:dyDescent="0.3">
      <c r="A1011" t="s">
        <v>6</v>
      </c>
      <c r="B1011" t="s">
        <v>13</v>
      </c>
      <c r="C1011" t="s">
        <v>58</v>
      </c>
      <c r="D1011" s="133">
        <v>5</v>
      </c>
      <c r="E1011" s="17">
        <v>9.8512850000000007</v>
      </c>
      <c r="F1011" s="17">
        <f t="shared" si="67"/>
        <v>49.256425000000007</v>
      </c>
      <c r="G1011" s="18" t="s">
        <v>171</v>
      </c>
      <c r="H1011" s="38">
        <v>193343</v>
      </c>
      <c r="I1011" s="18" t="s">
        <v>54</v>
      </c>
      <c r="J1011" s="19">
        <f t="shared" si="64"/>
        <v>0.11976136563594106</v>
      </c>
    </row>
    <row r="1012" spans="1:10" ht="14.25" hidden="1" customHeight="1" x14ac:dyDescent="0.3">
      <c r="A1012" t="s">
        <v>6</v>
      </c>
      <c r="B1012" t="s">
        <v>13</v>
      </c>
      <c r="C1012" t="s">
        <v>59</v>
      </c>
      <c r="D1012" s="133">
        <v>5</v>
      </c>
      <c r="E1012" s="17">
        <v>2.0358360000000002</v>
      </c>
      <c r="F1012" s="17">
        <f t="shared" si="67"/>
        <v>10.179180000000001</v>
      </c>
      <c r="G1012" s="18" t="s">
        <v>171</v>
      </c>
      <c r="H1012" s="38">
        <v>193343</v>
      </c>
      <c r="I1012" s="18" t="s">
        <v>54</v>
      </c>
      <c r="J1012" s="19">
        <f t="shared" si="64"/>
        <v>0.11976136563594106</v>
      </c>
    </row>
    <row r="1013" spans="1:10" ht="14.25" hidden="1" customHeight="1" x14ac:dyDescent="0.3">
      <c r="A1013" t="s">
        <v>6</v>
      </c>
      <c r="B1013" t="s">
        <v>13</v>
      </c>
      <c r="C1013" t="s">
        <v>74</v>
      </c>
      <c r="D1013" s="5">
        <v>0</v>
      </c>
      <c r="E1013" s="17"/>
      <c r="F1013" s="17">
        <f t="shared" si="67"/>
        <v>0</v>
      </c>
      <c r="G1013" s="18"/>
      <c r="H1013" s="38">
        <v>193343</v>
      </c>
      <c r="I1013" s="18" t="s">
        <v>54</v>
      </c>
      <c r="J1013" s="19">
        <f t="shared" si="64"/>
        <v>0.11976136563594106</v>
      </c>
    </row>
    <row r="1014" spans="1:10" ht="14.25" hidden="1" customHeight="1" x14ac:dyDescent="0.3">
      <c r="A1014" t="s">
        <v>6</v>
      </c>
      <c r="B1014" t="s">
        <v>13</v>
      </c>
      <c r="C1014" t="s">
        <v>62</v>
      </c>
      <c r="D1014" s="5">
        <v>0</v>
      </c>
      <c r="E1014" s="17"/>
      <c r="F1014" s="17">
        <f t="shared" si="67"/>
        <v>0</v>
      </c>
      <c r="G1014" s="18"/>
      <c r="H1014" s="38">
        <v>193343</v>
      </c>
      <c r="I1014" s="18" t="s">
        <v>54</v>
      </c>
      <c r="J1014" s="19">
        <f t="shared" si="64"/>
        <v>0.11976136563594106</v>
      </c>
    </row>
    <row r="1015" spans="1:10" ht="14.25" hidden="1" customHeight="1" x14ac:dyDescent="0.3">
      <c r="A1015" t="s">
        <v>6</v>
      </c>
      <c r="B1015" t="s">
        <v>13</v>
      </c>
      <c r="C1015" t="s">
        <v>75</v>
      </c>
      <c r="D1015" s="5">
        <v>0</v>
      </c>
      <c r="E1015" s="17"/>
      <c r="F1015" s="17">
        <f t="shared" si="67"/>
        <v>0</v>
      </c>
      <c r="G1015" s="18"/>
      <c r="H1015" s="38">
        <v>193343</v>
      </c>
      <c r="I1015" s="18" t="s">
        <v>54</v>
      </c>
      <c r="J1015" s="19">
        <f t="shared" si="64"/>
        <v>0.11976136563594106</v>
      </c>
    </row>
    <row r="1016" spans="1:10" ht="14.25" hidden="1" customHeight="1" x14ac:dyDescent="0.3">
      <c r="A1016" t="s">
        <v>6</v>
      </c>
      <c r="B1016" t="s">
        <v>13</v>
      </c>
      <c r="C1016" t="s">
        <v>64</v>
      </c>
      <c r="D1016" s="5">
        <v>0</v>
      </c>
      <c r="E1016" s="17"/>
      <c r="F1016" s="17">
        <f t="shared" si="67"/>
        <v>0</v>
      </c>
      <c r="G1016" s="18"/>
      <c r="H1016" s="38">
        <v>193343</v>
      </c>
      <c r="I1016" s="18" t="s">
        <v>54</v>
      </c>
      <c r="J1016" s="19">
        <f t="shared" si="64"/>
        <v>0.11976136563594106</v>
      </c>
    </row>
    <row r="1017" spans="1:10" ht="14.25" hidden="1" customHeight="1" x14ac:dyDescent="0.3">
      <c r="A1017" t="s">
        <v>6</v>
      </c>
      <c r="B1017" t="s">
        <v>13</v>
      </c>
      <c r="C1017" t="s">
        <v>67</v>
      </c>
      <c r="D1017" s="5">
        <v>0</v>
      </c>
      <c r="E1017" s="17"/>
      <c r="F1017" s="17">
        <f t="shared" si="67"/>
        <v>0</v>
      </c>
      <c r="G1017" s="18"/>
      <c r="H1017" s="38">
        <v>193343</v>
      </c>
      <c r="I1017" s="18" t="s">
        <v>54</v>
      </c>
      <c r="J1017" s="19">
        <f t="shared" si="64"/>
        <v>0.11976136563594106</v>
      </c>
    </row>
    <row r="1018" spans="1:10" ht="14.25" hidden="1" customHeight="1" x14ac:dyDescent="0.3">
      <c r="A1018" t="s">
        <v>6</v>
      </c>
      <c r="B1018" t="s">
        <v>15</v>
      </c>
      <c r="C1018" t="s">
        <v>100</v>
      </c>
      <c r="D1018" s="133">
        <v>11</v>
      </c>
      <c r="E1018" s="134">
        <v>89340.05</v>
      </c>
      <c r="F1018" s="17">
        <f>E1018</f>
        <v>89340.05</v>
      </c>
      <c r="G1018" s="18" t="s">
        <v>194</v>
      </c>
      <c r="H1018" s="38">
        <v>179925</v>
      </c>
      <c r="I1018" s="18" t="s">
        <v>82</v>
      </c>
      <c r="J1018" s="19">
        <f t="shared" si="64"/>
        <v>0.51397676685024019</v>
      </c>
    </row>
    <row r="1019" spans="1:10" ht="14.25" hidden="1" customHeight="1" x14ac:dyDescent="0.3">
      <c r="A1019" t="s">
        <v>6</v>
      </c>
      <c r="B1019" t="s">
        <v>15</v>
      </c>
      <c r="C1019" t="s">
        <v>55</v>
      </c>
      <c r="D1019" s="133">
        <v>11</v>
      </c>
      <c r="E1019" s="37">
        <v>58.416942229951687</v>
      </c>
      <c r="F1019" s="17">
        <f t="shared" ref="F1019:F1042" si="68">D1019*E1019</f>
        <v>642.5863645294686</v>
      </c>
      <c r="G1019" s="18"/>
      <c r="H1019" s="38">
        <v>179925</v>
      </c>
      <c r="I1019" s="18" t="s">
        <v>82</v>
      </c>
      <c r="J1019" s="19">
        <f t="shared" si="64"/>
        <v>0.51397676685024019</v>
      </c>
    </row>
    <row r="1020" spans="1:10" ht="14.25" hidden="1" customHeight="1" x14ac:dyDescent="0.3">
      <c r="A1020" t="s">
        <v>6</v>
      </c>
      <c r="B1020" t="s">
        <v>15</v>
      </c>
      <c r="C1020" t="s">
        <v>26</v>
      </c>
      <c r="D1020" s="133">
        <v>11</v>
      </c>
      <c r="E1020" s="17">
        <v>25.999313999999998</v>
      </c>
      <c r="F1020" s="17">
        <f t="shared" si="68"/>
        <v>285.99245399999995</v>
      </c>
      <c r="G1020" s="18" t="s">
        <v>171</v>
      </c>
      <c r="H1020" s="38">
        <v>179925</v>
      </c>
      <c r="I1020" s="18" t="s">
        <v>82</v>
      </c>
      <c r="J1020" s="19">
        <f t="shared" si="64"/>
        <v>0.51397676685024019</v>
      </c>
    </row>
    <row r="1021" spans="1:10" ht="14.25" hidden="1" customHeight="1" x14ac:dyDescent="0.3">
      <c r="A1021" t="s">
        <v>6</v>
      </c>
      <c r="B1021" t="s">
        <v>15</v>
      </c>
      <c r="C1021" t="s">
        <v>14</v>
      </c>
      <c r="D1021" s="133">
        <v>11</v>
      </c>
      <c r="E1021" s="17">
        <v>42.772965999999997</v>
      </c>
      <c r="F1021" s="17">
        <f t="shared" si="68"/>
        <v>470.50262599999996</v>
      </c>
      <c r="G1021" s="18" t="s">
        <v>171</v>
      </c>
      <c r="H1021" s="38">
        <v>179925</v>
      </c>
      <c r="I1021" s="18" t="s">
        <v>82</v>
      </c>
      <c r="J1021" s="19">
        <f t="shared" si="64"/>
        <v>0.51397676685024019</v>
      </c>
    </row>
    <row r="1022" spans="1:10" ht="14.25" hidden="1" customHeight="1" x14ac:dyDescent="0.3">
      <c r="A1022" t="s">
        <v>6</v>
      </c>
      <c r="B1022" t="s">
        <v>15</v>
      </c>
      <c r="C1022" t="s">
        <v>56</v>
      </c>
      <c r="D1022" s="5">
        <v>11</v>
      </c>
      <c r="E1022" s="6">
        <v>50</v>
      </c>
      <c r="F1022" s="17">
        <f t="shared" si="68"/>
        <v>550</v>
      </c>
      <c r="G1022" s="18" t="s">
        <v>192</v>
      </c>
      <c r="H1022" s="38">
        <v>179925</v>
      </c>
      <c r="I1022" s="18" t="s">
        <v>82</v>
      </c>
      <c r="J1022" s="19">
        <f t="shared" si="64"/>
        <v>0.51397676685024019</v>
      </c>
    </row>
    <row r="1023" spans="1:10" ht="14.25" hidden="1" customHeight="1" x14ac:dyDescent="0.3">
      <c r="A1023" t="s">
        <v>6</v>
      </c>
      <c r="B1023" t="s">
        <v>15</v>
      </c>
      <c r="C1023" t="s">
        <v>70</v>
      </c>
      <c r="D1023" s="5">
        <v>0</v>
      </c>
      <c r="E1023" s="17"/>
      <c r="F1023" s="17">
        <f t="shared" si="68"/>
        <v>0</v>
      </c>
      <c r="G1023" s="18"/>
      <c r="H1023" s="38">
        <v>179925</v>
      </c>
      <c r="I1023" s="18" t="s">
        <v>82</v>
      </c>
      <c r="J1023" s="19">
        <f t="shared" si="64"/>
        <v>0.51397676685024019</v>
      </c>
    </row>
    <row r="1024" spans="1:10" ht="14.25" hidden="1" customHeight="1" x14ac:dyDescent="0.3">
      <c r="A1024" t="s">
        <v>6</v>
      </c>
      <c r="B1024" t="s">
        <v>15</v>
      </c>
      <c r="C1024" t="s">
        <v>76</v>
      </c>
      <c r="D1024" s="5">
        <v>8</v>
      </c>
      <c r="E1024" s="6">
        <v>30</v>
      </c>
      <c r="F1024" s="17">
        <f t="shared" si="68"/>
        <v>240</v>
      </c>
      <c r="G1024" s="18" t="s">
        <v>192</v>
      </c>
      <c r="H1024" s="38">
        <v>179925</v>
      </c>
      <c r="I1024" s="18" t="s">
        <v>82</v>
      </c>
      <c r="J1024" s="19">
        <f t="shared" si="64"/>
        <v>0.51397676685024019</v>
      </c>
    </row>
    <row r="1025" spans="1:10" ht="14.25" hidden="1" customHeight="1" x14ac:dyDescent="0.3">
      <c r="A1025" t="s">
        <v>6</v>
      </c>
      <c r="B1025" t="s">
        <v>15</v>
      </c>
      <c r="C1025" t="s">
        <v>72</v>
      </c>
      <c r="D1025" s="5">
        <v>1</v>
      </c>
      <c r="E1025" s="6">
        <v>128.68</v>
      </c>
      <c r="F1025" s="17">
        <f t="shared" si="68"/>
        <v>128.68</v>
      </c>
      <c r="G1025" s="18" t="s">
        <v>192</v>
      </c>
      <c r="H1025" s="38">
        <v>179925</v>
      </c>
      <c r="I1025" s="18" t="s">
        <v>82</v>
      </c>
      <c r="J1025" s="19">
        <f t="shared" si="64"/>
        <v>0.51397676685024019</v>
      </c>
    </row>
    <row r="1026" spans="1:10" ht="14.25" hidden="1" customHeight="1" x14ac:dyDescent="0.3">
      <c r="A1026" t="s">
        <v>6</v>
      </c>
      <c r="B1026" t="s">
        <v>15</v>
      </c>
      <c r="C1026" t="s">
        <v>199</v>
      </c>
      <c r="D1026" s="5">
        <v>1</v>
      </c>
      <c r="E1026" s="6">
        <v>666.2</v>
      </c>
      <c r="F1026" s="17">
        <f t="shared" si="68"/>
        <v>666.2</v>
      </c>
      <c r="G1026" s="18" t="s">
        <v>192</v>
      </c>
      <c r="H1026" s="38">
        <v>179925</v>
      </c>
      <c r="I1026" s="18" t="s">
        <v>82</v>
      </c>
      <c r="J1026" s="19">
        <f t="shared" ref="J1026:J1089" si="69">IFERROR(SUMIFS($F$2:$F$1749,$A$2:$A$1749,A1026,$B$2:$B$1749,B1026)/H1026,"")</f>
        <v>0.51397676685024019</v>
      </c>
    </row>
    <row r="1027" spans="1:10" ht="14.25" hidden="1" customHeight="1" x14ac:dyDescent="0.3">
      <c r="A1027" t="s">
        <v>6</v>
      </c>
      <c r="B1027" t="s">
        <v>15</v>
      </c>
      <c r="C1027" t="s">
        <v>58</v>
      </c>
      <c r="D1027" s="133">
        <v>11</v>
      </c>
      <c r="E1027" s="17">
        <v>9.8512850000000007</v>
      </c>
      <c r="F1027" s="17">
        <f t="shared" si="68"/>
        <v>108.364135</v>
      </c>
      <c r="G1027" s="18" t="s">
        <v>171</v>
      </c>
      <c r="H1027" s="38">
        <v>179925</v>
      </c>
      <c r="I1027" s="18" t="s">
        <v>82</v>
      </c>
      <c r="J1027" s="19">
        <f t="shared" si="69"/>
        <v>0.51397676685024019</v>
      </c>
    </row>
    <row r="1028" spans="1:10" ht="14.25" hidden="1" customHeight="1" x14ac:dyDescent="0.3">
      <c r="A1028" t="s">
        <v>6</v>
      </c>
      <c r="B1028" t="s">
        <v>15</v>
      </c>
      <c r="C1028" t="s">
        <v>59</v>
      </c>
      <c r="D1028" s="133">
        <v>11</v>
      </c>
      <c r="E1028" s="17">
        <v>2.0358360000000002</v>
      </c>
      <c r="F1028" s="17">
        <f t="shared" si="68"/>
        <v>22.394196000000001</v>
      </c>
      <c r="G1028" s="18" t="s">
        <v>171</v>
      </c>
      <c r="H1028" s="38">
        <v>179925</v>
      </c>
      <c r="I1028" s="18" t="s">
        <v>82</v>
      </c>
      <c r="J1028" s="19">
        <f t="shared" si="69"/>
        <v>0.51397676685024019</v>
      </c>
    </row>
    <row r="1029" spans="1:10" ht="14.25" hidden="1" customHeight="1" x14ac:dyDescent="0.3">
      <c r="A1029" t="s">
        <v>6</v>
      </c>
      <c r="B1029" t="s">
        <v>15</v>
      </c>
      <c r="C1029" t="s">
        <v>102</v>
      </c>
      <c r="D1029" s="5">
        <v>1</v>
      </c>
      <c r="E1029" s="17"/>
      <c r="F1029" s="17">
        <f t="shared" si="68"/>
        <v>0</v>
      </c>
      <c r="G1029" s="18"/>
      <c r="H1029" s="38">
        <v>179925</v>
      </c>
      <c r="I1029" s="18" t="s">
        <v>82</v>
      </c>
      <c r="J1029" s="19">
        <f t="shared" si="69"/>
        <v>0.51397676685024019</v>
      </c>
    </row>
    <row r="1030" spans="1:10" ht="14.25" hidden="1" customHeight="1" x14ac:dyDescent="0.3">
      <c r="A1030" t="s">
        <v>6</v>
      </c>
      <c r="B1030" t="s">
        <v>15</v>
      </c>
      <c r="C1030" t="s">
        <v>103</v>
      </c>
      <c r="D1030" s="5">
        <v>1</v>
      </c>
      <c r="E1030" s="17"/>
      <c r="F1030" s="17">
        <f t="shared" si="68"/>
        <v>0</v>
      </c>
      <c r="G1030" s="18"/>
      <c r="H1030" s="38">
        <v>179925</v>
      </c>
      <c r="I1030" s="18" t="s">
        <v>82</v>
      </c>
      <c r="J1030" s="19">
        <f t="shared" si="69"/>
        <v>0.51397676685024019</v>
      </c>
    </row>
    <row r="1031" spans="1:10" ht="14.25" hidden="1" customHeight="1" x14ac:dyDescent="0.3">
      <c r="A1031" t="s">
        <v>6</v>
      </c>
      <c r="B1031" t="s">
        <v>15</v>
      </c>
      <c r="C1031" t="s">
        <v>104</v>
      </c>
      <c r="D1031" s="5">
        <v>0</v>
      </c>
      <c r="E1031" s="17"/>
      <c r="F1031" s="17">
        <f t="shared" si="68"/>
        <v>0</v>
      </c>
      <c r="G1031" s="18"/>
      <c r="H1031" s="38">
        <v>179925</v>
      </c>
      <c r="I1031" s="18" t="s">
        <v>82</v>
      </c>
      <c r="J1031" s="19">
        <f t="shared" si="69"/>
        <v>0.51397676685024019</v>
      </c>
    </row>
    <row r="1032" spans="1:10" ht="14.25" hidden="1" customHeight="1" x14ac:dyDescent="0.3">
      <c r="A1032" t="s">
        <v>6</v>
      </c>
      <c r="B1032" t="s">
        <v>15</v>
      </c>
      <c r="C1032" t="s">
        <v>74</v>
      </c>
      <c r="D1032" s="60">
        <v>0</v>
      </c>
      <c r="E1032" s="17"/>
      <c r="F1032" s="17">
        <f t="shared" si="68"/>
        <v>0</v>
      </c>
      <c r="G1032" s="18"/>
      <c r="H1032" s="38">
        <v>179925</v>
      </c>
      <c r="I1032" s="18" t="s">
        <v>82</v>
      </c>
      <c r="J1032" s="19">
        <f t="shared" si="69"/>
        <v>0.51397676685024019</v>
      </c>
    </row>
    <row r="1033" spans="1:10" ht="14.25" hidden="1" customHeight="1" x14ac:dyDescent="0.3">
      <c r="A1033" t="s">
        <v>6</v>
      </c>
      <c r="B1033" t="s">
        <v>15</v>
      </c>
      <c r="C1033" t="s">
        <v>62</v>
      </c>
      <c r="D1033" s="60">
        <v>0</v>
      </c>
      <c r="E1033" s="17"/>
      <c r="F1033" s="17">
        <f t="shared" si="68"/>
        <v>0</v>
      </c>
      <c r="G1033" s="18"/>
      <c r="H1033" s="38">
        <v>179925</v>
      </c>
      <c r="I1033" s="18" t="s">
        <v>82</v>
      </c>
      <c r="J1033" s="19">
        <f t="shared" si="69"/>
        <v>0.51397676685024019</v>
      </c>
    </row>
    <row r="1034" spans="1:10" ht="14.25" hidden="1" customHeight="1" x14ac:dyDescent="0.3">
      <c r="A1034" t="s">
        <v>6</v>
      </c>
      <c r="B1034" t="s">
        <v>15</v>
      </c>
      <c r="C1034" t="s">
        <v>105</v>
      </c>
      <c r="D1034" s="5">
        <v>1</v>
      </c>
      <c r="E1034" s="17"/>
      <c r="F1034" s="17">
        <f t="shared" si="68"/>
        <v>0</v>
      </c>
      <c r="G1034" s="18"/>
      <c r="H1034" s="38">
        <v>179925</v>
      </c>
      <c r="I1034" s="18" t="s">
        <v>82</v>
      </c>
      <c r="J1034" s="19">
        <f t="shared" si="69"/>
        <v>0.51397676685024019</v>
      </c>
    </row>
    <row r="1035" spans="1:10" ht="14.25" hidden="1" customHeight="1" x14ac:dyDescent="0.3">
      <c r="A1035" t="s">
        <v>6</v>
      </c>
      <c r="B1035" t="s">
        <v>15</v>
      </c>
      <c r="C1035" t="s">
        <v>60</v>
      </c>
      <c r="D1035" s="5">
        <v>0</v>
      </c>
      <c r="E1035" s="17"/>
      <c r="F1035" s="17">
        <f t="shared" si="68"/>
        <v>0</v>
      </c>
      <c r="G1035" s="18"/>
      <c r="H1035" s="38">
        <v>179925</v>
      </c>
      <c r="I1035" s="18" t="s">
        <v>82</v>
      </c>
      <c r="J1035" s="19">
        <f t="shared" si="69"/>
        <v>0.51397676685024019</v>
      </c>
    </row>
    <row r="1036" spans="1:10" ht="14.25" hidden="1" customHeight="1" x14ac:dyDescent="0.3">
      <c r="A1036" t="s">
        <v>6</v>
      </c>
      <c r="B1036" t="s">
        <v>15</v>
      </c>
      <c r="C1036" t="s">
        <v>84</v>
      </c>
      <c r="D1036" s="5">
        <v>0</v>
      </c>
      <c r="E1036" s="17"/>
      <c r="F1036" s="17">
        <f t="shared" si="68"/>
        <v>0</v>
      </c>
      <c r="G1036" s="18"/>
      <c r="H1036" s="38">
        <v>179925</v>
      </c>
      <c r="I1036" s="18" t="s">
        <v>82</v>
      </c>
      <c r="J1036" s="19">
        <f t="shared" si="69"/>
        <v>0.51397676685024019</v>
      </c>
    </row>
    <row r="1037" spans="1:10" ht="14.25" hidden="1" customHeight="1" x14ac:dyDescent="0.3">
      <c r="A1037" t="s">
        <v>6</v>
      </c>
      <c r="B1037" t="s">
        <v>15</v>
      </c>
      <c r="C1037" t="s">
        <v>75</v>
      </c>
      <c r="D1037" s="5">
        <v>1</v>
      </c>
      <c r="E1037" s="59">
        <v>22.5</v>
      </c>
      <c r="F1037" s="17">
        <f t="shared" si="68"/>
        <v>22.5</v>
      </c>
      <c r="G1037" s="18"/>
      <c r="H1037" s="38">
        <v>179925</v>
      </c>
      <c r="I1037" s="18" t="s">
        <v>82</v>
      </c>
      <c r="J1037" s="19">
        <f t="shared" si="69"/>
        <v>0.51397676685024019</v>
      </c>
    </row>
    <row r="1038" spans="1:10" ht="14.25" hidden="1" customHeight="1" x14ac:dyDescent="0.3">
      <c r="A1038" t="s">
        <v>6</v>
      </c>
      <c r="B1038" t="s">
        <v>15</v>
      </c>
      <c r="C1038" t="s">
        <v>64</v>
      </c>
      <c r="D1038" s="60">
        <v>0</v>
      </c>
      <c r="E1038" s="17"/>
      <c r="F1038" s="17">
        <f t="shared" si="68"/>
        <v>0</v>
      </c>
      <c r="G1038" s="18"/>
      <c r="H1038" s="38">
        <v>179925</v>
      </c>
      <c r="I1038" s="18" t="s">
        <v>82</v>
      </c>
      <c r="J1038" s="19">
        <f t="shared" si="69"/>
        <v>0.51397676685024019</v>
      </c>
    </row>
    <row r="1039" spans="1:10" ht="14.25" hidden="1" customHeight="1" x14ac:dyDescent="0.3">
      <c r="A1039" t="s">
        <v>6</v>
      </c>
      <c r="B1039" t="s">
        <v>15</v>
      </c>
      <c r="C1039" t="s">
        <v>67</v>
      </c>
      <c r="D1039" s="5">
        <v>1</v>
      </c>
      <c r="E1039" s="17"/>
      <c r="F1039" s="17">
        <f t="shared" si="68"/>
        <v>0</v>
      </c>
      <c r="G1039" s="18"/>
      <c r="H1039" s="38">
        <v>179925</v>
      </c>
      <c r="I1039" s="18" t="s">
        <v>82</v>
      </c>
      <c r="J1039" s="19">
        <f t="shared" si="69"/>
        <v>0.51397676685024019</v>
      </c>
    </row>
    <row r="1040" spans="1:10" ht="14.25" hidden="1" customHeight="1" x14ac:dyDescent="0.3">
      <c r="A1040" t="s">
        <v>6</v>
      </c>
      <c r="B1040" t="s">
        <v>15</v>
      </c>
      <c r="C1040" t="s">
        <v>86</v>
      </c>
      <c r="D1040" s="5">
        <v>1</v>
      </c>
      <c r="E1040" s="17"/>
      <c r="F1040" s="17">
        <f t="shared" si="68"/>
        <v>0</v>
      </c>
      <c r="G1040" s="18"/>
      <c r="H1040" s="38">
        <v>179925</v>
      </c>
      <c r="I1040" s="18" t="s">
        <v>82</v>
      </c>
      <c r="J1040" s="19">
        <f t="shared" si="69"/>
        <v>0.51397676685024019</v>
      </c>
    </row>
    <row r="1041" spans="1:10" ht="14.25" hidden="1" customHeight="1" x14ac:dyDescent="0.3">
      <c r="A1041" t="s">
        <v>6</v>
      </c>
      <c r="B1041" t="s">
        <v>15</v>
      </c>
      <c r="C1041" t="s">
        <v>106</v>
      </c>
      <c r="D1041" s="5">
        <v>1</v>
      </c>
      <c r="E1041" s="17"/>
      <c r="F1041" s="17">
        <f t="shared" si="68"/>
        <v>0</v>
      </c>
      <c r="G1041" s="18"/>
      <c r="H1041" s="38">
        <v>179925</v>
      </c>
      <c r="I1041" s="18" t="s">
        <v>82</v>
      </c>
      <c r="J1041" s="19">
        <f t="shared" si="69"/>
        <v>0.51397676685024019</v>
      </c>
    </row>
    <row r="1042" spans="1:10" ht="14.25" hidden="1" customHeight="1" x14ac:dyDescent="0.3">
      <c r="A1042" t="s">
        <v>6</v>
      </c>
      <c r="B1042" t="s">
        <v>15</v>
      </c>
      <c r="C1042" t="s">
        <v>107</v>
      </c>
      <c r="D1042" s="5">
        <v>1</v>
      </c>
      <c r="E1042" s="17"/>
      <c r="F1042" s="17">
        <f t="shared" si="68"/>
        <v>0</v>
      </c>
      <c r="G1042" s="18"/>
      <c r="H1042" s="38">
        <v>179925</v>
      </c>
      <c r="I1042" s="18" t="s">
        <v>82</v>
      </c>
      <c r="J1042" s="19">
        <f t="shared" si="69"/>
        <v>0.51397676685024019</v>
      </c>
    </row>
    <row r="1043" spans="1:10" ht="14.25" hidden="1" customHeight="1" x14ac:dyDescent="0.3">
      <c r="A1043" t="s">
        <v>6</v>
      </c>
      <c r="B1043" t="s">
        <v>17</v>
      </c>
      <c r="C1043" t="s">
        <v>108</v>
      </c>
      <c r="D1043" s="5">
        <v>48</v>
      </c>
      <c r="E1043" s="17"/>
      <c r="F1043" s="17">
        <f>E1043</f>
        <v>0</v>
      </c>
      <c r="G1043" s="18"/>
      <c r="H1043" s="38">
        <v>179925</v>
      </c>
      <c r="I1043" s="18" t="s">
        <v>82</v>
      </c>
      <c r="J1043" s="19">
        <f t="shared" si="69"/>
        <v>4.3883087258789387E-2</v>
      </c>
    </row>
    <row r="1044" spans="1:10" ht="14.25" hidden="1" customHeight="1" x14ac:dyDescent="0.3">
      <c r="A1044" t="s">
        <v>6</v>
      </c>
      <c r="B1044" t="s">
        <v>17</v>
      </c>
      <c r="C1044" t="s">
        <v>55</v>
      </c>
      <c r="D1044" s="5">
        <v>48</v>
      </c>
      <c r="E1044" s="37">
        <v>58.416942229951687</v>
      </c>
      <c r="F1044" s="17">
        <f t="shared" ref="F1044:F1061" si="70">D1044*E1044</f>
        <v>2804.0132270376807</v>
      </c>
      <c r="G1044" s="18"/>
      <c r="H1044" s="38">
        <v>179925</v>
      </c>
      <c r="I1044" s="18" t="s">
        <v>82</v>
      </c>
      <c r="J1044" s="19">
        <f t="shared" si="69"/>
        <v>4.3883087258789387E-2</v>
      </c>
    </row>
    <row r="1045" spans="1:10" ht="14.25" hidden="1" customHeight="1" x14ac:dyDescent="0.3">
      <c r="A1045" t="s">
        <v>6</v>
      </c>
      <c r="B1045" t="s">
        <v>17</v>
      </c>
      <c r="C1045" t="s">
        <v>26</v>
      </c>
      <c r="D1045" s="5">
        <v>48</v>
      </c>
      <c r="E1045" s="17">
        <v>25.999313999999998</v>
      </c>
      <c r="F1045" s="17">
        <f t="shared" si="70"/>
        <v>1247.9670719999999</v>
      </c>
      <c r="G1045" s="18" t="s">
        <v>171</v>
      </c>
      <c r="H1045" s="38">
        <v>179925</v>
      </c>
      <c r="I1045" s="18" t="s">
        <v>82</v>
      </c>
      <c r="J1045" s="19">
        <f t="shared" si="69"/>
        <v>4.3883087258789387E-2</v>
      </c>
    </row>
    <row r="1046" spans="1:10" ht="14.25" hidden="1" customHeight="1" x14ac:dyDescent="0.3">
      <c r="A1046" t="s">
        <v>6</v>
      </c>
      <c r="B1046" t="s">
        <v>17</v>
      </c>
      <c r="C1046" t="s">
        <v>14</v>
      </c>
      <c r="D1046" s="5">
        <v>48</v>
      </c>
      <c r="E1046" s="17">
        <v>42.772965999999997</v>
      </c>
      <c r="F1046" s="17">
        <f t="shared" si="70"/>
        <v>2053.1023679999998</v>
      </c>
      <c r="G1046" s="18" t="s">
        <v>171</v>
      </c>
      <c r="H1046" s="38">
        <v>179925</v>
      </c>
      <c r="I1046" s="18" t="s">
        <v>82</v>
      </c>
      <c r="J1046" s="19">
        <f t="shared" si="69"/>
        <v>4.3883087258789387E-2</v>
      </c>
    </row>
    <row r="1047" spans="1:10" ht="14.25" hidden="1" customHeight="1" x14ac:dyDescent="0.3">
      <c r="A1047" t="s">
        <v>6</v>
      </c>
      <c r="B1047" t="s">
        <v>17</v>
      </c>
      <c r="C1047" t="s">
        <v>56</v>
      </c>
      <c r="D1047" s="5">
        <v>1</v>
      </c>
      <c r="E1047" s="6">
        <v>50</v>
      </c>
      <c r="F1047" s="17">
        <f t="shared" si="70"/>
        <v>50</v>
      </c>
      <c r="G1047" s="18" t="s">
        <v>192</v>
      </c>
      <c r="H1047" s="38">
        <v>179925</v>
      </c>
      <c r="I1047" s="18" t="s">
        <v>82</v>
      </c>
      <c r="J1047" s="19">
        <f t="shared" si="69"/>
        <v>4.3883087258789387E-2</v>
      </c>
    </row>
    <row r="1048" spans="1:10" ht="14.25" hidden="1" customHeight="1" x14ac:dyDescent="0.3">
      <c r="A1048" t="s">
        <v>6</v>
      </c>
      <c r="B1048" t="s">
        <v>17</v>
      </c>
      <c r="C1048" t="s">
        <v>70</v>
      </c>
      <c r="D1048" s="5">
        <v>1</v>
      </c>
      <c r="E1048" s="17"/>
      <c r="F1048" s="17">
        <f t="shared" si="70"/>
        <v>0</v>
      </c>
      <c r="G1048" s="18"/>
      <c r="H1048" s="38">
        <v>179925</v>
      </c>
      <c r="I1048" s="18" t="s">
        <v>82</v>
      </c>
      <c r="J1048" s="19">
        <f t="shared" si="69"/>
        <v>4.3883087258789387E-2</v>
      </c>
    </row>
    <row r="1049" spans="1:10" ht="14.25" hidden="1" customHeight="1" x14ac:dyDescent="0.3">
      <c r="A1049" t="s">
        <v>6</v>
      </c>
      <c r="B1049" t="s">
        <v>17</v>
      </c>
      <c r="C1049" t="s">
        <v>76</v>
      </c>
      <c r="D1049" s="5">
        <v>39</v>
      </c>
      <c r="E1049" s="6">
        <v>30</v>
      </c>
      <c r="F1049" s="17">
        <f t="shared" si="70"/>
        <v>1170</v>
      </c>
      <c r="G1049" s="18" t="s">
        <v>192</v>
      </c>
      <c r="H1049" s="38">
        <v>179925</v>
      </c>
      <c r="I1049" s="18" t="s">
        <v>82</v>
      </c>
      <c r="J1049" s="19">
        <f t="shared" si="69"/>
        <v>4.3883087258789387E-2</v>
      </c>
    </row>
    <row r="1050" spans="1:10" ht="14.25" hidden="1" customHeight="1" x14ac:dyDescent="0.3">
      <c r="A1050" t="s">
        <v>6</v>
      </c>
      <c r="B1050" t="s">
        <v>17</v>
      </c>
      <c r="C1050" t="s">
        <v>58</v>
      </c>
      <c r="D1050" s="5">
        <v>48</v>
      </c>
      <c r="E1050" s="17">
        <v>9.8512850000000007</v>
      </c>
      <c r="F1050" s="17">
        <f t="shared" si="70"/>
        <v>472.86168000000004</v>
      </c>
      <c r="G1050" s="18" t="s">
        <v>171</v>
      </c>
      <c r="H1050" s="38">
        <v>179925</v>
      </c>
      <c r="I1050" s="18" t="s">
        <v>82</v>
      </c>
      <c r="J1050" s="19">
        <f t="shared" si="69"/>
        <v>4.3883087258789387E-2</v>
      </c>
    </row>
    <row r="1051" spans="1:10" ht="14.25" hidden="1" customHeight="1" x14ac:dyDescent="0.3">
      <c r="A1051" t="s">
        <v>6</v>
      </c>
      <c r="B1051" t="s">
        <v>17</v>
      </c>
      <c r="C1051" t="s">
        <v>59</v>
      </c>
      <c r="D1051" s="5">
        <v>48</v>
      </c>
      <c r="E1051" s="17">
        <v>2.0358360000000002</v>
      </c>
      <c r="F1051" s="17">
        <f t="shared" si="70"/>
        <v>97.720128000000017</v>
      </c>
      <c r="G1051" s="18" t="s">
        <v>171</v>
      </c>
      <c r="H1051" s="38">
        <v>179925</v>
      </c>
      <c r="I1051" s="18" t="s">
        <v>82</v>
      </c>
      <c r="J1051" s="19">
        <f t="shared" si="69"/>
        <v>4.3883087258789387E-2</v>
      </c>
    </row>
    <row r="1052" spans="1:10" ht="14.25" hidden="1" customHeight="1" x14ac:dyDescent="0.3">
      <c r="A1052" t="s">
        <v>6</v>
      </c>
      <c r="B1052" t="s">
        <v>17</v>
      </c>
      <c r="C1052" t="s">
        <v>102</v>
      </c>
      <c r="D1052" s="5">
        <v>0</v>
      </c>
      <c r="E1052" s="17"/>
      <c r="F1052" s="17">
        <f t="shared" si="70"/>
        <v>0</v>
      </c>
      <c r="G1052" s="18"/>
      <c r="H1052" s="38">
        <v>179925</v>
      </c>
      <c r="I1052" s="18" t="s">
        <v>82</v>
      </c>
      <c r="J1052" s="19">
        <f t="shared" si="69"/>
        <v>4.3883087258789387E-2</v>
      </c>
    </row>
    <row r="1053" spans="1:10" ht="14.25" hidden="1" customHeight="1" x14ac:dyDescent="0.3">
      <c r="A1053" t="s">
        <v>6</v>
      </c>
      <c r="B1053" t="s">
        <v>17</v>
      </c>
      <c r="C1053" t="s">
        <v>103</v>
      </c>
      <c r="D1053" s="5">
        <v>0</v>
      </c>
      <c r="E1053" s="17"/>
      <c r="F1053" s="17">
        <f t="shared" si="70"/>
        <v>0</v>
      </c>
      <c r="G1053" s="18"/>
      <c r="H1053" s="38">
        <v>179925</v>
      </c>
      <c r="I1053" s="18" t="s">
        <v>82</v>
      </c>
      <c r="J1053" s="19">
        <f t="shared" si="69"/>
        <v>4.3883087258789387E-2</v>
      </c>
    </row>
    <row r="1054" spans="1:10" ht="14.25" hidden="1" customHeight="1" x14ac:dyDescent="0.3">
      <c r="A1054" t="s">
        <v>6</v>
      </c>
      <c r="B1054" t="s">
        <v>17</v>
      </c>
      <c r="C1054" t="s">
        <v>104</v>
      </c>
      <c r="D1054" s="5">
        <v>0</v>
      </c>
      <c r="E1054" s="17"/>
      <c r="F1054" s="17">
        <f t="shared" si="70"/>
        <v>0</v>
      </c>
      <c r="G1054" s="18"/>
      <c r="H1054" s="38">
        <v>179925</v>
      </c>
      <c r="I1054" s="18" t="s">
        <v>82</v>
      </c>
      <c r="J1054" s="19">
        <f t="shared" si="69"/>
        <v>4.3883087258789387E-2</v>
      </c>
    </row>
    <row r="1055" spans="1:10" ht="14.25" hidden="1" customHeight="1" x14ac:dyDescent="0.3">
      <c r="A1055" t="s">
        <v>6</v>
      </c>
      <c r="B1055" t="s">
        <v>17</v>
      </c>
      <c r="C1055" t="s">
        <v>74</v>
      </c>
      <c r="D1055" s="60">
        <v>0</v>
      </c>
      <c r="E1055" s="17"/>
      <c r="F1055" s="17">
        <f t="shared" si="70"/>
        <v>0</v>
      </c>
      <c r="G1055" s="18"/>
      <c r="H1055" s="38">
        <v>179925</v>
      </c>
      <c r="I1055" s="18" t="s">
        <v>82</v>
      </c>
      <c r="J1055" s="19">
        <f t="shared" si="69"/>
        <v>4.3883087258789387E-2</v>
      </c>
    </row>
    <row r="1056" spans="1:10" ht="14.25" hidden="1" customHeight="1" x14ac:dyDescent="0.3">
      <c r="A1056" t="s">
        <v>6</v>
      </c>
      <c r="B1056" t="s">
        <v>17</v>
      </c>
      <c r="C1056" t="s">
        <v>62</v>
      </c>
      <c r="D1056" s="60">
        <v>0</v>
      </c>
      <c r="E1056" s="17"/>
      <c r="F1056" s="17">
        <f t="shared" si="70"/>
        <v>0</v>
      </c>
      <c r="G1056" s="18"/>
      <c r="H1056" s="38">
        <v>179925</v>
      </c>
      <c r="I1056" s="18" t="s">
        <v>82</v>
      </c>
      <c r="J1056" s="19">
        <f t="shared" si="69"/>
        <v>4.3883087258789387E-2</v>
      </c>
    </row>
    <row r="1057" spans="1:10" ht="14.25" hidden="1" customHeight="1" x14ac:dyDescent="0.3">
      <c r="A1057" t="s">
        <v>6</v>
      </c>
      <c r="B1057" t="s">
        <v>17</v>
      </c>
      <c r="C1057" t="s">
        <v>67</v>
      </c>
      <c r="D1057" s="5">
        <v>0</v>
      </c>
      <c r="E1057" s="17"/>
      <c r="F1057" s="17">
        <f t="shared" si="70"/>
        <v>0</v>
      </c>
      <c r="G1057" s="18"/>
      <c r="H1057" s="38">
        <v>179925</v>
      </c>
      <c r="I1057" s="18" t="s">
        <v>82</v>
      </c>
      <c r="J1057" s="19">
        <f t="shared" si="69"/>
        <v>4.3883087258789387E-2</v>
      </c>
    </row>
    <row r="1058" spans="1:10" ht="14.25" hidden="1" customHeight="1" x14ac:dyDescent="0.3">
      <c r="A1058" t="s">
        <v>6</v>
      </c>
      <c r="B1058" t="s">
        <v>17</v>
      </c>
      <c r="C1058" t="s">
        <v>86</v>
      </c>
      <c r="D1058" s="5">
        <v>0</v>
      </c>
      <c r="E1058" s="17"/>
      <c r="F1058" s="17">
        <f t="shared" si="70"/>
        <v>0</v>
      </c>
      <c r="G1058" s="18"/>
      <c r="H1058" s="38">
        <v>179925</v>
      </c>
      <c r="I1058" s="18" t="s">
        <v>82</v>
      </c>
      <c r="J1058" s="19">
        <f t="shared" si="69"/>
        <v>4.3883087258789387E-2</v>
      </c>
    </row>
    <row r="1059" spans="1:10" ht="14.25" hidden="1" customHeight="1" x14ac:dyDescent="0.3">
      <c r="A1059" t="s">
        <v>6</v>
      </c>
      <c r="B1059" t="s">
        <v>17</v>
      </c>
      <c r="C1059" t="s">
        <v>109</v>
      </c>
      <c r="D1059" s="5">
        <v>0</v>
      </c>
      <c r="E1059" s="17"/>
      <c r="F1059" s="17">
        <f t="shared" si="70"/>
        <v>0</v>
      </c>
      <c r="G1059" s="18"/>
      <c r="H1059" s="38">
        <v>179925</v>
      </c>
      <c r="I1059" s="18" t="s">
        <v>82</v>
      </c>
      <c r="J1059" s="19">
        <f t="shared" si="69"/>
        <v>4.3883087258789387E-2</v>
      </c>
    </row>
    <row r="1060" spans="1:10" ht="14.25" hidden="1" customHeight="1" x14ac:dyDescent="0.3">
      <c r="A1060" t="s">
        <v>6</v>
      </c>
      <c r="B1060" t="s">
        <v>17</v>
      </c>
      <c r="C1060" t="s">
        <v>110</v>
      </c>
      <c r="D1060" s="5">
        <v>0</v>
      </c>
      <c r="E1060" s="17"/>
      <c r="F1060" s="17">
        <f t="shared" si="70"/>
        <v>0</v>
      </c>
      <c r="G1060" s="18"/>
      <c r="H1060" s="38">
        <v>179925</v>
      </c>
      <c r="I1060" s="18" t="s">
        <v>82</v>
      </c>
      <c r="J1060" s="19">
        <f t="shared" si="69"/>
        <v>4.3883087258789387E-2</v>
      </c>
    </row>
    <row r="1061" spans="1:10" ht="14.25" hidden="1" customHeight="1" x14ac:dyDescent="0.3">
      <c r="A1061" t="s">
        <v>6</v>
      </c>
      <c r="B1061" t="s">
        <v>17</v>
      </c>
      <c r="C1061" t="s">
        <v>111</v>
      </c>
      <c r="D1061" s="5">
        <v>0</v>
      </c>
      <c r="E1061" s="17"/>
      <c r="F1061" s="17">
        <f t="shared" si="70"/>
        <v>0</v>
      </c>
      <c r="G1061" s="18"/>
      <c r="H1061" s="38">
        <v>179925</v>
      </c>
      <c r="I1061" s="18" t="s">
        <v>82</v>
      </c>
      <c r="J1061" s="19">
        <f t="shared" si="69"/>
        <v>4.3883087258789387E-2</v>
      </c>
    </row>
    <row r="1062" spans="1:10" ht="14.25" hidden="1" customHeight="1" x14ac:dyDescent="0.3">
      <c r="A1062" t="s">
        <v>6</v>
      </c>
      <c r="B1062" t="s">
        <v>16</v>
      </c>
      <c r="C1062" t="s">
        <v>112</v>
      </c>
      <c r="D1062" s="5">
        <v>38</v>
      </c>
      <c r="E1062" s="17"/>
      <c r="F1062" s="17">
        <f>E1062</f>
        <v>0</v>
      </c>
      <c r="G1062" s="18"/>
      <c r="H1062" s="38">
        <v>179925</v>
      </c>
      <c r="I1062" s="18" t="s">
        <v>82</v>
      </c>
      <c r="J1062" s="19">
        <f t="shared" si="69"/>
        <v>3.0539952995626864E-2</v>
      </c>
    </row>
    <row r="1063" spans="1:10" ht="14.25" hidden="1" customHeight="1" x14ac:dyDescent="0.3">
      <c r="A1063" t="s">
        <v>6</v>
      </c>
      <c r="B1063" t="s">
        <v>16</v>
      </c>
      <c r="C1063" t="s">
        <v>55</v>
      </c>
      <c r="D1063" s="5">
        <v>38</v>
      </c>
      <c r="E1063" s="37">
        <v>58.416942229951687</v>
      </c>
      <c r="F1063" s="17">
        <f t="shared" ref="F1063:F1080" si="71">D1063*E1063</f>
        <v>2219.8438047381642</v>
      </c>
      <c r="G1063" s="18"/>
      <c r="H1063" s="38">
        <v>179925</v>
      </c>
      <c r="I1063" s="18" t="s">
        <v>82</v>
      </c>
      <c r="J1063" s="19">
        <f t="shared" si="69"/>
        <v>3.0539952995626864E-2</v>
      </c>
    </row>
    <row r="1064" spans="1:10" ht="14.25" hidden="1" customHeight="1" x14ac:dyDescent="0.3">
      <c r="A1064" t="s">
        <v>6</v>
      </c>
      <c r="B1064" t="s">
        <v>16</v>
      </c>
      <c r="C1064" t="s">
        <v>26</v>
      </c>
      <c r="D1064" s="5">
        <v>38</v>
      </c>
      <c r="E1064" s="17">
        <v>25.999313999999998</v>
      </c>
      <c r="F1064" s="17">
        <f t="shared" si="71"/>
        <v>987.97393199999988</v>
      </c>
      <c r="G1064" s="18" t="s">
        <v>171</v>
      </c>
      <c r="H1064" s="38">
        <v>179925</v>
      </c>
      <c r="I1064" s="18" t="s">
        <v>82</v>
      </c>
      <c r="J1064" s="19">
        <f t="shared" si="69"/>
        <v>3.0539952995626864E-2</v>
      </c>
    </row>
    <row r="1065" spans="1:10" ht="14.25" hidden="1" customHeight="1" x14ac:dyDescent="0.3">
      <c r="A1065" t="s">
        <v>6</v>
      </c>
      <c r="B1065" t="s">
        <v>16</v>
      </c>
      <c r="C1065" t="s">
        <v>14</v>
      </c>
      <c r="D1065" s="5">
        <v>38</v>
      </c>
      <c r="E1065" s="17">
        <v>42.772965999999997</v>
      </c>
      <c r="F1065" s="17">
        <f t="shared" si="71"/>
        <v>1625.3727079999999</v>
      </c>
      <c r="G1065" s="18" t="s">
        <v>171</v>
      </c>
      <c r="H1065" s="38">
        <v>179925</v>
      </c>
      <c r="I1065" s="18" t="s">
        <v>82</v>
      </c>
      <c r="J1065" s="19">
        <f t="shared" si="69"/>
        <v>3.0539952995626864E-2</v>
      </c>
    </row>
    <row r="1066" spans="1:10" ht="14.25" hidden="1" customHeight="1" x14ac:dyDescent="0.3">
      <c r="A1066" t="s">
        <v>6</v>
      </c>
      <c r="B1066" t="s">
        <v>16</v>
      </c>
      <c r="C1066" t="s">
        <v>56</v>
      </c>
      <c r="D1066" s="5">
        <v>3</v>
      </c>
      <c r="E1066" s="6">
        <v>50</v>
      </c>
      <c r="F1066" s="17">
        <f t="shared" si="71"/>
        <v>150</v>
      </c>
      <c r="G1066" s="18" t="s">
        <v>192</v>
      </c>
      <c r="H1066" s="38">
        <v>179925</v>
      </c>
      <c r="I1066" s="18" t="s">
        <v>82</v>
      </c>
      <c r="J1066" s="19">
        <f t="shared" si="69"/>
        <v>3.0539952995626864E-2</v>
      </c>
    </row>
    <row r="1067" spans="1:10" ht="14.25" hidden="1" customHeight="1" x14ac:dyDescent="0.3">
      <c r="A1067" t="s">
        <v>6</v>
      </c>
      <c r="B1067" t="s">
        <v>16</v>
      </c>
      <c r="C1067" t="s">
        <v>70</v>
      </c>
      <c r="D1067" s="5">
        <v>1</v>
      </c>
      <c r="E1067" s="17"/>
      <c r="F1067" s="17">
        <f t="shared" si="71"/>
        <v>0</v>
      </c>
      <c r="G1067" s="18"/>
      <c r="H1067" s="38">
        <v>179925</v>
      </c>
      <c r="I1067" s="18" t="s">
        <v>82</v>
      </c>
      <c r="J1067" s="19">
        <f t="shared" si="69"/>
        <v>3.0539952995626864E-2</v>
      </c>
    </row>
    <row r="1068" spans="1:10" ht="14.25" hidden="1" customHeight="1" x14ac:dyDescent="0.3">
      <c r="A1068" t="s">
        <v>6</v>
      </c>
      <c r="B1068" t="s">
        <v>16</v>
      </c>
      <c r="C1068" t="s">
        <v>71</v>
      </c>
      <c r="D1068" s="5">
        <v>2</v>
      </c>
      <c r="E1068" s="6">
        <v>30</v>
      </c>
      <c r="F1068" s="17">
        <f t="shared" si="71"/>
        <v>60</v>
      </c>
      <c r="G1068" s="18" t="s">
        <v>192</v>
      </c>
      <c r="H1068" s="38">
        <v>179925</v>
      </c>
      <c r="I1068" s="18" t="s">
        <v>82</v>
      </c>
      <c r="J1068" s="19">
        <f t="shared" si="69"/>
        <v>3.0539952995626864E-2</v>
      </c>
    </row>
    <row r="1069" spans="1:10" ht="14.25" hidden="1" customHeight="1" x14ac:dyDescent="0.3">
      <c r="A1069" t="s">
        <v>6</v>
      </c>
      <c r="B1069" t="s">
        <v>16</v>
      </c>
      <c r="C1069" t="s">
        <v>58</v>
      </c>
      <c r="D1069" s="5">
        <v>38</v>
      </c>
      <c r="E1069" s="17">
        <v>9.8512850000000007</v>
      </c>
      <c r="F1069" s="17">
        <f t="shared" si="71"/>
        <v>374.34883000000002</v>
      </c>
      <c r="G1069" s="18" t="s">
        <v>171</v>
      </c>
      <c r="H1069" s="38">
        <v>179925</v>
      </c>
      <c r="I1069" s="18" t="s">
        <v>82</v>
      </c>
      <c r="J1069" s="19">
        <f t="shared" si="69"/>
        <v>3.0539952995626864E-2</v>
      </c>
    </row>
    <row r="1070" spans="1:10" ht="14.25" hidden="1" customHeight="1" x14ac:dyDescent="0.3">
      <c r="A1070" t="s">
        <v>6</v>
      </c>
      <c r="B1070" t="s">
        <v>16</v>
      </c>
      <c r="C1070" t="s">
        <v>113</v>
      </c>
      <c r="D1070" s="5">
        <v>38</v>
      </c>
      <c r="E1070" s="17">
        <v>2.0358360000000002</v>
      </c>
      <c r="F1070" s="17">
        <f t="shared" si="71"/>
        <v>77.361768000000012</v>
      </c>
      <c r="G1070" s="18" t="s">
        <v>171</v>
      </c>
      <c r="H1070" s="38">
        <v>179925</v>
      </c>
      <c r="I1070" s="18" t="s">
        <v>82</v>
      </c>
      <c r="J1070" s="19">
        <f t="shared" si="69"/>
        <v>3.0539952995626864E-2</v>
      </c>
    </row>
    <row r="1071" spans="1:10" ht="14.25" hidden="1" customHeight="1" x14ac:dyDescent="0.3">
      <c r="A1071" t="s">
        <v>6</v>
      </c>
      <c r="B1071" t="s">
        <v>16</v>
      </c>
      <c r="C1071" t="s">
        <v>102</v>
      </c>
      <c r="D1071" s="5">
        <v>0</v>
      </c>
      <c r="E1071" s="17"/>
      <c r="F1071" s="17">
        <f t="shared" si="71"/>
        <v>0</v>
      </c>
      <c r="G1071" s="18"/>
      <c r="H1071" s="38">
        <v>179925</v>
      </c>
      <c r="I1071" s="18" t="s">
        <v>82</v>
      </c>
      <c r="J1071" s="19">
        <f t="shared" si="69"/>
        <v>3.0539952995626864E-2</v>
      </c>
    </row>
    <row r="1072" spans="1:10" ht="14.25" hidden="1" customHeight="1" x14ac:dyDescent="0.3">
      <c r="A1072" t="s">
        <v>6</v>
      </c>
      <c r="B1072" t="s">
        <v>16</v>
      </c>
      <c r="C1072" t="s">
        <v>103</v>
      </c>
      <c r="D1072" s="5">
        <v>0</v>
      </c>
      <c r="E1072" s="17"/>
      <c r="F1072" s="17">
        <f t="shared" si="71"/>
        <v>0</v>
      </c>
      <c r="G1072" s="18"/>
      <c r="H1072" s="38">
        <v>179925</v>
      </c>
      <c r="I1072" s="18" t="s">
        <v>82</v>
      </c>
      <c r="J1072" s="19">
        <f t="shared" si="69"/>
        <v>3.0539952995626864E-2</v>
      </c>
    </row>
    <row r="1073" spans="1:10" ht="14.25" hidden="1" customHeight="1" x14ac:dyDescent="0.3">
      <c r="A1073" t="s">
        <v>6</v>
      </c>
      <c r="B1073" t="s">
        <v>16</v>
      </c>
      <c r="C1073" t="s">
        <v>104</v>
      </c>
      <c r="D1073" s="5">
        <v>0</v>
      </c>
      <c r="E1073" s="17"/>
      <c r="F1073" s="17">
        <f t="shared" si="71"/>
        <v>0</v>
      </c>
      <c r="G1073" s="18"/>
      <c r="H1073" s="38">
        <v>179925</v>
      </c>
      <c r="I1073" s="18" t="s">
        <v>82</v>
      </c>
      <c r="J1073" s="19">
        <f t="shared" si="69"/>
        <v>3.0539952995626864E-2</v>
      </c>
    </row>
    <row r="1074" spans="1:10" ht="14.25" hidden="1" customHeight="1" x14ac:dyDescent="0.3">
      <c r="A1074" t="s">
        <v>6</v>
      </c>
      <c r="B1074" t="s">
        <v>16</v>
      </c>
      <c r="C1074" t="s">
        <v>74</v>
      </c>
      <c r="D1074" s="5">
        <v>0</v>
      </c>
      <c r="E1074" s="17"/>
      <c r="F1074" s="17">
        <f t="shared" si="71"/>
        <v>0</v>
      </c>
      <c r="G1074" s="18"/>
      <c r="H1074" s="38">
        <v>179925</v>
      </c>
      <c r="I1074" s="18" t="s">
        <v>82</v>
      </c>
      <c r="J1074" s="19">
        <f t="shared" si="69"/>
        <v>3.0539952995626864E-2</v>
      </c>
    </row>
    <row r="1075" spans="1:10" ht="14.25" hidden="1" customHeight="1" x14ac:dyDescent="0.3">
      <c r="A1075" t="s">
        <v>6</v>
      </c>
      <c r="B1075" t="s">
        <v>16</v>
      </c>
      <c r="C1075" t="s">
        <v>62</v>
      </c>
      <c r="D1075" s="5">
        <v>0</v>
      </c>
      <c r="E1075" s="17"/>
      <c r="F1075" s="17">
        <f t="shared" si="71"/>
        <v>0</v>
      </c>
      <c r="G1075" s="18"/>
      <c r="H1075" s="38">
        <v>179925</v>
      </c>
      <c r="I1075" s="18" t="s">
        <v>82</v>
      </c>
      <c r="J1075" s="19">
        <f t="shared" si="69"/>
        <v>3.0539952995626864E-2</v>
      </c>
    </row>
    <row r="1076" spans="1:10" ht="14.25" hidden="1" customHeight="1" x14ac:dyDescent="0.3">
      <c r="A1076" t="s">
        <v>6</v>
      </c>
      <c r="B1076" t="s">
        <v>16</v>
      </c>
      <c r="C1076" t="s">
        <v>67</v>
      </c>
      <c r="D1076" s="5">
        <v>0</v>
      </c>
      <c r="E1076" s="17"/>
      <c r="F1076" s="17">
        <f t="shared" si="71"/>
        <v>0</v>
      </c>
      <c r="G1076" s="18"/>
      <c r="H1076" s="38">
        <v>179925</v>
      </c>
      <c r="I1076" s="18" t="s">
        <v>82</v>
      </c>
      <c r="J1076" s="19">
        <f t="shared" si="69"/>
        <v>3.0539952995626864E-2</v>
      </c>
    </row>
    <row r="1077" spans="1:10" ht="14.25" hidden="1" customHeight="1" x14ac:dyDescent="0.3">
      <c r="A1077" t="s">
        <v>6</v>
      </c>
      <c r="B1077" t="s">
        <v>16</v>
      </c>
      <c r="C1077" t="s">
        <v>86</v>
      </c>
      <c r="D1077" s="5">
        <v>0</v>
      </c>
      <c r="E1077" s="17"/>
      <c r="F1077" s="17">
        <f t="shared" si="71"/>
        <v>0</v>
      </c>
      <c r="G1077" s="18"/>
      <c r="H1077" s="38">
        <v>179925</v>
      </c>
      <c r="I1077" s="18" t="s">
        <v>82</v>
      </c>
      <c r="J1077" s="19">
        <f t="shared" si="69"/>
        <v>3.0539952995626864E-2</v>
      </c>
    </row>
    <row r="1078" spans="1:10" ht="14.25" hidden="1" customHeight="1" x14ac:dyDescent="0.3">
      <c r="A1078" t="s">
        <v>6</v>
      </c>
      <c r="B1078" t="s">
        <v>16</v>
      </c>
      <c r="C1078" t="s">
        <v>114</v>
      </c>
      <c r="D1078" s="5">
        <v>0</v>
      </c>
      <c r="E1078" s="17"/>
      <c r="F1078" s="17">
        <f t="shared" si="71"/>
        <v>0</v>
      </c>
      <c r="G1078" s="18"/>
      <c r="H1078" s="38">
        <v>179925</v>
      </c>
      <c r="I1078" s="18" t="s">
        <v>82</v>
      </c>
      <c r="J1078" s="19">
        <f t="shared" si="69"/>
        <v>3.0539952995626864E-2</v>
      </c>
    </row>
    <row r="1079" spans="1:10" ht="14.25" hidden="1" customHeight="1" x14ac:dyDescent="0.3">
      <c r="A1079" t="s">
        <v>6</v>
      </c>
      <c r="B1079" t="s">
        <v>16</v>
      </c>
      <c r="C1079" t="s">
        <v>115</v>
      </c>
      <c r="D1079" s="5">
        <v>1</v>
      </c>
      <c r="E1079" s="17"/>
      <c r="F1079" s="17">
        <f t="shared" si="71"/>
        <v>0</v>
      </c>
      <c r="G1079" s="18"/>
      <c r="H1079" s="38">
        <v>179925</v>
      </c>
      <c r="I1079" s="18" t="s">
        <v>82</v>
      </c>
      <c r="J1079" s="19">
        <f t="shared" si="69"/>
        <v>3.0539952995626864E-2</v>
      </c>
    </row>
    <row r="1080" spans="1:10" ht="14.25" hidden="1" customHeight="1" x14ac:dyDescent="0.3">
      <c r="A1080" t="s">
        <v>6</v>
      </c>
      <c r="B1080" t="s">
        <v>16</v>
      </c>
      <c r="C1080" t="s">
        <v>116</v>
      </c>
      <c r="D1080" s="5">
        <v>1</v>
      </c>
      <c r="E1080" s="17"/>
      <c r="F1080" s="17">
        <f t="shared" si="71"/>
        <v>0</v>
      </c>
      <c r="G1080" s="18"/>
      <c r="H1080" s="38">
        <v>179925</v>
      </c>
      <c r="I1080" s="18" t="s">
        <v>82</v>
      </c>
      <c r="J1080" s="19">
        <f t="shared" si="69"/>
        <v>3.0539952995626864E-2</v>
      </c>
    </row>
    <row r="1081" spans="1:10" ht="14.25" hidden="1" customHeight="1" x14ac:dyDescent="0.3">
      <c r="A1081" t="s">
        <v>6</v>
      </c>
      <c r="B1081" t="s">
        <v>18</v>
      </c>
      <c r="C1081" t="s">
        <v>53</v>
      </c>
      <c r="D1081" s="133">
        <v>16</v>
      </c>
      <c r="E1081" s="134">
        <v>81527.59</v>
      </c>
      <c r="F1081" s="17">
        <f>E1081</f>
        <v>81527.59</v>
      </c>
      <c r="G1081" s="18" t="s">
        <v>200</v>
      </c>
      <c r="H1081" s="38">
        <v>179925</v>
      </c>
      <c r="I1081" s="18" t="s">
        <v>82</v>
      </c>
      <c r="J1081" s="19">
        <f t="shared" si="69"/>
        <v>0.47295229396514787</v>
      </c>
    </row>
    <row r="1082" spans="1:10" ht="14.25" hidden="1" customHeight="1" x14ac:dyDescent="0.3">
      <c r="A1082" t="s">
        <v>6</v>
      </c>
      <c r="B1082" t="s">
        <v>18</v>
      </c>
      <c r="C1082" t="s">
        <v>55</v>
      </c>
      <c r="D1082" s="133">
        <v>16</v>
      </c>
      <c r="E1082" s="37">
        <v>58.416942229951687</v>
      </c>
      <c r="F1082" s="17">
        <f t="shared" ref="F1082:F1097" si="72">D1082*E1082</f>
        <v>934.67107567922699</v>
      </c>
      <c r="G1082" s="18"/>
      <c r="H1082" s="38">
        <v>179925</v>
      </c>
      <c r="I1082" s="18" t="s">
        <v>82</v>
      </c>
      <c r="J1082" s="19">
        <f t="shared" si="69"/>
        <v>0.47295229396514787</v>
      </c>
    </row>
    <row r="1083" spans="1:10" ht="14.25" hidden="1" customHeight="1" x14ac:dyDescent="0.3">
      <c r="A1083" t="s">
        <v>6</v>
      </c>
      <c r="B1083" t="s">
        <v>18</v>
      </c>
      <c r="C1083" t="s">
        <v>26</v>
      </c>
      <c r="D1083" s="133">
        <v>16</v>
      </c>
      <c r="E1083" s="17">
        <v>25.999313999999998</v>
      </c>
      <c r="F1083" s="17">
        <f t="shared" si="72"/>
        <v>415.98902399999997</v>
      </c>
      <c r="G1083" s="18" t="s">
        <v>171</v>
      </c>
      <c r="H1083" s="38">
        <v>179925</v>
      </c>
      <c r="I1083" s="18" t="s">
        <v>82</v>
      </c>
      <c r="J1083" s="19">
        <f t="shared" si="69"/>
        <v>0.47295229396514787</v>
      </c>
    </row>
    <row r="1084" spans="1:10" ht="14.25" hidden="1" customHeight="1" x14ac:dyDescent="0.3">
      <c r="A1084" t="s">
        <v>6</v>
      </c>
      <c r="B1084" t="s">
        <v>18</v>
      </c>
      <c r="C1084" t="s">
        <v>14</v>
      </c>
      <c r="D1084" s="133">
        <v>16</v>
      </c>
      <c r="E1084" s="17">
        <v>42.772965999999997</v>
      </c>
      <c r="F1084" s="17">
        <f t="shared" si="72"/>
        <v>684.36745599999995</v>
      </c>
      <c r="G1084" s="18" t="s">
        <v>171</v>
      </c>
      <c r="H1084" s="38">
        <v>179925</v>
      </c>
      <c r="I1084" s="18" t="s">
        <v>82</v>
      </c>
      <c r="J1084" s="19">
        <f t="shared" si="69"/>
        <v>0.47295229396514787</v>
      </c>
    </row>
    <row r="1085" spans="1:10" ht="14.25" hidden="1" customHeight="1" x14ac:dyDescent="0.3">
      <c r="A1085" t="s">
        <v>6</v>
      </c>
      <c r="B1085" t="s">
        <v>18</v>
      </c>
      <c r="C1085" t="s">
        <v>56</v>
      </c>
      <c r="D1085" s="5">
        <v>11</v>
      </c>
      <c r="E1085" s="6">
        <v>50</v>
      </c>
      <c r="F1085" s="17">
        <f t="shared" si="72"/>
        <v>550</v>
      </c>
      <c r="G1085" s="18" t="s">
        <v>192</v>
      </c>
      <c r="H1085" s="38">
        <v>179925</v>
      </c>
      <c r="I1085" s="18" t="s">
        <v>82</v>
      </c>
      <c r="J1085" s="19">
        <f t="shared" si="69"/>
        <v>0.47295229396514787</v>
      </c>
    </row>
    <row r="1086" spans="1:10" ht="14.25" hidden="1" customHeight="1" x14ac:dyDescent="0.3">
      <c r="A1086" t="s">
        <v>6</v>
      </c>
      <c r="B1086" t="s">
        <v>18</v>
      </c>
      <c r="C1086" t="s">
        <v>70</v>
      </c>
      <c r="D1086" s="5">
        <v>0</v>
      </c>
      <c r="E1086" s="17"/>
      <c r="F1086" s="17">
        <f t="shared" si="72"/>
        <v>0</v>
      </c>
      <c r="G1086" s="18"/>
      <c r="H1086" s="38">
        <v>179925</v>
      </c>
      <c r="I1086" s="18" t="s">
        <v>82</v>
      </c>
      <c r="J1086" s="19">
        <f t="shared" si="69"/>
        <v>0.47295229396514787</v>
      </c>
    </row>
    <row r="1087" spans="1:10" ht="14.25" hidden="1" customHeight="1" x14ac:dyDescent="0.3">
      <c r="A1087" t="s">
        <v>6</v>
      </c>
      <c r="B1087" t="s">
        <v>18</v>
      </c>
      <c r="C1087" t="s">
        <v>57</v>
      </c>
      <c r="D1087" s="5">
        <v>5</v>
      </c>
      <c r="E1087" s="6">
        <v>30</v>
      </c>
      <c r="F1087" s="17">
        <f t="shared" si="72"/>
        <v>150</v>
      </c>
      <c r="G1087" s="18" t="s">
        <v>192</v>
      </c>
      <c r="H1087" s="38">
        <v>179925</v>
      </c>
      <c r="I1087" s="18" t="s">
        <v>82</v>
      </c>
      <c r="J1087" s="19">
        <f t="shared" si="69"/>
        <v>0.47295229396514787</v>
      </c>
    </row>
    <row r="1088" spans="1:10" ht="14.25" hidden="1" customHeight="1" x14ac:dyDescent="0.3">
      <c r="A1088" t="s">
        <v>6</v>
      </c>
      <c r="B1088" t="s">
        <v>18</v>
      </c>
      <c r="C1088" t="s">
        <v>72</v>
      </c>
      <c r="D1088" s="5">
        <v>1</v>
      </c>
      <c r="E1088" s="6">
        <v>153.58000000000001</v>
      </c>
      <c r="F1088" s="17">
        <f t="shared" si="72"/>
        <v>153.58000000000001</v>
      </c>
      <c r="G1088" s="18" t="s">
        <v>192</v>
      </c>
      <c r="H1088" s="38">
        <v>179925</v>
      </c>
      <c r="I1088" s="18" t="s">
        <v>82</v>
      </c>
      <c r="J1088" s="19">
        <f t="shared" si="69"/>
        <v>0.47295229396514787</v>
      </c>
    </row>
    <row r="1089" spans="1:10" ht="14.25" hidden="1" customHeight="1" x14ac:dyDescent="0.3">
      <c r="A1089" t="s">
        <v>6</v>
      </c>
      <c r="B1089" t="s">
        <v>18</v>
      </c>
      <c r="C1089" t="s">
        <v>58</v>
      </c>
      <c r="D1089" s="133">
        <v>16</v>
      </c>
      <c r="E1089" s="17">
        <v>9.8512850000000007</v>
      </c>
      <c r="F1089" s="17">
        <f t="shared" si="72"/>
        <v>157.62056000000001</v>
      </c>
      <c r="G1089" s="18" t="s">
        <v>171</v>
      </c>
      <c r="H1089" s="38">
        <v>179925</v>
      </c>
      <c r="I1089" s="18" t="s">
        <v>82</v>
      </c>
      <c r="J1089" s="19">
        <f t="shared" si="69"/>
        <v>0.47295229396514787</v>
      </c>
    </row>
    <row r="1090" spans="1:10" ht="14.25" hidden="1" customHeight="1" x14ac:dyDescent="0.3">
      <c r="A1090" t="s">
        <v>6</v>
      </c>
      <c r="B1090" t="s">
        <v>18</v>
      </c>
      <c r="C1090" t="s">
        <v>59</v>
      </c>
      <c r="D1090" s="133">
        <v>16</v>
      </c>
      <c r="E1090" s="17">
        <v>2.0358360000000002</v>
      </c>
      <c r="F1090" s="17">
        <f t="shared" si="72"/>
        <v>32.573376000000003</v>
      </c>
      <c r="G1090" s="18" t="s">
        <v>171</v>
      </c>
      <c r="H1090" s="38">
        <v>179925</v>
      </c>
      <c r="I1090" s="18" t="s">
        <v>82</v>
      </c>
      <c r="J1090" s="19">
        <f t="shared" ref="J1090:J1153" si="73">IFERROR(SUMIFS($F$2:$F$1749,$A$2:$A$1749,A1090,$B$2:$B$1749,B1090)/H1090,"")</f>
        <v>0.47295229396514787</v>
      </c>
    </row>
    <row r="1091" spans="1:10" ht="14.25" hidden="1" customHeight="1" x14ac:dyDescent="0.3">
      <c r="A1091" t="s">
        <v>6</v>
      </c>
      <c r="B1091" t="s">
        <v>18</v>
      </c>
      <c r="C1091" t="s">
        <v>74</v>
      </c>
      <c r="D1091" s="60">
        <v>0</v>
      </c>
      <c r="E1091" s="17"/>
      <c r="F1091" s="17">
        <f t="shared" si="72"/>
        <v>0</v>
      </c>
      <c r="G1091" s="18"/>
      <c r="H1091" s="38">
        <v>179925</v>
      </c>
      <c r="I1091" s="18" t="s">
        <v>82</v>
      </c>
      <c r="J1091" s="19">
        <f t="shared" si="73"/>
        <v>0.47295229396514787</v>
      </c>
    </row>
    <row r="1092" spans="1:10" ht="14.25" hidden="1" customHeight="1" x14ac:dyDescent="0.3">
      <c r="A1092" t="s">
        <v>6</v>
      </c>
      <c r="B1092" t="s">
        <v>18</v>
      </c>
      <c r="C1092" t="s">
        <v>62</v>
      </c>
      <c r="D1092" s="60">
        <v>0</v>
      </c>
      <c r="E1092" s="17"/>
      <c r="F1092" s="17">
        <f t="shared" si="72"/>
        <v>0</v>
      </c>
      <c r="G1092" s="18"/>
      <c r="H1092" s="38">
        <v>179925</v>
      </c>
      <c r="I1092" s="18" t="s">
        <v>82</v>
      </c>
      <c r="J1092" s="19">
        <f t="shared" si="73"/>
        <v>0.47295229396514787</v>
      </c>
    </row>
    <row r="1093" spans="1:10" ht="14.25" hidden="1" customHeight="1" x14ac:dyDescent="0.3">
      <c r="A1093" t="s">
        <v>6</v>
      </c>
      <c r="B1093" t="s">
        <v>18</v>
      </c>
      <c r="C1093" t="s">
        <v>117</v>
      </c>
      <c r="D1093" s="5">
        <v>0</v>
      </c>
      <c r="E1093" s="17"/>
      <c r="F1093" s="17">
        <f t="shared" si="72"/>
        <v>0</v>
      </c>
      <c r="G1093" s="18"/>
      <c r="H1093" s="38">
        <v>179925</v>
      </c>
      <c r="I1093" s="18" t="s">
        <v>82</v>
      </c>
      <c r="J1093" s="19">
        <f t="shared" si="73"/>
        <v>0.47295229396514787</v>
      </c>
    </row>
    <row r="1094" spans="1:10" ht="14.25" hidden="1" customHeight="1" x14ac:dyDescent="0.3">
      <c r="A1094" t="s">
        <v>6</v>
      </c>
      <c r="B1094" t="s">
        <v>18</v>
      </c>
      <c r="C1094" t="s">
        <v>84</v>
      </c>
      <c r="D1094" s="5">
        <v>0</v>
      </c>
      <c r="E1094" s="17"/>
      <c r="F1094" s="17">
        <f t="shared" si="72"/>
        <v>0</v>
      </c>
      <c r="G1094" s="18"/>
      <c r="H1094" s="38">
        <v>179925</v>
      </c>
      <c r="I1094" s="18" t="s">
        <v>82</v>
      </c>
      <c r="J1094" s="19">
        <f t="shared" si="73"/>
        <v>0.47295229396514787</v>
      </c>
    </row>
    <row r="1095" spans="1:10" ht="14.25" hidden="1" customHeight="1" x14ac:dyDescent="0.3">
      <c r="A1095" t="s">
        <v>6</v>
      </c>
      <c r="B1095" t="s">
        <v>18</v>
      </c>
      <c r="C1095" t="s">
        <v>118</v>
      </c>
      <c r="D1095" s="60">
        <v>0</v>
      </c>
      <c r="E1095" s="37">
        <v>0</v>
      </c>
      <c r="F1095" s="17">
        <f t="shared" si="72"/>
        <v>0</v>
      </c>
      <c r="G1095" s="18" t="s">
        <v>170</v>
      </c>
      <c r="H1095" s="38">
        <v>179925</v>
      </c>
      <c r="I1095" s="18" t="s">
        <v>82</v>
      </c>
      <c r="J1095" s="19">
        <f t="shared" si="73"/>
        <v>0.47295229396514787</v>
      </c>
    </row>
    <row r="1096" spans="1:10" ht="14.25" hidden="1" customHeight="1" x14ac:dyDescent="0.3">
      <c r="A1096" t="s">
        <v>6</v>
      </c>
      <c r="B1096" t="s">
        <v>18</v>
      </c>
      <c r="C1096" t="s">
        <v>75</v>
      </c>
      <c r="D1096" s="5">
        <v>0</v>
      </c>
      <c r="E1096" s="17"/>
      <c r="F1096" s="17">
        <f t="shared" si="72"/>
        <v>0</v>
      </c>
      <c r="G1096" s="18"/>
      <c r="H1096" s="38">
        <v>179925</v>
      </c>
      <c r="I1096" s="18" t="s">
        <v>82</v>
      </c>
      <c r="J1096" s="19">
        <f t="shared" si="73"/>
        <v>0.47295229396514787</v>
      </c>
    </row>
    <row r="1097" spans="1:10" ht="14.25" hidden="1" customHeight="1" x14ac:dyDescent="0.3">
      <c r="A1097" t="s">
        <v>6</v>
      </c>
      <c r="B1097" t="s">
        <v>18</v>
      </c>
      <c r="C1097" t="s">
        <v>64</v>
      </c>
      <c r="D1097" s="5">
        <v>1</v>
      </c>
      <c r="E1097" s="59">
        <v>489.55</v>
      </c>
      <c r="F1097" s="17">
        <f t="shared" si="72"/>
        <v>489.55</v>
      </c>
      <c r="G1097" s="18"/>
      <c r="H1097" s="38">
        <v>179925</v>
      </c>
      <c r="I1097" s="18" t="s">
        <v>82</v>
      </c>
      <c r="J1097" s="19">
        <f t="shared" si="73"/>
        <v>0.47295229396514787</v>
      </c>
    </row>
    <row r="1098" spans="1:10" ht="14.25" hidden="1" customHeight="1" x14ac:dyDescent="0.3">
      <c r="A1098" t="s">
        <v>6</v>
      </c>
      <c r="B1098" t="s">
        <v>19</v>
      </c>
      <c r="C1098" t="s">
        <v>53</v>
      </c>
      <c r="D1098" s="133">
        <v>7</v>
      </c>
      <c r="E1098" s="134">
        <v>30805.83</v>
      </c>
      <c r="F1098" s="17">
        <f>E1098</f>
        <v>30805.83</v>
      </c>
      <c r="G1098" s="18" t="s">
        <v>198</v>
      </c>
      <c r="H1098" s="38">
        <v>179925</v>
      </c>
      <c r="I1098" s="18" t="s">
        <v>82</v>
      </c>
      <c r="J1098" s="19">
        <f t="shared" si="73"/>
        <v>0.30152588246552547</v>
      </c>
    </row>
    <row r="1099" spans="1:10" ht="14.25" hidden="1" customHeight="1" x14ac:dyDescent="0.3">
      <c r="A1099" t="s">
        <v>6</v>
      </c>
      <c r="B1099" t="s">
        <v>19</v>
      </c>
      <c r="C1099" t="s">
        <v>55</v>
      </c>
      <c r="D1099" s="133">
        <v>7</v>
      </c>
      <c r="E1099" s="37">
        <v>58.416942229951687</v>
      </c>
      <c r="F1099" s="17">
        <f t="shared" ref="F1099:F1116" si="74">D1099*E1099</f>
        <v>408.91859560966179</v>
      </c>
      <c r="G1099" s="18"/>
      <c r="H1099" s="38">
        <v>179925</v>
      </c>
      <c r="I1099" s="18" t="s">
        <v>82</v>
      </c>
      <c r="J1099" s="19">
        <f t="shared" si="73"/>
        <v>0.30152588246552547</v>
      </c>
    </row>
    <row r="1100" spans="1:10" ht="14.25" hidden="1" customHeight="1" x14ac:dyDescent="0.3">
      <c r="A1100" t="s">
        <v>6</v>
      </c>
      <c r="B1100" t="s">
        <v>19</v>
      </c>
      <c r="C1100" t="s">
        <v>26</v>
      </c>
      <c r="D1100" s="133">
        <v>7</v>
      </c>
      <c r="E1100" s="17">
        <v>25.999313999999998</v>
      </c>
      <c r="F1100" s="17">
        <f t="shared" si="74"/>
        <v>181.99519799999999</v>
      </c>
      <c r="G1100" s="18" t="s">
        <v>171</v>
      </c>
      <c r="H1100" s="38">
        <v>179925</v>
      </c>
      <c r="I1100" s="18" t="s">
        <v>82</v>
      </c>
      <c r="J1100" s="19">
        <f t="shared" si="73"/>
        <v>0.30152588246552547</v>
      </c>
    </row>
    <row r="1101" spans="1:10" ht="14.25" hidden="1" customHeight="1" x14ac:dyDescent="0.3">
      <c r="A1101" t="s">
        <v>6</v>
      </c>
      <c r="B1101" t="s">
        <v>19</v>
      </c>
      <c r="C1101" t="s">
        <v>14</v>
      </c>
      <c r="D1101" s="133">
        <v>7</v>
      </c>
      <c r="E1101" s="17">
        <v>42.772965999999997</v>
      </c>
      <c r="F1101" s="17">
        <f t="shared" si="74"/>
        <v>299.41076199999998</v>
      </c>
      <c r="G1101" s="18" t="s">
        <v>171</v>
      </c>
      <c r="H1101" s="38">
        <v>179925</v>
      </c>
      <c r="I1101" s="18" t="s">
        <v>82</v>
      </c>
      <c r="J1101" s="19">
        <f t="shared" si="73"/>
        <v>0.30152588246552547</v>
      </c>
    </row>
    <row r="1102" spans="1:10" ht="14.25" hidden="1" customHeight="1" x14ac:dyDescent="0.3">
      <c r="A1102" t="s">
        <v>6</v>
      </c>
      <c r="B1102" t="s">
        <v>19</v>
      </c>
      <c r="C1102" t="s">
        <v>56</v>
      </c>
      <c r="D1102" s="5">
        <v>10</v>
      </c>
      <c r="E1102" s="6">
        <v>50</v>
      </c>
      <c r="F1102" s="17">
        <f t="shared" si="74"/>
        <v>500</v>
      </c>
      <c r="G1102" s="18" t="s">
        <v>192</v>
      </c>
      <c r="H1102" s="38">
        <v>179925</v>
      </c>
      <c r="I1102" s="18" t="s">
        <v>82</v>
      </c>
      <c r="J1102" s="19">
        <f t="shared" si="73"/>
        <v>0.30152588246552547</v>
      </c>
    </row>
    <row r="1103" spans="1:10" ht="14.25" hidden="1" customHeight="1" x14ac:dyDescent="0.3">
      <c r="A1103" t="s">
        <v>6</v>
      </c>
      <c r="B1103" t="s">
        <v>19</v>
      </c>
      <c r="C1103" t="s">
        <v>70</v>
      </c>
      <c r="D1103" s="5">
        <v>1</v>
      </c>
      <c r="E1103" s="17"/>
      <c r="F1103" s="17">
        <f t="shared" si="74"/>
        <v>0</v>
      </c>
      <c r="G1103" s="18"/>
      <c r="H1103" s="38">
        <v>179925</v>
      </c>
      <c r="I1103" s="18" t="s">
        <v>82</v>
      </c>
      <c r="J1103" s="19">
        <f t="shared" si="73"/>
        <v>0.30152588246552547</v>
      </c>
    </row>
    <row r="1104" spans="1:10" ht="14.25" hidden="1" customHeight="1" x14ac:dyDescent="0.3">
      <c r="A1104" t="s">
        <v>6</v>
      </c>
      <c r="B1104" t="s">
        <v>19</v>
      </c>
      <c r="C1104" t="s">
        <v>119</v>
      </c>
      <c r="D1104" s="5">
        <v>1</v>
      </c>
      <c r="E1104" s="6">
        <v>21479.53</v>
      </c>
      <c r="F1104" s="17">
        <f t="shared" si="74"/>
        <v>21479.53</v>
      </c>
      <c r="G1104" s="18" t="s">
        <v>192</v>
      </c>
      <c r="H1104" s="38">
        <v>179925</v>
      </c>
      <c r="I1104" s="18" t="s">
        <v>82</v>
      </c>
      <c r="J1104" s="19">
        <f t="shared" si="73"/>
        <v>0.30152588246552547</v>
      </c>
    </row>
    <row r="1105" spans="1:10" ht="14.25" hidden="1" customHeight="1" x14ac:dyDescent="0.3">
      <c r="A1105" t="s">
        <v>6</v>
      </c>
      <c r="B1105" t="s">
        <v>19</v>
      </c>
      <c r="C1105" t="s">
        <v>57</v>
      </c>
      <c r="D1105" s="5">
        <v>4</v>
      </c>
      <c r="E1105" s="6">
        <v>30</v>
      </c>
      <c r="F1105" s="17">
        <f t="shared" si="74"/>
        <v>120</v>
      </c>
      <c r="G1105" s="18" t="s">
        <v>192</v>
      </c>
      <c r="H1105" s="38">
        <v>179925</v>
      </c>
      <c r="I1105" s="18" t="s">
        <v>82</v>
      </c>
      <c r="J1105" s="19">
        <f t="shared" si="73"/>
        <v>0.30152588246552547</v>
      </c>
    </row>
    <row r="1106" spans="1:10" ht="14.25" hidden="1" customHeight="1" x14ac:dyDescent="0.3">
      <c r="A1106" t="s">
        <v>6</v>
      </c>
      <c r="B1106" t="s">
        <v>19</v>
      </c>
      <c r="C1106" t="s">
        <v>76</v>
      </c>
      <c r="D1106" s="60">
        <v>0</v>
      </c>
      <c r="E1106" s="37">
        <v>0</v>
      </c>
      <c r="F1106" s="17">
        <f t="shared" si="74"/>
        <v>0</v>
      </c>
      <c r="G1106" s="18" t="s">
        <v>170</v>
      </c>
      <c r="H1106" s="38">
        <v>179925</v>
      </c>
      <c r="I1106" s="18" t="s">
        <v>82</v>
      </c>
      <c r="J1106" s="19">
        <f t="shared" si="73"/>
        <v>0.30152588246552547</v>
      </c>
    </row>
    <row r="1107" spans="1:10" ht="14.25" hidden="1" customHeight="1" x14ac:dyDescent="0.3">
      <c r="A1107" t="s">
        <v>6</v>
      </c>
      <c r="B1107" t="s">
        <v>19</v>
      </c>
      <c r="C1107" t="s">
        <v>71</v>
      </c>
      <c r="D1107" s="5">
        <v>2</v>
      </c>
      <c r="E1107" s="6">
        <v>40.520000000000003</v>
      </c>
      <c r="F1107" s="17">
        <f t="shared" si="74"/>
        <v>81.040000000000006</v>
      </c>
      <c r="G1107" s="18" t="s">
        <v>192</v>
      </c>
      <c r="H1107" s="38">
        <v>179925</v>
      </c>
      <c r="I1107" s="18" t="s">
        <v>82</v>
      </c>
      <c r="J1107" s="19">
        <f t="shared" si="73"/>
        <v>0.30152588246552547</v>
      </c>
    </row>
    <row r="1108" spans="1:10" ht="14.25" hidden="1" customHeight="1" x14ac:dyDescent="0.3">
      <c r="A1108" t="s">
        <v>6</v>
      </c>
      <c r="B1108" t="s">
        <v>19</v>
      </c>
      <c r="C1108" t="s">
        <v>72</v>
      </c>
      <c r="D1108" s="5">
        <v>1</v>
      </c>
      <c r="E1108" s="6">
        <v>153.58000000000001</v>
      </c>
      <c r="F1108" s="17">
        <f t="shared" si="74"/>
        <v>153.58000000000001</v>
      </c>
      <c r="G1108" s="18" t="s">
        <v>192</v>
      </c>
      <c r="H1108" s="38">
        <v>179925</v>
      </c>
      <c r="I1108" s="18" t="s">
        <v>82</v>
      </c>
      <c r="J1108" s="19">
        <f t="shared" si="73"/>
        <v>0.30152588246552547</v>
      </c>
    </row>
    <row r="1109" spans="1:10" ht="14.25" hidden="1" customHeight="1" x14ac:dyDescent="0.3">
      <c r="A1109" t="s">
        <v>6</v>
      </c>
      <c r="B1109" t="s">
        <v>19</v>
      </c>
      <c r="C1109" t="s">
        <v>58</v>
      </c>
      <c r="D1109" s="133">
        <v>7</v>
      </c>
      <c r="E1109" s="17">
        <v>9.8512850000000007</v>
      </c>
      <c r="F1109" s="17">
        <f t="shared" si="74"/>
        <v>68.958995000000002</v>
      </c>
      <c r="G1109" s="18" t="s">
        <v>171</v>
      </c>
      <c r="H1109" s="38">
        <v>179925</v>
      </c>
      <c r="I1109" s="18" t="s">
        <v>82</v>
      </c>
      <c r="J1109" s="19">
        <f t="shared" si="73"/>
        <v>0.30152588246552547</v>
      </c>
    </row>
    <row r="1110" spans="1:10" ht="14.25" hidden="1" customHeight="1" x14ac:dyDescent="0.3">
      <c r="A1110" t="s">
        <v>6</v>
      </c>
      <c r="B1110" t="s">
        <v>19</v>
      </c>
      <c r="C1110" t="s">
        <v>59</v>
      </c>
      <c r="D1110" s="133">
        <v>7</v>
      </c>
      <c r="E1110" s="17">
        <v>2.0358360000000002</v>
      </c>
      <c r="F1110" s="17">
        <f t="shared" si="74"/>
        <v>14.250852000000002</v>
      </c>
      <c r="G1110" s="18" t="s">
        <v>171</v>
      </c>
      <c r="H1110" s="38">
        <v>179925</v>
      </c>
      <c r="I1110" s="18" t="s">
        <v>82</v>
      </c>
      <c r="J1110" s="19">
        <f t="shared" si="73"/>
        <v>0.30152588246552547</v>
      </c>
    </row>
    <row r="1111" spans="1:10" ht="14.25" hidden="1" customHeight="1" x14ac:dyDescent="0.3">
      <c r="A1111" t="s">
        <v>6</v>
      </c>
      <c r="B1111" t="s">
        <v>19</v>
      </c>
      <c r="C1111" t="s">
        <v>89</v>
      </c>
      <c r="D1111" s="5">
        <v>0</v>
      </c>
      <c r="E1111" s="17"/>
      <c r="F1111" s="17">
        <f t="shared" si="74"/>
        <v>0</v>
      </c>
      <c r="G1111" s="18"/>
      <c r="H1111" s="38">
        <v>179925</v>
      </c>
      <c r="I1111" s="18" t="s">
        <v>82</v>
      </c>
      <c r="J1111" s="19">
        <f t="shared" si="73"/>
        <v>0.30152588246552547</v>
      </c>
    </row>
    <row r="1112" spans="1:10" ht="14.25" hidden="1" customHeight="1" x14ac:dyDescent="0.3">
      <c r="A1112" t="s">
        <v>6</v>
      </c>
      <c r="B1112" t="s">
        <v>19</v>
      </c>
      <c r="C1112" t="s">
        <v>74</v>
      </c>
      <c r="D1112" s="60">
        <v>0</v>
      </c>
      <c r="E1112" s="17"/>
      <c r="F1112" s="17">
        <f t="shared" si="74"/>
        <v>0</v>
      </c>
      <c r="G1112" s="18"/>
      <c r="H1112" s="38">
        <v>179925</v>
      </c>
      <c r="I1112" s="18" t="s">
        <v>82</v>
      </c>
      <c r="J1112" s="19">
        <f t="shared" si="73"/>
        <v>0.30152588246552547</v>
      </c>
    </row>
    <row r="1113" spans="1:10" ht="14.25" hidden="1" customHeight="1" x14ac:dyDescent="0.3">
      <c r="A1113" t="s">
        <v>6</v>
      </c>
      <c r="B1113" t="s">
        <v>19</v>
      </c>
      <c r="C1113" t="s">
        <v>62</v>
      </c>
      <c r="D1113" s="60">
        <v>0</v>
      </c>
      <c r="E1113" s="17"/>
      <c r="F1113" s="17">
        <f t="shared" si="74"/>
        <v>0</v>
      </c>
      <c r="G1113" s="18"/>
      <c r="H1113" s="38">
        <v>179925</v>
      </c>
      <c r="I1113" s="18" t="s">
        <v>82</v>
      </c>
      <c r="J1113" s="19">
        <f t="shared" si="73"/>
        <v>0.30152588246552547</v>
      </c>
    </row>
    <row r="1114" spans="1:10" ht="14.25" hidden="1" customHeight="1" x14ac:dyDescent="0.3">
      <c r="A1114" t="s">
        <v>6</v>
      </c>
      <c r="B1114" t="s">
        <v>19</v>
      </c>
      <c r="C1114" t="s">
        <v>114</v>
      </c>
      <c r="D1114" s="5">
        <v>0</v>
      </c>
      <c r="E1114" s="17"/>
      <c r="F1114" s="17">
        <f t="shared" si="74"/>
        <v>0</v>
      </c>
      <c r="G1114" s="18"/>
      <c r="H1114" s="38">
        <v>179925</v>
      </c>
      <c r="I1114" s="18" t="s">
        <v>82</v>
      </c>
      <c r="J1114" s="19">
        <f t="shared" si="73"/>
        <v>0.30152588246552547</v>
      </c>
    </row>
    <row r="1115" spans="1:10" ht="14.25" hidden="1" customHeight="1" x14ac:dyDescent="0.3">
      <c r="A1115" t="s">
        <v>6</v>
      </c>
      <c r="B1115" t="s">
        <v>19</v>
      </c>
      <c r="C1115" t="s">
        <v>75</v>
      </c>
      <c r="D1115" s="60">
        <v>1</v>
      </c>
      <c r="E1115" s="134">
        <v>22</v>
      </c>
      <c r="F1115" s="17">
        <f t="shared" si="74"/>
        <v>22</v>
      </c>
      <c r="G1115" s="133" t="s">
        <v>65</v>
      </c>
      <c r="H1115" s="38">
        <v>179925</v>
      </c>
      <c r="I1115" s="18" t="s">
        <v>82</v>
      </c>
      <c r="J1115" s="19">
        <f t="shared" si="73"/>
        <v>0.30152588246552547</v>
      </c>
    </row>
    <row r="1116" spans="1:10" ht="14.25" hidden="1" customHeight="1" x14ac:dyDescent="0.3">
      <c r="A1116" t="s">
        <v>6</v>
      </c>
      <c r="B1116" t="s">
        <v>19</v>
      </c>
      <c r="C1116" t="s">
        <v>64</v>
      </c>
      <c r="D1116" s="5">
        <v>1</v>
      </c>
      <c r="E1116" s="134">
        <v>116.53</v>
      </c>
      <c r="F1116" s="17">
        <f t="shared" si="74"/>
        <v>116.53</v>
      </c>
      <c r="G1116" s="133" t="s">
        <v>65</v>
      </c>
      <c r="H1116" s="38">
        <v>179925</v>
      </c>
      <c r="I1116" s="18" t="s">
        <v>82</v>
      </c>
      <c r="J1116" s="19">
        <f t="shared" si="73"/>
        <v>0.30152588246552547</v>
      </c>
    </row>
    <row r="1117" spans="1:10" ht="14.25" hidden="1" customHeight="1" x14ac:dyDescent="0.3">
      <c r="A1117" t="s">
        <v>6</v>
      </c>
      <c r="B1117" t="s">
        <v>20</v>
      </c>
      <c r="C1117" t="s">
        <v>53</v>
      </c>
      <c r="D1117" s="133">
        <v>2</v>
      </c>
      <c r="E1117" s="134">
        <v>11096.42</v>
      </c>
      <c r="F1117" s="17">
        <f>E1117</f>
        <v>11096.42</v>
      </c>
      <c r="G1117" s="18" t="s">
        <v>201</v>
      </c>
      <c r="H1117" s="38">
        <v>193343</v>
      </c>
      <c r="I1117" s="18" t="s">
        <v>54</v>
      </c>
      <c r="J1117" s="19">
        <f t="shared" si="73"/>
        <v>6.0112094497653923E-2</v>
      </c>
    </row>
    <row r="1118" spans="1:10" ht="14.25" hidden="1" customHeight="1" x14ac:dyDescent="0.3">
      <c r="A1118" t="s">
        <v>6</v>
      </c>
      <c r="B1118" t="s">
        <v>20</v>
      </c>
      <c r="C1118" t="s">
        <v>55</v>
      </c>
      <c r="D1118" s="133">
        <v>2</v>
      </c>
      <c r="E1118" s="37">
        <v>58.416942229951687</v>
      </c>
      <c r="F1118" s="17">
        <f t="shared" ref="F1118:F1133" si="75">D1118*E1118</f>
        <v>116.83388445990337</v>
      </c>
      <c r="G1118" s="18"/>
      <c r="H1118" s="38">
        <v>193343</v>
      </c>
      <c r="I1118" s="18" t="s">
        <v>54</v>
      </c>
      <c r="J1118" s="19">
        <f t="shared" si="73"/>
        <v>6.0112094497653923E-2</v>
      </c>
    </row>
    <row r="1119" spans="1:10" ht="14.25" hidden="1" customHeight="1" x14ac:dyDescent="0.3">
      <c r="A1119" t="s">
        <v>6</v>
      </c>
      <c r="B1119" t="s">
        <v>20</v>
      </c>
      <c r="C1119" t="s">
        <v>26</v>
      </c>
      <c r="D1119" s="133">
        <v>2</v>
      </c>
      <c r="E1119" s="17">
        <v>25.999313999999998</v>
      </c>
      <c r="F1119" s="17">
        <f t="shared" si="75"/>
        <v>51.998627999999997</v>
      </c>
      <c r="G1119" s="18" t="s">
        <v>171</v>
      </c>
      <c r="H1119" s="38">
        <v>193343</v>
      </c>
      <c r="I1119" s="18" t="s">
        <v>54</v>
      </c>
      <c r="J1119" s="19">
        <f t="shared" si="73"/>
        <v>6.0112094497653923E-2</v>
      </c>
    </row>
    <row r="1120" spans="1:10" ht="14.25" hidden="1" customHeight="1" x14ac:dyDescent="0.3">
      <c r="A1120" t="s">
        <v>6</v>
      </c>
      <c r="B1120" t="s">
        <v>20</v>
      </c>
      <c r="C1120" t="s">
        <v>14</v>
      </c>
      <c r="D1120" s="133">
        <v>2</v>
      </c>
      <c r="E1120" s="17">
        <v>42.772965999999997</v>
      </c>
      <c r="F1120" s="17">
        <f t="shared" si="75"/>
        <v>85.545931999999993</v>
      </c>
      <c r="G1120" s="18" t="s">
        <v>171</v>
      </c>
      <c r="H1120" s="38">
        <v>193343</v>
      </c>
      <c r="I1120" s="18" t="s">
        <v>54</v>
      </c>
      <c r="J1120" s="19">
        <f t="shared" si="73"/>
        <v>6.0112094497653923E-2</v>
      </c>
    </row>
    <row r="1121" spans="1:10" ht="14.25" hidden="1" customHeight="1" x14ac:dyDescent="0.3">
      <c r="A1121" t="s">
        <v>6</v>
      </c>
      <c r="B1121" t="s">
        <v>20</v>
      </c>
      <c r="C1121" t="s">
        <v>56</v>
      </c>
      <c r="D1121" s="5">
        <v>1</v>
      </c>
      <c r="E1121" s="6">
        <v>90</v>
      </c>
      <c r="F1121" s="17">
        <f t="shared" si="75"/>
        <v>90</v>
      </c>
      <c r="G1121" s="18" t="s">
        <v>192</v>
      </c>
      <c r="H1121" s="38">
        <v>193343</v>
      </c>
      <c r="I1121" s="18" t="s">
        <v>54</v>
      </c>
      <c r="J1121" s="19">
        <f t="shared" si="73"/>
        <v>6.0112094497653923E-2</v>
      </c>
    </row>
    <row r="1122" spans="1:10" ht="14.25" hidden="1" customHeight="1" x14ac:dyDescent="0.3">
      <c r="A1122" t="s">
        <v>6</v>
      </c>
      <c r="B1122" t="s">
        <v>20</v>
      </c>
      <c r="C1122" t="s">
        <v>56</v>
      </c>
      <c r="D1122" s="5">
        <v>1</v>
      </c>
      <c r="E1122" s="6">
        <v>50</v>
      </c>
      <c r="F1122" s="17">
        <f t="shared" si="75"/>
        <v>50</v>
      </c>
      <c r="G1122" s="18" t="s">
        <v>192</v>
      </c>
      <c r="H1122" s="38">
        <v>193343</v>
      </c>
      <c r="I1122" s="18" t="s">
        <v>54</v>
      </c>
      <c r="J1122" s="19">
        <f t="shared" si="73"/>
        <v>6.0112094497653923E-2</v>
      </c>
    </row>
    <row r="1123" spans="1:10" ht="14.25" hidden="1" customHeight="1" x14ac:dyDescent="0.3">
      <c r="A1123" t="s">
        <v>6</v>
      </c>
      <c r="B1123" t="s">
        <v>20</v>
      </c>
      <c r="C1123" t="s">
        <v>70</v>
      </c>
      <c r="D1123" s="5">
        <v>0</v>
      </c>
      <c r="E1123" s="17"/>
      <c r="F1123" s="17">
        <f t="shared" si="75"/>
        <v>0</v>
      </c>
      <c r="G1123" s="18"/>
      <c r="H1123" s="38">
        <v>193343</v>
      </c>
      <c r="I1123" s="18" t="s">
        <v>54</v>
      </c>
      <c r="J1123" s="19">
        <f t="shared" si="73"/>
        <v>6.0112094497653923E-2</v>
      </c>
    </row>
    <row r="1124" spans="1:10" ht="14.25" hidden="1" customHeight="1" x14ac:dyDescent="0.3">
      <c r="A1124" t="s">
        <v>6</v>
      </c>
      <c r="B1124" t="s">
        <v>20</v>
      </c>
      <c r="C1124" t="s">
        <v>57</v>
      </c>
      <c r="D1124" s="5">
        <v>2</v>
      </c>
      <c r="E1124" s="6">
        <v>30</v>
      </c>
      <c r="F1124" s="17">
        <f t="shared" si="75"/>
        <v>60</v>
      </c>
      <c r="G1124" s="18" t="s">
        <v>192</v>
      </c>
      <c r="H1124" s="38">
        <v>193343</v>
      </c>
      <c r="I1124" s="18" t="s">
        <v>54</v>
      </c>
      <c r="J1124" s="19">
        <f t="shared" si="73"/>
        <v>6.0112094497653923E-2</v>
      </c>
    </row>
    <row r="1125" spans="1:10" ht="14.25" hidden="1" customHeight="1" x14ac:dyDescent="0.3">
      <c r="A1125" t="s">
        <v>6</v>
      </c>
      <c r="B1125" t="s">
        <v>20</v>
      </c>
      <c r="C1125" t="s">
        <v>72</v>
      </c>
      <c r="D1125" s="5">
        <v>1</v>
      </c>
      <c r="E1125" s="6">
        <v>0</v>
      </c>
      <c r="F1125" s="17">
        <f t="shared" si="75"/>
        <v>0</v>
      </c>
      <c r="G1125" s="18" t="s">
        <v>192</v>
      </c>
      <c r="H1125" s="38">
        <v>193343</v>
      </c>
      <c r="I1125" s="18" t="s">
        <v>54</v>
      </c>
      <c r="J1125" s="19">
        <f t="shared" si="73"/>
        <v>6.0112094497653923E-2</v>
      </c>
    </row>
    <row r="1126" spans="1:10" ht="14.25" hidden="1" customHeight="1" x14ac:dyDescent="0.3">
      <c r="A1126" t="s">
        <v>6</v>
      </c>
      <c r="B1126" t="s">
        <v>20</v>
      </c>
      <c r="C1126" t="s">
        <v>58</v>
      </c>
      <c r="D1126" s="133">
        <v>2</v>
      </c>
      <c r="E1126" s="17">
        <v>9.8512850000000007</v>
      </c>
      <c r="F1126" s="17">
        <f t="shared" si="75"/>
        <v>19.702570000000001</v>
      </c>
      <c r="G1126" s="18" t="s">
        <v>171</v>
      </c>
      <c r="H1126" s="38">
        <v>193343</v>
      </c>
      <c r="I1126" s="18" t="s">
        <v>54</v>
      </c>
      <c r="J1126" s="19">
        <f t="shared" si="73"/>
        <v>6.0112094497653923E-2</v>
      </c>
    </row>
    <row r="1127" spans="1:10" ht="14.25" hidden="1" customHeight="1" x14ac:dyDescent="0.3">
      <c r="A1127" t="s">
        <v>6</v>
      </c>
      <c r="B1127" t="s">
        <v>20</v>
      </c>
      <c r="C1127" t="s">
        <v>59</v>
      </c>
      <c r="D1127" s="133">
        <v>2</v>
      </c>
      <c r="E1127" s="17">
        <v>2.0358360000000002</v>
      </c>
      <c r="F1127" s="17">
        <f t="shared" si="75"/>
        <v>4.0716720000000004</v>
      </c>
      <c r="G1127" s="18" t="s">
        <v>171</v>
      </c>
      <c r="H1127" s="38">
        <v>193343</v>
      </c>
      <c r="I1127" s="18" t="s">
        <v>54</v>
      </c>
      <c r="J1127" s="19">
        <f t="shared" si="73"/>
        <v>6.0112094497653923E-2</v>
      </c>
    </row>
    <row r="1128" spans="1:10" ht="14.25" hidden="1" customHeight="1" x14ac:dyDescent="0.3">
      <c r="A1128" t="s">
        <v>6</v>
      </c>
      <c r="B1128" t="s">
        <v>20</v>
      </c>
      <c r="C1128" t="s">
        <v>89</v>
      </c>
      <c r="D1128" s="5">
        <v>0</v>
      </c>
      <c r="E1128" s="17"/>
      <c r="F1128" s="17">
        <f t="shared" si="75"/>
        <v>0</v>
      </c>
      <c r="G1128" s="18"/>
      <c r="H1128" s="38">
        <v>193343</v>
      </c>
      <c r="I1128" s="18" t="s">
        <v>54</v>
      </c>
      <c r="J1128" s="19">
        <f t="shared" si="73"/>
        <v>6.0112094497653923E-2</v>
      </c>
    </row>
    <row r="1129" spans="1:10" ht="14.25" hidden="1" customHeight="1" x14ac:dyDescent="0.3">
      <c r="A1129" t="s">
        <v>6</v>
      </c>
      <c r="B1129" t="s">
        <v>20</v>
      </c>
      <c r="C1129" t="s">
        <v>74</v>
      </c>
      <c r="D1129" s="5">
        <v>0</v>
      </c>
      <c r="E1129" s="17"/>
      <c r="F1129" s="17">
        <f t="shared" si="75"/>
        <v>0</v>
      </c>
      <c r="G1129" s="18"/>
      <c r="H1129" s="38">
        <v>193343</v>
      </c>
      <c r="I1129" s="18" t="s">
        <v>54</v>
      </c>
      <c r="J1129" s="19">
        <f t="shared" si="73"/>
        <v>6.0112094497653923E-2</v>
      </c>
    </row>
    <row r="1130" spans="1:10" ht="14.25" hidden="1" customHeight="1" x14ac:dyDescent="0.3">
      <c r="A1130" t="s">
        <v>6</v>
      </c>
      <c r="B1130" t="s">
        <v>20</v>
      </c>
      <c r="C1130" t="s">
        <v>62</v>
      </c>
      <c r="D1130" s="5">
        <v>0</v>
      </c>
      <c r="E1130" s="17"/>
      <c r="F1130" s="17">
        <f t="shared" si="75"/>
        <v>0</v>
      </c>
      <c r="G1130" s="18"/>
      <c r="H1130" s="38">
        <v>193343</v>
      </c>
      <c r="I1130" s="18" t="s">
        <v>54</v>
      </c>
      <c r="J1130" s="19">
        <f t="shared" si="73"/>
        <v>6.0112094497653923E-2</v>
      </c>
    </row>
    <row r="1131" spans="1:10" ht="14.25" hidden="1" customHeight="1" x14ac:dyDescent="0.3">
      <c r="A1131" t="s">
        <v>6</v>
      </c>
      <c r="B1131" t="s">
        <v>20</v>
      </c>
      <c r="C1131" t="s">
        <v>114</v>
      </c>
      <c r="D1131" s="5">
        <v>0</v>
      </c>
      <c r="E1131" s="17"/>
      <c r="F1131" s="17">
        <f t="shared" si="75"/>
        <v>0</v>
      </c>
      <c r="G1131" s="18"/>
      <c r="H1131" s="38">
        <v>193343</v>
      </c>
      <c r="I1131" s="18" t="s">
        <v>54</v>
      </c>
      <c r="J1131" s="19">
        <f t="shared" si="73"/>
        <v>6.0112094497653923E-2</v>
      </c>
    </row>
    <row r="1132" spans="1:10" ht="14.25" hidden="1" customHeight="1" x14ac:dyDescent="0.3">
      <c r="A1132" t="s">
        <v>6</v>
      </c>
      <c r="B1132" t="s">
        <v>20</v>
      </c>
      <c r="C1132" t="s">
        <v>75</v>
      </c>
      <c r="D1132" s="5">
        <v>0</v>
      </c>
      <c r="E1132" s="17"/>
      <c r="F1132" s="17">
        <f t="shared" si="75"/>
        <v>0</v>
      </c>
      <c r="G1132" s="18"/>
      <c r="H1132" s="38">
        <v>193343</v>
      </c>
      <c r="I1132" s="18" t="s">
        <v>54</v>
      </c>
      <c r="J1132" s="19">
        <f t="shared" si="73"/>
        <v>6.0112094497653923E-2</v>
      </c>
    </row>
    <row r="1133" spans="1:10" ht="14.25" hidden="1" customHeight="1" x14ac:dyDescent="0.3">
      <c r="A1133" t="s">
        <v>6</v>
      </c>
      <c r="B1133" t="s">
        <v>20</v>
      </c>
      <c r="C1133" t="s">
        <v>64</v>
      </c>
      <c r="D1133" s="5">
        <v>1</v>
      </c>
      <c r="E1133" s="59">
        <v>47.68</v>
      </c>
      <c r="F1133" s="17">
        <f t="shared" si="75"/>
        <v>47.68</v>
      </c>
      <c r="G1133" s="18"/>
      <c r="H1133" s="38">
        <v>193343</v>
      </c>
      <c r="I1133" s="18" t="s">
        <v>54</v>
      </c>
      <c r="J1133" s="19">
        <f t="shared" si="73"/>
        <v>6.0112094497653923E-2</v>
      </c>
    </row>
    <row r="1134" spans="1:10" ht="14.25" hidden="1" customHeight="1" x14ac:dyDescent="0.3">
      <c r="A1134" t="s">
        <v>6</v>
      </c>
      <c r="B1134" t="s">
        <v>21</v>
      </c>
      <c r="C1134" t="s">
        <v>53</v>
      </c>
      <c r="D1134" s="133">
        <v>2</v>
      </c>
      <c r="E1134" s="134">
        <v>7163.45</v>
      </c>
      <c r="F1134" s="17">
        <f>E1134</f>
        <v>7163.45</v>
      </c>
      <c r="G1134" s="18" t="s">
        <v>201</v>
      </c>
      <c r="H1134" s="38">
        <v>193343</v>
      </c>
      <c r="I1134" s="18" t="s">
        <v>54</v>
      </c>
      <c r="J1134" s="19">
        <f t="shared" si="73"/>
        <v>4.0202141719430769E-2</v>
      </c>
    </row>
    <row r="1135" spans="1:10" ht="14.25" hidden="1" customHeight="1" x14ac:dyDescent="0.3">
      <c r="A1135" t="s">
        <v>6</v>
      </c>
      <c r="B1135" t="s">
        <v>21</v>
      </c>
      <c r="C1135" t="s">
        <v>55</v>
      </c>
      <c r="D1135" s="133">
        <v>2</v>
      </c>
      <c r="E1135" s="37">
        <v>58.416942229951687</v>
      </c>
      <c r="F1135" s="17">
        <f t="shared" ref="F1135:F1148" si="76">D1135*E1135</f>
        <v>116.83388445990337</v>
      </c>
      <c r="G1135" s="18"/>
      <c r="H1135" s="38">
        <v>193343</v>
      </c>
      <c r="I1135" s="18" t="s">
        <v>54</v>
      </c>
      <c r="J1135" s="19">
        <f t="shared" si="73"/>
        <v>4.0202141719430769E-2</v>
      </c>
    </row>
    <row r="1136" spans="1:10" ht="14.25" hidden="1" customHeight="1" x14ac:dyDescent="0.3">
      <c r="A1136" t="s">
        <v>6</v>
      </c>
      <c r="B1136" t="s">
        <v>21</v>
      </c>
      <c r="C1136" t="s">
        <v>26</v>
      </c>
      <c r="D1136" s="133">
        <v>2</v>
      </c>
      <c r="E1136" s="17">
        <v>25.999313999999998</v>
      </c>
      <c r="F1136" s="17">
        <f t="shared" si="76"/>
        <v>51.998627999999997</v>
      </c>
      <c r="G1136" s="18" t="s">
        <v>171</v>
      </c>
      <c r="H1136" s="38">
        <v>193343</v>
      </c>
      <c r="I1136" s="18" t="s">
        <v>54</v>
      </c>
      <c r="J1136" s="19">
        <f t="shared" si="73"/>
        <v>4.0202141719430769E-2</v>
      </c>
    </row>
    <row r="1137" spans="1:10" ht="14.25" hidden="1" customHeight="1" x14ac:dyDescent="0.3">
      <c r="A1137" t="s">
        <v>6</v>
      </c>
      <c r="B1137" t="s">
        <v>21</v>
      </c>
      <c r="C1137" t="s">
        <v>14</v>
      </c>
      <c r="D1137" s="133">
        <v>2</v>
      </c>
      <c r="E1137" s="17">
        <v>42.772965999999997</v>
      </c>
      <c r="F1137" s="17">
        <f t="shared" si="76"/>
        <v>85.545931999999993</v>
      </c>
      <c r="G1137" s="18" t="s">
        <v>171</v>
      </c>
      <c r="H1137" s="38">
        <v>193343</v>
      </c>
      <c r="I1137" s="18" t="s">
        <v>54</v>
      </c>
      <c r="J1137" s="19">
        <f t="shared" si="73"/>
        <v>4.0202141719430769E-2</v>
      </c>
    </row>
    <row r="1138" spans="1:10" ht="14.25" hidden="1" customHeight="1" x14ac:dyDescent="0.3">
      <c r="A1138" t="s">
        <v>6</v>
      </c>
      <c r="B1138" t="s">
        <v>21</v>
      </c>
      <c r="C1138" t="s">
        <v>87</v>
      </c>
      <c r="D1138" s="5">
        <v>3</v>
      </c>
      <c r="E1138" s="6">
        <v>50</v>
      </c>
      <c r="F1138" s="17">
        <f t="shared" si="76"/>
        <v>150</v>
      </c>
      <c r="G1138" s="18" t="s">
        <v>192</v>
      </c>
      <c r="H1138" s="38">
        <v>193343</v>
      </c>
      <c r="I1138" s="18" t="s">
        <v>54</v>
      </c>
      <c r="J1138" s="19">
        <f t="shared" si="73"/>
        <v>4.0202141719430769E-2</v>
      </c>
    </row>
    <row r="1139" spans="1:10" ht="14.25" hidden="1" customHeight="1" x14ac:dyDescent="0.3">
      <c r="A1139" t="s">
        <v>6</v>
      </c>
      <c r="B1139" t="s">
        <v>21</v>
      </c>
      <c r="C1139" t="s">
        <v>70</v>
      </c>
      <c r="D1139" s="5">
        <v>0</v>
      </c>
      <c r="E1139" s="17"/>
      <c r="F1139" s="17">
        <f t="shared" si="76"/>
        <v>0</v>
      </c>
      <c r="G1139" s="18"/>
      <c r="H1139" s="38">
        <v>193343</v>
      </c>
      <c r="I1139" s="18" t="s">
        <v>54</v>
      </c>
      <c r="J1139" s="19">
        <f t="shared" si="73"/>
        <v>4.0202141719430769E-2</v>
      </c>
    </row>
    <row r="1140" spans="1:10" ht="14.25" hidden="1" customHeight="1" x14ac:dyDescent="0.3">
      <c r="A1140" t="s">
        <v>6</v>
      </c>
      <c r="B1140" t="s">
        <v>21</v>
      </c>
      <c r="C1140" t="s">
        <v>120</v>
      </c>
      <c r="D1140" s="5">
        <v>1</v>
      </c>
      <c r="E1140" s="6">
        <v>30</v>
      </c>
      <c r="F1140" s="17">
        <f t="shared" si="76"/>
        <v>30</v>
      </c>
      <c r="G1140" s="18" t="s">
        <v>192</v>
      </c>
      <c r="H1140" s="38">
        <v>193343</v>
      </c>
      <c r="I1140" s="18" t="s">
        <v>54</v>
      </c>
      <c r="J1140" s="19">
        <f t="shared" si="73"/>
        <v>4.0202141719430769E-2</v>
      </c>
    </row>
    <row r="1141" spans="1:10" ht="14.25" hidden="1" customHeight="1" x14ac:dyDescent="0.3">
      <c r="A1141" t="s">
        <v>6</v>
      </c>
      <c r="B1141" t="s">
        <v>21</v>
      </c>
      <c r="C1141" t="s">
        <v>71</v>
      </c>
      <c r="D1141" s="60">
        <v>0</v>
      </c>
      <c r="E1141" s="37">
        <v>0</v>
      </c>
      <c r="F1141" s="17">
        <f t="shared" si="76"/>
        <v>0</v>
      </c>
      <c r="G1141" s="18" t="s">
        <v>170</v>
      </c>
      <c r="H1141" s="38">
        <v>193343</v>
      </c>
      <c r="I1141" s="18" t="s">
        <v>54</v>
      </c>
      <c r="J1141" s="19">
        <f t="shared" si="73"/>
        <v>4.0202141719430769E-2</v>
      </c>
    </row>
    <row r="1142" spans="1:10" ht="14.25" hidden="1" customHeight="1" x14ac:dyDescent="0.3">
      <c r="A1142" t="s">
        <v>6</v>
      </c>
      <c r="B1142" t="s">
        <v>21</v>
      </c>
      <c r="C1142" t="s">
        <v>58</v>
      </c>
      <c r="D1142" s="133">
        <v>2</v>
      </c>
      <c r="E1142" s="17">
        <v>9.8512850000000007</v>
      </c>
      <c r="F1142" s="17">
        <f t="shared" si="76"/>
        <v>19.702570000000001</v>
      </c>
      <c r="G1142" s="18" t="s">
        <v>171</v>
      </c>
      <c r="H1142" s="38">
        <v>193343</v>
      </c>
      <c r="I1142" s="18" t="s">
        <v>54</v>
      </c>
      <c r="J1142" s="19">
        <f t="shared" si="73"/>
        <v>4.0202141719430769E-2</v>
      </c>
    </row>
    <row r="1143" spans="1:10" ht="14.25" hidden="1" customHeight="1" x14ac:dyDescent="0.3">
      <c r="A1143" t="s">
        <v>6</v>
      </c>
      <c r="B1143" t="s">
        <v>21</v>
      </c>
      <c r="C1143" t="s">
        <v>59</v>
      </c>
      <c r="D1143" s="133">
        <v>2</v>
      </c>
      <c r="E1143" s="17">
        <v>2.0358360000000002</v>
      </c>
      <c r="F1143" s="17">
        <f t="shared" si="76"/>
        <v>4.0716720000000004</v>
      </c>
      <c r="G1143" s="18" t="s">
        <v>171</v>
      </c>
      <c r="H1143" s="38">
        <v>193343</v>
      </c>
      <c r="I1143" s="18" t="s">
        <v>54</v>
      </c>
      <c r="J1143" s="19">
        <f t="shared" si="73"/>
        <v>4.0202141719430769E-2</v>
      </c>
    </row>
    <row r="1144" spans="1:10" ht="14.25" hidden="1" customHeight="1" x14ac:dyDescent="0.3">
      <c r="A1144" t="s">
        <v>6</v>
      </c>
      <c r="B1144" t="s">
        <v>21</v>
      </c>
      <c r="C1144" t="s">
        <v>74</v>
      </c>
      <c r="D1144" s="5">
        <v>0</v>
      </c>
      <c r="E1144" s="17"/>
      <c r="F1144" s="17">
        <f t="shared" si="76"/>
        <v>0</v>
      </c>
      <c r="G1144" s="18"/>
      <c r="H1144" s="38">
        <v>193343</v>
      </c>
      <c r="I1144" s="18" t="s">
        <v>54</v>
      </c>
      <c r="J1144" s="19">
        <f t="shared" si="73"/>
        <v>4.0202141719430769E-2</v>
      </c>
    </row>
    <row r="1145" spans="1:10" ht="14.25" hidden="1" customHeight="1" x14ac:dyDescent="0.3">
      <c r="A1145" t="s">
        <v>6</v>
      </c>
      <c r="B1145" t="s">
        <v>21</v>
      </c>
      <c r="C1145" t="s">
        <v>62</v>
      </c>
      <c r="D1145" s="5">
        <v>0</v>
      </c>
      <c r="E1145" s="17"/>
      <c r="F1145" s="17">
        <f t="shared" si="76"/>
        <v>0</v>
      </c>
      <c r="G1145" s="18"/>
      <c r="H1145" s="38">
        <v>193343</v>
      </c>
      <c r="I1145" s="18" t="s">
        <v>54</v>
      </c>
      <c r="J1145" s="19">
        <f t="shared" si="73"/>
        <v>4.0202141719430769E-2</v>
      </c>
    </row>
    <row r="1146" spans="1:10" ht="14.25" hidden="1" customHeight="1" x14ac:dyDescent="0.3">
      <c r="A1146" t="s">
        <v>6</v>
      </c>
      <c r="B1146" t="s">
        <v>21</v>
      </c>
      <c r="C1146" t="s">
        <v>121</v>
      </c>
      <c r="D1146" s="5">
        <v>0</v>
      </c>
      <c r="E1146" s="17"/>
      <c r="F1146" s="17">
        <f t="shared" si="76"/>
        <v>0</v>
      </c>
      <c r="G1146" s="18"/>
      <c r="H1146" s="38">
        <v>193343</v>
      </c>
      <c r="I1146" s="18" t="s">
        <v>54</v>
      </c>
      <c r="J1146" s="19">
        <f t="shared" si="73"/>
        <v>4.0202141719430769E-2</v>
      </c>
    </row>
    <row r="1147" spans="1:10" ht="14.25" hidden="1" customHeight="1" x14ac:dyDescent="0.3">
      <c r="A1147" t="s">
        <v>6</v>
      </c>
      <c r="B1147" t="s">
        <v>21</v>
      </c>
      <c r="C1147" t="s">
        <v>75</v>
      </c>
      <c r="D1147" s="60">
        <v>1</v>
      </c>
      <c r="E1147" s="134">
        <v>22</v>
      </c>
      <c r="F1147" s="17">
        <f t="shared" si="76"/>
        <v>22</v>
      </c>
      <c r="G1147" s="133" t="s">
        <v>65</v>
      </c>
      <c r="H1147" s="38">
        <v>193343</v>
      </c>
      <c r="I1147" s="18" t="s">
        <v>54</v>
      </c>
      <c r="J1147" s="19">
        <f t="shared" si="73"/>
        <v>4.0202141719430769E-2</v>
      </c>
    </row>
    <row r="1148" spans="1:10" ht="14.25" hidden="1" customHeight="1" x14ac:dyDescent="0.3">
      <c r="A1148" t="s">
        <v>6</v>
      </c>
      <c r="B1148" t="s">
        <v>21</v>
      </c>
      <c r="C1148" t="s">
        <v>64</v>
      </c>
      <c r="D1148" s="5">
        <v>1</v>
      </c>
      <c r="E1148" s="134">
        <v>129.19999999999999</v>
      </c>
      <c r="F1148" s="17">
        <f t="shared" si="76"/>
        <v>129.19999999999999</v>
      </c>
      <c r="G1148" s="133" t="s">
        <v>65</v>
      </c>
      <c r="H1148" s="38">
        <v>193343</v>
      </c>
      <c r="I1148" s="18" t="s">
        <v>54</v>
      </c>
      <c r="J1148" s="19">
        <f t="shared" si="73"/>
        <v>4.0202141719430769E-2</v>
      </c>
    </row>
    <row r="1149" spans="1:10" ht="14.25" hidden="1" customHeight="1" x14ac:dyDescent="0.3">
      <c r="A1149" t="s">
        <v>6</v>
      </c>
      <c r="B1149" t="s">
        <v>22</v>
      </c>
      <c r="C1149" t="s">
        <v>53</v>
      </c>
      <c r="D1149" s="133">
        <v>19</v>
      </c>
      <c r="E1149" s="134">
        <v>122972.17</v>
      </c>
      <c r="F1149" s="17">
        <f>E1149</f>
        <v>122972.17</v>
      </c>
      <c r="G1149" s="18" t="s">
        <v>202</v>
      </c>
      <c r="H1149" s="38">
        <v>179925</v>
      </c>
      <c r="I1149" s="18" t="s">
        <v>82</v>
      </c>
      <c r="J1149" s="19">
        <f t="shared" si="73"/>
        <v>0.7143994471105688</v>
      </c>
    </row>
    <row r="1150" spans="1:10" ht="14.25" hidden="1" customHeight="1" x14ac:dyDescent="0.3">
      <c r="A1150" t="s">
        <v>6</v>
      </c>
      <c r="B1150" t="s">
        <v>22</v>
      </c>
      <c r="C1150" t="s">
        <v>55</v>
      </c>
      <c r="D1150" s="133">
        <v>19</v>
      </c>
      <c r="E1150" s="37">
        <v>58.416942229951687</v>
      </c>
      <c r="F1150" s="17">
        <f t="shared" ref="F1150:F1169" si="77">D1150*E1150</f>
        <v>1109.9219023690821</v>
      </c>
      <c r="G1150" s="18"/>
      <c r="H1150" s="38">
        <v>179925</v>
      </c>
      <c r="I1150" s="18" t="s">
        <v>82</v>
      </c>
      <c r="J1150" s="19">
        <f t="shared" si="73"/>
        <v>0.7143994471105688</v>
      </c>
    </row>
    <row r="1151" spans="1:10" ht="14.25" hidden="1" customHeight="1" x14ac:dyDescent="0.3">
      <c r="A1151" t="s">
        <v>6</v>
      </c>
      <c r="B1151" t="s">
        <v>22</v>
      </c>
      <c r="C1151" t="s">
        <v>26</v>
      </c>
      <c r="D1151" s="133">
        <v>19</v>
      </c>
      <c r="E1151" s="17">
        <v>25.999313999999998</v>
      </c>
      <c r="F1151" s="17">
        <f t="shared" si="77"/>
        <v>493.98696599999994</v>
      </c>
      <c r="G1151" s="18" t="s">
        <v>171</v>
      </c>
      <c r="H1151" s="38">
        <v>179925</v>
      </c>
      <c r="I1151" s="18" t="s">
        <v>82</v>
      </c>
      <c r="J1151" s="19">
        <f t="shared" si="73"/>
        <v>0.7143994471105688</v>
      </c>
    </row>
    <row r="1152" spans="1:10" ht="14.25" hidden="1" customHeight="1" x14ac:dyDescent="0.3">
      <c r="A1152" t="s">
        <v>6</v>
      </c>
      <c r="B1152" t="s">
        <v>22</v>
      </c>
      <c r="C1152" t="s">
        <v>14</v>
      </c>
      <c r="D1152" s="133">
        <v>19</v>
      </c>
      <c r="E1152" s="17">
        <v>42.772965999999997</v>
      </c>
      <c r="F1152" s="17">
        <f t="shared" si="77"/>
        <v>812.68635399999994</v>
      </c>
      <c r="G1152" s="18" t="s">
        <v>171</v>
      </c>
      <c r="H1152" s="38">
        <v>179925</v>
      </c>
      <c r="I1152" s="18" t="s">
        <v>82</v>
      </c>
      <c r="J1152" s="19">
        <f t="shared" si="73"/>
        <v>0.7143994471105688</v>
      </c>
    </row>
    <row r="1153" spans="1:10" ht="14.25" hidden="1" customHeight="1" x14ac:dyDescent="0.3">
      <c r="A1153" t="s">
        <v>6</v>
      </c>
      <c r="B1153" t="s">
        <v>22</v>
      </c>
      <c r="C1153" t="s">
        <v>87</v>
      </c>
      <c r="D1153" s="5">
        <v>4</v>
      </c>
      <c r="E1153" s="6">
        <v>50</v>
      </c>
      <c r="F1153" s="17">
        <f t="shared" si="77"/>
        <v>200</v>
      </c>
      <c r="G1153" s="18" t="s">
        <v>192</v>
      </c>
      <c r="H1153" s="38">
        <v>179925</v>
      </c>
      <c r="I1153" s="18" t="s">
        <v>82</v>
      </c>
      <c r="J1153" s="19">
        <f t="shared" si="73"/>
        <v>0.7143994471105688</v>
      </c>
    </row>
    <row r="1154" spans="1:10" ht="14.25" hidden="1" customHeight="1" x14ac:dyDescent="0.3">
      <c r="A1154" t="s">
        <v>6</v>
      </c>
      <c r="B1154" t="s">
        <v>22</v>
      </c>
      <c r="C1154" t="s">
        <v>70</v>
      </c>
      <c r="D1154" s="5">
        <v>1</v>
      </c>
      <c r="E1154" s="17"/>
      <c r="F1154" s="17">
        <f t="shared" si="77"/>
        <v>0</v>
      </c>
      <c r="G1154" s="18"/>
      <c r="H1154" s="38">
        <v>179925</v>
      </c>
      <c r="I1154" s="18" t="s">
        <v>82</v>
      </c>
      <c r="J1154" s="19">
        <f t="shared" ref="J1154:J1217" si="78">IFERROR(SUMIFS($F$2:$F$1749,$A$2:$A$1749,A1154,$B$2:$B$1749,B1154)/H1154,"")</f>
        <v>0.7143994471105688</v>
      </c>
    </row>
    <row r="1155" spans="1:10" ht="14.25" hidden="1" customHeight="1" x14ac:dyDescent="0.3">
      <c r="A1155" t="s">
        <v>6</v>
      </c>
      <c r="B1155" t="s">
        <v>22</v>
      </c>
      <c r="C1155" t="s">
        <v>76</v>
      </c>
      <c r="D1155" s="5">
        <v>3</v>
      </c>
      <c r="E1155" s="6">
        <v>30</v>
      </c>
      <c r="F1155" s="17">
        <f t="shared" si="77"/>
        <v>90</v>
      </c>
      <c r="G1155" s="18" t="s">
        <v>192</v>
      </c>
      <c r="H1155" s="38">
        <v>179925</v>
      </c>
      <c r="I1155" s="18" t="s">
        <v>82</v>
      </c>
      <c r="J1155" s="19">
        <f t="shared" si="78"/>
        <v>0.7143994471105688</v>
      </c>
    </row>
    <row r="1156" spans="1:10" ht="14.25" hidden="1" customHeight="1" x14ac:dyDescent="0.3">
      <c r="A1156" t="s">
        <v>6</v>
      </c>
      <c r="B1156" t="s">
        <v>22</v>
      </c>
      <c r="C1156" t="s">
        <v>71</v>
      </c>
      <c r="D1156" s="5">
        <v>1</v>
      </c>
      <c r="E1156" s="6">
        <v>40.520000000000003</v>
      </c>
      <c r="F1156" s="17">
        <f t="shared" si="77"/>
        <v>40.520000000000003</v>
      </c>
      <c r="G1156" s="18" t="s">
        <v>192</v>
      </c>
      <c r="H1156" s="38">
        <v>179925</v>
      </c>
      <c r="I1156" s="18" t="s">
        <v>82</v>
      </c>
      <c r="J1156" s="19">
        <f t="shared" si="78"/>
        <v>0.7143994471105688</v>
      </c>
    </row>
    <row r="1157" spans="1:10" ht="14.25" hidden="1" customHeight="1" x14ac:dyDescent="0.3">
      <c r="A1157" t="s">
        <v>6</v>
      </c>
      <c r="B1157" t="s">
        <v>22</v>
      </c>
      <c r="C1157" t="s">
        <v>72</v>
      </c>
      <c r="D1157" s="5">
        <v>1</v>
      </c>
      <c r="E1157" s="6">
        <v>153.58000000000001</v>
      </c>
      <c r="F1157" s="17">
        <f t="shared" si="77"/>
        <v>153.58000000000001</v>
      </c>
      <c r="G1157" s="18" t="s">
        <v>192</v>
      </c>
      <c r="H1157" s="38">
        <v>179925</v>
      </c>
      <c r="I1157" s="18" t="s">
        <v>82</v>
      </c>
      <c r="J1157" s="19">
        <f t="shared" si="78"/>
        <v>0.7143994471105688</v>
      </c>
    </row>
    <row r="1158" spans="1:10" ht="14.25" hidden="1" customHeight="1" x14ac:dyDescent="0.3">
      <c r="A1158" t="s">
        <v>6</v>
      </c>
      <c r="B1158" t="s">
        <v>22</v>
      </c>
      <c r="C1158" t="s">
        <v>58</v>
      </c>
      <c r="D1158" s="133">
        <v>19</v>
      </c>
      <c r="E1158" s="17">
        <v>9.8512850000000007</v>
      </c>
      <c r="F1158" s="17">
        <f t="shared" si="77"/>
        <v>187.17441500000001</v>
      </c>
      <c r="G1158" s="18" t="s">
        <v>171</v>
      </c>
      <c r="H1158" s="38">
        <v>179925</v>
      </c>
      <c r="I1158" s="18" t="s">
        <v>82</v>
      </c>
      <c r="J1158" s="19">
        <f t="shared" si="78"/>
        <v>0.7143994471105688</v>
      </c>
    </row>
    <row r="1159" spans="1:10" ht="14.25" hidden="1" customHeight="1" x14ac:dyDescent="0.3">
      <c r="A1159" t="s">
        <v>6</v>
      </c>
      <c r="B1159" t="s">
        <v>22</v>
      </c>
      <c r="C1159" t="s">
        <v>59</v>
      </c>
      <c r="D1159" s="133">
        <v>19</v>
      </c>
      <c r="E1159" s="17">
        <v>2.0358360000000002</v>
      </c>
      <c r="F1159" s="17">
        <f t="shared" si="77"/>
        <v>38.680884000000006</v>
      </c>
      <c r="G1159" s="18" t="s">
        <v>171</v>
      </c>
      <c r="H1159" s="38">
        <v>179925</v>
      </c>
      <c r="I1159" s="18" t="s">
        <v>82</v>
      </c>
      <c r="J1159" s="19">
        <f t="shared" si="78"/>
        <v>0.7143994471105688</v>
      </c>
    </row>
    <row r="1160" spans="1:10" ht="14.25" hidden="1" customHeight="1" x14ac:dyDescent="0.3">
      <c r="A1160" t="s">
        <v>6</v>
      </c>
      <c r="B1160" t="s">
        <v>22</v>
      </c>
      <c r="C1160" t="s">
        <v>74</v>
      </c>
      <c r="D1160" s="60">
        <v>0</v>
      </c>
      <c r="E1160" s="17"/>
      <c r="F1160" s="17">
        <f t="shared" si="77"/>
        <v>0</v>
      </c>
      <c r="G1160" s="18"/>
      <c r="H1160" s="38">
        <v>179925</v>
      </c>
      <c r="I1160" s="18" t="s">
        <v>82</v>
      </c>
      <c r="J1160" s="19">
        <f t="shared" si="78"/>
        <v>0.7143994471105688</v>
      </c>
    </row>
    <row r="1161" spans="1:10" ht="14.25" hidden="1" customHeight="1" x14ac:dyDescent="0.3">
      <c r="A1161" t="s">
        <v>6</v>
      </c>
      <c r="B1161" t="s">
        <v>22</v>
      </c>
      <c r="C1161" t="s">
        <v>62</v>
      </c>
      <c r="D1161" s="60">
        <v>0</v>
      </c>
      <c r="E1161" s="17"/>
      <c r="F1161" s="17">
        <f t="shared" si="77"/>
        <v>0</v>
      </c>
      <c r="G1161" s="18"/>
      <c r="H1161" s="38">
        <v>179925</v>
      </c>
      <c r="I1161" s="18" t="s">
        <v>82</v>
      </c>
      <c r="J1161" s="19">
        <f t="shared" si="78"/>
        <v>0.7143994471105688</v>
      </c>
    </row>
    <row r="1162" spans="1:10" ht="14.25" hidden="1" customHeight="1" x14ac:dyDescent="0.3">
      <c r="A1162" t="s">
        <v>6</v>
      </c>
      <c r="B1162" t="s">
        <v>22</v>
      </c>
      <c r="C1162" t="s">
        <v>122</v>
      </c>
      <c r="D1162" s="5">
        <v>1</v>
      </c>
      <c r="E1162" s="17"/>
      <c r="F1162" s="17">
        <f t="shared" si="77"/>
        <v>0</v>
      </c>
      <c r="G1162" s="18"/>
      <c r="H1162" s="38">
        <v>179925</v>
      </c>
      <c r="I1162" s="18" t="s">
        <v>82</v>
      </c>
      <c r="J1162" s="19">
        <f t="shared" si="78"/>
        <v>0.7143994471105688</v>
      </c>
    </row>
    <row r="1163" spans="1:10" ht="14.25" hidden="1" customHeight="1" x14ac:dyDescent="0.3">
      <c r="A1163" t="s">
        <v>6</v>
      </c>
      <c r="B1163" t="s">
        <v>22</v>
      </c>
      <c r="C1163" t="s">
        <v>123</v>
      </c>
      <c r="D1163" s="5">
        <v>1</v>
      </c>
      <c r="E1163" s="6">
        <v>2439.6</v>
      </c>
      <c r="F1163" s="17">
        <f t="shared" si="77"/>
        <v>2439.6</v>
      </c>
      <c r="G1163" s="18" t="s">
        <v>192</v>
      </c>
      <c r="H1163" s="38">
        <v>179925</v>
      </c>
      <c r="I1163" s="18" t="s">
        <v>82</v>
      </c>
      <c r="J1163" s="19">
        <f t="shared" si="78"/>
        <v>0.7143994471105688</v>
      </c>
    </row>
    <row r="1164" spans="1:10" ht="14.25" hidden="1" customHeight="1" x14ac:dyDescent="0.3">
      <c r="A1164" t="s">
        <v>6</v>
      </c>
      <c r="B1164" t="s">
        <v>22</v>
      </c>
      <c r="C1164" t="s">
        <v>121</v>
      </c>
      <c r="D1164" s="5">
        <v>1</v>
      </c>
      <c r="E1164" s="17"/>
      <c r="F1164" s="17">
        <f t="shared" si="77"/>
        <v>0</v>
      </c>
      <c r="G1164" s="18"/>
      <c r="H1164" s="38">
        <v>179925</v>
      </c>
      <c r="I1164" s="18" t="s">
        <v>82</v>
      </c>
      <c r="J1164" s="19">
        <f t="shared" si="78"/>
        <v>0.7143994471105688</v>
      </c>
    </row>
    <row r="1165" spans="1:10" ht="14.25" hidden="1" customHeight="1" x14ac:dyDescent="0.3">
      <c r="A1165" t="s">
        <v>6</v>
      </c>
      <c r="B1165" t="s">
        <v>22</v>
      </c>
      <c r="C1165" t="s">
        <v>89</v>
      </c>
      <c r="D1165" s="5">
        <v>0</v>
      </c>
      <c r="E1165" s="17"/>
      <c r="F1165" s="17">
        <f t="shared" si="77"/>
        <v>0</v>
      </c>
      <c r="G1165" s="18"/>
      <c r="H1165" s="38">
        <v>179925</v>
      </c>
      <c r="I1165" s="18" t="s">
        <v>82</v>
      </c>
      <c r="J1165" s="19">
        <f t="shared" si="78"/>
        <v>0.7143994471105688</v>
      </c>
    </row>
    <row r="1166" spans="1:10" ht="14.25" hidden="1" customHeight="1" x14ac:dyDescent="0.3">
      <c r="A1166" t="s">
        <v>6</v>
      </c>
      <c r="B1166" t="s">
        <v>22</v>
      </c>
      <c r="C1166" t="s">
        <v>67</v>
      </c>
      <c r="D1166" s="5">
        <v>0</v>
      </c>
      <c r="E1166" s="17"/>
      <c r="F1166" s="17">
        <f t="shared" si="77"/>
        <v>0</v>
      </c>
      <c r="G1166" s="18"/>
      <c r="H1166" s="38">
        <v>179925</v>
      </c>
      <c r="I1166" s="18" t="s">
        <v>82</v>
      </c>
      <c r="J1166" s="19">
        <f t="shared" si="78"/>
        <v>0.7143994471105688</v>
      </c>
    </row>
    <row r="1167" spans="1:10" ht="14.25" hidden="1" customHeight="1" x14ac:dyDescent="0.3">
      <c r="A1167" t="s">
        <v>6</v>
      </c>
      <c r="B1167" t="s">
        <v>22</v>
      </c>
      <c r="C1167" t="s">
        <v>114</v>
      </c>
      <c r="D1167" s="5">
        <v>0</v>
      </c>
      <c r="E1167" s="17"/>
      <c r="F1167" s="17">
        <f t="shared" si="77"/>
        <v>0</v>
      </c>
      <c r="G1167" s="18"/>
      <c r="H1167" s="38">
        <v>179925</v>
      </c>
      <c r="I1167" s="18" t="s">
        <v>82</v>
      </c>
      <c r="J1167" s="19">
        <f t="shared" si="78"/>
        <v>0.7143994471105688</v>
      </c>
    </row>
    <row r="1168" spans="1:10" ht="14.25" hidden="1" customHeight="1" x14ac:dyDescent="0.3">
      <c r="A1168" t="s">
        <v>6</v>
      </c>
      <c r="B1168" t="s">
        <v>22</v>
      </c>
      <c r="C1168" t="s">
        <v>75</v>
      </c>
      <c r="D1168" s="60">
        <v>0</v>
      </c>
      <c r="E1168" s="17"/>
      <c r="F1168" s="17">
        <f t="shared" si="77"/>
        <v>0</v>
      </c>
      <c r="G1168" s="18"/>
      <c r="H1168" s="38">
        <v>179925</v>
      </c>
      <c r="I1168" s="18" t="s">
        <v>82</v>
      </c>
      <c r="J1168" s="19">
        <f t="shared" si="78"/>
        <v>0.7143994471105688</v>
      </c>
    </row>
    <row r="1169" spans="1:10" ht="14.25" hidden="1" customHeight="1" x14ac:dyDescent="0.3">
      <c r="A1169" t="s">
        <v>6</v>
      </c>
      <c r="B1169" t="s">
        <v>22</v>
      </c>
      <c r="C1169" t="s">
        <v>64</v>
      </c>
      <c r="D1169" s="60">
        <v>0</v>
      </c>
      <c r="E1169" s="17"/>
      <c r="F1169" s="17">
        <f t="shared" si="77"/>
        <v>0</v>
      </c>
      <c r="G1169" s="18"/>
      <c r="H1169" s="38">
        <v>179925</v>
      </c>
      <c r="I1169" s="18" t="s">
        <v>82</v>
      </c>
      <c r="J1169" s="19">
        <f t="shared" si="78"/>
        <v>0.7143994471105688</v>
      </c>
    </row>
    <row r="1170" spans="1:10" ht="14.25" hidden="1" customHeight="1" x14ac:dyDescent="0.3">
      <c r="A1170" t="s">
        <v>6</v>
      </c>
      <c r="B1170" t="s">
        <v>23</v>
      </c>
      <c r="C1170" t="s">
        <v>53</v>
      </c>
      <c r="D1170" s="133">
        <v>12</v>
      </c>
      <c r="E1170" s="134">
        <v>55788.79</v>
      </c>
      <c r="F1170" s="17">
        <f>E1170</f>
        <v>55788.79</v>
      </c>
      <c r="G1170" s="18" t="s">
        <v>203</v>
      </c>
      <c r="H1170" s="38">
        <v>179925</v>
      </c>
      <c r="I1170" s="18" t="s">
        <v>82</v>
      </c>
      <c r="J1170" s="19">
        <f t="shared" si="78"/>
        <v>0.33136393563295496</v>
      </c>
    </row>
    <row r="1171" spans="1:10" ht="14.25" hidden="1" customHeight="1" x14ac:dyDescent="0.3">
      <c r="A1171" t="s">
        <v>6</v>
      </c>
      <c r="B1171" t="s">
        <v>23</v>
      </c>
      <c r="C1171" t="s">
        <v>55</v>
      </c>
      <c r="D1171" s="133">
        <v>12</v>
      </c>
      <c r="E1171" s="37">
        <v>58.416942229951687</v>
      </c>
      <c r="F1171" s="17">
        <f t="shared" ref="F1171:F1200" si="79">D1171*E1171</f>
        <v>701.00330675942018</v>
      </c>
      <c r="G1171" s="18"/>
      <c r="H1171" s="38">
        <v>179925</v>
      </c>
      <c r="I1171" s="18" t="s">
        <v>82</v>
      </c>
      <c r="J1171" s="19">
        <f t="shared" si="78"/>
        <v>0.33136393563295496</v>
      </c>
    </row>
    <row r="1172" spans="1:10" ht="14.25" hidden="1" customHeight="1" x14ac:dyDescent="0.3">
      <c r="A1172" t="s">
        <v>6</v>
      </c>
      <c r="B1172" t="s">
        <v>23</v>
      </c>
      <c r="C1172" t="s">
        <v>26</v>
      </c>
      <c r="D1172" s="133">
        <v>12</v>
      </c>
      <c r="E1172" s="17">
        <v>25.999313999999998</v>
      </c>
      <c r="F1172" s="17">
        <f t="shared" si="79"/>
        <v>311.99176799999998</v>
      </c>
      <c r="G1172" s="18" t="s">
        <v>171</v>
      </c>
      <c r="H1172" s="38">
        <v>179925</v>
      </c>
      <c r="I1172" s="18" t="s">
        <v>82</v>
      </c>
      <c r="J1172" s="19">
        <f t="shared" si="78"/>
        <v>0.33136393563295496</v>
      </c>
    </row>
    <row r="1173" spans="1:10" ht="14.25" hidden="1" customHeight="1" x14ac:dyDescent="0.3">
      <c r="A1173" t="s">
        <v>6</v>
      </c>
      <c r="B1173" t="s">
        <v>23</v>
      </c>
      <c r="C1173" t="s">
        <v>14</v>
      </c>
      <c r="D1173" s="133">
        <v>12</v>
      </c>
      <c r="E1173" s="17">
        <v>42.772965999999997</v>
      </c>
      <c r="F1173" s="17">
        <f t="shared" si="79"/>
        <v>513.27559199999996</v>
      </c>
      <c r="G1173" s="18" t="s">
        <v>171</v>
      </c>
      <c r="H1173" s="38">
        <v>179925</v>
      </c>
      <c r="I1173" s="18" t="s">
        <v>82</v>
      </c>
      <c r="J1173" s="19">
        <f t="shared" si="78"/>
        <v>0.33136393563295496</v>
      </c>
    </row>
    <row r="1174" spans="1:10" ht="14.25" hidden="1" customHeight="1" x14ac:dyDescent="0.3">
      <c r="A1174" t="s">
        <v>6</v>
      </c>
      <c r="B1174" t="s">
        <v>23</v>
      </c>
      <c r="C1174" t="s">
        <v>56</v>
      </c>
      <c r="D1174" s="5">
        <v>17</v>
      </c>
      <c r="E1174" s="6">
        <v>50</v>
      </c>
      <c r="F1174" s="17">
        <f t="shared" si="79"/>
        <v>850</v>
      </c>
      <c r="G1174" s="18" t="s">
        <v>192</v>
      </c>
      <c r="H1174" s="38">
        <v>179925</v>
      </c>
      <c r="I1174" s="18" t="s">
        <v>82</v>
      </c>
      <c r="J1174" s="19">
        <f t="shared" si="78"/>
        <v>0.33136393563295496</v>
      </c>
    </row>
    <row r="1175" spans="1:10" ht="14.25" hidden="1" customHeight="1" x14ac:dyDescent="0.3">
      <c r="A1175" t="s">
        <v>6</v>
      </c>
      <c r="B1175" t="s">
        <v>23</v>
      </c>
      <c r="C1175" t="s">
        <v>70</v>
      </c>
      <c r="D1175" s="5">
        <v>1</v>
      </c>
      <c r="E1175" s="17"/>
      <c r="F1175" s="17">
        <f t="shared" si="79"/>
        <v>0</v>
      </c>
      <c r="G1175" s="18"/>
      <c r="H1175" s="38">
        <v>179925</v>
      </c>
      <c r="I1175" s="18" t="s">
        <v>82</v>
      </c>
      <c r="J1175" s="19">
        <f t="shared" si="78"/>
        <v>0.33136393563295496</v>
      </c>
    </row>
    <row r="1176" spans="1:10" ht="14.25" hidden="1" customHeight="1" x14ac:dyDescent="0.3">
      <c r="A1176" t="s">
        <v>6</v>
      </c>
      <c r="B1176" t="s">
        <v>23</v>
      </c>
      <c r="C1176" t="s">
        <v>76</v>
      </c>
      <c r="D1176" s="5">
        <v>1</v>
      </c>
      <c r="E1176" s="6">
        <v>33.72</v>
      </c>
      <c r="F1176" s="17">
        <f t="shared" si="79"/>
        <v>33.72</v>
      </c>
      <c r="G1176" s="18" t="s">
        <v>192</v>
      </c>
      <c r="H1176" s="38">
        <v>179925</v>
      </c>
      <c r="I1176" s="18" t="s">
        <v>82</v>
      </c>
      <c r="J1176" s="19">
        <f t="shared" si="78"/>
        <v>0.33136393563295496</v>
      </c>
    </row>
    <row r="1177" spans="1:10" ht="14.25" hidden="1" customHeight="1" x14ac:dyDescent="0.3">
      <c r="A1177" t="s">
        <v>6</v>
      </c>
      <c r="B1177" t="s">
        <v>23</v>
      </c>
      <c r="C1177" t="s">
        <v>57</v>
      </c>
      <c r="D1177" s="5">
        <v>11</v>
      </c>
      <c r="E1177" s="6">
        <v>30</v>
      </c>
      <c r="F1177" s="17">
        <f t="shared" si="79"/>
        <v>330</v>
      </c>
      <c r="G1177" s="18" t="s">
        <v>192</v>
      </c>
      <c r="H1177" s="38">
        <v>179925</v>
      </c>
      <c r="I1177" s="18" t="s">
        <v>82</v>
      </c>
      <c r="J1177" s="19">
        <f t="shared" si="78"/>
        <v>0.33136393563295496</v>
      </c>
    </row>
    <row r="1178" spans="1:10" ht="14.25" hidden="1" customHeight="1" x14ac:dyDescent="0.3">
      <c r="A1178" t="s">
        <v>6</v>
      </c>
      <c r="B1178" t="s">
        <v>23</v>
      </c>
      <c r="C1178" t="s">
        <v>72</v>
      </c>
      <c r="D1178" s="5">
        <v>1</v>
      </c>
      <c r="E1178" s="6">
        <v>128.68</v>
      </c>
      <c r="F1178" s="17">
        <f t="shared" si="79"/>
        <v>128.68</v>
      </c>
      <c r="G1178" s="18" t="s">
        <v>192</v>
      </c>
      <c r="H1178" s="38">
        <v>179925</v>
      </c>
      <c r="I1178" s="18" t="s">
        <v>82</v>
      </c>
      <c r="J1178" s="19">
        <f t="shared" si="78"/>
        <v>0.33136393563295496</v>
      </c>
    </row>
    <row r="1179" spans="1:10" ht="14.25" hidden="1" customHeight="1" x14ac:dyDescent="0.3">
      <c r="A1179" t="s">
        <v>6</v>
      </c>
      <c r="B1179" t="s">
        <v>23</v>
      </c>
      <c r="C1179" t="s">
        <v>58</v>
      </c>
      <c r="D1179" s="133">
        <v>12</v>
      </c>
      <c r="E1179" s="17">
        <v>9.8512850000000007</v>
      </c>
      <c r="F1179" s="17">
        <f t="shared" si="79"/>
        <v>118.21542000000001</v>
      </c>
      <c r="G1179" s="18" t="s">
        <v>171</v>
      </c>
      <c r="H1179" s="38">
        <v>179925</v>
      </c>
      <c r="I1179" s="18" t="s">
        <v>82</v>
      </c>
      <c r="J1179" s="19">
        <f t="shared" si="78"/>
        <v>0.33136393563295496</v>
      </c>
    </row>
    <row r="1180" spans="1:10" ht="14.25" hidden="1" customHeight="1" x14ac:dyDescent="0.3">
      <c r="A1180" t="s">
        <v>6</v>
      </c>
      <c r="B1180" t="s">
        <v>23</v>
      </c>
      <c r="C1180" t="s">
        <v>59</v>
      </c>
      <c r="D1180" s="133">
        <v>12</v>
      </c>
      <c r="E1180" s="17">
        <v>2.0358360000000002</v>
      </c>
      <c r="F1180" s="17">
        <f t="shared" si="79"/>
        <v>24.430032000000004</v>
      </c>
      <c r="G1180" s="18" t="s">
        <v>171</v>
      </c>
      <c r="H1180" s="38">
        <v>179925</v>
      </c>
      <c r="I1180" s="18" t="s">
        <v>82</v>
      </c>
      <c r="J1180" s="19">
        <f t="shared" si="78"/>
        <v>0.33136393563295496</v>
      </c>
    </row>
    <row r="1181" spans="1:10" ht="14.25" hidden="1" customHeight="1" x14ac:dyDescent="0.3">
      <c r="A1181" t="s">
        <v>6</v>
      </c>
      <c r="B1181" t="s">
        <v>23</v>
      </c>
      <c r="C1181" t="s">
        <v>74</v>
      </c>
      <c r="D1181" s="60">
        <v>0</v>
      </c>
      <c r="E1181" s="17"/>
      <c r="F1181" s="17">
        <f t="shared" si="79"/>
        <v>0</v>
      </c>
      <c r="G1181" s="18"/>
      <c r="H1181" s="38">
        <v>179925</v>
      </c>
      <c r="I1181" s="18" t="s">
        <v>82</v>
      </c>
      <c r="J1181" s="19">
        <f t="shared" si="78"/>
        <v>0.33136393563295496</v>
      </c>
    </row>
    <row r="1182" spans="1:10" ht="14.25" hidden="1" customHeight="1" x14ac:dyDescent="0.3">
      <c r="A1182" t="s">
        <v>6</v>
      </c>
      <c r="B1182" t="s">
        <v>23</v>
      </c>
      <c r="C1182" t="s">
        <v>62</v>
      </c>
      <c r="D1182" s="60">
        <v>0</v>
      </c>
      <c r="E1182" s="17"/>
      <c r="F1182" s="17">
        <f t="shared" si="79"/>
        <v>0</v>
      </c>
      <c r="G1182" s="18"/>
      <c r="H1182" s="38">
        <v>179925</v>
      </c>
      <c r="I1182" s="18" t="s">
        <v>82</v>
      </c>
      <c r="J1182" s="19">
        <f t="shared" si="78"/>
        <v>0.33136393563295496</v>
      </c>
    </row>
    <row r="1183" spans="1:10" ht="14.25" hidden="1" customHeight="1" x14ac:dyDescent="0.3">
      <c r="A1183" t="s">
        <v>6</v>
      </c>
      <c r="B1183" t="s">
        <v>23</v>
      </c>
      <c r="C1183" t="s">
        <v>75</v>
      </c>
      <c r="D1183" s="60">
        <v>1</v>
      </c>
      <c r="E1183" s="134">
        <v>22</v>
      </c>
      <c r="F1183" s="17">
        <f t="shared" si="79"/>
        <v>22</v>
      </c>
      <c r="G1183" s="133" t="s">
        <v>65</v>
      </c>
      <c r="H1183" s="38">
        <v>179925</v>
      </c>
      <c r="I1183" s="18" t="s">
        <v>82</v>
      </c>
      <c r="J1183" s="19">
        <f t="shared" si="78"/>
        <v>0.33136393563295496</v>
      </c>
    </row>
    <row r="1184" spans="1:10" ht="14.25" hidden="1" customHeight="1" x14ac:dyDescent="0.3">
      <c r="A1184" t="s">
        <v>6</v>
      </c>
      <c r="B1184" t="s">
        <v>23</v>
      </c>
      <c r="C1184" t="s">
        <v>64</v>
      </c>
      <c r="D1184" s="5">
        <v>1</v>
      </c>
      <c r="E1184" s="134">
        <v>114.5</v>
      </c>
      <c r="F1184" s="17">
        <f t="shared" si="79"/>
        <v>114.5</v>
      </c>
      <c r="G1184" s="133" t="s">
        <v>65</v>
      </c>
      <c r="H1184" s="38">
        <v>179925</v>
      </c>
      <c r="I1184" s="18" t="s">
        <v>82</v>
      </c>
      <c r="J1184" s="19">
        <f t="shared" si="78"/>
        <v>0.33136393563295496</v>
      </c>
    </row>
    <row r="1185" spans="1:10" ht="14.25" hidden="1" customHeight="1" x14ac:dyDescent="0.3">
      <c r="A1185" t="s">
        <v>6</v>
      </c>
      <c r="B1185" t="s">
        <v>23</v>
      </c>
      <c r="C1185" t="s">
        <v>124</v>
      </c>
      <c r="D1185" s="5">
        <v>1</v>
      </c>
      <c r="E1185" s="17"/>
      <c r="F1185" s="17">
        <f t="shared" si="79"/>
        <v>0</v>
      </c>
      <c r="G1185" s="18"/>
      <c r="H1185" s="38">
        <v>179925</v>
      </c>
      <c r="I1185" s="18" t="s">
        <v>82</v>
      </c>
      <c r="J1185" s="19">
        <f t="shared" si="78"/>
        <v>0.33136393563295496</v>
      </c>
    </row>
    <row r="1186" spans="1:10" ht="14.25" hidden="1" customHeight="1" x14ac:dyDescent="0.3">
      <c r="A1186" t="s">
        <v>6</v>
      </c>
      <c r="B1186" t="s">
        <v>23</v>
      </c>
      <c r="C1186" t="s">
        <v>125</v>
      </c>
      <c r="D1186" s="5">
        <v>1</v>
      </c>
      <c r="E1186" s="17"/>
      <c r="F1186" s="17">
        <f t="shared" si="79"/>
        <v>0</v>
      </c>
      <c r="G1186" s="18"/>
      <c r="H1186" s="38">
        <v>179925</v>
      </c>
      <c r="I1186" s="18" t="s">
        <v>82</v>
      </c>
      <c r="J1186" s="19">
        <f t="shared" si="78"/>
        <v>0.33136393563295496</v>
      </c>
    </row>
    <row r="1187" spans="1:10" ht="14.25" hidden="1" customHeight="1" x14ac:dyDescent="0.3">
      <c r="A1187" t="s">
        <v>6</v>
      </c>
      <c r="B1187" t="s">
        <v>23</v>
      </c>
      <c r="C1187" t="s">
        <v>126</v>
      </c>
      <c r="D1187" s="5">
        <v>1</v>
      </c>
      <c r="E1187" s="17"/>
      <c r="F1187" s="17">
        <f t="shared" si="79"/>
        <v>0</v>
      </c>
      <c r="G1187" s="18"/>
      <c r="H1187" s="38">
        <v>179925</v>
      </c>
      <c r="I1187" s="18" t="s">
        <v>82</v>
      </c>
      <c r="J1187" s="19">
        <f t="shared" si="78"/>
        <v>0.33136393563295496</v>
      </c>
    </row>
    <row r="1188" spans="1:10" ht="14.25" hidden="1" customHeight="1" x14ac:dyDescent="0.3">
      <c r="A1188" t="s">
        <v>6</v>
      </c>
      <c r="B1188" t="s">
        <v>23</v>
      </c>
      <c r="C1188" t="s">
        <v>127</v>
      </c>
      <c r="D1188" s="5">
        <v>1</v>
      </c>
      <c r="E1188" s="17"/>
      <c r="F1188" s="17">
        <f t="shared" si="79"/>
        <v>0</v>
      </c>
      <c r="G1188" s="18"/>
      <c r="H1188" s="38">
        <v>179925</v>
      </c>
      <c r="I1188" s="18" t="s">
        <v>82</v>
      </c>
      <c r="J1188" s="19">
        <f t="shared" si="78"/>
        <v>0.33136393563295496</v>
      </c>
    </row>
    <row r="1189" spans="1:10" ht="14.25" hidden="1" customHeight="1" x14ac:dyDescent="0.3">
      <c r="A1189" t="s">
        <v>6</v>
      </c>
      <c r="B1189" t="s">
        <v>23</v>
      </c>
      <c r="C1189" t="s">
        <v>128</v>
      </c>
      <c r="D1189" s="5">
        <v>1</v>
      </c>
      <c r="E1189" s="6">
        <v>684.05</v>
      </c>
      <c r="F1189" s="17">
        <f t="shared" si="79"/>
        <v>684.05</v>
      </c>
      <c r="G1189" s="18" t="s">
        <v>192</v>
      </c>
      <c r="H1189" s="38">
        <v>179925</v>
      </c>
      <c r="I1189" s="18" t="s">
        <v>82</v>
      </c>
      <c r="J1189" s="19">
        <f t="shared" si="78"/>
        <v>0.33136393563295496</v>
      </c>
    </row>
    <row r="1190" spans="1:10" ht="14.25" hidden="1" customHeight="1" x14ac:dyDescent="0.3">
      <c r="A1190" t="s">
        <v>6</v>
      </c>
      <c r="B1190" t="s">
        <v>23</v>
      </c>
      <c r="C1190" t="s">
        <v>129</v>
      </c>
      <c r="D1190" s="5">
        <v>0</v>
      </c>
      <c r="E1190" s="17"/>
      <c r="F1190" s="17">
        <f t="shared" si="79"/>
        <v>0</v>
      </c>
      <c r="G1190" s="18"/>
      <c r="H1190" s="38">
        <v>179925</v>
      </c>
      <c r="I1190" s="18" t="s">
        <v>82</v>
      </c>
      <c r="J1190" s="19">
        <f t="shared" si="78"/>
        <v>0.33136393563295496</v>
      </c>
    </row>
    <row r="1191" spans="1:10" ht="14.25" hidden="1" customHeight="1" x14ac:dyDescent="0.3">
      <c r="A1191" t="s">
        <v>6</v>
      </c>
      <c r="B1191" t="s">
        <v>23</v>
      </c>
      <c r="C1191" t="s">
        <v>102</v>
      </c>
      <c r="D1191" s="5">
        <v>0</v>
      </c>
      <c r="E1191" s="17"/>
      <c r="F1191" s="17">
        <f t="shared" si="79"/>
        <v>0</v>
      </c>
      <c r="G1191" s="18"/>
      <c r="H1191" s="38">
        <v>179925</v>
      </c>
      <c r="I1191" s="18" t="s">
        <v>82</v>
      </c>
      <c r="J1191" s="19">
        <f t="shared" si="78"/>
        <v>0.33136393563295496</v>
      </c>
    </row>
    <row r="1192" spans="1:10" ht="14.25" hidden="1" customHeight="1" x14ac:dyDescent="0.3">
      <c r="A1192" t="s">
        <v>6</v>
      </c>
      <c r="B1192" t="s">
        <v>23</v>
      </c>
      <c r="C1192" t="s">
        <v>89</v>
      </c>
      <c r="D1192" s="5">
        <v>0</v>
      </c>
      <c r="E1192" s="17"/>
      <c r="F1192" s="17">
        <f t="shared" si="79"/>
        <v>0</v>
      </c>
      <c r="G1192" s="18"/>
      <c r="H1192" s="38">
        <v>179925</v>
      </c>
      <c r="I1192" s="18" t="s">
        <v>82</v>
      </c>
      <c r="J1192" s="19">
        <f t="shared" si="78"/>
        <v>0.33136393563295496</v>
      </c>
    </row>
    <row r="1193" spans="1:10" ht="14.25" hidden="1" customHeight="1" x14ac:dyDescent="0.3">
      <c r="A1193" t="s">
        <v>6</v>
      </c>
      <c r="B1193" t="s">
        <v>23</v>
      </c>
      <c r="C1193" t="s">
        <v>130</v>
      </c>
      <c r="D1193" s="5">
        <v>1</v>
      </c>
      <c r="E1193" s="17"/>
      <c r="F1193" s="17">
        <f t="shared" si="79"/>
        <v>0</v>
      </c>
      <c r="G1193" s="18"/>
      <c r="H1193" s="38">
        <v>179925</v>
      </c>
      <c r="I1193" s="18" t="s">
        <v>82</v>
      </c>
      <c r="J1193" s="19">
        <f t="shared" si="78"/>
        <v>0.33136393563295496</v>
      </c>
    </row>
    <row r="1194" spans="1:10" ht="14.25" hidden="1" customHeight="1" x14ac:dyDescent="0.3">
      <c r="A1194" t="s">
        <v>6</v>
      </c>
      <c r="B1194" t="s">
        <v>23</v>
      </c>
      <c r="C1194" t="s">
        <v>131</v>
      </c>
      <c r="D1194" s="5">
        <v>1</v>
      </c>
      <c r="E1194" s="17"/>
      <c r="F1194" s="17">
        <f t="shared" si="79"/>
        <v>0</v>
      </c>
      <c r="G1194" s="18"/>
      <c r="H1194" s="38">
        <v>179925</v>
      </c>
      <c r="I1194" s="18" t="s">
        <v>82</v>
      </c>
      <c r="J1194" s="19">
        <f t="shared" si="78"/>
        <v>0.33136393563295496</v>
      </c>
    </row>
    <row r="1195" spans="1:10" ht="14.25" hidden="1" customHeight="1" x14ac:dyDescent="0.3">
      <c r="A1195" t="s">
        <v>6</v>
      </c>
      <c r="B1195" t="s">
        <v>23</v>
      </c>
      <c r="C1195" t="s">
        <v>132</v>
      </c>
      <c r="D1195" s="5">
        <v>0</v>
      </c>
      <c r="E1195" s="17"/>
      <c r="F1195" s="17">
        <f t="shared" si="79"/>
        <v>0</v>
      </c>
      <c r="G1195" s="18"/>
      <c r="H1195" s="38">
        <v>179925</v>
      </c>
      <c r="I1195" s="18" t="s">
        <v>82</v>
      </c>
      <c r="J1195" s="19">
        <f t="shared" si="78"/>
        <v>0.33136393563295496</v>
      </c>
    </row>
    <row r="1196" spans="1:10" ht="14.25" hidden="1" customHeight="1" x14ac:dyDescent="0.3">
      <c r="A1196" t="s">
        <v>6</v>
      </c>
      <c r="B1196" t="s">
        <v>23</v>
      </c>
      <c r="C1196" t="s">
        <v>121</v>
      </c>
      <c r="D1196" s="5">
        <v>1</v>
      </c>
      <c r="E1196" s="17"/>
      <c r="F1196" s="17">
        <f t="shared" si="79"/>
        <v>0</v>
      </c>
      <c r="G1196" s="18"/>
      <c r="H1196" s="38">
        <v>179925</v>
      </c>
      <c r="I1196" s="18" t="s">
        <v>82</v>
      </c>
      <c r="J1196" s="19">
        <f t="shared" si="78"/>
        <v>0.33136393563295496</v>
      </c>
    </row>
    <row r="1197" spans="1:10" ht="14.25" hidden="1" customHeight="1" x14ac:dyDescent="0.3">
      <c r="A1197" t="s">
        <v>6</v>
      </c>
      <c r="B1197" t="s">
        <v>23</v>
      </c>
      <c r="C1197" t="s">
        <v>67</v>
      </c>
      <c r="D1197" s="5">
        <v>0</v>
      </c>
      <c r="E1197" s="17"/>
      <c r="F1197" s="17">
        <f t="shared" si="79"/>
        <v>0</v>
      </c>
      <c r="G1197" s="18"/>
      <c r="H1197" s="38">
        <v>179925</v>
      </c>
      <c r="I1197" s="18" t="s">
        <v>82</v>
      </c>
      <c r="J1197" s="19">
        <f t="shared" si="78"/>
        <v>0.33136393563295496</v>
      </c>
    </row>
    <row r="1198" spans="1:10" ht="14.25" hidden="1" customHeight="1" x14ac:dyDescent="0.3">
      <c r="A1198" t="s">
        <v>6</v>
      </c>
      <c r="B1198" t="s">
        <v>23</v>
      </c>
      <c r="C1198" t="s">
        <v>86</v>
      </c>
      <c r="D1198" s="5">
        <v>0</v>
      </c>
      <c r="E1198" s="17"/>
      <c r="F1198" s="17">
        <f t="shared" si="79"/>
        <v>0</v>
      </c>
      <c r="G1198" s="18"/>
      <c r="H1198" s="38">
        <v>179925</v>
      </c>
      <c r="I1198" s="18" t="s">
        <v>82</v>
      </c>
      <c r="J1198" s="19">
        <f t="shared" si="78"/>
        <v>0.33136393563295496</v>
      </c>
    </row>
    <row r="1199" spans="1:10" ht="14.25" hidden="1" customHeight="1" x14ac:dyDescent="0.3">
      <c r="A1199" t="s">
        <v>6</v>
      </c>
      <c r="B1199" t="s">
        <v>23</v>
      </c>
      <c r="C1199" t="s">
        <v>106</v>
      </c>
      <c r="D1199" s="5">
        <v>0</v>
      </c>
      <c r="E1199" s="17"/>
      <c r="F1199" s="17">
        <f t="shared" si="79"/>
        <v>0</v>
      </c>
      <c r="G1199" s="18"/>
      <c r="H1199" s="38">
        <v>179925</v>
      </c>
      <c r="I1199" s="18" t="s">
        <v>82</v>
      </c>
      <c r="J1199" s="19">
        <f t="shared" si="78"/>
        <v>0.33136393563295496</v>
      </c>
    </row>
    <row r="1200" spans="1:10" ht="14.25" hidden="1" customHeight="1" x14ac:dyDescent="0.3">
      <c r="A1200" t="s">
        <v>6</v>
      </c>
      <c r="B1200" t="s">
        <v>23</v>
      </c>
      <c r="C1200" t="s">
        <v>73</v>
      </c>
      <c r="D1200" s="5">
        <v>0</v>
      </c>
      <c r="E1200" s="17"/>
      <c r="F1200" s="17">
        <f t="shared" si="79"/>
        <v>0</v>
      </c>
      <c r="G1200" s="18"/>
      <c r="H1200" s="38">
        <v>179925</v>
      </c>
      <c r="I1200" s="18" t="s">
        <v>82</v>
      </c>
      <c r="J1200" s="19">
        <f t="shared" si="78"/>
        <v>0.33136393563295496</v>
      </c>
    </row>
    <row r="1201" spans="1:10" ht="14.25" hidden="1" customHeight="1" x14ac:dyDescent="0.3">
      <c r="A1201" t="s">
        <v>6</v>
      </c>
      <c r="B1201" t="s">
        <v>24</v>
      </c>
      <c r="C1201" t="s">
        <v>53</v>
      </c>
      <c r="D1201" s="133">
        <v>9</v>
      </c>
      <c r="E1201" s="134">
        <v>42544.62</v>
      </c>
      <c r="F1201" s="17">
        <f>E1201</f>
        <v>42544.62</v>
      </c>
      <c r="G1201" s="18" t="s">
        <v>204</v>
      </c>
      <c r="H1201" s="38">
        <v>193343</v>
      </c>
      <c r="I1201" s="18" t="s">
        <v>54</v>
      </c>
      <c r="J1201" s="19">
        <f t="shared" si="78"/>
        <v>0.26657482861582565</v>
      </c>
    </row>
    <row r="1202" spans="1:10" ht="14.25" hidden="1" customHeight="1" x14ac:dyDescent="0.3">
      <c r="A1202" t="s">
        <v>6</v>
      </c>
      <c r="B1202" t="s">
        <v>24</v>
      </c>
      <c r="C1202" t="s">
        <v>55</v>
      </c>
      <c r="D1202" s="133">
        <v>9</v>
      </c>
      <c r="E1202" s="37">
        <v>58.416942229951687</v>
      </c>
      <c r="F1202" s="17">
        <f t="shared" ref="F1202:F1222" si="80">D1202*E1202</f>
        <v>525.75248006956519</v>
      </c>
      <c r="G1202" s="18"/>
      <c r="H1202" s="38">
        <v>193343</v>
      </c>
      <c r="I1202" s="18" t="s">
        <v>54</v>
      </c>
      <c r="J1202" s="19">
        <f t="shared" si="78"/>
        <v>0.26657482861582565</v>
      </c>
    </row>
    <row r="1203" spans="1:10" ht="14.25" hidden="1" customHeight="1" x14ac:dyDescent="0.3">
      <c r="A1203" t="s">
        <v>6</v>
      </c>
      <c r="B1203" t="s">
        <v>24</v>
      </c>
      <c r="C1203" t="s">
        <v>26</v>
      </c>
      <c r="D1203" s="133">
        <v>9</v>
      </c>
      <c r="E1203" s="17">
        <v>25.999313999999998</v>
      </c>
      <c r="F1203" s="17">
        <f t="shared" si="80"/>
        <v>233.99382599999998</v>
      </c>
      <c r="G1203" s="18" t="s">
        <v>171</v>
      </c>
      <c r="H1203" s="38">
        <v>193343</v>
      </c>
      <c r="I1203" s="18" t="s">
        <v>54</v>
      </c>
      <c r="J1203" s="19">
        <f t="shared" si="78"/>
        <v>0.26657482861582565</v>
      </c>
    </row>
    <row r="1204" spans="1:10" ht="14.25" hidden="1" customHeight="1" x14ac:dyDescent="0.3">
      <c r="A1204" t="s">
        <v>6</v>
      </c>
      <c r="B1204" t="s">
        <v>24</v>
      </c>
      <c r="C1204" t="s">
        <v>14</v>
      </c>
      <c r="D1204" s="133">
        <v>9</v>
      </c>
      <c r="E1204" s="17">
        <v>42.772965999999997</v>
      </c>
      <c r="F1204" s="17">
        <f t="shared" si="80"/>
        <v>384.95669399999997</v>
      </c>
      <c r="G1204" s="18" t="s">
        <v>171</v>
      </c>
      <c r="H1204" s="38">
        <v>193343</v>
      </c>
      <c r="I1204" s="18" t="s">
        <v>54</v>
      </c>
      <c r="J1204" s="19">
        <f t="shared" si="78"/>
        <v>0.26657482861582565</v>
      </c>
    </row>
    <row r="1205" spans="1:10" ht="14.25" hidden="1" customHeight="1" x14ac:dyDescent="0.3">
      <c r="A1205" t="s">
        <v>6</v>
      </c>
      <c r="B1205" t="s">
        <v>24</v>
      </c>
      <c r="C1205" t="s">
        <v>56</v>
      </c>
      <c r="D1205" s="5">
        <v>9</v>
      </c>
      <c r="E1205" s="6">
        <v>50</v>
      </c>
      <c r="F1205" s="17">
        <f t="shared" si="80"/>
        <v>450</v>
      </c>
      <c r="G1205" s="18" t="s">
        <v>192</v>
      </c>
      <c r="H1205" s="38">
        <v>193343</v>
      </c>
      <c r="I1205" s="18" t="s">
        <v>54</v>
      </c>
      <c r="J1205" s="19">
        <f t="shared" si="78"/>
        <v>0.26657482861582565</v>
      </c>
    </row>
    <row r="1206" spans="1:10" ht="14.25" hidden="1" customHeight="1" x14ac:dyDescent="0.3">
      <c r="A1206" t="s">
        <v>6</v>
      </c>
      <c r="B1206" t="s">
        <v>24</v>
      </c>
      <c r="C1206" t="s">
        <v>133</v>
      </c>
      <c r="D1206" s="5">
        <v>0</v>
      </c>
      <c r="E1206" s="17"/>
      <c r="F1206" s="17">
        <f t="shared" si="80"/>
        <v>0</v>
      </c>
      <c r="G1206" s="18"/>
      <c r="H1206" s="38">
        <v>193343</v>
      </c>
      <c r="I1206" s="18" t="s">
        <v>54</v>
      </c>
      <c r="J1206" s="19">
        <f t="shared" si="78"/>
        <v>0.26657482861582565</v>
      </c>
    </row>
    <row r="1207" spans="1:10" ht="14.25" hidden="1" customHeight="1" x14ac:dyDescent="0.3">
      <c r="A1207" t="s">
        <v>6</v>
      </c>
      <c r="B1207" t="s">
        <v>24</v>
      </c>
      <c r="C1207" t="s">
        <v>70</v>
      </c>
      <c r="D1207" s="5">
        <v>0</v>
      </c>
      <c r="E1207" s="17"/>
      <c r="F1207" s="17">
        <f t="shared" si="80"/>
        <v>0</v>
      </c>
      <c r="G1207" s="18"/>
      <c r="H1207" s="38">
        <v>193343</v>
      </c>
      <c r="I1207" s="18" t="s">
        <v>54</v>
      </c>
      <c r="J1207" s="19">
        <f t="shared" si="78"/>
        <v>0.26657482861582565</v>
      </c>
    </row>
    <row r="1208" spans="1:10" ht="14.25" hidden="1" customHeight="1" x14ac:dyDescent="0.3">
      <c r="A1208" t="s">
        <v>6</v>
      </c>
      <c r="B1208" t="s">
        <v>24</v>
      </c>
      <c r="C1208" t="s">
        <v>76</v>
      </c>
      <c r="D1208" s="60">
        <v>0</v>
      </c>
      <c r="E1208" s="37">
        <v>0</v>
      </c>
      <c r="F1208" s="17">
        <f t="shared" si="80"/>
        <v>0</v>
      </c>
      <c r="G1208" s="18" t="s">
        <v>170</v>
      </c>
      <c r="H1208" s="38">
        <v>193343</v>
      </c>
      <c r="I1208" s="18" t="s">
        <v>54</v>
      </c>
      <c r="J1208" s="19">
        <f t="shared" si="78"/>
        <v>0.26657482861582565</v>
      </c>
    </row>
    <row r="1209" spans="1:10" ht="14.25" hidden="1" customHeight="1" x14ac:dyDescent="0.3">
      <c r="A1209" t="s">
        <v>6</v>
      </c>
      <c r="B1209" t="s">
        <v>24</v>
      </c>
      <c r="C1209" t="s">
        <v>57</v>
      </c>
      <c r="D1209" s="5">
        <v>3</v>
      </c>
      <c r="E1209" s="6">
        <v>30</v>
      </c>
      <c r="F1209" s="17">
        <f t="shared" si="80"/>
        <v>90</v>
      </c>
      <c r="G1209" s="18" t="s">
        <v>192</v>
      </c>
      <c r="H1209" s="38">
        <v>193343</v>
      </c>
      <c r="I1209" s="18" t="s">
        <v>54</v>
      </c>
      <c r="J1209" s="19">
        <f t="shared" si="78"/>
        <v>0.26657482861582565</v>
      </c>
    </row>
    <row r="1210" spans="1:10" ht="14.25" hidden="1" customHeight="1" x14ac:dyDescent="0.3">
      <c r="A1210" t="s">
        <v>6</v>
      </c>
      <c r="B1210" t="s">
        <v>24</v>
      </c>
      <c r="C1210" t="s">
        <v>72</v>
      </c>
      <c r="D1210" s="5">
        <v>1</v>
      </c>
      <c r="E1210" s="6">
        <v>25.6</v>
      </c>
      <c r="F1210" s="17">
        <f t="shared" si="80"/>
        <v>25.6</v>
      </c>
      <c r="G1210" s="18" t="s">
        <v>192</v>
      </c>
      <c r="H1210" s="38">
        <v>193343</v>
      </c>
      <c r="I1210" s="18" t="s">
        <v>54</v>
      </c>
      <c r="J1210" s="19">
        <f t="shared" si="78"/>
        <v>0.26657482861582565</v>
      </c>
    </row>
    <row r="1211" spans="1:10" ht="14.25" hidden="1" customHeight="1" x14ac:dyDescent="0.3">
      <c r="A1211" t="s">
        <v>6</v>
      </c>
      <c r="B1211" t="s">
        <v>24</v>
      </c>
      <c r="C1211" t="s">
        <v>58</v>
      </c>
      <c r="D1211" s="133">
        <v>9</v>
      </c>
      <c r="E1211" s="17">
        <v>9.8512850000000007</v>
      </c>
      <c r="F1211" s="17">
        <f t="shared" si="80"/>
        <v>88.66156500000001</v>
      </c>
      <c r="G1211" s="18" t="s">
        <v>171</v>
      </c>
      <c r="H1211" s="38">
        <v>193343</v>
      </c>
      <c r="I1211" s="18" t="s">
        <v>54</v>
      </c>
      <c r="J1211" s="19">
        <f t="shared" si="78"/>
        <v>0.26657482861582565</v>
      </c>
    </row>
    <row r="1212" spans="1:10" ht="14.25" hidden="1" customHeight="1" x14ac:dyDescent="0.3">
      <c r="A1212" t="s">
        <v>6</v>
      </c>
      <c r="B1212" t="s">
        <v>24</v>
      </c>
      <c r="C1212" t="s">
        <v>59</v>
      </c>
      <c r="D1212" s="133">
        <v>9</v>
      </c>
      <c r="E1212" s="17">
        <v>2.0358360000000002</v>
      </c>
      <c r="F1212" s="17">
        <f t="shared" si="80"/>
        <v>18.322524000000001</v>
      </c>
      <c r="G1212" s="18" t="s">
        <v>171</v>
      </c>
      <c r="H1212" s="38">
        <v>193343</v>
      </c>
      <c r="I1212" s="18" t="s">
        <v>54</v>
      </c>
      <c r="J1212" s="19">
        <f t="shared" si="78"/>
        <v>0.26657482861582565</v>
      </c>
    </row>
    <row r="1213" spans="1:10" ht="14.25" hidden="1" customHeight="1" x14ac:dyDescent="0.3">
      <c r="A1213" t="s">
        <v>6</v>
      </c>
      <c r="B1213" t="s">
        <v>24</v>
      </c>
      <c r="C1213" t="s">
        <v>134</v>
      </c>
      <c r="D1213" s="5">
        <v>1</v>
      </c>
      <c r="E1213" s="6">
        <v>3028</v>
      </c>
      <c r="F1213" s="17">
        <f t="shared" si="80"/>
        <v>3028</v>
      </c>
      <c r="G1213" s="18" t="s">
        <v>192</v>
      </c>
      <c r="H1213" s="38">
        <v>193343</v>
      </c>
      <c r="I1213" s="18" t="s">
        <v>54</v>
      </c>
      <c r="J1213" s="19">
        <f t="shared" si="78"/>
        <v>0.26657482861582565</v>
      </c>
    </row>
    <row r="1214" spans="1:10" ht="14.25" hidden="1" customHeight="1" x14ac:dyDescent="0.3">
      <c r="A1214" t="s">
        <v>6</v>
      </c>
      <c r="B1214" t="s">
        <v>24</v>
      </c>
      <c r="C1214" t="s">
        <v>135</v>
      </c>
      <c r="D1214" s="5">
        <v>1</v>
      </c>
      <c r="E1214" s="6">
        <v>2635.82</v>
      </c>
      <c r="F1214" s="17">
        <f t="shared" si="80"/>
        <v>2635.82</v>
      </c>
      <c r="G1214" s="18" t="s">
        <v>192</v>
      </c>
      <c r="H1214" s="38">
        <v>193343</v>
      </c>
      <c r="I1214" s="18" t="s">
        <v>54</v>
      </c>
      <c r="J1214" s="19">
        <f t="shared" si="78"/>
        <v>0.26657482861582565</v>
      </c>
    </row>
    <row r="1215" spans="1:10" ht="14.25" hidden="1" customHeight="1" x14ac:dyDescent="0.3">
      <c r="A1215" t="s">
        <v>6</v>
      </c>
      <c r="B1215" t="s">
        <v>24</v>
      </c>
      <c r="C1215" t="s">
        <v>136</v>
      </c>
      <c r="D1215" s="5">
        <v>1</v>
      </c>
      <c r="E1215" s="6">
        <v>1400</v>
      </c>
      <c r="F1215" s="17">
        <f t="shared" si="80"/>
        <v>1400</v>
      </c>
      <c r="G1215" s="18" t="s">
        <v>192</v>
      </c>
      <c r="H1215" s="38">
        <v>193343</v>
      </c>
      <c r="I1215" s="18" t="s">
        <v>54</v>
      </c>
      <c r="J1215" s="19">
        <f t="shared" si="78"/>
        <v>0.26657482861582565</v>
      </c>
    </row>
    <row r="1216" spans="1:10" ht="14.25" hidden="1" customHeight="1" x14ac:dyDescent="0.3">
      <c r="A1216" t="s">
        <v>6</v>
      </c>
      <c r="B1216" t="s">
        <v>24</v>
      </c>
      <c r="C1216" t="s">
        <v>89</v>
      </c>
      <c r="D1216" s="5">
        <v>0</v>
      </c>
      <c r="E1216" s="17"/>
      <c r="F1216" s="17">
        <f t="shared" si="80"/>
        <v>0</v>
      </c>
      <c r="G1216" s="18"/>
      <c r="H1216" s="38">
        <v>193343</v>
      </c>
      <c r="I1216" s="18" t="s">
        <v>54</v>
      </c>
      <c r="J1216" s="19">
        <f t="shared" si="78"/>
        <v>0.26657482861582565</v>
      </c>
    </row>
    <row r="1217" spans="1:10" ht="14.25" hidden="1" customHeight="1" x14ac:dyDescent="0.3">
      <c r="A1217" t="s">
        <v>6</v>
      </c>
      <c r="B1217" t="s">
        <v>24</v>
      </c>
      <c r="C1217" t="s">
        <v>74</v>
      </c>
      <c r="D1217" s="60">
        <v>0</v>
      </c>
      <c r="E1217" s="17"/>
      <c r="F1217" s="17">
        <f t="shared" si="80"/>
        <v>0</v>
      </c>
      <c r="G1217" s="18"/>
      <c r="H1217" s="38">
        <v>193343</v>
      </c>
      <c r="I1217" s="18" t="s">
        <v>54</v>
      </c>
      <c r="J1217" s="19">
        <f t="shared" si="78"/>
        <v>0.26657482861582565</v>
      </c>
    </row>
    <row r="1218" spans="1:10" ht="14.25" hidden="1" customHeight="1" x14ac:dyDescent="0.3">
      <c r="A1218" t="s">
        <v>6</v>
      </c>
      <c r="B1218" t="s">
        <v>24</v>
      </c>
      <c r="C1218" t="s">
        <v>62</v>
      </c>
      <c r="D1218" s="60">
        <v>0</v>
      </c>
      <c r="E1218" s="17"/>
      <c r="F1218" s="17">
        <f t="shared" si="80"/>
        <v>0</v>
      </c>
      <c r="G1218" s="18"/>
      <c r="H1218" s="38">
        <v>193343</v>
      </c>
      <c r="I1218" s="18" t="s">
        <v>54</v>
      </c>
      <c r="J1218" s="19">
        <f t="shared" ref="J1218:J1281" si="81">IFERROR(SUMIFS($F$2:$F$1749,$A$2:$A$1749,A1218,$B$2:$B$1749,B1218)/H1218,"")</f>
        <v>0.26657482861582565</v>
      </c>
    </row>
    <row r="1219" spans="1:10" ht="14.25" hidden="1" customHeight="1" x14ac:dyDescent="0.3">
      <c r="A1219" t="s">
        <v>6</v>
      </c>
      <c r="B1219" t="s">
        <v>24</v>
      </c>
      <c r="C1219" t="s">
        <v>137</v>
      </c>
      <c r="D1219" s="5">
        <v>0</v>
      </c>
      <c r="E1219" s="17"/>
      <c r="F1219" s="17">
        <f t="shared" si="80"/>
        <v>0</v>
      </c>
      <c r="G1219" s="18"/>
      <c r="H1219" s="38">
        <v>193343</v>
      </c>
      <c r="I1219" s="18" t="s">
        <v>54</v>
      </c>
      <c r="J1219" s="19">
        <f t="shared" si="81"/>
        <v>0.26657482861582565</v>
      </c>
    </row>
    <row r="1220" spans="1:10" ht="14.25" hidden="1" customHeight="1" x14ac:dyDescent="0.3">
      <c r="A1220" t="s">
        <v>6</v>
      </c>
      <c r="B1220" t="s">
        <v>24</v>
      </c>
      <c r="C1220" t="s">
        <v>114</v>
      </c>
      <c r="D1220" s="5">
        <v>0</v>
      </c>
      <c r="E1220" s="17"/>
      <c r="F1220" s="17">
        <f t="shared" si="80"/>
        <v>0</v>
      </c>
      <c r="G1220" s="18"/>
      <c r="H1220" s="38">
        <v>193343</v>
      </c>
      <c r="I1220" s="18" t="s">
        <v>54</v>
      </c>
      <c r="J1220" s="19">
        <f t="shared" si="81"/>
        <v>0.26657482861582565</v>
      </c>
    </row>
    <row r="1221" spans="1:10" ht="14.25" hidden="1" customHeight="1" x14ac:dyDescent="0.3">
      <c r="A1221" t="s">
        <v>6</v>
      </c>
      <c r="B1221" t="s">
        <v>24</v>
      </c>
      <c r="C1221" t="s">
        <v>75</v>
      </c>
      <c r="D1221" s="5">
        <v>1</v>
      </c>
      <c r="E1221" s="134">
        <v>0</v>
      </c>
      <c r="F1221" s="17">
        <f t="shared" si="80"/>
        <v>0</v>
      </c>
      <c r="G1221" s="133" t="s">
        <v>65</v>
      </c>
      <c r="H1221" s="38">
        <v>193343</v>
      </c>
      <c r="I1221" s="18" t="s">
        <v>54</v>
      </c>
      <c r="J1221" s="19">
        <f t="shared" si="81"/>
        <v>0.26657482861582565</v>
      </c>
    </row>
    <row r="1222" spans="1:10" ht="14.25" hidden="1" customHeight="1" x14ac:dyDescent="0.3">
      <c r="A1222" t="s">
        <v>6</v>
      </c>
      <c r="B1222" t="s">
        <v>24</v>
      </c>
      <c r="C1222" t="s">
        <v>64</v>
      </c>
      <c r="D1222" s="5">
        <v>1</v>
      </c>
      <c r="E1222" s="134">
        <v>114.65</v>
      </c>
      <c r="F1222" s="17">
        <f t="shared" si="80"/>
        <v>114.65</v>
      </c>
      <c r="G1222" s="133" t="s">
        <v>65</v>
      </c>
      <c r="H1222" s="38">
        <v>193343</v>
      </c>
      <c r="I1222" s="18" t="s">
        <v>54</v>
      </c>
      <c r="J1222" s="19">
        <f t="shared" si="81"/>
        <v>0.26657482861582565</v>
      </c>
    </row>
    <row r="1223" spans="1:10" ht="14.25" hidden="1" customHeight="1" x14ac:dyDescent="0.3">
      <c r="A1223" t="s">
        <v>6</v>
      </c>
      <c r="B1223" t="s">
        <v>26</v>
      </c>
      <c r="C1223" t="s">
        <v>53</v>
      </c>
      <c r="D1223" s="133">
        <v>4</v>
      </c>
      <c r="E1223" s="134">
        <v>26909.29</v>
      </c>
      <c r="F1223" s="17">
        <f>E1223</f>
        <v>26909.29</v>
      </c>
      <c r="G1223" s="18" t="s">
        <v>195</v>
      </c>
      <c r="H1223" s="38">
        <v>1035</v>
      </c>
      <c r="I1223" s="18" t="s">
        <v>93</v>
      </c>
      <c r="J1223" s="19">
        <f t="shared" si="81"/>
        <v>31.326732834782611</v>
      </c>
    </row>
    <row r="1224" spans="1:10" ht="14.25" hidden="1" customHeight="1" x14ac:dyDescent="0.3">
      <c r="A1224" t="s">
        <v>6</v>
      </c>
      <c r="B1224" t="s">
        <v>26</v>
      </c>
      <c r="C1224" t="s">
        <v>87</v>
      </c>
      <c r="D1224" s="5">
        <v>4</v>
      </c>
      <c r="E1224" s="6">
        <v>50</v>
      </c>
      <c r="F1224" s="17">
        <f t="shared" ref="F1224:F1243" si="82">D1224*E1224</f>
        <v>200</v>
      </c>
      <c r="G1224" s="18" t="s">
        <v>192</v>
      </c>
      <c r="H1224" s="38">
        <v>1035</v>
      </c>
      <c r="I1224" s="18" t="s">
        <v>93</v>
      </c>
      <c r="J1224" s="19">
        <f t="shared" si="81"/>
        <v>31.326732834782611</v>
      </c>
    </row>
    <row r="1225" spans="1:10" ht="14.25" hidden="1" customHeight="1" x14ac:dyDescent="0.3">
      <c r="A1225" t="s">
        <v>6</v>
      </c>
      <c r="B1225" t="s">
        <v>26</v>
      </c>
      <c r="C1225" t="s">
        <v>133</v>
      </c>
      <c r="D1225" s="5">
        <v>1</v>
      </c>
      <c r="E1225" s="17"/>
      <c r="F1225" s="17">
        <f t="shared" si="82"/>
        <v>0</v>
      </c>
      <c r="G1225" s="18"/>
      <c r="H1225" s="38">
        <v>1035</v>
      </c>
      <c r="I1225" s="18" t="s">
        <v>93</v>
      </c>
      <c r="J1225" s="19">
        <f t="shared" si="81"/>
        <v>31.326732834782611</v>
      </c>
    </row>
    <row r="1226" spans="1:10" ht="14.25" hidden="1" customHeight="1" x14ac:dyDescent="0.3">
      <c r="A1226" t="s">
        <v>6</v>
      </c>
      <c r="B1226" t="s">
        <v>26</v>
      </c>
      <c r="C1226" t="s">
        <v>74</v>
      </c>
      <c r="D1226" s="5">
        <v>0</v>
      </c>
      <c r="E1226" s="17"/>
      <c r="F1226" s="17">
        <f t="shared" si="82"/>
        <v>0</v>
      </c>
      <c r="G1226" s="18"/>
      <c r="H1226" s="38">
        <v>1035</v>
      </c>
      <c r="I1226" s="18" t="s">
        <v>93</v>
      </c>
      <c r="J1226" s="19">
        <f t="shared" si="81"/>
        <v>31.326732834782611</v>
      </c>
    </row>
    <row r="1227" spans="1:10" ht="14.25" hidden="1" customHeight="1" x14ac:dyDescent="0.3">
      <c r="A1227" t="s">
        <v>6</v>
      </c>
      <c r="B1227" t="s">
        <v>26</v>
      </c>
      <c r="C1227" t="s">
        <v>138</v>
      </c>
      <c r="D1227" s="5">
        <v>0</v>
      </c>
      <c r="E1227" s="17"/>
      <c r="F1227" s="17">
        <f t="shared" si="82"/>
        <v>0</v>
      </c>
      <c r="G1227" s="18"/>
      <c r="H1227" s="38">
        <v>1035</v>
      </c>
      <c r="I1227" s="18" t="s">
        <v>93</v>
      </c>
      <c r="J1227" s="19">
        <f t="shared" si="81"/>
        <v>31.326732834782611</v>
      </c>
    </row>
    <row r="1228" spans="1:10" ht="14.25" hidden="1" customHeight="1" x14ac:dyDescent="0.3">
      <c r="A1228" t="s">
        <v>6</v>
      </c>
      <c r="B1228" t="s">
        <v>26</v>
      </c>
      <c r="C1228" t="s">
        <v>72</v>
      </c>
      <c r="D1228" s="5">
        <v>1</v>
      </c>
      <c r="E1228" s="6">
        <v>30.71</v>
      </c>
      <c r="F1228" s="17">
        <f t="shared" si="82"/>
        <v>30.71</v>
      </c>
      <c r="G1228" s="18" t="s">
        <v>192</v>
      </c>
      <c r="H1228" s="38">
        <v>1035</v>
      </c>
      <c r="I1228" s="18" t="s">
        <v>93</v>
      </c>
      <c r="J1228" s="19">
        <f t="shared" si="81"/>
        <v>31.326732834782611</v>
      </c>
    </row>
    <row r="1229" spans="1:10" ht="14.25" hidden="1" customHeight="1" x14ac:dyDescent="0.3">
      <c r="A1229" t="s">
        <v>6</v>
      </c>
      <c r="B1229" t="s">
        <v>26</v>
      </c>
      <c r="C1229" t="s">
        <v>71</v>
      </c>
      <c r="D1229" s="5">
        <v>1</v>
      </c>
      <c r="E1229" s="6">
        <v>40.520000000000003</v>
      </c>
      <c r="F1229" s="17">
        <f t="shared" si="82"/>
        <v>40.520000000000003</v>
      </c>
      <c r="G1229" s="18" t="s">
        <v>192</v>
      </c>
      <c r="H1229" s="38">
        <v>1035</v>
      </c>
      <c r="I1229" s="18" t="s">
        <v>93</v>
      </c>
      <c r="J1229" s="19">
        <f t="shared" si="81"/>
        <v>31.326732834782611</v>
      </c>
    </row>
    <row r="1230" spans="1:10" ht="14.25" hidden="1" customHeight="1" x14ac:dyDescent="0.3">
      <c r="A1230" t="s">
        <v>6</v>
      </c>
      <c r="B1230" t="s">
        <v>26</v>
      </c>
      <c r="C1230" t="s">
        <v>76</v>
      </c>
      <c r="D1230" s="5">
        <v>1</v>
      </c>
      <c r="E1230" s="6">
        <v>30</v>
      </c>
      <c r="F1230" s="17">
        <f t="shared" si="82"/>
        <v>30</v>
      </c>
      <c r="G1230" s="18" t="s">
        <v>192</v>
      </c>
      <c r="H1230" s="38">
        <v>1035</v>
      </c>
      <c r="I1230" s="18" t="s">
        <v>93</v>
      </c>
      <c r="J1230" s="19">
        <f t="shared" si="81"/>
        <v>31.326732834782611</v>
      </c>
    </row>
    <row r="1231" spans="1:10" ht="14.25" hidden="1" customHeight="1" x14ac:dyDescent="0.3">
      <c r="A1231" t="s">
        <v>6</v>
      </c>
      <c r="B1231" t="s">
        <v>26</v>
      </c>
      <c r="C1231" t="s">
        <v>95</v>
      </c>
      <c r="D1231" s="60">
        <v>1</v>
      </c>
      <c r="E1231" s="134">
        <v>0</v>
      </c>
      <c r="F1231" s="17">
        <f t="shared" si="82"/>
        <v>0</v>
      </c>
      <c r="G1231" s="133" t="s">
        <v>65</v>
      </c>
      <c r="H1231" s="38">
        <v>1035</v>
      </c>
      <c r="I1231" s="18" t="s">
        <v>93</v>
      </c>
      <c r="J1231" s="19">
        <f t="shared" si="81"/>
        <v>31.326732834782611</v>
      </c>
    </row>
    <row r="1232" spans="1:10" ht="14.25" hidden="1" customHeight="1" x14ac:dyDescent="0.3">
      <c r="A1232" t="s">
        <v>6</v>
      </c>
      <c r="B1232" t="s">
        <v>26</v>
      </c>
      <c r="C1232" t="s">
        <v>139</v>
      </c>
      <c r="D1232" s="5">
        <v>1</v>
      </c>
      <c r="E1232" s="134">
        <v>52.2</v>
      </c>
      <c r="F1232" s="17">
        <f t="shared" si="82"/>
        <v>52.2</v>
      </c>
      <c r="G1232" s="133" t="s">
        <v>65</v>
      </c>
      <c r="H1232" s="38">
        <v>1035</v>
      </c>
      <c r="I1232" s="18" t="s">
        <v>93</v>
      </c>
      <c r="J1232" s="19">
        <f t="shared" si="81"/>
        <v>31.326732834782611</v>
      </c>
    </row>
    <row r="1233" spans="1:10" ht="14.25" hidden="1" customHeight="1" x14ac:dyDescent="0.3">
      <c r="A1233" t="s">
        <v>6</v>
      </c>
      <c r="B1233" t="s">
        <v>26</v>
      </c>
      <c r="C1233" t="s">
        <v>73</v>
      </c>
      <c r="D1233" s="5">
        <v>0</v>
      </c>
      <c r="E1233" s="17"/>
      <c r="F1233" s="17">
        <f t="shared" si="82"/>
        <v>0</v>
      </c>
      <c r="G1233" s="18"/>
      <c r="H1233" s="38">
        <v>1035</v>
      </c>
      <c r="I1233" s="18" t="s">
        <v>93</v>
      </c>
      <c r="J1233" s="19">
        <f t="shared" si="81"/>
        <v>31.326732834782611</v>
      </c>
    </row>
    <row r="1234" spans="1:10" ht="14.25" hidden="1" customHeight="1" x14ac:dyDescent="0.3">
      <c r="A1234" t="s">
        <v>6</v>
      </c>
      <c r="B1234" t="s">
        <v>26</v>
      </c>
      <c r="C1234" t="s">
        <v>140</v>
      </c>
      <c r="D1234" s="5">
        <v>1</v>
      </c>
      <c r="E1234" s="6">
        <v>2500</v>
      </c>
      <c r="F1234" s="17">
        <f t="shared" si="82"/>
        <v>2500</v>
      </c>
      <c r="G1234" s="18" t="s">
        <v>192</v>
      </c>
      <c r="H1234" s="38">
        <v>1035</v>
      </c>
      <c r="I1234" s="18" t="s">
        <v>93</v>
      </c>
      <c r="J1234" s="19">
        <f t="shared" si="81"/>
        <v>31.326732834782611</v>
      </c>
    </row>
    <row r="1235" spans="1:10" ht="14.25" hidden="1" customHeight="1" x14ac:dyDescent="0.3">
      <c r="A1235" t="s">
        <v>6</v>
      </c>
      <c r="B1235" t="s">
        <v>26</v>
      </c>
      <c r="C1235" t="s">
        <v>141</v>
      </c>
      <c r="D1235" s="5">
        <v>1</v>
      </c>
      <c r="E1235" s="6">
        <v>2612.9</v>
      </c>
      <c r="F1235" s="17">
        <f t="shared" si="82"/>
        <v>2612.9</v>
      </c>
      <c r="G1235" s="18" t="s">
        <v>192</v>
      </c>
      <c r="H1235" s="38">
        <v>1035</v>
      </c>
      <c r="I1235" s="18" t="s">
        <v>93</v>
      </c>
      <c r="J1235" s="19">
        <f t="shared" si="81"/>
        <v>31.326732834782611</v>
      </c>
    </row>
    <row r="1236" spans="1:10" ht="14.25" hidden="1" customHeight="1" x14ac:dyDescent="0.3">
      <c r="A1236" t="s">
        <v>6</v>
      </c>
      <c r="B1236" t="s">
        <v>26</v>
      </c>
      <c r="C1236" t="s">
        <v>63</v>
      </c>
      <c r="D1236" s="5">
        <v>0</v>
      </c>
      <c r="E1236" s="17"/>
      <c r="F1236" s="17">
        <f t="shared" si="82"/>
        <v>0</v>
      </c>
      <c r="G1236" s="18"/>
      <c r="H1236" s="38">
        <v>1035</v>
      </c>
      <c r="I1236" s="18" t="s">
        <v>93</v>
      </c>
      <c r="J1236" s="19">
        <f t="shared" si="81"/>
        <v>31.326732834782611</v>
      </c>
    </row>
    <row r="1237" spans="1:10" ht="14.25" hidden="1" customHeight="1" x14ac:dyDescent="0.3">
      <c r="A1237" t="s">
        <v>6</v>
      </c>
      <c r="B1237" t="s">
        <v>26</v>
      </c>
      <c r="C1237" t="s">
        <v>58</v>
      </c>
      <c r="D1237" s="133">
        <v>4</v>
      </c>
      <c r="E1237" s="17">
        <v>9.8512850000000007</v>
      </c>
      <c r="F1237" s="17">
        <f t="shared" si="82"/>
        <v>39.405140000000003</v>
      </c>
      <c r="G1237" s="18" t="s">
        <v>171</v>
      </c>
      <c r="H1237" s="38">
        <v>1035</v>
      </c>
      <c r="I1237" s="18" t="s">
        <v>93</v>
      </c>
      <c r="J1237" s="19">
        <f t="shared" si="81"/>
        <v>31.326732834782611</v>
      </c>
    </row>
    <row r="1238" spans="1:10" ht="14.25" hidden="1" customHeight="1" x14ac:dyDescent="0.3">
      <c r="A1238" t="s">
        <v>6</v>
      </c>
      <c r="B1238" t="s">
        <v>26</v>
      </c>
      <c r="C1238" t="s">
        <v>59</v>
      </c>
      <c r="D1238" s="133">
        <v>4</v>
      </c>
      <c r="E1238" s="17">
        <v>2.0358360000000002</v>
      </c>
      <c r="F1238" s="17">
        <f t="shared" si="82"/>
        <v>8.1433440000000008</v>
      </c>
      <c r="G1238" s="18" t="s">
        <v>171</v>
      </c>
      <c r="H1238" s="38">
        <v>1035</v>
      </c>
      <c r="I1238" s="18" t="s">
        <v>93</v>
      </c>
      <c r="J1238" s="19">
        <f t="shared" si="81"/>
        <v>31.326732834782611</v>
      </c>
    </row>
    <row r="1239" spans="1:10" ht="14.25" hidden="1" customHeight="1" x14ac:dyDescent="0.3">
      <c r="A1239" t="s">
        <v>6</v>
      </c>
      <c r="B1239" t="s">
        <v>26</v>
      </c>
      <c r="C1239" t="s">
        <v>142</v>
      </c>
      <c r="D1239" s="5">
        <v>1</v>
      </c>
      <c r="E1239" s="17"/>
      <c r="F1239" s="17">
        <f t="shared" si="82"/>
        <v>0</v>
      </c>
      <c r="G1239" s="18"/>
      <c r="H1239" s="38">
        <v>1035</v>
      </c>
      <c r="I1239" s="18" t="s">
        <v>93</v>
      </c>
      <c r="J1239" s="19">
        <f t="shared" si="81"/>
        <v>31.326732834782611</v>
      </c>
    </row>
    <row r="1240" spans="1:10" ht="14.25" hidden="1" customHeight="1" x14ac:dyDescent="0.3">
      <c r="A1240" t="s">
        <v>6</v>
      </c>
      <c r="B1240" t="s">
        <v>26</v>
      </c>
      <c r="C1240" t="s">
        <v>143</v>
      </c>
      <c r="D1240" s="5">
        <v>0</v>
      </c>
      <c r="E1240" s="17"/>
      <c r="F1240" s="17">
        <f t="shared" si="82"/>
        <v>0</v>
      </c>
      <c r="G1240" s="18"/>
      <c r="H1240" s="38">
        <v>1035</v>
      </c>
      <c r="I1240" s="18" t="s">
        <v>93</v>
      </c>
      <c r="J1240" s="19">
        <f t="shared" si="81"/>
        <v>31.326732834782611</v>
      </c>
    </row>
    <row r="1241" spans="1:10" ht="14.25" hidden="1" customHeight="1" x14ac:dyDescent="0.3">
      <c r="A1241" t="s">
        <v>6</v>
      </c>
      <c r="B1241" t="s">
        <v>26</v>
      </c>
      <c r="C1241" t="s">
        <v>144</v>
      </c>
      <c r="D1241" s="5">
        <v>0</v>
      </c>
      <c r="E1241" s="17"/>
      <c r="F1241" s="17">
        <f t="shared" si="82"/>
        <v>0</v>
      </c>
      <c r="G1241" s="18"/>
      <c r="H1241" s="38">
        <v>1035</v>
      </c>
      <c r="I1241" s="18" t="s">
        <v>93</v>
      </c>
      <c r="J1241" s="19">
        <f t="shared" si="81"/>
        <v>31.326732834782611</v>
      </c>
    </row>
    <row r="1242" spans="1:10" ht="14.25" hidden="1" customHeight="1" x14ac:dyDescent="0.3">
      <c r="A1242" t="s">
        <v>6</v>
      </c>
      <c r="B1242" t="s">
        <v>26</v>
      </c>
      <c r="C1242" t="s">
        <v>145</v>
      </c>
      <c r="D1242" s="5">
        <v>0</v>
      </c>
      <c r="E1242" s="17"/>
      <c r="F1242" s="17">
        <f t="shared" si="82"/>
        <v>0</v>
      </c>
      <c r="G1242" s="18"/>
      <c r="H1242" s="38">
        <v>1035</v>
      </c>
      <c r="I1242" s="18" t="s">
        <v>93</v>
      </c>
      <c r="J1242" s="19">
        <f t="shared" si="81"/>
        <v>31.326732834782611</v>
      </c>
    </row>
    <row r="1243" spans="1:10" ht="14.25" hidden="1" customHeight="1" x14ac:dyDescent="0.3">
      <c r="A1243" t="s">
        <v>6</v>
      </c>
      <c r="B1243" t="s">
        <v>26</v>
      </c>
      <c r="C1243" t="s">
        <v>121</v>
      </c>
      <c r="D1243" s="5">
        <v>0</v>
      </c>
      <c r="E1243" s="17"/>
      <c r="F1243" s="17">
        <f t="shared" si="82"/>
        <v>0</v>
      </c>
      <c r="G1243" s="18"/>
      <c r="H1243" s="38">
        <v>1035</v>
      </c>
      <c r="I1243" s="18" t="s">
        <v>93</v>
      </c>
      <c r="J1243" s="19">
        <f t="shared" si="81"/>
        <v>31.326732834782611</v>
      </c>
    </row>
    <row r="1244" spans="1:10" ht="14.25" hidden="1" customHeight="1" x14ac:dyDescent="0.3">
      <c r="A1244" t="s">
        <v>6</v>
      </c>
      <c r="B1244" t="s">
        <v>25</v>
      </c>
      <c r="C1244" t="s">
        <v>53</v>
      </c>
      <c r="D1244" s="133">
        <v>123</v>
      </c>
      <c r="E1244" s="17">
        <v>529877.57999999996</v>
      </c>
      <c r="F1244" s="17">
        <f>E1244</f>
        <v>529877.57999999996</v>
      </c>
      <c r="G1244" s="18"/>
      <c r="H1244" s="38">
        <v>193343</v>
      </c>
      <c r="I1244" s="18" t="s">
        <v>54</v>
      </c>
      <c r="J1244" s="19">
        <f t="shared" si="81"/>
        <v>3.2322367748664287</v>
      </c>
    </row>
    <row r="1245" spans="1:10" ht="14.25" hidden="1" customHeight="1" x14ac:dyDescent="0.3">
      <c r="A1245" t="s">
        <v>6</v>
      </c>
      <c r="B1245" t="s">
        <v>25</v>
      </c>
      <c r="C1245" t="s">
        <v>146</v>
      </c>
      <c r="D1245" s="5">
        <v>1</v>
      </c>
      <c r="E1245" s="17">
        <v>9818.19</v>
      </c>
      <c r="F1245" s="17">
        <f t="shared" ref="F1245:F1266" si="83">D1245*E1245</f>
        <v>9818.19</v>
      </c>
      <c r="G1245" s="18"/>
      <c r="H1245" s="38">
        <v>193343</v>
      </c>
      <c r="I1245" s="18" t="s">
        <v>54</v>
      </c>
      <c r="J1245" s="19">
        <f t="shared" si="81"/>
        <v>3.2322367748664287</v>
      </c>
    </row>
    <row r="1246" spans="1:10" ht="14.25" hidden="1" customHeight="1" x14ac:dyDescent="0.3">
      <c r="A1246" t="s">
        <v>6</v>
      </c>
      <c r="B1246" t="s">
        <v>25</v>
      </c>
      <c r="C1246" t="s">
        <v>147</v>
      </c>
      <c r="D1246" s="5">
        <v>1</v>
      </c>
      <c r="E1246" s="6">
        <v>33759.11</v>
      </c>
      <c r="F1246" s="17">
        <f t="shared" si="83"/>
        <v>33759.11</v>
      </c>
      <c r="G1246" s="18" t="s">
        <v>192</v>
      </c>
      <c r="H1246" s="38">
        <v>193343</v>
      </c>
      <c r="I1246" s="18" t="s">
        <v>54</v>
      </c>
      <c r="J1246" s="19">
        <f t="shared" si="81"/>
        <v>3.2322367748664287</v>
      </c>
    </row>
    <row r="1247" spans="1:10" ht="14.25" hidden="1" customHeight="1" x14ac:dyDescent="0.3">
      <c r="A1247" t="s">
        <v>6</v>
      </c>
      <c r="B1247" t="s">
        <v>25</v>
      </c>
      <c r="C1247" t="s">
        <v>72</v>
      </c>
      <c r="D1247" s="5">
        <v>1</v>
      </c>
      <c r="E1247" s="6">
        <v>153.58000000000001</v>
      </c>
      <c r="F1247" s="17">
        <f t="shared" si="83"/>
        <v>153.58000000000001</v>
      </c>
      <c r="G1247" s="18" t="s">
        <v>192</v>
      </c>
      <c r="H1247" s="38">
        <v>193343</v>
      </c>
      <c r="I1247" s="18" t="s">
        <v>54</v>
      </c>
      <c r="J1247" s="19">
        <f t="shared" si="81"/>
        <v>3.2322367748664287</v>
      </c>
    </row>
    <row r="1248" spans="1:10" ht="14.25" hidden="1" customHeight="1" x14ac:dyDescent="0.3">
      <c r="A1248" t="s">
        <v>6</v>
      </c>
      <c r="B1248" t="s">
        <v>25</v>
      </c>
      <c r="C1248" t="s">
        <v>148</v>
      </c>
      <c r="D1248" s="5">
        <v>1</v>
      </c>
      <c r="E1248" s="17">
        <v>14000</v>
      </c>
      <c r="F1248" s="17">
        <f t="shared" si="83"/>
        <v>14000</v>
      </c>
      <c r="G1248" s="18"/>
      <c r="H1248" s="38">
        <v>193343</v>
      </c>
      <c r="I1248" s="18" t="s">
        <v>54</v>
      </c>
      <c r="J1248" s="19">
        <f t="shared" si="81"/>
        <v>3.2322367748664287</v>
      </c>
    </row>
    <row r="1249" spans="1:10" ht="14.25" hidden="1" customHeight="1" x14ac:dyDescent="0.3">
      <c r="A1249" t="s">
        <v>6</v>
      </c>
      <c r="B1249" t="s">
        <v>25</v>
      </c>
      <c r="C1249" t="s">
        <v>150</v>
      </c>
      <c r="D1249" s="5">
        <v>1</v>
      </c>
      <c r="E1249" s="17"/>
      <c r="F1249" s="17">
        <f t="shared" si="83"/>
        <v>0</v>
      </c>
      <c r="G1249" s="18"/>
      <c r="H1249" s="38">
        <v>193343</v>
      </c>
      <c r="I1249" s="18" t="s">
        <v>54</v>
      </c>
      <c r="J1249" s="19">
        <f t="shared" si="81"/>
        <v>3.2322367748664287</v>
      </c>
    </row>
    <row r="1250" spans="1:10" ht="14.25" hidden="1" customHeight="1" x14ac:dyDescent="0.3">
      <c r="A1250" t="s">
        <v>6</v>
      </c>
      <c r="B1250" t="s">
        <v>25</v>
      </c>
      <c r="C1250" t="s">
        <v>152</v>
      </c>
      <c r="D1250" s="5">
        <v>1</v>
      </c>
      <c r="E1250" s="17">
        <v>5543</v>
      </c>
      <c r="F1250" s="17">
        <f t="shared" si="83"/>
        <v>5543</v>
      </c>
      <c r="G1250" s="18"/>
      <c r="H1250" s="38">
        <v>193343</v>
      </c>
      <c r="I1250" s="18" t="s">
        <v>54</v>
      </c>
      <c r="J1250" s="19">
        <f t="shared" si="81"/>
        <v>3.2322367748664287</v>
      </c>
    </row>
    <row r="1251" spans="1:10" ht="14.25" hidden="1" customHeight="1" x14ac:dyDescent="0.3">
      <c r="A1251" t="s">
        <v>6</v>
      </c>
      <c r="B1251" t="s">
        <v>25</v>
      </c>
      <c r="C1251" t="s">
        <v>153</v>
      </c>
      <c r="D1251" s="5">
        <v>1</v>
      </c>
      <c r="E1251" s="6">
        <v>900</v>
      </c>
      <c r="F1251" s="17">
        <f t="shared" si="83"/>
        <v>900</v>
      </c>
      <c r="G1251" s="18" t="s">
        <v>192</v>
      </c>
      <c r="H1251" s="38">
        <v>193343</v>
      </c>
      <c r="I1251" s="18" t="s">
        <v>54</v>
      </c>
      <c r="J1251" s="19">
        <f t="shared" si="81"/>
        <v>3.2322367748664287</v>
      </c>
    </row>
    <row r="1252" spans="1:10" ht="14.25" hidden="1" customHeight="1" x14ac:dyDescent="0.3">
      <c r="A1252" t="s">
        <v>6</v>
      </c>
      <c r="B1252" t="s">
        <v>25</v>
      </c>
      <c r="C1252" t="s">
        <v>154</v>
      </c>
      <c r="D1252" s="5">
        <v>1</v>
      </c>
      <c r="E1252" s="17"/>
      <c r="F1252" s="17">
        <f t="shared" si="83"/>
        <v>0</v>
      </c>
      <c r="G1252" s="18"/>
      <c r="H1252" s="38">
        <v>193343</v>
      </c>
      <c r="I1252" s="18" t="s">
        <v>54</v>
      </c>
      <c r="J1252" s="19">
        <f t="shared" si="81"/>
        <v>3.2322367748664287</v>
      </c>
    </row>
    <row r="1253" spans="1:10" ht="14.25" hidden="1" customHeight="1" x14ac:dyDescent="0.3">
      <c r="A1253" t="s">
        <v>6</v>
      </c>
      <c r="B1253" t="s">
        <v>25</v>
      </c>
      <c r="C1253" t="s">
        <v>61</v>
      </c>
      <c r="D1253" s="60">
        <v>0</v>
      </c>
      <c r="E1253" s="17"/>
      <c r="F1253" s="17">
        <f t="shared" si="83"/>
        <v>0</v>
      </c>
      <c r="G1253" s="18"/>
      <c r="H1253" s="38">
        <v>193343</v>
      </c>
      <c r="I1253" s="18" t="s">
        <v>54</v>
      </c>
      <c r="J1253" s="19">
        <f t="shared" si="81"/>
        <v>3.2322367748664287</v>
      </c>
    </row>
    <row r="1254" spans="1:10" ht="14.25" hidden="1" customHeight="1" x14ac:dyDescent="0.3">
      <c r="A1254" t="s">
        <v>6</v>
      </c>
      <c r="B1254" t="s">
        <v>25</v>
      </c>
      <c r="C1254" t="s">
        <v>26</v>
      </c>
      <c r="D1254" s="133">
        <v>123</v>
      </c>
      <c r="E1254" s="17">
        <v>25.999313999999998</v>
      </c>
      <c r="F1254" s="17">
        <f t="shared" si="83"/>
        <v>3197.915622</v>
      </c>
      <c r="G1254" s="18" t="s">
        <v>171</v>
      </c>
      <c r="H1254" s="38">
        <v>193343</v>
      </c>
      <c r="I1254" s="18" t="s">
        <v>54</v>
      </c>
      <c r="J1254" s="19">
        <f t="shared" si="81"/>
        <v>3.2322367748664287</v>
      </c>
    </row>
    <row r="1255" spans="1:10" ht="14.25" hidden="1" customHeight="1" x14ac:dyDescent="0.3">
      <c r="A1255" t="s">
        <v>6</v>
      </c>
      <c r="B1255" t="s">
        <v>25</v>
      </c>
      <c r="C1255" t="s">
        <v>14</v>
      </c>
      <c r="D1255" s="133">
        <v>123</v>
      </c>
      <c r="E1255" s="17">
        <v>42.772965999999997</v>
      </c>
      <c r="F1255" s="17">
        <f t="shared" si="83"/>
        <v>5261.0748179999991</v>
      </c>
      <c r="G1255" s="18" t="s">
        <v>171</v>
      </c>
      <c r="H1255" s="38">
        <v>193343</v>
      </c>
      <c r="I1255" s="18" t="s">
        <v>54</v>
      </c>
      <c r="J1255" s="19">
        <f t="shared" si="81"/>
        <v>3.2322367748664287</v>
      </c>
    </row>
    <row r="1256" spans="1:10" ht="14.25" hidden="1" customHeight="1" x14ac:dyDescent="0.3">
      <c r="A1256" t="s">
        <v>6</v>
      </c>
      <c r="B1256" t="s">
        <v>25</v>
      </c>
      <c r="C1256" t="s">
        <v>114</v>
      </c>
      <c r="D1256" s="5">
        <v>1</v>
      </c>
      <c r="E1256" s="17">
        <v>5707.48</v>
      </c>
      <c r="F1256" s="17">
        <f t="shared" si="83"/>
        <v>5707.48</v>
      </c>
      <c r="G1256" s="18"/>
      <c r="H1256" s="38">
        <v>193343</v>
      </c>
      <c r="I1256" s="18" t="s">
        <v>54</v>
      </c>
      <c r="J1256" s="19">
        <f t="shared" si="81"/>
        <v>3.2322367748664287</v>
      </c>
    </row>
    <row r="1257" spans="1:10" ht="14.25" hidden="1" customHeight="1" x14ac:dyDescent="0.3">
      <c r="A1257" t="s">
        <v>6</v>
      </c>
      <c r="B1257" t="s">
        <v>25</v>
      </c>
      <c r="C1257" t="s">
        <v>155</v>
      </c>
      <c r="D1257" s="133">
        <v>123</v>
      </c>
      <c r="E1257" s="17">
        <v>46.678280000000001</v>
      </c>
      <c r="F1257" s="17">
        <f t="shared" si="83"/>
        <v>5741.4284399999997</v>
      </c>
      <c r="G1257" s="18" t="s">
        <v>171</v>
      </c>
      <c r="H1257" s="38">
        <v>193343</v>
      </c>
      <c r="I1257" s="18" t="s">
        <v>54</v>
      </c>
      <c r="J1257" s="19">
        <f t="shared" si="81"/>
        <v>3.2322367748664287</v>
      </c>
    </row>
    <row r="1258" spans="1:10" ht="14.25" hidden="1" customHeight="1" x14ac:dyDescent="0.3">
      <c r="A1258" t="s">
        <v>6</v>
      </c>
      <c r="B1258" t="s">
        <v>25</v>
      </c>
      <c r="C1258" t="s">
        <v>58</v>
      </c>
      <c r="D1258" s="133">
        <v>123</v>
      </c>
      <c r="E1258" s="17">
        <v>9.8512850000000007</v>
      </c>
      <c r="F1258" s="17">
        <f t="shared" si="83"/>
        <v>1211.7080550000001</v>
      </c>
      <c r="G1258" s="18" t="s">
        <v>171</v>
      </c>
      <c r="H1258" s="38">
        <v>193343</v>
      </c>
      <c r="I1258" s="18" t="s">
        <v>54</v>
      </c>
      <c r="J1258" s="19">
        <f t="shared" si="81"/>
        <v>3.2322367748664287</v>
      </c>
    </row>
    <row r="1259" spans="1:10" ht="14.25" hidden="1" customHeight="1" x14ac:dyDescent="0.3">
      <c r="A1259" t="s">
        <v>6</v>
      </c>
      <c r="B1259" t="s">
        <v>25</v>
      </c>
      <c r="C1259" t="s">
        <v>113</v>
      </c>
      <c r="D1259" s="133">
        <v>123</v>
      </c>
      <c r="E1259" s="17">
        <v>2.0358360000000002</v>
      </c>
      <c r="F1259" s="17">
        <f t="shared" si="83"/>
        <v>250.40782800000002</v>
      </c>
      <c r="G1259" s="18" t="s">
        <v>171</v>
      </c>
      <c r="H1259" s="38">
        <v>193343</v>
      </c>
      <c r="I1259" s="18" t="s">
        <v>54</v>
      </c>
      <c r="J1259" s="19">
        <f t="shared" si="81"/>
        <v>3.2322367748664287</v>
      </c>
    </row>
    <row r="1260" spans="1:10" ht="14.25" hidden="1" customHeight="1" x14ac:dyDescent="0.3">
      <c r="A1260" t="s">
        <v>6</v>
      </c>
      <c r="B1260" t="s">
        <v>25</v>
      </c>
      <c r="C1260" t="s">
        <v>156</v>
      </c>
      <c r="D1260" s="5">
        <v>1</v>
      </c>
      <c r="E1260" s="17"/>
      <c r="F1260" s="17">
        <f t="shared" si="83"/>
        <v>0</v>
      </c>
      <c r="G1260" s="18"/>
      <c r="H1260" s="38">
        <v>193343</v>
      </c>
      <c r="I1260" s="18" t="s">
        <v>54</v>
      </c>
      <c r="J1260" s="19">
        <f t="shared" si="81"/>
        <v>3.2322367748664287</v>
      </c>
    </row>
    <row r="1261" spans="1:10" ht="14.25" hidden="1" customHeight="1" x14ac:dyDescent="0.3">
      <c r="A1261" t="s">
        <v>6</v>
      </c>
      <c r="B1261" t="s">
        <v>25</v>
      </c>
      <c r="C1261" t="s">
        <v>158</v>
      </c>
      <c r="D1261" s="5">
        <v>1</v>
      </c>
      <c r="E1261" s="17">
        <v>1837.74</v>
      </c>
      <c r="F1261" s="17">
        <f t="shared" si="83"/>
        <v>1837.74</v>
      </c>
      <c r="G1261" s="18"/>
      <c r="H1261" s="38">
        <v>193343</v>
      </c>
      <c r="I1261" s="18" t="s">
        <v>54</v>
      </c>
      <c r="J1261" s="19">
        <f t="shared" si="81"/>
        <v>3.2322367748664287</v>
      </c>
    </row>
    <row r="1262" spans="1:10" ht="14.25" hidden="1" customHeight="1" x14ac:dyDescent="0.3">
      <c r="A1262" t="s">
        <v>6</v>
      </c>
      <c r="B1262" t="s">
        <v>25</v>
      </c>
      <c r="C1262" t="s">
        <v>89</v>
      </c>
      <c r="D1262" s="5">
        <v>1</v>
      </c>
      <c r="E1262" s="17">
        <v>0</v>
      </c>
      <c r="F1262" s="17">
        <f t="shared" si="83"/>
        <v>0</v>
      </c>
      <c r="G1262" s="18"/>
      <c r="H1262" s="38">
        <v>193343</v>
      </c>
      <c r="I1262" s="18" t="s">
        <v>54</v>
      </c>
      <c r="J1262" s="19">
        <f t="shared" si="81"/>
        <v>3.2322367748664287</v>
      </c>
    </row>
    <row r="1263" spans="1:10" ht="14.25" hidden="1" customHeight="1" x14ac:dyDescent="0.3">
      <c r="A1263" t="s">
        <v>6</v>
      </c>
      <c r="B1263" t="s">
        <v>25</v>
      </c>
      <c r="C1263" t="s">
        <v>133</v>
      </c>
      <c r="D1263" s="5">
        <v>1</v>
      </c>
      <c r="E1263" s="17">
        <v>160</v>
      </c>
      <c r="F1263" s="17">
        <f t="shared" si="83"/>
        <v>160</v>
      </c>
      <c r="G1263" s="18"/>
      <c r="H1263" s="38">
        <v>193343</v>
      </c>
      <c r="I1263" s="18" t="s">
        <v>54</v>
      </c>
      <c r="J1263" s="19">
        <f t="shared" si="81"/>
        <v>3.2322367748664287</v>
      </c>
    </row>
    <row r="1264" spans="1:10" ht="14.25" hidden="1" customHeight="1" x14ac:dyDescent="0.3">
      <c r="A1264" t="s">
        <v>6</v>
      </c>
      <c r="B1264" t="s">
        <v>25</v>
      </c>
      <c r="C1264" t="s">
        <v>160</v>
      </c>
      <c r="D1264" s="5">
        <v>1</v>
      </c>
      <c r="E1264" s="134">
        <v>7446.64</v>
      </c>
      <c r="F1264" s="17">
        <f t="shared" si="83"/>
        <v>7446.64</v>
      </c>
      <c r="G1264" s="133" t="s">
        <v>65</v>
      </c>
      <c r="H1264" s="38">
        <v>193343</v>
      </c>
      <c r="I1264" s="18" t="s">
        <v>54</v>
      </c>
      <c r="J1264" s="19">
        <f t="shared" si="81"/>
        <v>3.2322367748664287</v>
      </c>
    </row>
    <row r="1265" spans="1:10" ht="14.25" hidden="1" customHeight="1" x14ac:dyDescent="0.3">
      <c r="A1265" t="s">
        <v>6</v>
      </c>
      <c r="B1265" t="s">
        <v>25</v>
      </c>
      <c r="C1265" t="s">
        <v>161</v>
      </c>
      <c r="D1265" s="5">
        <v>1</v>
      </c>
      <c r="E1265" s="134">
        <v>64.5</v>
      </c>
      <c r="F1265" s="17">
        <f t="shared" si="83"/>
        <v>64.5</v>
      </c>
      <c r="G1265" s="133" t="s">
        <v>65</v>
      </c>
      <c r="H1265" s="38">
        <v>193343</v>
      </c>
      <c r="I1265" s="18" t="s">
        <v>54</v>
      </c>
      <c r="J1265" s="19">
        <f t="shared" si="81"/>
        <v>3.2322367748664287</v>
      </c>
    </row>
    <row r="1266" spans="1:10" ht="14.25" hidden="1" customHeight="1" x14ac:dyDescent="0.3">
      <c r="A1266" t="s">
        <v>6</v>
      </c>
      <c r="B1266" t="s">
        <v>25</v>
      </c>
      <c r="C1266" t="s">
        <v>70</v>
      </c>
      <c r="D1266" s="5">
        <v>1</v>
      </c>
      <c r="E1266" s="17"/>
      <c r="F1266" s="17">
        <f t="shared" si="83"/>
        <v>0</v>
      </c>
      <c r="G1266" s="18"/>
      <c r="H1266" s="38">
        <v>193343</v>
      </c>
      <c r="I1266" s="18" t="s">
        <v>54</v>
      </c>
      <c r="J1266" s="19">
        <f t="shared" si="81"/>
        <v>3.2322367748664287</v>
      </c>
    </row>
    <row r="1267" spans="1:10" ht="14.25" hidden="1" customHeight="1" x14ac:dyDescent="0.3">
      <c r="A1267" t="s">
        <v>6</v>
      </c>
      <c r="B1267" t="s">
        <v>27</v>
      </c>
      <c r="C1267" t="s">
        <v>53</v>
      </c>
      <c r="D1267" s="133">
        <v>8</v>
      </c>
      <c r="E1267" s="134">
        <v>48312.02</v>
      </c>
      <c r="F1267" s="17">
        <f>E1267</f>
        <v>48312.02</v>
      </c>
      <c r="G1267" s="18" t="s">
        <v>205</v>
      </c>
      <c r="H1267" s="38">
        <v>1035</v>
      </c>
      <c r="I1267" s="18" t="s">
        <v>93</v>
      </c>
      <c r="J1267" s="19">
        <f t="shared" si="81"/>
        <v>58.416942229951687</v>
      </c>
    </row>
    <row r="1268" spans="1:10" ht="14.25" hidden="1" customHeight="1" x14ac:dyDescent="0.3">
      <c r="A1268" t="s">
        <v>6</v>
      </c>
      <c r="B1268" t="s">
        <v>27</v>
      </c>
      <c r="C1268" t="s">
        <v>26</v>
      </c>
      <c r="D1268" s="133">
        <v>8</v>
      </c>
      <c r="E1268" s="17">
        <v>25.999313999999998</v>
      </c>
      <c r="F1268" s="17">
        <f t="shared" ref="F1268:F1290" si="84">D1268*E1268</f>
        <v>207.99451199999999</v>
      </c>
      <c r="G1268" s="18" t="s">
        <v>171</v>
      </c>
      <c r="H1268" s="38">
        <v>1035</v>
      </c>
      <c r="I1268" s="18" t="s">
        <v>93</v>
      </c>
      <c r="J1268" s="19">
        <f t="shared" si="81"/>
        <v>58.416942229951687</v>
      </c>
    </row>
    <row r="1269" spans="1:10" ht="14.25" hidden="1" customHeight="1" x14ac:dyDescent="0.3">
      <c r="A1269" t="s">
        <v>6</v>
      </c>
      <c r="B1269" t="s">
        <v>27</v>
      </c>
      <c r="C1269" t="s">
        <v>14</v>
      </c>
      <c r="D1269" s="133">
        <v>8</v>
      </c>
      <c r="E1269" s="17">
        <v>42.772965999999997</v>
      </c>
      <c r="F1269" s="17">
        <f t="shared" si="84"/>
        <v>342.18372799999997</v>
      </c>
      <c r="G1269" s="18" t="s">
        <v>171</v>
      </c>
      <c r="H1269" s="38">
        <v>1035</v>
      </c>
      <c r="I1269" s="18" t="s">
        <v>93</v>
      </c>
      <c r="J1269" s="19">
        <f t="shared" si="81"/>
        <v>58.416942229951687</v>
      </c>
    </row>
    <row r="1270" spans="1:10" ht="14.25" hidden="1" customHeight="1" x14ac:dyDescent="0.3">
      <c r="A1270" t="s">
        <v>6</v>
      </c>
      <c r="B1270" t="s">
        <v>27</v>
      </c>
      <c r="C1270" t="s">
        <v>87</v>
      </c>
      <c r="D1270" s="5">
        <v>10</v>
      </c>
      <c r="E1270" s="6">
        <v>28</v>
      </c>
      <c r="F1270" s="17">
        <f t="shared" si="84"/>
        <v>280</v>
      </c>
      <c r="G1270" s="18" t="s">
        <v>192</v>
      </c>
      <c r="H1270" s="38">
        <v>1035</v>
      </c>
      <c r="I1270" s="18" t="s">
        <v>93</v>
      </c>
      <c r="J1270" s="19">
        <f t="shared" si="81"/>
        <v>58.416942229951687</v>
      </c>
    </row>
    <row r="1271" spans="1:10" ht="14.25" hidden="1" customHeight="1" x14ac:dyDescent="0.3">
      <c r="A1271" t="s">
        <v>6</v>
      </c>
      <c r="B1271" t="s">
        <v>27</v>
      </c>
      <c r="C1271" t="s">
        <v>76</v>
      </c>
      <c r="D1271" s="60">
        <v>0</v>
      </c>
      <c r="E1271" s="37">
        <v>0</v>
      </c>
      <c r="F1271" s="17">
        <f t="shared" si="84"/>
        <v>0</v>
      </c>
      <c r="G1271" s="18" t="s">
        <v>170</v>
      </c>
      <c r="H1271" s="38">
        <v>1035</v>
      </c>
      <c r="I1271" s="18" t="s">
        <v>93</v>
      </c>
      <c r="J1271" s="19">
        <f t="shared" si="81"/>
        <v>58.416942229951687</v>
      </c>
    </row>
    <row r="1272" spans="1:10" ht="14.25" hidden="1" customHeight="1" x14ac:dyDescent="0.3">
      <c r="A1272" t="s">
        <v>6</v>
      </c>
      <c r="B1272" t="s">
        <v>27</v>
      </c>
      <c r="C1272" t="s">
        <v>71</v>
      </c>
      <c r="D1272" s="5">
        <v>1</v>
      </c>
      <c r="E1272" s="6">
        <v>40.520000000000003</v>
      </c>
      <c r="F1272" s="17">
        <f t="shared" si="84"/>
        <v>40.520000000000003</v>
      </c>
      <c r="G1272" s="18" t="s">
        <v>192</v>
      </c>
      <c r="H1272" s="38">
        <v>1035</v>
      </c>
      <c r="I1272" s="18" t="s">
        <v>93</v>
      </c>
      <c r="J1272" s="19">
        <f t="shared" si="81"/>
        <v>58.416942229951687</v>
      </c>
    </row>
    <row r="1273" spans="1:10" ht="14.25" hidden="1" customHeight="1" x14ac:dyDescent="0.3">
      <c r="A1273" t="s">
        <v>6</v>
      </c>
      <c r="B1273" t="s">
        <v>27</v>
      </c>
      <c r="C1273" t="s">
        <v>57</v>
      </c>
      <c r="D1273" s="5">
        <v>4</v>
      </c>
      <c r="E1273" s="6">
        <v>30</v>
      </c>
      <c r="F1273" s="17">
        <f t="shared" si="84"/>
        <v>120</v>
      </c>
      <c r="G1273" s="18" t="s">
        <v>192</v>
      </c>
      <c r="H1273" s="38">
        <v>1035</v>
      </c>
      <c r="I1273" s="18" t="s">
        <v>93</v>
      </c>
      <c r="J1273" s="19">
        <f t="shared" si="81"/>
        <v>58.416942229951687</v>
      </c>
    </row>
    <row r="1274" spans="1:10" ht="14.25" hidden="1" customHeight="1" x14ac:dyDescent="0.3">
      <c r="A1274" t="s">
        <v>6</v>
      </c>
      <c r="B1274" t="s">
        <v>27</v>
      </c>
      <c r="C1274" t="s">
        <v>58</v>
      </c>
      <c r="D1274" s="133">
        <v>8</v>
      </c>
      <c r="E1274" s="17">
        <v>9.8512850000000007</v>
      </c>
      <c r="F1274" s="17">
        <f t="shared" si="84"/>
        <v>78.810280000000006</v>
      </c>
      <c r="G1274" s="18" t="s">
        <v>171</v>
      </c>
      <c r="H1274" s="38">
        <v>1035</v>
      </c>
      <c r="I1274" s="18" t="s">
        <v>93</v>
      </c>
      <c r="J1274" s="19">
        <f t="shared" si="81"/>
        <v>58.416942229951687</v>
      </c>
    </row>
    <row r="1275" spans="1:10" ht="14.25" hidden="1" customHeight="1" x14ac:dyDescent="0.3">
      <c r="A1275" t="s">
        <v>6</v>
      </c>
      <c r="B1275" t="s">
        <v>27</v>
      </c>
      <c r="C1275" t="s">
        <v>59</v>
      </c>
      <c r="D1275" s="133">
        <v>8</v>
      </c>
      <c r="E1275" s="17">
        <v>2.0358360000000002</v>
      </c>
      <c r="F1275" s="17">
        <f t="shared" si="84"/>
        <v>16.286688000000002</v>
      </c>
      <c r="G1275" s="18" t="s">
        <v>171</v>
      </c>
      <c r="H1275" s="38">
        <v>1035</v>
      </c>
      <c r="I1275" s="18" t="s">
        <v>93</v>
      </c>
      <c r="J1275" s="19">
        <f t="shared" si="81"/>
        <v>58.416942229951687</v>
      </c>
    </row>
    <row r="1276" spans="1:10" ht="14.25" hidden="1" customHeight="1" x14ac:dyDescent="0.3">
      <c r="A1276" t="s">
        <v>6</v>
      </c>
      <c r="B1276" t="s">
        <v>27</v>
      </c>
      <c r="C1276" t="s">
        <v>62</v>
      </c>
      <c r="D1276" s="5">
        <v>0</v>
      </c>
      <c r="E1276" s="17"/>
      <c r="F1276" s="17">
        <f t="shared" si="84"/>
        <v>0</v>
      </c>
      <c r="G1276" s="18"/>
      <c r="H1276" s="38">
        <v>1035</v>
      </c>
      <c r="I1276" s="18" t="s">
        <v>93</v>
      </c>
      <c r="J1276" s="19">
        <f t="shared" si="81"/>
        <v>58.416942229951687</v>
      </c>
    </row>
    <row r="1277" spans="1:10" ht="14.25" hidden="1" customHeight="1" x14ac:dyDescent="0.3">
      <c r="A1277" t="s">
        <v>6</v>
      </c>
      <c r="B1277" t="s">
        <v>27</v>
      </c>
      <c r="C1277" t="s">
        <v>74</v>
      </c>
      <c r="D1277" s="60">
        <v>0</v>
      </c>
      <c r="E1277" s="17"/>
      <c r="F1277" s="17">
        <f t="shared" si="84"/>
        <v>0</v>
      </c>
      <c r="G1277" s="18"/>
      <c r="H1277" s="38">
        <v>1035</v>
      </c>
      <c r="I1277" s="18" t="s">
        <v>93</v>
      </c>
      <c r="J1277" s="19">
        <f t="shared" si="81"/>
        <v>58.416942229951687</v>
      </c>
    </row>
    <row r="1278" spans="1:10" ht="14.25" hidden="1" customHeight="1" x14ac:dyDescent="0.3">
      <c r="A1278" t="s">
        <v>6</v>
      </c>
      <c r="B1278" t="s">
        <v>27</v>
      </c>
      <c r="C1278" t="s">
        <v>162</v>
      </c>
      <c r="D1278" s="5">
        <v>0</v>
      </c>
      <c r="E1278" s="17"/>
      <c r="F1278" s="17">
        <f t="shared" si="84"/>
        <v>0</v>
      </c>
      <c r="G1278" s="18"/>
      <c r="H1278" s="38">
        <v>1035</v>
      </c>
      <c r="I1278" s="18" t="s">
        <v>93</v>
      </c>
      <c r="J1278" s="19">
        <f t="shared" si="81"/>
        <v>58.416942229951687</v>
      </c>
    </row>
    <row r="1279" spans="1:10" ht="14.25" hidden="1" customHeight="1" x14ac:dyDescent="0.3">
      <c r="A1279" t="s">
        <v>6</v>
      </c>
      <c r="B1279" t="s">
        <v>27</v>
      </c>
      <c r="C1279" t="s">
        <v>72</v>
      </c>
      <c r="D1279" s="5">
        <v>1</v>
      </c>
      <c r="E1279" s="6">
        <v>76.790000000000006</v>
      </c>
      <c r="F1279" s="17">
        <f t="shared" si="84"/>
        <v>76.790000000000006</v>
      </c>
      <c r="G1279" s="18" t="s">
        <v>192</v>
      </c>
      <c r="H1279" s="38">
        <v>1035</v>
      </c>
      <c r="I1279" s="18" t="s">
        <v>93</v>
      </c>
      <c r="J1279" s="19">
        <f t="shared" si="81"/>
        <v>58.416942229951687</v>
      </c>
    </row>
    <row r="1280" spans="1:10" ht="14.25" hidden="1" customHeight="1" x14ac:dyDescent="0.3">
      <c r="A1280" t="s">
        <v>6</v>
      </c>
      <c r="B1280" t="s">
        <v>27</v>
      </c>
      <c r="C1280" t="s">
        <v>70</v>
      </c>
      <c r="D1280" s="5">
        <v>1</v>
      </c>
      <c r="E1280" s="17"/>
      <c r="F1280" s="17">
        <f t="shared" si="84"/>
        <v>0</v>
      </c>
      <c r="G1280" s="18"/>
      <c r="H1280" s="38">
        <v>1035</v>
      </c>
      <c r="I1280" s="18" t="s">
        <v>93</v>
      </c>
      <c r="J1280" s="19">
        <f t="shared" si="81"/>
        <v>58.416942229951687</v>
      </c>
    </row>
    <row r="1281" spans="1:10" ht="14.25" hidden="1" customHeight="1" x14ac:dyDescent="0.3">
      <c r="A1281" t="s">
        <v>6</v>
      </c>
      <c r="B1281" t="s">
        <v>27</v>
      </c>
      <c r="C1281" t="s">
        <v>64</v>
      </c>
      <c r="D1281" s="5">
        <v>0</v>
      </c>
      <c r="E1281" s="17"/>
      <c r="F1281" s="17">
        <f t="shared" si="84"/>
        <v>0</v>
      </c>
      <c r="G1281" s="18"/>
      <c r="H1281" s="38">
        <v>1035</v>
      </c>
      <c r="I1281" s="18" t="s">
        <v>93</v>
      </c>
      <c r="J1281" s="19">
        <f t="shared" si="81"/>
        <v>58.416942229951687</v>
      </c>
    </row>
    <row r="1282" spans="1:10" ht="14.25" hidden="1" customHeight="1" x14ac:dyDescent="0.3">
      <c r="A1282" t="s">
        <v>6</v>
      </c>
      <c r="B1282" t="s">
        <v>27</v>
      </c>
      <c r="C1282" t="s">
        <v>66</v>
      </c>
      <c r="D1282" s="60">
        <v>0</v>
      </c>
      <c r="E1282" s="17"/>
      <c r="F1282" s="17">
        <f t="shared" si="84"/>
        <v>0</v>
      </c>
      <c r="G1282" s="18"/>
      <c r="H1282" s="38">
        <v>1035</v>
      </c>
      <c r="I1282" s="18" t="s">
        <v>93</v>
      </c>
      <c r="J1282" s="19">
        <f t="shared" ref="J1282:J1345" si="85">IFERROR(SUMIFS($F$2:$F$1749,$A$2:$A$1749,A1282,$B$2:$B$1749,B1282)/H1282,"")</f>
        <v>58.416942229951687</v>
      </c>
    </row>
    <row r="1283" spans="1:10" ht="14.25" hidden="1" customHeight="1" x14ac:dyDescent="0.3">
      <c r="A1283" t="s">
        <v>6</v>
      </c>
      <c r="B1283" t="s">
        <v>27</v>
      </c>
      <c r="C1283" t="s">
        <v>133</v>
      </c>
      <c r="D1283" s="5">
        <v>0</v>
      </c>
      <c r="E1283" s="17"/>
      <c r="F1283" s="17">
        <f t="shared" si="84"/>
        <v>0</v>
      </c>
      <c r="G1283" s="18"/>
      <c r="H1283" s="38">
        <v>1035</v>
      </c>
      <c r="I1283" s="18" t="s">
        <v>93</v>
      </c>
      <c r="J1283" s="19">
        <f t="shared" si="85"/>
        <v>58.416942229951687</v>
      </c>
    </row>
    <row r="1284" spans="1:10" ht="14.25" hidden="1" customHeight="1" x14ac:dyDescent="0.3">
      <c r="A1284" t="s">
        <v>6</v>
      </c>
      <c r="B1284" t="s">
        <v>27</v>
      </c>
      <c r="C1284" t="s">
        <v>67</v>
      </c>
      <c r="D1284" s="5">
        <v>0</v>
      </c>
      <c r="E1284" s="17"/>
      <c r="F1284" s="17">
        <f t="shared" si="84"/>
        <v>0</v>
      </c>
      <c r="G1284" s="18"/>
      <c r="H1284" s="38">
        <v>1035</v>
      </c>
      <c r="I1284" s="18" t="s">
        <v>93</v>
      </c>
      <c r="J1284" s="19">
        <f t="shared" si="85"/>
        <v>58.416942229951687</v>
      </c>
    </row>
    <row r="1285" spans="1:10" ht="14.25" hidden="1" customHeight="1" x14ac:dyDescent="0.3">
      <c r="A1285" t="s">
        <v>6</v>
      </c>
      <c r="B1285" t="s">
        <v>27</v>
      </c>
      <c r="C1285" t="s">
        <v>84</v>
      </c>
      <c r="D1285" s="5">
        <v>1</v>
      </c>
      <c r="E1285" s="17">
        <v>105.8</v>
      </c>
      <c r="F1285" s="17">
        <f t="shared" si="84"/>
        <v>105.8</v>
      </c>
      <c r="G1285" s="18"/>
      <c r="H1285" s="38">
        <v>1035</v>
      </c>
      <c r="I1285" s="18" t="s">
        <v>93</v>
      </c>
      <c r="J1285" s="19">
        <f t="shared" si="85"/>
        <v>58.416942229951687</v>
      </c>
    </row>
    <row r="1286" spans="1:10" ht="14.25" hidden="1" customHeight="1" x14ac:dyDescent="0.3">
      <c r="A1286" t="s">
        <v>6</v>
      </c>
      <c r="B1286" t="s">
        <v>27</v>
      </c>
      <c r="C1286" t="s">
        <v>114</v>
      </c>
      <c r="D1286" s="5">
        <v>0</v>
      </c>
      <c r="E1286" s="17"/>
      <c r="F1286" s="17">
        <f t="shared" si="84"/>
        <v>0</v>
      </c>
      <c r="G1286" s="18"/>
      <c r="H1286" s="38">
        <v>1035</v>
      </c>
      <c r="I1286" s="18" t="s">
        <v>93</v>
      </c>
      <c r="J1286" s="19">
        <f t="shared" si="85"/>
        <v>58.416942229951687</v>
      </c>
    </row>
    <row r="1287" spans="1:10" ht="14.25" hidden="1" customHeight="1" x14ac:dyDescent="0.3">
      <c r="A1287" t="s">
        <v>6</v>
      </c>
      <c r="B1287" t="s">
        <v>27</v>
      </c>
      <c r="C1287" t="s">
        <v>121</v>
      </c>
      <c r="D1287" s="5">
        <v>1</v>
      </c>
      <c r="E1287" s="17">
        <v>3191.63</v>
      </c>
      <c r="F1287" s="17">
        <f t="shared" si="84"/>
        <v>3191.63</v>
      </c>
      <c r="G1287" s="18"/>
      <c r="H1287" s="38">
        <v>1035</v>
      </c>
      <c r="I1287" s="18" t="s">
        <v>93</v>
      </c>
      <c r="J1287" s="19">
        <f t="shared" si="85"/>
        <v>58.416942229951687</v>
      </c>
    </row>
    <row r="1288" spans="1:10" ht="14.25" hidden="1" customHeight="1" x14ac:dyDescent="0.3">
      <c r="A1288" t="s">
        <v>6</v>
      </c>
      <c r="B1288" t="s">
        <v>27</v>
      </c>
      <c r="C1288" t="s">
        <v>106</v>
      </c>
      <c r="D1288" s="5">
        <v>0</v>
      </c>
      <c r="E1288" s="17"/>
      <c r="F1288" s="17">
        <f t="shared" si="84"/>
        <v>0</v>
      </c>
      <c r="G1288" s="18"/>
      <c r="H1288" s="38">
        <v>1035</v>
      </c>
      <c r="I1288" s="18" t="s">
        <v>93</v>
      </c>
      <c r="J1288" s="19">
        <f t="shared" si="85"/>
        <v>58.416942229951687</v>
      </c>
    </row>
    <row r="1289" spans="1:10" ht="14.25" hidden="1" customHeight="1" x14ac:dyDescent="0.3">
      <c r="A1289" t="s">
        <v>6</v>
      </c>
      <c r="B1289" t="s">
        <v>27</v>
      </c>
      <c r="C1289" t="s">
        <v>86</v>
      </c>
      <c r="D1289" s="5">
        <v>0</v>
      </c>
      <c r="E1289" s="17"/>
      <c r="F1289" s="17">
        <f t="shared" si="84"/>
        <v>0</v>
      </c>
      <c r="G1289" s="18"/>
      <c r="H1289" s="38">
        <v>1035</v>
      </c>
      <c r="I1289" s="18" t="s">
        <v>93</v>
      </c>
      <c r="J1289" s="19">
        <f t="shared" si="85"/>
        <v>58.416942229951687</v>
      </c>
    </row>
    <row r="1290" spans="1:10" ht="14.25" hidden="1" customHeight="1" x14ac:dyDescent="0.3">
      <c r="A1290" t="s">
        <v>6</v>
      </c>
      <c r="B1290" t="s">
        <v>27</v>
      </c>
      <c r="C1290" t="s">
        <v>163</v>
      </c>
      <c r="D1290" s="5">
        <v>1</v>
      </c>
      <c r="E1290" s="17">
        <v>7689.5</v>
      </c>
      <c r="F1290" s="17">
        <f t="shared" si="84"/>
        <v>7689.5</v>
      </c>
      <c r="G1290" s="18"/>
      <c r="H1290" s="38">
        <v>1035</v>
      </c>
      <c r="I1290" s="18" t="s">
        <v>93</v>
      </c>
      <c r="J1290" s="19">
        <f t="shared" si="85"/>
        <v>58.416942229951687</v>
      </c>
    </row>
    <row r="1291" spans="1:10" ht="14.25" hidden="1" customHeight="1" x14ac:dyDescent="0.3">
      <c r="A1291" t="s">
        <v>6</v>
      </c>
      <c r="B1291" t="s">
        <v>28</v>
      </c>
      <c r="C1291" t="s">
        <v>53</v>
      </c>
      <c r="D1291" s="133">
        <v>5</v>
      </c>
      <c r="E1291" s="134">
        <v>28160.9</v>
      </c>
      <c r="F1291" s="17">
        <f>E1291</f>
        <v>28160.9</v>
      </c>
      <c r="G1291" s="18" t="s">
        <v>197</v>
      </c>
      <c r="H1291" s="38">
        <v>179925</v>
      </c>
      <c r="I1291" s="18" t="s">
        <v>82</v>
      </c>
      <c r="J1291" s="19">
        <f t="shared" si="85"/>
        <v>0.39704338872391137</v>
      </c>
    </row>
    <row r="1292" spans="1:10" ht="14.25" hidden="1" customHeight="1" x14ac:dyDescent="0.3">
      <c r="A1292" t="s">
        <v>6</v>
      </c>
      <c r="B1292" t="s">
        <v>28</v>
      </c>
      <c r="C1292" t="s">
        <v>55</v>
      </c>
      <c r="D1292" s="133">
        <v>5</v>
      </c>
      <c r="E1292" s="37">
        <v>58.416942229951687</v>
      </c>
      <c r="F1292" s="17">
        <f t="shared" ref="F1292:F1312" si="86">D1292*E1292</f>
        <v>292.08471114975845</v>
      </c>
      <c r="G1292" s="18"/>
      <c r="H1292" s="38">
        <v>179925</v>
      </c>
      <c r="I1292" s="18" t="s">
        <v>82</v>
      </c>
      <c r="J1292" s="19">
        <f t="shared" si="85"/>
        <v>0.39704338872391137</v>
      </c>
    </row>
    <row r="1293" spans="1:10" ht="14.25" hidden="1" customHeight="1" x14ac:dyDescent="0.3">
      <c r="A1293" t="s">
        <v>6</v>
      </c>
      <c r="B1293" t="s">
        <v>28</v>
      </c>
      <c r="C1293" t="s">
        <v>26</v>
      </c>
      <c r="D1293" s="133">
        <v>5</v>
      </c>
      <c r="E1293" s="17">
        <v>25.999313999999998</v>
      </c>
      <c r="F1293" s="17">
        <f t="shared" si="86"/>
        <v>129.99656999999999</v>
      </c>
      <c r="G1293" s="18" t="s">
        <v>171</v>
      </c>
      <c r="H1293" s="38">
        <v>179925</v>
      </c>
      <c r="I1293" s="18" t="s">
        <v>82</v>
      </c>
      <c r="J1293" s="19">
        <f t="shared" si="85"/>
        <v>0.39704338872391137</v>
      </c>
    </row>
    <row r="1294" spans="1:10" ht="14.25" hidden="1" customHeight="1" x14ac:dyDescent="0.3">
      <c r="A1294" t="s">
        <v>6</v>
      </c>
      <c r="B1294" t="s">
        <v>28</v>
      </c>
      <c r="C1294" t="s">
        <v>14</v>
      </c>
      <c r="D1294" s="133">
        <v>5</v>
      </c>
      <c r="E1294" s="17">
        <v>42.772965999999997</v>
      </c>
      <c r="F1294" s="17">
        <f t="shared" si="86"/>
        <v>213.86482999999998</v>
      </c>
      <c r="G1294" s="18" t="s">
        <v>171</v>
      </c>
      <c r="H1294" s="38">
        <v>179925</v>
      </c>
      <c r="I1294" s="18" t="s">
        <v>82</v>
      </c>
      <c r="J1294" s="19">
        <f t="shared" si="85"/>
        <v>0.39704338872391137</v>
      </c>
    </row>
    <row r="1295" spans="1:10" ht="14.25" hidden="1" customHeight="1" x14ac:dyDescent="0.3">
      <c r="A1295" t="s">
        <v>6</v>
      </c>
      <c r="B1295" t="s">
        <v>28</v>
      </c>
      <c r="C1295" t="s">
        <v>56</v>
      </c>
      <c r="D1295" s="5">
        <v>7</v>
      </c>
      <c r="E1295" s="6">
        <v>50</v>
      </c>
      <c r="F1295" s="17">
        <f t="shared" si="86"/>
        <v>350</v>
      </c>
      <c r="G1295" s="18" t="s">
        <v>192</v>
      </c>
      <c r="H1295" s="38">
        <v>179925</v>
      </c>
      <c r="I1295" s="18" t="s">
        <v>82</v>
      </c>
      <c r="J1295" s="19">
        <f t="shared" si="85"/>
        <v>0.39704338872391137</v>
      </c>
    </row>
    <row r="1296" spans="1:10" ht="14.25" hidden="1" customHeight="1" x14ac:dyDescent="0.3">
      <c r="A1296" t="s">
        <v>6</v>
      </c>
      <c r="B1296" t="s">
        <v>28</v>
      </c>
      <c r="C1296" t="s">
        <v>70</v>
      </c>
      <c r="D1296" s="5">
        <v>0</v>
      </c>
      <c r="E1296" s="17"/>
      <c r="F1296" s="17">
        <f t="shared" si="86"/>
        <v>0</v>
      </c>
      <c r="G1296" s="18"/>
      <c r="H1296" s="38">
        <v>179925</v>
      </c>
      <c r="I1296" s="18" t="s">
        <v>82</v>
      </c>
      <c r="J1296" s="19">
        <f t="shared" si="85"/>
        <v>0.39704338872391137</v>
      </c>
    </row>
    <row r="1297" spans="1:10" ht="14.25" hidden="1" customHeight="1" x14ac:dyDescent="0.3">
      <c r="A1297" t="s">
        <v>6</v>
      </c>
      <c r="B1297" t="s">
        <v>28</v>
      </c>
      <c r="C1297" t="s">
        <v>76</v>
      </c>
      <c r="D1297" s="5">
        <v>7</v>
      </c>
      <c r="E1297" s="6">
        <v>33.72</v>
      </c>
      <c r="F1297" s="17">
        <f t="shared" si="86"/>
        <v>236.04</v>
      </c>
      <c r="G1297" s="18" t="s">
        <v>192</v>
      </c>
      <c r="H1297" s="38">
        <v>179925</v>
      </c>
      <c r="I1297" s="18" t="s">
        <v>82</v>
      </c>
      <c r="J1297" s="19">
        <f t="shared" si="85"/>
        <v>0.39704338872391137</v>
      </c>
    </row>
    <row r="1298" spans="1:10" ht="14.25" hidden="1" customHeight="1" x14ac:dyDescent="0.3">
      <c r="A1298" t="s">
        <v>6</v>
      </c>
      <c r="B1298" t="s">
        <v>28</v>
      </c>
      <c r="C1298" t="s">
        <v>71</v>
      </c>
      <c r="D1298" s="5">
        <v>1</v>
      </c>
      <c r="E1298" s="6">
        <v>40.520000000000003</v>
      </c>
      <c r="F1298" s="17">
        <f t="shared" si="86"/>
        <v>40.520000000000003</v>
      </c>
      <c r="G1298" s="18" t="s">
        <v>192</v>
      </c>
      <c r="H1298" s="38">
        <v>179925</v>
      </c>
      <c r="I1298" s="18" t="s">
        <v>82</v>
      </c>
      <c r="J1298" s="19">
        <f t="shared" si="85"/>
        <v>0.39704338872391137</v>
      </c>
    </row>
    <row r="1299" spans="1:10" ht="14.25" hidden="1" customHeight="1" x14ac:dyDescent="0.3">
      <c r="A1299" t="s">
        <v>6</v>
      </c>
      <c r="B1299" t="s">
        <v>28</v>
      </c>
      <c r="C1299" t="s">
        <v>72</v>
      </c>
      <c r="D1299" s="5">
        <v>1</v>
      </c>
      <c r="E1299" s="6">
        <v>153.58000000000001</v>
      </c>
      <c r="F1299" s="17">
        <f t="shared" si="86"/>
        <v>153.58000000000001</v>
      </c>
      <c r="G1299" s="18" t="s">
        <v>192</v>
      </c>
      <c r="H1299" s="38">
        <v>179925</v>
      </c>
      <c r="I1299" s="18" t="s">
        <v>82</v>
      </c>
      <c r="J1299" s="19">
        <f t="shared" si="85"/>
        <v>0.39704338872391137</v>
      </c>
    </row>
    <row r="1300" spans="1:10" ht="14.25" hidden="1" customHeight="1" x14ac:dyDescent="0.3">
      <c r="A1300" t="s">
        <v>6</v>
      </c>
      <c r="B1300" t="s">
        <v>28</v>
      </c>
      <c r="C1300" t="s">
        <v>58</v>
      </c>
      <c r="D1300" s="133">
        <v>5</v>
      </c>
      <c r="E1300" s="17">
        <v>9.8512850000000007</v>
      </c>
      <c r="F1300" s="17">
        <f t="shared" si="86"/>
        <v>49.256425000000007</v>
      </c>
      <c r="G1300" s="18" t="s">
        <v>171</v>
      </c>
      <c r="H1300" s="38">
        <v>179925</v>
      </c>
      <c r="I1300" s="18" t="s">
        <v>82</v>
      </c>
      <c r="J1300" s="19">
        <f t="shared" si="85"/>
        <v>0.39704338872391137</v>
      </c>
    </row>
    <row r="1301" spans="1:10" ht="14.25" hidden="1" customHeight="1" x14ac:dyDescent="0.3">
      <c r="A1301" t="s">
        <v>6</v>
      </c>
      <c r="B1301" t="s">
        <v>28</v>
      </c>
      <c r="C1301" t="s">
        <v>59</v>
      </c>
      <c r="D1301" s="133">
        <v>5</v>
      </c>
      <c r="E1301" s="17">
        <v>2.0358360000000002</v>
      </c>
      <c r="F1301" s="17">
        <f t="shared" si="86"/>
        <v>10.179180000000001</v>
      </c>
      <c r="G1301" s="18" t="s">
        <v>171</v>
      </c>
      <c r="H1301" s="38">
        <v>179925</v>
      </c>
      <c r="I1301" s="18" t="s">
        <v>82</v>
      </c>
      <c r="J1301" s="19">
        <f t="shared" si="85"/>
        <v>0.39704338872391137</v>
      </c>
    </row>
    <row r="1302" spans="1:10" ht="14.25" hidden="1" customHeight="1" x14ac:dyDescent="0.3">
      <c r="A1302" t="s">
        <v>6</v>
      </c>
      <c r="B1302" t="s">
        <v>28</v>
      </c>
      <c r="C1302" t="s">
        <v>164</v>
      </c>
      <c r="D1302" s="5">
        <v>1</v>
      </c>
      <c r="E1302" s="6">
        <v>1949.81</v>
      </c>
      <c r="F1302" s="17">
        <f t="shared" si="86"/>
        <v>1949.81</v>
      </c>
      <c r="G1302" s="18" t="s">
        <v>192</v>
      </c>
      <c r="H1302" s="38">
        <v>179925</v>
      </c>
      <c r="I1302" s="18" t="s">
        <v>82</v>
      </c>
      <c r="J1302" s="19">
        <f t="shared" si="85"/>
        <v>0.39704338872391137</v>
      </c>
    </row>
    <row r="1303" spans="1:10" ht="14.25" hidden="1" customHeight="1" x14ac:dyDescent="0.3">
      <c r="A1303" t="s">
        <v>6</v>
      </c>
      <c r="B1303" t="s">
        <v>28</v>
      </c>
      <c r="C1303" t="s">
        <v>165</v>
      </c>
      <c r="D1303" s="5">
        <v>1</v>
      </c>
      <c r="E1303" s="6">
        <v>10310.17</v>
      </c>
      <c r="F1303" s="17">
        <f t="shared" si="86"/>
        <v>10310.17</v>
      </c>
      <c r="G1303" s="18" t="s">
        <v>192</v>
      </c>
      <c r="H1303" s="38">
        <v>179925</v>
      </c>
      <c r="I1303" s="18" t="s">
        <v>82</v>
      </c>
      <c r="J1303" s="19">
        <f t="shared" si="85"/>
        <v>0.39704338872391137</v>
      </c>
    </row>
    <row r="1304" spans="1:10" ht="14.25" hidden="1" customHeight="1" x14ac:dyDescent="0.3">
      <c r="A1304" t="s">
        <v>6</v>
      </c>
      <c r="B1304" t="s">
        <v>28</v>
      </c>
      <c r="C1304" t="s">
        <v>166</v>
      </c>
      <c r="D1304" s="5">
        <v>1</v>
      </c>
      <c r="E1304" s="6">
        <v>5394.7</v>
      </c>
      <c r="F1304" s="17">
        <f t="shared" si="86"/>
        <v>5394.7</v>
      </c>
      <c r="G1304" s="18" t="s">
        <v>192</v>
      </c>
      <c r="H1304" s="38">
        <v>179925</v>
      </c>
      <c r="I1304" s="18" t="s">
        <v>82</v>
      </c>
      <c r="J1304" s="19">
        <f t="shared" si="85"/>
        <v>0.39704338872391137</v>
      </c>
    </row>
    <row r="1305" spans="1:10" ht="14.25" hidden="1" customHeight="1" x14ac:dyDescent="0.3">
      <c r="A1305" t="s">
        <v>6</v>
      </c>
      <c r="B1305" t="s">
        <v>28</v>
      </c>
      <c r="C1305" t="s">
        <v>167</v>
      </c>
      <c r="D1305" s="5">
        <v>1</v>
      </c>
      <c r="E1305" s="6">
        <v>21414</v>
      </c>
      <c r="F1305" s="17">
        <f t="shared" si="86"/>
        <v>21414</v>
      </c>
      <c r="G1305" s="18" t="s">
        <v>192</v>
      </c>
      <c r="H1305" s="38">
        <v>179925</v>
      </c>
      <c r="I1305" s="18" t="s">
        <v>82</v>
      </c>
      <c r="J1305" s="19">
        <f t="shared" si="85"/>
        <v>0.39704338872391137</v>
      </c>
    </row>
    <row r="1306" spans="1:10" ht="14.25" hidden="1" customHeight="1" x14ac:dyDescent="0.3">
      <c r="A1306" t="s">
        <v>6</v>
      </c>
      <c r="B1306" t="s">
        <v>28</v>
      </c>
      <c r="C1306" t="s">
        <v>74</v>
      </c>
      <c r="D1306" s="5">
        <v>0</v>
      </c>
      <c r="E1306" s="17"/>
      <c r="F1306" s="17">
        <f t="shared" si="86"/>
        <v>0</v>
      </c>
      <c r="G1306" s="18"/>
      <c r="H1306" s="38">
        <v>179925</v>
      </c>
      <c r="I1306" s="18" t="s">
        <v>82</v>
      </c>
      <c r="J1306" s="19">
        <f t="shared" si="85"/>
        <v>0.39704338872391137</v>
      </c>
    </row>
    <row r="1307" spans="1:10" ht="14.25" hidden="1" customHeight="1" x14ac:dyDescent="0.3">
      <c r="A1307" t="s">
        <v>6</v>
      </c>
      <c r="B1307" t="s">
        <v>28</v>
      </c>
      <c r="C1307" t="s">
        <v>62</v>
      </c>
      <c r="D1307" s="5">
        <v>0</v>
      </c>
      <c r="E1307" s="17"/>
      <c r="F1307" s="17">
        <f t="shared" si="86"/>
        <v>0</v>
      </c>
      <c r="G1307" s="18"/>
      <c r="H1307" s="38">
        <v>179925</v>
      </c>
      <c r="I1307" s="18" t="s">
        <v>82</v>
      </c>
      <c r="J1307" s="19">
        <f t="shared" si="85"/>
        <v>0.39704338872391137</v>
      </c>
    </row>
    <row r="1308" spans="1:10" ht="14.25" hidden="1" customHeight="1" x14ac:dyDescent="0.3">
      <c r="A1308" t="s">
        <v>6</v>
      </c>
      <c r="B1308" t="s">
        <v>28</v>
      </c>
      <c r="C1308" t="s">
        <v>60</v>
      </c>
      <c r="D1308" s="5">
        <v>0</v>
      </c>
      <c r="E1308" s="17"/>
      <c r="F1308" s="17">
        <f t="shared" si="86"/>
        <v>0</v>
      </c>
      <c r="G1308" s="18"/>
      <c r="H1308" s="38">
        <v>179925</v>
      </c>
      <c r="I1308" s="18" t="s">
        <v>82</v>
      </c>
      <c r="J1308" s="19">
        <f t="shared" si="85"/>
        <v>0.39704338872391137</v>
      </c>
    </row>
    <row r="1309" spans="1:10" ht="14.25" hidden="1" customHeight="1" x14ac:dyDescent="0.3">
      <c r="A1309" t="s">
        <v>6</v>
      </c>
      <c r="B1309" t="s">
        <v>28</v>
      </c>
      <c r="C1309" t="s">
        <v>89</v>
      </c>
      <c r="D1309" s="5">
        <v>0</v>
      </c>
      <c r="E1309" s="17"/>
      <c r="F1309" s="17">
        <f t="shared" si="86"/>
        <v>0</v>
      </c>
      <c r="G1309" s="18"/>
      <c r="H1309" s="38">
        <v>179925</v>
      </c>
      <c r="I1309" s="18" t="s">
        <v>82</v>
      </c>
      <c r="J1309" s="19">
        <f t="shared" si="85"/>
        <v>0.39704338872391137</v>
      </c>
    </row>
    <row r="1310" spans="1:10" ht="14.25" hidden="1" customHeight="1" x14ac:dyDescent="0.3">
      <c r="A1310" t="s">
        <v>6</v>
      </c>
      <c r="B1310" t="s">
        <v>28</v>
      </c>
      <c r="C1310" t="s">
        <v>168</v>
      </c>
      <c r="D1310" s="5">
        <v>1</v>
      </c>
      <c r="E1310" s="6">
        <v>2626.4</v>
      </c>
      <c r="F1310" s="17">
        <f t="shared" si="86"/>
        <v>2626.4</v>
      </c>
      <c r="G1310" s="18" t="s">
        <v>192</v>
      </c>
      <c r="H1310" s="38">
        <v>179925</v>
      </c>
      <c r="I1310" s="18" t="s">
        <v>82</v>
      </c>
      <c r="J1310" s="19">
        <f t="shared" si="85"/>
        <v>0.39704338872391137</v>
      </c>
    </row>
    <row r="1311" spans="1:10" ht="14.25" hidden="1" customHeight="1" x14ac:dyDescent="0.3">
      <c r="A1311" t="s">
        <v>6</v>
      </c>
      <c r="B1311" t="s">
        <v>28</v>
      </c>
      <c r="C1311" t="s">
        <v>75</v>
      </c>
      <c r="D1311" s="5">
        <v>1</v>
      </c>
      <c r="E1311" s="134">
        <v>27</v>
      </c>
      <c r="F1311" s="17">
        <f t="shared" si="86"/>
        <v>27</v>
      </c>
      <c r="G1311" s="133" t="s">
        <v>65</v>
      </c>
      <c r="H1311" s="38">
        <v>179925</v>
      </c>
      <c r="I1311" s="18" t="s">
        <v>82</v>
      </c>
      <c r="J1311" s="19">
        <f t="shared" si="85"/>
        <v>0.39704338872391137</v>
      </c>
    </row>
    <row r="1312" spans="1:10" ht="14.25" hidden="1" customHeight="1" x14ac:dyDescent="0.3">
      <c r="A1312" t="s">
        <v>6</v>
      </c>
      <c r="B1312" t="s">
        <v>28</v>
      </c>
      <c r="C1312" t="s">
        <v>64</v>
      </c>
      <c r="D1312" s="5">
        <v>1</v>
      </c>
      <c r="E1312" s="134">
        <v>79.53</v>
      </c>
      <c r="F1312" s="17">
        <f t="shared" si="86"/>
        <v>79.53</v>
      </c>
      <c r="G1312" s="133" t="s">
        <v>65</v>
      </c>
      <c r="H1312" s="38">
        <v>179925</v>
      </c>
      <c r="I1312" s="18" t="s">
        <v>82</v>
      </c>
      <c r="J1312" s="19">
        <f t="shared" si="85"/>
        <v>0.39704338872391137</v>
      </c>
    </row>
    <row r="1313" spans="1:10" x14ac:dyDescent="0.3">
      <c r="A1313" t="s">
        <v>8</v>
      </c>
      <c r="B1313" t="s">
        <v>7</v>
      </c>
      <c r="C1313" t="s">
        <v>53</v>
      </c>
      <c r="D1313" s="133">
        <v>19</v>
      </c>
      <c r="E1313" s="134">
        <v>54111.99</v>
      </c>
      <c r="F1313" s="17">
        <f>IF(E1313="","",E1313)</f>
        <v>54111.99</v>
      </c>
      <c r="G1313" s="18" t="s">
        <v>202</v>
      </c>
      <c r="H1313" s="135">
        <v>201491</v>
      </c>
      <c r="I1313" s="18" t="s">
        <v>54</v>
      </c>
      <c r="J1313" s="19">
        <f t="shared" si="85"/>
        <v>0.29164628641075024</v>
      </c>
    </row>
    <row r="1314" spans="1:10" x14ac:dyDescent="0.3">
      <c r="A1314" t="s">
        <v>8</v>
      </c>
      <c r="B1314" t="s">
        <v>7</v>
      </c>
      <c r="C1314" t="s">
        <v>55</v>
      </c>
      <c r="D1314" s="133">
        <v>19</v>
      </c>
      <c r="E1314" s="134">
        <v>47.658741879775853</v>
      </c>
      <c r="F1314" s="17">
        <f t="shared" ref="F1314:F1327" si="87">D1314*E1314</f>
        <v>905.51609571574124</v>
      </c>
      <c r="G1314" s="18"/>
      <c r="H1314" s="135">
        <v>201491</v>
      </c>
      <c r="I1314" s="18" t="s">
        <v>54</v>
      </c>
      <c r="J1314" s="19">
        <f t="shared" si="85"/>
        <v>0.29164628641075024</v>
      </c>
    </row>
    <row r="1315" spans="1:10" x14ac:dyDescent="0.3">
      <c r="A1315" t="s">
        <v>8</v>
      </c>
      <c r="B1315" t="s">
        <v>7</v>
      </c>
      <c r="C1315" t="s">
        <v>26</v>
      </c>
      <c r="D1315" s="133">
        <v>19</v>
      </c>
      <c r="E1315" s="134">
        <v>29.741875861103122</v>
      </c>
      <c r="F1315" s="17">
        <f t="shared" si="87"/>
        <v>565.09564136095935</v>
      </c>
      <c r="G1315" s="18"/>
      <c r="H1315" s="135">
        <v>201491</v>
      </c>
      <c r="I1315" s="18" t="s">
        <v>54</v>
      </c>
      <c r="J1315" s="19">
        <f t="shared" si="85"/>
        <v>0.29164628641075024</v>
      </c>
    </row>
    <row r="1316" spans="1:10" x14ac:dyDescent="0.3">
      <c r="A1316" t="s">
        <v>8</v>
      </c>
      <c r="B1316" t="s">
        <v>7</v>
      </c>
      <c r="C1316" t="s">
        <v>14</v>
      </c>
      <c r="D1316" s="133">
        <v>19</v>
      </c>
      <c r="E1316" s="134">
        <v>43.540891487759097</v>
      </c>
      <c r="F1316" s="17">
        <f t="shared" si="87"/>
        <v>827.27693826742279</v>
      </c>
      <c r="G1316" s="18"/>
      <c r="H1316" s="135">
        <v>201491</v>
      </c>
      <c r="I1316" s="18" t="s">
        <v>54</v>
      </c>
      <c r="J1316" s="19">
        <f t="shared" si="85"/>
        <v>0.29164628641075024</v>
      </c>
    </row>
    <row r="1317" spans="1:10" x14ac:dyDescent="0.3">
      <c r="A1317" t="s">
        <v>8</v>
      </c>
      <c r="B1317" t="s">
        <v>7</v>
      </c>
      <c r="C1317" t="s">
        <v>56</v>
      </c>
      <c r="D1317" s="133">
        <v>10</v>
      </c>
      <c r="E1317" s="134">
        <v>50</v>
      </c>
      <c r="F1317" s="17">
        <f t="shared" si="87"/>
        <v>500</v>
      </c>
      <c r="G1317" s="18" t="s">
        <v>192</v>
      </c>
      <c r="H1317" s="135">
        <v>201491</v>
      </c>
      <c r="I1317" s="18" t="s">
        <v>54</v>
      </c>
      <c r="J1317" s="19">
        <f t="shared" si="85"/>
        <v>0.29164628641075024</v>
      </c>
    </row>
    <row r="1318" spans="1:10" x14ac:dyDescent="0.3">
      <c r="A1318" t="s">
        <v>8</v>
      </c>
      <c r="B1318" t="s">
        <v>7</v>
      </c>
      <c r="C1318" t="s">
        <v>57</v>
      </c>
      <c r="D1318" s="133">
        <v>5</v>
      </c>
      <c r="E1318" s="134">
        <v>30</v>
      </c>
      <c r="F1318" s="17">
        <f t="shared" si="87"/>
        <v>150</v>
      </c>
      <c r="G1318" s="18" t="s">
        <v>192</v>
      </c>
      <c r="H1318" s="135">
        <v>201491</v>
      </c>
      <c r="I1318" s="18" t="s">
        <v>54</v>
      </c>
      <c r="J1318" s="19">
        <f t="shared" si="85"/>
        <v>0.29164628641075024</v>
      </c>
    </row>
    <row r="1319" spans="1:10" x14ac:dyDescent="0.3">
      <c r="A1319" t="s">
        <v>8</v>
      </c>
      <c r="B1319" t="s">
        <v>7</v>
      </c>
      <c r="C1319" t="s">
        <v>58</v>
      </c>
      <c r="D1319" s="133">
        <v>19</v>
      </c>
      <c r="E1319" s="37">
        <v>9.918365758754863</v>
      </c>
      <c r="F1319" s="17">
        <f t="shared" si="87"/>
        <v>188.4489494163424</v>
      </c>
      <c r="G1319" s="18"/>
      <c r="H1319" s="135">
        <v>201491</v>
      </c>
      <c r="I1319" s="18" t="s">
        <v>54</v>
      </c>
      <c r="J1319" s="19">
        <f t="shared" si="85"/>
        <v>0.29164628641075024</v>
      </c>
    </row>
    <row r="1320" spans="1:10" x14ac:dyDescent="0.3">
      <c r="A1320" t="s">
        <v>8</v>
      </c>
      <c r="B1320" t="s">
        <v>7</v>
      </c>
      <c r="C1320" t="s">
        <v>59</v>
      </c>
      <c r="D1320" s="133">
        <v>19</v>
      </c>
      <c r="E1320" s="37">
        <v>2.049698443579766</v>
      </c>
      <c r="F1320" s="17">
        <f t="shared" si="87"/>
        <v>38.944270428015557</v>
      </c>
      <c r="G1320" s="18"/>
      <c r="H1320" s="135">
        <v>201491</v>
      </c>
      <c r="I1320" s="18" t="s">
        <v>54</v>
      </c>
      <c r="J1320" s="19">
        <f t="shared" si="85"/>
        <v>0.29164628641075024</v>
      </c>
    </row>
    <row r="1321" spans="1:10" x14ac:dyDescent="0.3">
      <c r="A1321" t="s">
        <v>8</v>
      </c>
      <c r="B1321" t="s">
        <v>7</v>
      </c>
      <c r="C1321" t="s">
        <v>60</v>
      </c>
      <c r="D1321" s="60">
        <v>0</v>
      </c>
      <c r="E1321" s="17"/>
      <c r="F1321" s="17">
        <f t="shared" si="87"/>
        <v>0</v>
      </c>
      <c r="G1321" s="18"/>
      <c r="H1321" s="135">
        <v>201491</v>
      </c>
      <c r="I1321" s="18" t="s">
        <v>54</v>
      </c>
      <c r="J1321" s="19">
        <f t="shared" si="85"/>
        <v>0.29164628641075024</v>
      </c>
    </row>
    <row r="1322" spans="1:10" x14ac:dyDescent="0.3">
      <c r="A1322" t="s">
        <v>8</v>
      </c>
      <c r="B1322" t="s">
        <v>7</v>
      </c>
      <c r="C1322" t="s">
        <v>61</v>
      </c>
      <c r="D1322" s="60">
        <v>1</v>
      </c>
      <c r="E1322" s="37">
        <v>408</v>
      </c>
      <c r="F1322" s="17">
        <f t="shared" si="87"/>
        <v>408</v>
      </c>
      <c r="G1322" s="18" t="s">
        <v>206</v>
      </c>
      <c r="H1322" s="135">
        <v>201491</v>
      </c>
      <c r="I1322" s="18" t="s">
        <v>54</v>
      </c>
      <c r="J1322" s="19">
        <f t="shared" si="85"/>
        <v>0.29164628641075024</v>
      </c>
    </row>
    <row r="1323" spans="1:10" x14ac:dyDescent="0.3">
      <c r="A1323" t="s">
        <v>8</v>
      </c>
      <c r="B1323" t="s">
        <v>7</v>
      </c>
      <c r="C1323" t="s">
        <v>62</v>
      </c>
      <c r="D1323" s="60">
        <v>1</v>
      </c>
      <c r="E1323" s="37">
        <v>880</v>
      </c>
      <c r="F1323" s="17">
        <f t="shared" si="87"/>
        <v>880</v>
      </c>
      <c r="G1323" s="18" t="s">
        <v>206</v>
      </c>
      <c r="H1323" s="135">
        <v>201491</v>
      </c>
      <c r="I1323" s="18" t="s">
        <v>54</v>
      </c>
      <c r="J1323" s="19">
        <f t="shared" si="85"/>
        <v>0.29164628641075024</v>
      </c>
    </row>
    <row r="1324" spans="1:10" x14ac:dyDescent="0.3">
      <c r="A1324" t="s">
        <v>8</v>
      </c>
      <c r="B1324" t="s">
        <v>7</v>
      </c>
      <c r="C1324" t="s">
        <v>63</v>
      </c>
      <c r="D1324" s="60">
        <v>1</v>
      </c>
      <c r="E1324" s="17"/>
      <c r="F1324" s="17">
        <f t="shared" si="87"/>
        <v>0</v>
      </c>
      <c r="G1324" s="18"/>
      <c r="H1324" s="135">
        <v>201491</v>
      </c>
      <c r="I1324" s="18" t="s">
        <v>54</v>
      </c>
      <c r="J1324" s="19">
        <f t="shared" si="85"/>
        <v>0.29164628641075024</v>
      </c>
    </row>
    <row r="1325" spans="1:10" x14ac:dyDescent="0.3">
      <c r="A1325" t="s">
        <v>8</v>
      </c>
      <c r="B1325" t="s">
        <v>7</v>
      </c>
      <c r="C1325" t="s">
        <v>64</v>
      </c>
      <c r="D1325" s="60">
        <v>1</v>
      </c>
      <c r="E1325" s="134">
        <v>179.52</v>
      </c>
      <c r="F1325" s="17">
        <f t="shared" si="87"/>
        <v>179.52</v>
      </c>
      <c r="G1325" s="133" t="s">
        <v>65</v>
      </c>
      <c r="H1325" s="135">
        <v>201491</v>
      </c>
      <c r="I1325" s="18" t="s">
        <v>54</v>
      </c>
      <c r="J1325" s="19">
        <f t="shared" si="85"/>
        <v>0.29164628641075024</v>
      </c>
    </row>
    <row r="1326" spans="1:10" x14ac:dyDescent="0.3">
      <c r="A1326" t="s">
        <v>8</v>
      </c>
      <c r="B1326" t="s">
        <v>7</v>
      </c>
      <c r="C1326" t="s">
        <v>66</v>
      </c>
      <c r="D1326" s="60">
        <v>1</v>
      </c>
      <c r="E1326" s="134">
        <v>9.31</v>
      </c>
      <c r="F1326" s="17">
        <f t="shared" si="87"/>
        <v>9.31</v>
      </c>
      <c r="G1326" s="133" t="s">
        <v>65</v>
      </c>
      <c r="H1326" s="135">
        <v>201491</v>
      </c>
      <c r="I1326" s="18" t="s">
        <v>54</v>
      </c>
      <c r="J1326" s="19">
        <f t="shared" si="85"/>
        <v>0.29164628641075024</v>
      </c>
    </row>
    <row r="1327" spans="1:10" x14ac:dyDescent="0.3">
      <c r="A1327" t="s">
        <v>8</v>
      </c>
      <c r="B1327" t="s">
        <v>7</v>
      </c>
      <c r="C1327" t="s">
        <v>67</v>
      </c>
      <c r="D1327" s="60">
        <v>0</v>
      </c>
      <c r="E1327" s="17"/>
      <c r="F1327" s="17">
        <f t="shared" si="87"/>
        <v>0</v>
      </c>
      <c r="G1327" s="18"/>
      <c r="H1327" s="135">
        <v>201491</v>
      </c>
      <c r="I1327" s="18" t="s">
        <v>54</v>
      </c>
      <c r="J1327" s="19">
        <f t="shared" si="85"/>
        <v>0.29164628641075024</v>
      </c>
    </row>
    <row r="1328" spans="1:10" x14ac:dyDescent="0.3">
      <c r="A1328" t="s">
        <v>8</v>
      </c>
      <c r="B1328" t="s">
        <v>68</v>
      </c>
      <c r="C1328" t="s">
        <v>53</v>
      </c>
      <c r="D1328" s="133">
        <v>14</v>
      </c>
      <c r="E1328" s="134">
        <v>61332.27</v>
      </c>
      <c r="F1328" s="17">
        <f>IF(E1328="","",E1328)</f>
        <v>61332.27</v>
      </c>
      <c r="G1328" s="18" t="s">
        <v>207</v>
      </c>
      <c r="H1328" s="135">
        <v>176568</v>
      </c>
      <c r="I1328" s="18" t="s">
        <v>175</v>
      </c>
      <c r="J1328" s="19">
        <f t="shared" si="85"/>
        <v>0.36214378612225095</v>
      </c>
    </row>
    <row r="1329" spans="1:10" x14ac:dyDescent="0.3">
      <c r="A1329" t="s">
        <v>8</v>
      </c>
      <c r="B1329" t="s">
        <v>68</v>
      </c>
      <c r="C1329" t="s">
        <v>55</v>
      </c>
      <c r="D1329" s="133">
        <v>14</v>
      </c>
      <c r="E1329" s="134">
        <v>47.658741879775853</v>
      </c>
      <c r="F1329" s="17">
        <f t="shared" ref="F1329:F1343" si="88">D1329*E1329</f>
        <v>667.22238631686196</v>
      </c>
      <c r="G1329" s="18"/>
      <c r="H1329" s="135">
        <v>176568</v>
      </c>
      <c r="I1329" s="18" t="s">
        <v>175</v>
      </c>
      <c r="J1329" s="19">
        <f t="shared" si="85"/>
        <v>0.36214378612225095</v>
      </c>
    </row>
    <row r="1330" spans="1:10" x14ac:dyDescent="0.3">
      <c r="A1330" t="s">
        <v>8</v>
      </c>
      <c r="B1330" t="s">
        <v>68</v>
      </c>
      <c r="C1330" t="s">
        <v>26</v>
      </c>
      <c r="D1330" s="133">
        <v>14</v>
      </c>
      <c r="E1330" s="134">
        <v>29.741875861103122</v>
      </c>
      <c r="F1330" s="17">
        <f t="shared" si="88"/>
        <v>416.38626205544369</v>
      </c>
      <c r="G1330" s="18"/>
      <c r="H1330" s="135">
        <v>176568</v>
      </c>
      <c r="I1330" s="18" t="s">
        <v>175</v>
      </c>
      <c r="J1330" s="19">
        <f t="shared" si="85"/>
        <v>0.36214378612225095</v>
      </c>
    </row>
    <row r="1331" spans="1:10" x14ac:dyDescent="0.3">
      <c r="A1331" t="s">
        <v>8</v>
      </c>
      <c r="B1331" t="s">
        <v>68</v>
      </c>
      <c r="C1331" t="s">
        <v>14</v>
      </c>
      <c r="D1331" s="133">
        <v>14</v>
      </c>
      <c r="E1331" s="134">
        <v>43.540891487759097</v>
      </c>
      <c r="F1331" s="17">
        <f t="shared" si="88"/>
        <v>609.57248082862736</v>
      </c>
      <c r="G1331" s="18"/>
      <c r="H1331" s="135">
        <v>176568</v>
      </c>
      <c r="I1331" s="18" t="s">
        <v>175</v>
      </c>
      <c r="J1331" s="19">
        <f t="shared" si="85"/>
        <v>0.36214378612225095</v>
      </c>
    </row>
    <row r="1332" spans="1:10" x14ac:dyDescent="0.3">
      <c r="A1332" t="s">
        <v>8</v>
      </c>
      <c r="B1332" t="s">
        <v>68</v>
      </c>
      <c r="C1332" t="s">
        <v>56</v>
      </c>
      <c r="D1332" s="133">
        <v>6</v>
      </c>
      <c r="E1332" s="134">
        <v>50</v>
      </c>
      <c r="F1332" s="17">
        <f t="shared" si="88"/>
        <v>300</v>
      </c>
      <c r="G1332" s="18" t="s">
        <v>192</v>
      </c>
      <c r="H1332" s="135">
        <v>176568</v>
      </c>
      <c r="I1332" s="18" t="s">
        <v>175</v>
      </c>
      <c r="J1332" s="19">
        <f t="shared" si="85"/>
        <v>0.36214378612225095</v>
      </c>
    </row>
    <row r="1333" spans="1:10" x14ac:dyDescent="0.3">
      <c r="A1333" t="s">
        <v>8</v>
      </c>
      <c r="B1333" t="s">
        <v>68</v>
      </c>
      <c r="C1333" t="s">
        <v>70</v>
      </c>
      <c r="D1333" s="60">
        <v>1</v>
      </c>
      <c r="E1333" s="17"/>
      <c r="F1333" s="17">
        <f t="shared" si="88"/>
        <v>0</v>
      </c>
      <c r="G1333" s="18"/>
      <c r="H1333" s="135">
        <v>176568</v>
      </c>
      <c r="I1333" s="18" t="s">
        <v>175</v>
      </c>
      <c r="J1333" s="19">
        <f t="shared" si="85"/>
        <v>0.36214378612225095</v>
      </c>
    </row>
    <row r="1334" spans="1:10" x14ac:dyDescent="0.3">
      <c r="A1334" t="s">
        <v>8</v>
      </c>
      <c r="B1334" t="s">
        <v>68</v>
      </c>
      <c r="C1334" t="s">
        <v>71</v>
      </c>
      <c r="D1334" s="133">
        <v>0</v>
      </c>
      <c r="E1334" s="134">
        <v>0</v>
      </c>
      <c r="F1334" s="17">
        <f t="shared" si="88"/>
        <v>0</v>
      </c>
      <c r="G1334" s="18" t="s">
        <v>170</v>
      </c>
      <c r="H1334" s="135">
        <v>176568</v>
      </c>
      <c r="I1334" s="18" t="s">
        <v>175</v>
      </c>
      <c r="J1334" s="19">
        <f t="shared" si="85"/>
        <v>0.36214378612225095</v>
      </c>
    </row>
    <row r="1335" spans="1:10" x14ac:dyDescent="0.3">
      <c r="A1335" t="s">
        <v>8</v>
      </c>
      <c r="B1335" t="s">
        <v>68</v>
      </c>
      <c r="C1335" t="s">
        <v>57</v>
      </c>
      <c r="D1335" s="133">
        <v>15</v>
      </c>
      <c r="E1335" s="134">
        <v>30</v>
      </c>
      <c r="F1335" s="17">
        <f t="shared" si="88"/>
        <v>450</v>
      </c>
      <c r="G1335" s="18" t="s">
        <v>192</v>
      </c>
      <c r="H1335" s="135">
        <v>176568</v>
      </c>
      <c r="I1335" s="18" t="s">
        <v>175</v>
      </c>
      <c r="J1335" s="19">
        <f t="shared" si="85"/>
        <v>0.36214378612225095</v>
      </c>
    </row>
    <row r="1336" spans="1:10" x14ac:dyDescent="0.3">
      <c r="A1336" t="s">
        <v>8</v>
      </c>
      <c r="B1336" t="s">
        <v>68</v>
      </c>
      <c r="C1336" t="s">
        <v>72</v>
      </c>
      <c r="D1336" s="133">
        <v>0</v>
      </c>
      <c r="E1336" s="134">
        <v>0</v>
      </c>
      <c r="F1336" s="17">
        <f t="shared" si="88"/>
        <v>0</v>
      </c>
      <c r="G1336" s="18" t="s">
        <v>170</v>
      </c>
      <c r="H1336" s="135">
        <v>176568</v>
      </c>
      <c r="I1336" s="18" t="s">
        <v>175</v>
      </c>
      <c r="J1336" s="19">
        <f t="shared" si="85"/>
        <v>0.36214378612225095</v>
      </c>
    </row>
    <row r="1337" spans="1:10" x14ac:dyDescent="0.3">
      <c r="A1337" t="s">
        <v>8</v>
      </c>
      <c r="B1337" t="s">
        <v>68</v>
      </c>
      <c r="C1337" t="s">
        <v>58</v>
      </c>
      <c r="D1337" s="133">
        <v>14</v>
      </c>
      <c r="E1337" s="37">
        <v>9.918365758754863</v>
      </c>
      <c r="F1337" s="17">
        <f t="shared" si="88"/>
        <v>138.85712062256809</v>
      </c>
      <c r="G1337" s="18"/>
      <c r="H1337" s="135">
        <v>176568</v>
      </c>
      <c r="I1337" s="18" t="s">
        <v>175</v>
      </c>
      <c r="J1337" s="19">
        <f t="shared" si="85"/>
        <v>0.36214378612225095</v>
      </c>
    </row>
    <row r="1338" spans="1:10" x14ac:dyDescent="0.3">
      <c r="A1338" t="s">
        <v>8</v>
      </c>
      <c r="B1338" t="s">
        <v>68</v>
      </c>
      <c r="C1338" t="s">
        <v>59</v>
      </c>
      <c r="D1338" s="133">
        <v>14</v>
      </c>
      <c r="E1338" s="37">
        <v>2.049698443579766</v>
      </c>
      <c r="F1338" s="17">
        <f t="shared" si="88"/>
        <v>28.695778210116725</v>
      </c>
      <c r="G1338" s="18"/>
      <c r="H1338" s="135">
        <v>176568</v>
      </c>
      <c r="I1338" s="18" t="s">
        <v>175</v>
      </c>
      <c r="J1338" s="19">
        <f t="shared" si="85"/>
        <v>0.36214378612225095</v>
      </c>
    </row>
    <row r="1339" spans="1:10" x14ac:dyDescent="0.3">
      <c r="A1339" t="s">
        <v>8</v>
      </c>
      <c r="B1339" t="s">
        <v>68</v>
      </c>
      <c r="C1339" t="s">
        <v>73</v>
      </c>
      <c r="D1339" s="60">
        <v>0</v>
      </c>
      <c r="E1339" s="17"/>
      <c r="F1339" s="17">
        <f t="shared" si="88"/>
        <v>0</v>
      </c>
      <c r="G1339" s="18"/>
      <c r="H1339" s="135">
        <v>176568</v>
      </c>
      <c r="I1339" s="18" t="s">
        <v>175</v>
      </c>
      <c r="J1339" s="19">
        <f t="shared" si="85"/>
        <v>0.36214378612225095</v>
      </c>
    </row>
    <row r="1340" spans="1:10" x14ac:dyDescent="0.3">
      <c r="A1340" t="s">
        <v>8</v>
      </c>
      <c r="B1340" t="s">
        <v>68</v>
      </c>
      <c r="C1340" t="s">
        <v>74</v>
      </c>
      <c r="D1340" s="60">
        <v>0</v>
      </c>
      <c r="E1340" s="17"/>
      <c r="F1340" s="17">
        <f t="shared" si="88"/>
        <v>0</v>
      </c>
      <c r="G1340" s="18"/>
      <c r="H1340" s="135">
        <v>176568</v>
      </c>
      <c r="I1340" s="18" t="s">
        <v>175</v>
      </c>
      <c r="J1340" s="19">
        <f t="shared" si="85"/>
        <v>0.36214378612225095</v>
      </c>
    </row>
    <row r="1341" spans="1:10" x14ac:dyDescent="0.3">
      <c r="A1341" t="s">
        <v>8</v>
      </c>
      <c r="B1341" t="s">
        <v>68</v>
      </c>
      <c r="C1341" t="s">
        <v>62</v>
      </c>
      <c r="D1341" s="60">
        <v>0</v>
      </c>
      <c r="E1341" s="17"/>
      <c r="F1341" s="17">
        <f t="shared" si="88"/>
        <v>0</v>
      </c>
      <c r="G1341" s="18"/>
      <c r="H1341" s="135">
        <v>176568</v>
      </c>
      <c r="I1341" s="18" t="s">
        <v>175</v>
      </c>
      <c r="J1341" s="19">
        <f t="shared" si="85"/>
        <v>0.36214378612225095</v>
      </c>
    </row>
    <row r="1342" spans="1:10" x14ac:dyDescent="0.3">
      <c r="A1342" t="s">
        <v>8</v>
      </c>
      <c r="B1342" t="s">
        <v>68</v>
      </c>
      <c r="C1342" t="s">
        <v>75</v>
      </c>
      <c r="D1342" s="60">
        <v>0</v>
      </c>
      <c r="E1342" s="17"/>
      <c r="F1342" s="17">
        <f t="shared" si="88"/>
        <v>0</v>
      </c>
      <c r="G1342" s="18"/>
      <c r="H1342" s="135">
        <v>176568</v>
      </c>
      <c r="I1342" s="18" t="s">
        <v>175</v>
      </c>
      <c r="J1342" s="19">
        <f t="shared" si="85"/>
        <v>0.36214378612225095</v>
      </c>
    </row>
    <row r="1343" spans="1:10" x14ac:dyDescent="0.3">
      <c r="A1343" t="s">
        <v>8</v>
      </c>
      <c r="B1343" t="s">
        <v>68</v>
      </c>
      <c r="C1343" t="s">
        <v>64</v>
      </c>
      <c r="D1343" s="60">
        <v>0</v>
      </c>
      <c r="E1343" s="17"/>
      <c r="F1343" s="17">
        <f t="shared" si="88"/>
        <v>0</v>
      </c>
      <c r="G1343" s="18"/>
      <c r="H1343" s="135">
        <v>176568</v>
      </c>
      <c r="I1343" s="18" t="s">
        <v>175</v>
      </c>
      <c r="J1343" s="19">
        <f t="shared" si="85"/>
        <v>0.36214378612225095</v>
      </c>
    </row>
    <row r="1344" spans="1:10" x14ac:dyDescent="0.3">
      <c r="A1344" t="s">
        <v>8</v>
      </c>
      <c r="B1344" t="s">
        <v>9</v>
      </c>
      <c r="C1344" t="s">
        <v>53</v>
      </c>
      <c r="D1344" s="133">
        <v>11</v>
      </c>
      <c r="E1344" s="134">
        <v>93196.18</v>
      </c>
      <c r="F1344" s="17">
        <f>IF(E1344="","",E1344)</f>
        <v>93196.18</v>
      </c>
      <c r="G1344" s="18" t="s">
        <v>194</v>
      </c>
      <c r="H1344" s="135">
        <v>201491</v>
      </c>
      <c r="I1344" s="18" t="s">
        <v>54</v>
      </c>
      <c r="J1344" s="19">
        <f t="shared" si="85"/>
        <v>0.50615087178951268</v>
      </c>
    </row>
    <row r="1345" spans="1:10" x14ac:dyDescent="0.3">
      <c r="A1345" t="s">
        <v>8</v>
      </c>
      <c r="B1345" t="s">
        <v>9</v>
      </c>
      <c r="C1345" t="s">
        <v>55</v>
      </c>
      <c r="D1345" s="133">
        <v>11</v>
      </c>
      <c r="E1345" s="134">
        <v>47.658741879775853</v>
      </c>
      <c r="F1345" s="17">
        <f t="shared" ref="F1345:F1363" si="89">D1345*E1345</f>
        <v>524.24616067753436</v>
      </c>
      <c r="G1345" s="18"/>
      <c r="H1345" s="135">
        <v>201491</v>
      </c>
      <c r="I1345" s="18" t="s">
        <v>54</v>
      </c>
      <c r="J1345" s="19">
        <f t="shared" si="85"/>
        <v>0.50615087178951268</v>
      </c>
    </row>
    <row r="1346" spans="1:10" x14ac:dyDescent="0.3">
      <c r="A1346" t="s">
        <v>8</v>
      </c>
      <c r="B1346" t="s">
        <v>9</v>
      </c>
      <c r="C1346" t="s">
        <v>26</v>
      </c>
      <c r="D1346" s="133">
        <v>11</v>
      </c>
      <c r="E1346" s="134">
        <v>29.741875861103122</v>
      </c>
      <c r="F1346" s="17">
        <f t="shared" si="89"/>
        <v>327.16063447213435</v>
      </c>
      <c r="G1346" s="18"/>
      <c r="H1346" s="135">
        <v>201491</v>
      </c>
      <c r="I1346" s="18" t="s">
        <v>54</v>
      </c>
      <c r="J1346" s="19">
        <f t="shared" ref="J1346:J1409" si="90">IFERROR(SUMIFS($F$2:$F$1749,$A$2:$A$1749,A1346,$B$2:$B$1749,B1346)/H1346,"")</f>
        <v>0.50615087178951268</v>
      </c>
    </row>
    <row r="1347" spans="1:10" x14ac:dyDescent="0.3">
      <c r="A1347" t="s">
        <v>8</v>
      </c>
      <c r="B1347" t="s">
        <v>9</v>
      </c>
      <c r="C1347" t="s">
        <v>14</v>
      </c>
      <c r="D1347" s="133">
        <v>11</v>
      </c>
      <c r="E1347" s="134">
        <v>43.540891487759097</v>
      </c>
      <c r="F1347" s="17">
        <f t="shared" si="89"/>
        <v>478.94980636535007</v>
      </c>
      <c r="G1347" s="18"/>
      <c r="H1347" s="135">
        <v>201491</v>
      </c>
      <c r="I1347" s="18" t="s">
        <v>54</v>
      </c>
      <c r="J1347" s="19">
        <f t="shared" si="90"/>
        <v>0.50615087178951268</v>
      </c>
    </row>
    <row r="1348" spans="1:10" x14ac:dyDescent="0.3">
      <c r="A1348" t="s">
        <v>8</v>
      </c>
      <c r="B1348" t="s">
        <v>9</v>
      </c>
      <c r="C1348" t="s">
        <v>56</v>
      </c>
      <c r="D1348" s="133">
        <v>9</v>
      </c>
      <c r="E1348" s="134">
        <v>50</v>
      </c>
      <c r="F1348" s="17">
        <f t="shared" si="89"/>
        <v>450</v>
      </c>
      <c r="G1348" s="18" t="s">
        <v>192</v>
      </c>
      <c r="H1348" s="135">
        <v>201491</v>
      </c>
      <c r="I1348" s="18" t="s">
        <v>54</v>
      </c>
      <c r="J1348" s="19">
        <f t="shared" si="90"/>
        <v>0.50615087178951268</v>
      </c>
    </row>
    <row r="1349" spans="1:10" x14ac:dyDescent="0.3">
      <c r="A1349" t="s">
        <v>8</v>
      </c>
      <c r="B1349" t="s">
        <v>9</v>
      </c>
      <c r="C1349" t="s">
        <v>76</v>
      </c>
      <c r="D1349" s="133">
        <v>0</v>
      </c>
      <c r="E1349" s="134">
        <v>0</v>
      </c>
      <c r="F1349" s="17">
        <f t="shared" si="89"/>
        <v>0</v>
      </c>
      <c r="G1349" s="18" t="s">
        <v>170</v>
      </c>
      <c r="H1349" s="135">
        <v>201491</v>
      </c>
      <c r="I1349" s="18" t="s">
        <v>54</v>
      </c>
      <c r="J1349" s="19">
        <f t="shared" si="90"/>
        <v>0.50615087178951268</v>
      </c>
    </row>
    <row r="1350" spans="1:10" x14ac:dyDescent="0.3">
      <c r="A1350" t="s">
        <v>8</v>
      </c>
      <c r="B1350" t="s">
        <v>9</v>
      </c>
      <c r="C1350" t="s">
        <v>57</v>
      </c>
      <c r="D1350" s="133">
        <v>7</v>
      </c>
      <c r="E1350" s="134">
        <v>30</v>
      </c>
      <c r="F1350" s="17">
        <f t="shared" si="89"/>
        <v>210</v>
      </c>
      <c r="G1350" s="18" t="s">
        <v>192</v>
      </c>
      <c r="H1350" s="135">
        <v>201491</v>
      </c>
      <c r="I1350" s="18" t="s">
        <v>54</v>
      </c>
      <c r="J1350" s="19">
        <f t="shared" si="90"/>
        <v>0.50615087178951268</v>
      </c>
    </row>
    <row r="1351" spans="1:10" x14ac:dyDescent="0.3">
      <c r="A1351" t="s">
        <v>8</v>
      </c>
      <c r="B1351" t="s">
        <v>9</v>
      </c>
      <c r="C1351" t="s">
        <v>58</v>
      </c>
      <c r="D1351" s="133">
        <v>11</v>
      </c>
      <c r="E1351" s="37">
        <v>9.918365758754863</v>
      </c>
      <c r="F1351" s="17">
        <f t="shared" si="89"/>
        <v>109.1020233463035</v>
      </c>
      <c r="G1351" s="18"/>
      <c r="H1351" s="135">
        <v>201491</v>
      </c>
      <c r="I1351" s="18" t="s">
        <v>54</v>
      </c>
      <c r="J1351" s="19">
        <f t="shared" si="90"/>
        <v>0.50615087178951268</v>
      </c>
    </row>
    <row r="1352" spans="1:10" x14ac:dyDescent="0.3">
      <c r="A1352" t="s">
        <v>8</v>
      </c>
      <c r="B1352" t="s">
        <v>9</v>
      </c>
      <c r="C1352" t="s">
        <v>59</v>
      </c>
      <c r="D1352" s="133">
        <v>11</v>
      </c>
      <c r="E1352" s="37">
        <v>2.049698443579766</v>
      </c>
      <c r="F1352" s="17">
        <f t="shared" si="89"/>
        <v>22.546682879377428</v>
      </c>
      <c r="G1352" s="18"/>
      <c r="H1352" s="135">
        <v>201491</v>
      </c>
      <c r="I1352" s="18" t="s">
        <v>54</v>
      </c>
      <c r="J1352" s="19">
        <f t="shared" si="90"/>
        <v>0.50615087178951268</v>
      </c>
    </row>
    <row r="1353" spans="1:10" x14ac:dyDescent="0.3">
      <c r="A1353" t="s">
        <v>8</v>
      </c>
      <c r="B1353" t="s">
        <v>9</v>
      </c>
      <c r="C1353" t="s">
        <v>60</v>
      </c>
      <c r="D1353" s="60">
        <v>0</v>
      </c>
      <c r="E1353" s="17"/>
      <c r="F1353" s="17">
        <f t="shared" si="89"/>
        <v>0</v>
      </c>
      <c r="G1353" s="18"/>
      <c r="H1353" s="135">
        <v>201491</v>
      </c>
      <c r="I1353" s="18" t="s">
        <v>54</v>
      </c>
      <c r="J1353" s="19">
        <f t="shared" si="90"/>
        <v>0.50615087178951268</v>
      </c>
    </row>
    <row r="1354" spans="1:10" x14ac:dyDescent="0.3">
      <c r="A1354" t="s">
        <v>8</v>
      </c>
      <c r="B1354" t="s">
        <v>9</v>
      </c>
      <c r="C1354" t="s">
        <v>61</v>
      </c>
      <c r="D1354" s="60">
        <v>0</v>
      </c>
      <c r="E1354" s="17"/>
      <c r="F1354" s="17">
        <f t="shared" si="89"/>
        <v>0</v>
      </c>
      <c r="G1354" s="18"/>
      <c r="H1354" s="135">
        <v>201491</v>
      </c>
      <c r="I1354" s="18" t="s">
        <v>54</v>
      </c>
      <c r="J1354" s="19">
        <f t="shared" si="90"/>
        <v>0.50615087178951268</v>
      </c>
    </row>
    <row r="1355" spans="1:10" x14ac:dyDescent="0.3">
      <c r="A1355" t="s">
        <v>8</v>
      </c>
      <c r="B1355" t="s">
        <v>9</v>
      </c>
      <c r="C1355" t="s">
        <v>62</v>
      </c>
      <c r="D1355" s="60">
        <v>0</v>
      </c>
      <c r="E1355" s="17"/>
      <c r="F1355" s="17">
        <f t="shared" si="89"/>
        <v>0</v>
      </c>
      <c r="G1355" s="18"/>
      <c r="H1355" s="135">
        <v>201491</v>
      </c>
      <c r="I1355" s="18" t="s">
        <v>54</v>
      </c>
      <c r="J1355" s="19">
        <f t="shared" si="90"/>
        <v>0.50615087178951268</v>
      </c>
    </row>
    <row r="1356" spans="1:10" x14ac:dyDescent="0.3">
      <c r="A1356" t="s">
        <v>8</v>
      </c>
      <c r="B1356" t="s">
        <v>9</v>
      </c>
      <c r="C1356" t="s">
        <v>63</v>
      </c>
      <c r="D1356" s="60">
        <v>0</v>
      </c>
      <c r="E1356" s="17"/>
      <c r="F1356" s="17">
        <f t="shared" si="89"/>
        <v>0</v>
      </c>
      <c r="G1356" s="18"/>
      <c r="H1356" s="135">
        <v>201491</v>
      </c>
      <c r="I1356" s="18" t="s">
        <v>54</v>
      </c>
      <c r="J1356" s="19">
        <f t="shared" si="90"/>
        <v>0.50615087178951268</v>
      </c>
    </row>
    <row r="1357" spans="1:10" x14ac:dyDescent="0.3">
      <c r="A1357" t="s">
        <v>8</v>
      </c>
      <c r="B1357" t="s">
        <v>9</v>
      </c>
      <c r="C1357" t="s">
        <v>64</v>
      </c>
      <c r="D1357" s="60">
        <v>1</v>
      </c>
      <c r="E1357" s="134">
        <v>81.33</v>
      </c>
      <c r="F1357" s="17">
        <f t="shared" si="89"/>
        <v>81.33</v>
      </c>
      <c r="G1357" s="133" t="s">
        <v>65</v>
      </c>
      <c r="H1357" s="135">
        <v>201491</v>
      </c>
      <c r="I1357" s="18" t="s">
        <v>54</v>
      </c>
      <c r="J1357" s="19">
        <f t="shared" si="90"/>
        <v>0.50615087178951268</v>
      </c>
    </row>
    <row r="1358" spans="1:10" x14ac:dyDescent="0.3">
      <c r="A1358" t="s">
        <v>8</v>
      </c>
      <c r="B1358" t="s">
        <v>9</v>
      </c>
      <c r="C1358" t="s">
        <v>66</v>
      </c>
      <c r="D1358" s="60">
        <v>1</v>
      </c>
      <c r="E1358" s="134">
        <v>0</v>
      </c>
      <c r="F1358" s="17">
        <f t="shared" si="89"/>
        <v>0</v>
      </c>
      <c r="G1358" s="133" t="s">
        <v>65</v>
      </c>
      <c r="H1358" s="135">
        <v>201491</v>
      </c>
      <c r="I1358" s="18" t="s">
        <v>54</v>
      </c>
      <c r="J1358" s="19">
        <f t="shared" si="90"/>
        <v>0.50615087178951268</v>
      </c>
    </row>
    <row r="1359" spans="1:10" x14ac:dyDescent="0.3">
      <c r="A1359" t="s">
        <v>8</v>
      </c>
      <c r="B1359" t="s">
        <v>9</v>
      </c>
      <c r="C1359" t="s">
        <v>67</v>
      </c>
      <c r="D1359" s="60">
        <v>0</v>
      </c>
      <c r="E1359" s="17"/>
      <c r="F1359" s="17">
        <f t="shared" si="89"/>
        <v>0</v>
      </c>
      <c r="G1359" s="18"/>
      <c r="H1359" s="135">
        <v>201491</v>
      </c>
      <c r="I1359" s="18" t="s">
        <v>54</v>
      </c>
      <c r="J1359" s="19">
        <f t="shared" si="90"/>
        <v>0.50615087178951268</v>
      </c>
    </row>
    <row r="1360" spans="1:10" x14ac:dyDescent="0.3">
      <c r="A1360" t="s">
        <v>8</v>
      </c>
      <c r="B1360" t="s">
        <v>9</v>
      </c>
      <c r="C1360" t="s">
        <v>77</v>
      </c>
      <c r="D1360" s="60">
        <v>1</v>
      </c>
      <c r="E1360" s="17">
        <v>2997</v>
      </c>
      <c r="F1360" s="17">
        <f t="shared" si="89"/>
        <v>2997</v>
      </c>
      <c r="G1360" s="18"/>
      <c r="H1360" s="135">
        <v>201491</v>
      </c>
      <c r="I1360" s="18" t="s">
        <v>54</v>
      </c>
      <c r="J1360" s="19">
        <f t="shared" si="90"/>
        <v>0.50615087178951268</v>
      </c>
    </row>
    <row r="1361" spans="1:10" x14ac:dyDescent="0.3">
      <c r="A1361" t="s">
        <v>8</v>
      </c>
      <c r="B1361" t="s">
        <v>9</v>
      </c>
      <c r="C1361" t="s">
        <v>78</v>
      </c>
      <c r="D1361" s="60">
        <v>1</v>
      </c>
      <c r="E1361" s="17">
        <v>545.99</v>
      </c>
      <c r="F1361" s="17">
        <f t="shared" si="89"/>
        <v>545.99</v>
      </c>
      <c r="G1361" s="18"/>
      <c r="H1361" s="135">
        <v>201491</v>
      </c>
      <c r="I1361" s="18" t="s">
        <v>54</v>
      </c>
      <c r="J1361" s="19">
        <f t="shared" si="90"/>
        <v>0.50615087178951268</v>
      </c>
    </row>
    <row r="1362" spans="1:10" x14ac:dyDescent="0.3">
      <c r="A1362" t="s">
        <v>8</v>
      </c>
      <c r="B1362" t="s">
        <v>9</v>
      </c>
      <c r="C1362" t="s">
        <v>80</v>
      </c>
      <c r="D1362" s="60">
        <v>0</v>
      </c>
      <c r="E1362" s="17">
        <v>0</v>
      </c>
      <c r="F1362" s="17">
        <f t="shared" si="89"/>
        <v>0</v>
      </c>
      <c r="G1362" s="18"/>
      <c r="H1362" s="135">
        <v>201491</v>
      </c>
      <c r="I1362" s="18" t="s">
        <v>54</v>
      </c>
      <c r="J1362" s="19">
        <f t="shared" si="90"/>
        <v>0.50615087178951268</v>
      </c>
    </row>
    <row r="1363" spans="1:10" x14ac:dyDescent="0.3">
      <c r="A1363" t="s">
        <v>8</v>
      </c>
      <c r="B1363" t="s">
        <v>9</v>
      </c>
      <c r="C1363" t="s">
        <v>81</v>
      </c>
      <c r="D1363" s="60">
        <v>1</v>
      </c>
      <c r="E1363" s="17">
        <v>3042.34</v>
      </c>
      <c r="F1363" s="17">
        <f t="shared" si="89"/>
        <v>3042.34</v>
      </c>
      <c r="G1363" s="18"/>
      <c r="H1363" s="135">
        <v>201491</v>
      </c>
      <c r="I1363" s="18" t="s">
        <v>54</v>
      </c>
      <c r="J1363" s="19">
        <f t="shared" si="90"/>
        <v>0.50615087178951268</v>
      </c>
    </row>
    <row r="1364" spans="1:10" x14ac:dyDescent="0.3">
      <c r="A1364" t="s">
        <v>8</v>
      </c>
      <c r="B1364" t="s">
        <v>10</v>
      </c>
      <c r="C1364" t="s">
        <v>53</v>
      </c>
      <c r="D1364" s="133">
        <v>5</v>
      </c>
      <c r="E1364" s="134">
        <v>21173.86</v>
      </c>
      <c r="F1364" s="17">
        <f>IF(E1364="","",E1364)</f>
        <v>21173.86</v>
      </c>
      <c r="G1364" s="18" t="s">
        <v>197</v>
      </c>
      <c r="H1364" s="135">
        <v>187961</v>
      </c>
      <c r="I1364" s="18" t="s">
        <v>82</v>
      </c>
      <c r="J1364" s="19">
        <f t="shared" si="90"/>
        <v>0.11761231248586071</v>
      </c>
    </row>
    <row r="1365" spans="1:10" x14ac:dyDescent="0.3">
      <c r="A1365" t="s">
        <v>8</v>
      </c>
      <c r="B1365" t="s">
        <v>10</v>
      </c>
      <c r="C1365" t="s">
        <v>55</v>
      </c>
      <c r="D1365" s="133">
        <v>5</v>
      </c>
      <c r="E1365" s="134">
        <v>47.658741879775853</v>
      </c>
      <c r="F1365" s="17">
        <f t="shared" ref="F1365:F1383" si="91">D1365*E1365</f>
        <v>238.29370939887926</v>
      </c>
      <c r="G1365" s="18"/>
      <c r="H1365" s="135">
        <v>187961</v>
      </c>
      <c r="I1365" s="18" t="s">
        <v>82</v>
      </c>
      <c r="J1365" s="19">
        <f t="shared" si="90"/>
        <v>0.11761231248586071</v>
      </c>
    </row>
    <row r="1366" spans="1:10" x14ac:dyDescent="0.3">
      <c r="A1366" t="s">
        <v>8</v>
      </c>
      <c r="B1366" t="s">
        <v>10</v>
      </c>
      <c r="C1366" t="s">
        <v>26</v>
      </c>
      <c r="D1366" s="133">
        <v>5</v>
      </c>
      <c r="E1366" s="134">
        <v>29.741875861103122</v>
      </c>
      <c r="F1366" s="17">
        <f t="shared" si="91"/>
        <v>148.7093793055156</v>
      </c>
      <c r="G1366" s="18"/>
      <c r="H1366" s="135">
        <v>187961</v>
      </c>
      <c r="I1366" s="18" t="s">
        <v>82</v>
      </c>
      <c r="J1366" s="19">
        <f t="shared" si="90"/>
        <v>0.11761231248586071</v>
      </c>
    </row>
    <row r="1367" spans="1:10" x14ac:dyDescent="0.3">
      <c r="A1367" t="s">
        <v>8</v>
      </c>
      <c r="B1367" t="s">
        <v>10</v>
      </c>
      <c r="C1367" t="s">
        <v>14</v>
      </c>
      <c r="D1367" s="133">
        <v>5</v>
      </c>
      <c r="E1367" s="134">
        <v>43.540891487759097</v>
      </c>
      <c r="F1367" s="17">
        <f t="shared" si="91"/>
        <v>217.70445743879549</v>
      </c>
      <c r="G1367" s="18"/>
      <c r="H1367" s="135">
        <v>187961</v>
      </c>
      <c r="I1367" s="18" t="s">
        <v>82</v>
      </c>
      <c r="J1367" s="19">
        <f t="shared" si="90"/>
        <v>0.11761231248586071</v>
      </c>
    </row>
    <row r="1368" spans="1:10" x14ac:dyDescent="0.3">
      <c r="A1368" t="s">
        <v>8</v>
      </c>
      <c r="B1368" t="s">
        <v>10</v>
      </c>
      <c r="C1368" t="s">
        <v>56</v>
      </c>
      <c r="D1368" s="133">
        <v>4</v>
      </c>
      <c r="E1368" s="134">
        <v>28</v>
      </c>
      <c r="F1368" s="17">
        <f t="shared" si="91"/>
        <v>112</v>
      </c>
      <c r="G1368" s="18" t="s">
        <v>192</v>
      </c>
      <c r="H1368" s="135">
        <v>187961</v>
      </c>
      <c r="I1368" s="18" t="s">
        <v>82</v>
      </c>
      <c r="J1368" s="19">
        <f t="shared" si="90"/>
        <v>0.11761231248586071</v>
      </c>
    </row>
    <row r="1369" spans="1:10" x14ac:dyDescent="0.3">
      <c r="A1369" t="s">
        <v>8</v>
      </c>
      <c r="B1369" t="s">
        <v>10</v>
      </c>
      <c r="C1369" t="s">
        <v>70</v>
      </c>
      <c r="D1369" s="60">
        <v>0</v>
      </c>
      <c r="E1369" s="17"/>
      <c r="F1369" s="17">
        <f t="shared" si="91"/>
        <v>0</v>
      </c>
      <c r="G1369" s="18"/>
      <c r="H1369" s="135">
        <v>187961</v>
      </c>
      <c r="I1369" s="18" t="s">
        <v>82</v>
      </c>
      <c r="J1369" s="19">
        <f t="shared" si="90"/>
        <v>0.11761231248586071</v>
      </c>
    </row>
    <row r="1370" spans="1:10" x14ac:dyDescent="0.3">
      <c r="A1370" t="s">
        <v>8</v>
      </c>
      <c r="B1370" t="s">
        <v>10</v>
      </c>
      <c r="C1370" t="s">
        <v>57</v>
      </c>
      <c r="D1370" s="133">
        <v>0</v>
      </c>
      <c r="E1370" s="134">
        <v>0</v>
      </c>
      <c r="F1370" s="17">
        <f t="shared" si="91"/>
        <v>0</v>
      </c>
      <c r="G1370" s="18" t="s">
        <v>170</v>
      </c>
      <c r="H1370" s="135">
        <v>187961</v>
      </c>
      <c r="I1370" s="18" t="s">
        <v>82</v>
      </c>
      <c r="J1370" s="19">
        <f t="shared" si="90"/>
        <v>0.11761231248586071</v>
      </c>
    </row>
    <row r="1371" spans="1:10" x14ac:dyDescent="0.3">
      <c r="A1371" t="s">
        <v>8</v>
      </c>
      <c r="B1371" t="s">
        <v>10</v>
      </c>
      <c r="C1371" t="s">
        <v>71</v>
      </c>
      <c r="D1371" s="133">
        <v>1</v>
      </c>
      <c r="E1371" s="134">
        <v>40.520000000000003</v>
      </c>
      <c r="F1371" s="17">
        <f t="shared" si="91"/>
        <v>40.520000000000003</v>
      </c>
      <c r="G1371" s="18" t="s">
        <v>192</v>
      </c>
      <c r="H1371" s="135">
        <v>187961</v>
      </c>
      <c r="I1371" s="18" t="s">
        <v>82</v>
      </c>
      <c r="J1371" s="19">
        <f t="shared" si="90"/>
        <v>0.11761231248586071</v>
      </c>
    </row>
    <row r="1372" spans="1:10" x14ac:dyDescent="0.3">
      <c r="A1372" t="s">
        <v>8</v>
      </c>
      <c r="B1372" t="s">
        <v>10</v>
      </c>
      <c r="C1372" t="s">
        <v>72</v>
      </c>
      <c r="D1372" s="133">
        <v>1</v>
      </c>
      <c r="E1372" s="134">
        <v>25.6</v>
      </c>
      <c r="F1372" s="17">
        <f t="shared" si="91"/>
        <v>25.6</v>
      </c>
      <c r="G1372" s="18" t="s">
        <v>192</v>
      </c>
      <c r="H1372" s="135">
        <v>187961</v>
      </c>
      <c r="I1372" s="18" t="s">
        <v>82</v>
      </c>
      <c r="J1372" s="19">
        <f t="shared" si="90"/>
        <v>0.11761231248586071</v>
      </c>
    </row>
    <row r="1373" spans="1:10" x14ac:dyDescent="0.3">
      <c r="A1373" t="s">
        <v>8</v>
      </c>
      <c r="B1373" t="s">
        <v>10</v>
      </c>
      <c r="C1373" t="s">
        <v>58</v>
      </c>
      <c r="D1373" s="133">
        <v>5</v>
      </c>
      <c r="E1373" s="37">
        <v>9.918365758754863</v>
      </c>
      <c r="F1373" s="17">
        <f t="shared" si="91"/>
        <v>49.591828793774312</v>
      </c>
      <c r="G1373" s="18"/>
      <c r="H1373" s="135">
        <v>187961</v>
      </c>
      <c r="I1373" s="18" t="s">
        <v>82</v>
      </c>
      <c r="J1373" s="19">
        <f t="shared" si="90"/>
        <v>0.11761231248586071</v>
      </c>
    </row>
    <row r="1374" spans="1:10" x14ac:dyDescent="0.3">
      <c r="A1374" t="s">
        <v>8</v>
      </c>
      <c r="B1374" t="s">
        <v>10</v>
      </c>
      <c r="C1374" t="s">
        <v>59</v>
      </c>
      <c r="D1374" s="133">
        <v>5</v>
      </c>
      <c r="E1374" s="37">
        <v>2.049698443579766</v>
      </c>
      <c r="F1374" s="17">
        <f t="shared" si="91"/>
        <v>10.24849221789883</v>
      </c>
      <c r="G1374" s="18"/>
      <c r="H1374" s="135">
        <v>187961</v>
      </c>
      <c r="I1374" s="18" t="s">
        <v>82</v>
      </c>
      <c r="J1374" s="19">
        <f t="shared" si="90"/>
        <v>0.11761231248586071</v>
      </c>
    </row>
    <row r="1375" spans="1:10" x14ac:dyDescent="0.3">
      <c r="A1375" t="s">
        <v>8</v>
      </c>
      <c r="B1375" t="s">
        <v>10</v>
      </c>
      <c r="C1375" t="s">
        <v>74</v>
      </c>
      <c r="D1375" s="60">
        <v>1</v>
      </c>
      <c r="E1375" s="37">
        <v>90</v>
      </c>
      <c r="F1375" s="17">
        <f t="shared" si="91"/>
        <v>90</v>
      </c>
      <c r="G1375" s="18" t="s">
        <v>206</v>
      </c>
      <c r="H1375" s="135">
        <v>187961</v>
      </c>
      <c r="I1375" s="18" t="s">
        <v>82</v>
      </c>
      <c r="J1375" s="19">
        <f t="shared" si="90"/>
        <v>0.11761231248586071</v>
      </c>
    </row>
    <row r="1376" spans="1:10" x14ac:dyDescent="0.3">
      <c r="A1376" t="s">
        <v>8</v>
      </c>
      <c r="B1376" t="s">
        <v>10</v>
      </c>
      <c r="C1376" t="s">
        <v>62</v>
      </c>
      <c r="D1376" s="60">
        <v>1</v>
      </c>
      <c r="E1376" s="37">
        <v>0</v>
      </c>
      <c r="F1376" s="17">
        <f t="shared" si="91"/>
        <v>0</v>
      </c>
      <c r="G1376" s="18" t="s">
        <v>206</v>
      </c>
      <c r="H1376" s="135">
        <v>187961</v>
      </c>
      <c r="I1376" s="18" t="s">
        <v>82</v>
      </c>
      <c r="J1376" s="19">
        <f t="shared" si="90"/>
        <v>0.11761231248586071</v>
      </c>
    </row>
    <row r="1377" spans="1:10" x14ac:dyDescent="0.3">
      <c r="A1377" t="s">
        <v>8</v>
      </c>
      <c r="B1377" t="s">
        <v>10</v>
      </c>
      <c r="C1377" t="s">
        <v>83</v>
      </c>
      <c r="D1377" s="60">
        <v>0</v>
      </c>
      <c r="E1377" s="17"/>
      <c r="F1377" s="17">
        <f t="shared" si="91"/>
        <v>0</v>
      </c>
      <c r="G1377" s="18"/>
      <c r="H1377" s="135">
        <v>187961</v>
      </c>
      <c r="I1377" s="18" t="s">
        <v>82</v>
      </c>
      <c r="J1377" s="19">
        <f t="shared" si="90"/>
        <v>0.11761231248586071</v>
      </c>
    </row>
    <row r="1378" spans="1:10" x14ac:dyDescent="0.3">
      <c r="A1378" t="s">
        <v>8</v>
      </c>
      <c r="B1378" t="s">
        <v>10</v>
      </c>
      <c r="C1378" t="s">
        <v>84</v>
      </c>
      <c r="D1378" s="60">
        <v>0</v>
      </c>
      <c r="E1378" s="17"/>
      <c r="F1378" s="17">
        <f t="shared" si="91"/>
        <v>0</v>
      </c>
      <c r="G1378" s="18"/>
      <c r="H1378" s="135">
        <v>187961</v>
      </c>
      <c r="I1378" s="18" t="s">
        <v>82</v>
      </c>
      <c r="J1378" s="19">
        <f t="shared" si="90"/>
        <v>0.11761231248586071</v>
      </c>
    </row>
    <row r="1379" spans="1:10" x14ac:dyDescent="0.3">
      <c r="A1379" t="s">
        <v>8</v>
      </c>
      <c r="B1379" t="s">
        <v>10</v>
      </c>
      <c r="C1379" t="s">
        <v>85</v>
      </c>
      <c r="D1379" s="60">
        <v>0</v>
      </c>
      <c r="E1379" s="17"/>
      <c r="F1379" s="17">
        <f t="shared" si="91"/>
        <v>0</v>
      </c>
      <c r="G1379" s="18"/>
      <c r="H1379" s="135">
        <v>187961</v>
      </c>
      <c r="I1379" s="18" t="s">
        <v>82</v>
      </c>
      <c r="J1379" s="19">
        <f t="shared" si="90"/>
        <v>0.11761231248586071</v>
      </c>
    </row>
    <row r="1380" spans="1:10" x14ac:dyDescent="0.3">
      <c r="A1380" t="s">
        <v>8</v>
      </c>
      <c r="B1380" t="s">
        <v>10</v>
      </c>
      <c r="C1380" t="s">
        <v>86</v>
      </c>
      <c r="D1380" s="60">
        <v>0</v>
      </c>
      <c r="E1380" s="17"/>
      <c r="F1380" s="17">
        <f t="shared" si="91"/>
        <v>0</v>
      </c>
      <c r="G1380" s="18"/>
      <c r="H1380" s="135">
        <v>187961</v>
      </c>
      <c r="I1380" s="18" t="s">
        <v>82</v>
      </c>
      <c r="J1380" s="19">
        <f t="shared" si="90"/>
        <v>0.11761231248586071</v>
      </c>
    </row>
    <row r="1381" spans="1:10" x14ac:dyDescent="0.3">
      <c r="A1381" t="s">
        <v>8</v>
      </c>
      <c r="B1381" t="s">
        <v>10</v>
      </c>
      <c r="C1381" t="s">
        <v>67</v>
      </c>
      <c r="D1381" s="60">
        <v>0</v>
      </c>
      <c r="E1381" s="17"/>
      <c r="F1381" s="17">
        <f t="shared" si="91"/>
        <v>0</v>
      </c>
      <c r="G1381" s="18"/>
      <c r="H1381" s="135">
        <v>187961</v>
      </c>
      <c r="I1381" s="18" t="s">
        <v>82</v>
      </c>
      <c r="J1381" s="19">
        <f t="shared" si="90"/>
        <v>0.11761231248586071</v>
      </c>
    </row>
    <row r="1382" spans="1:10" x14ac:dyDescent="0.3">
      <c r="A1382" t="s">
        <v>8</v>
      </c>
      <c r="B1382" t="s">
        <v>10</v>
      </c>
      <c r="C1382" t="s">
        <v>75</v>
      </c>
      <c r="D1382" s="60">
        <v>0</v>
      </c>
      <c r="E1382" s="17"/>
      <c r="F1382" s="17">
        <f t="shared" si="91"/>
        <v>0</v>
      </c>
      <c r="G1382" s="18"/>
      <c r="H1382" s="135">
        <v>187961</v>
      </c>
      <c r="I1382" s="18" t="s">
        <v>82</v>
      </c>
      <c r="J1382" s="19">
        <f t="shared" si="90"/>
        <v>0.11761231248586071</v>
      </c>
    </row>
    <row r="1383" spans="1:10" x14ac:dyDescent="0.3">
      <c r="A1383" t="s">
        <v>8</v>
      </c>
      <c r="B1383" t="s">
        <v>10</v>
      </c>
      <c r="C1383" t="s">
        <v>64</v>
      </c>
      <c r="D1383" s="60">
        <v>0</v>
      </c>
      <c r="E1383" s="17"/>
      <c r="F1383" s="17">
        <f t="shared" si="91"/>
        <v>0</v>
      </c>
      <c r="G1383" s="18"/>
      <c r="H1383" s="135">
        <v>187961</v>
      </c>
      <c r="I1383" s="18" t="s">
        <v>82</v>
      </c>
      <c r="J1383" s="19">
        <f t="shared" si="90"/>
        <v>0.11761231248586071</v>
      </c>
    </row>
    <row r="1384" spans="1:10" x14ac:dyDescent="0.3">
      <c r="A1384" t="s">
        <v>8</v>
      </c>
      <c r="B1384" t="s">
        <v>11</v>
      </c>
      <c r="C1384" t="s">
        <v>53</v>
      </c>
      <c r="D1384" s="133">
        <v>10</v>
      </c>
      <c r="E1384" s="134">
        <v>31510.17</v>
      </c>
      <c r="F1384" s="17">
        <f>IF(E1384="","",E1384)</f>
        <v>31510.17</v>
      </c>
      <c r="G1384" s="18" t="s">
        <v>196</v>
      </c>
      <c r="H1384" s="135">
        <v>201491</v>
      </c>
      <c r="I1384" s="18" t="s">
        <v>54</v>
      </c>
      <c r="J1384" s="19">
        <f t="shared" si="90"/>
        <v>0.16670707740946109</v>
      </c>
    </row>
    <row r="1385" spans="1:10" x14ac:dyDescent="0.3">
      <c r="A1385" t="s">
        <v>8</v>
      </c>
      <c r="B1385" t="s">
        <v>11</v>
      </c>
      <c r="C1385" t="s">
        <v>55</v>
      </c>
      <c r="D1385" s="133">
        <v>10</v>
      </c>
      <c r="E1385" s="134">
        <v>47.658741879775853</v>
      </c>
      <c r="F1385" s="17">
        <f t="shared" ref="F1385:F1399" si="92">D1385*E1385</f>
        <v>476.58741879775852</v>
      </c>
      <c r="G1385" s="18"/>
      <c r="H1385" s="135">
        <v>201491</v>
      </c>
      <c r="I1385" s="18" t="s">
        <v>54</v>
      </c>
      <c r="J1385" s="19">
        <f t="shared" si="90"/>
        <v>0.16670707740946109</v>
      </c>
    </row>
    <row r="1386" spans="1:10" x14ac:dyDescent="0.3">
      <c r="A1386" t="s">
        <v>8</v>
      </c>
      <c r="B1386" t="s">
        <v>11</v>
      </c>
      <c r="C1386" t="s">
        <v>26</v>
      </c>
      <c r="D1386" s="133">
        <v>10</v>
      </c>
      <c r="E1386" s="134">
        <v>29.741875861103122</v>
      </c>
      <c r="F1386" s="17">
        <f t="shared" si="92"/>
        <v>297.41875861103119</v>
      </c>
      <c r="G1386" s="18"/>
      <c r="H1386" s="135">
        <v>201491</v>
      </c>
      <c r="I1386" s="18" t="s">
        <v>54</v>
      </c>
      <c r="J1386" s="19">
        <f t="shared" si="90"/>
        <v>0.16670707740946109</v>
      </c>
    </row>
    <row r="1387" spans="1:10" x14ac:dyDescent="0.3">
      <c r="A1387" t="s">
        <v>8</v>
      </c>
      <c r="B1387" t="s">
        <v>11</v>
      </c>
      <c r="C1387" t="s">
        <v>14</v>
      </c>
      <c r="D1387" s="133">
        <v>10</v>
      </c>
      <c r="E1387" s="134">
        <v>43.540891487759097</v>
      </c>
      <c r="F1387" s="17">
        <f t="shared" si="92"/>
        <v>435.40891487759097</v>
      </c>
      <c r="G1387" s="18"/>
      <c r="H1387" s="135">
        <v>201491</v>
      </c>
      <c r="I1387" s="18" t="s">
        <v>54</v>
      </c>
      <c r="J1387" s="19">
        <f t="shared" si="90"/>
        <v>0.16670707740946109</v>
      </c>
    </row>
    <row r="1388" spans="1:10" x14ac:dyDescent="0.3">
      <c r="A1388" t="s">
        <v>8</v>
      </c>
      <c r="B1388" t="s">
        <v>11</v>
      </c>
      <c r="C1388" t="s">
        <v>87</v>
      </c>
      <c r="D1388" s="133">
        <v>9</v>
      </c>
      <c r="E1388" s="134">
        <v>50</v>
      </c>
      <c r="F1388" s="17">
        <f t="shared" si="92"/>
        <v>450</v>
      </c>
      <c r="G1388" s="18" t="s">
        <v>192</v>
      </c>
      <c r="H1388" s="135">
        <v>201491</v>
      </c>
      <c r="I1388" s="18" t="s">
        <v>54</v>
      </c>
      <c r="J1388" s="19">
        <f t="shared" si="90"/>
        <v>0.16670707740946109</v>
      </c>
    </row>
    <row r="1389" spans="1:10" x14ac:dyDescent="0.3">
      <c r="A1389" t="s">
        <v>8</v>
      </c>
      <c r="B1389" t="s">
        <v>11</v>
      </c>
      <c r="C1389" t="s">
        <v>57</v>
      </c>
      <c r="D1389" s="133">
        <v>9</v>
      </c>
      <c r="E1389" s="134">
        <v>30</v>
      </c>
      <c r="F1389" s="17">
        <f t="shared" si="92"/>
        <v>270</v>
      </c>
      <c r="G1389" s="18" t="s">
        <v>192</v>
      </c>
      <c r="H1389" s="135">
        <v>201491</v>
      </c>
      <c r="I1389" s="18" t="s">
        <v>54</v>
      </c>
      <c r="J1389" s="19">
        <f t="shared" si="90"/>
        <v>0.16670707740946109</v>
      </c>
    </row>
    <row r="1390" spans="1:10" x14ac:dyDescent="0.3">
      <c r="A1390" t="s">
        <v>8</v>
      </c>
      <c r="B1390" t="s">
        <v>11</v>
      </c>
      <c r="C1390" t="s">
        <v>71</v>
      </c>
      <c r="D1390" s="133">
        <v>0</v>
      </c>
      <c r="E1390" s="134">
        <v>0</v>
      </c>
      <c r="F1390" s="17">
        <f t="shared" si="92"/>
        <v>0</v>
      </c>
      <c r="G1390" s="18" t="s">
        <v>170</v>
      </c>
      <c r="H1390" s="135">
        <v>201491</v>
      </c>
      <c r="I1390" s="18" t="s">
        <v>54</v>
      </c>
      <c r="J1390" s="19">
        <f t="shared" si="90"/>
        <v>0.16670707740946109</v>
      </c>
    </row>
    <row r="1391" spans="1:10" x14ac:dyDescent="0.3">
      <c r="A1391" t="s">
        <v>8</v>
      </c>
      <c r="B1391" t="s">
        <v>11</v>
      </c>
      <c r="C1391" t="s">
        <v>72</v>
      </c>
      <c r="D1391" s="133">
        <v>1</v>
      </c>
      <c r="E1391" s="134">
        <v>30.71</v>
      </c>
      <c r="F1391" s="17">
        <f t="shared" si="92"/>
        <v>30.71</v>
      </c>
      <c r="G1391" s="18" t="s">
        <v>192</v>
      </c>
      <c r="H1391" s="135">
        <v>201491</v>
      </c>
      <c r="I1391" s="18" t="s">
        <v>54</v>
      </c>
      <c r="J1391" s="19">
        <f t="shared" si="90"/>
        <v>0.16670707740946109</v>
      </c>
    </row>
    <row r="1392" spans="1:10" x14ac:dyDescent="0.3">
      <c r="A1392" t="s">
        <v>8</v>
      </c>
      <c r="B1392" t="s">
        <v>11</v>
      </c>
      <c r="C1392" t="s">
        <v>58</v>
      </c>
      <c r="D1392" s="133">
        <v>10</v>
      </c>
      <c r="E1392" s="37">
        <v>9.918365758754863</v>
      </c>
      <c r="F1392" s="17">
        <f t="shared" si="92"/>
        <v>99.183657587548623</v>
      </c>
      <c r="G1392" s="18"/>
      <c r="H1392" s="135">
        <v>201491</v>
      </c>
      <c r="I1392" s="18" t="s">
        <v>54</v>
      </c>
      <c r="J1392" s="19">
        <f t="shared" si="90"/>
        <v>0.16670707740946109</v>
      </c>
    </row>
    <row r="1393" spans="1:10" x14ac:dyDescent="0.3">
      <c r="A1393" t="s">
        <v>8</v>
      </c>
      <c r="B1393" t="s">
        <v>11</v>
      </c>
      <c r="C1393" t="s">
        <v>59</v>
      </c>
      <c r="D1393" s="133">
        <v>10</v>
      </c>
      <c r="E1393" s="37">
        <v>2.049698443579766</v>
      </c>
      <c r="F1393" s="17">
        <f t="shared" si="92"/>
        <v>20.49698443579766</v>
      </c>
      <c r="G1393" s="18"/>
      <c r="H1393" s="135">
        <v>201491</v>
      </c>
      <c r="I1393" s="18" t="s">
        <v>54</v>
      </c>
      <c r="J1393" s="19">
        <f t="shared" si="90"/>
        <v>0.16670707740946109</v>
      </c>
    </row>
    <row r="1394" spans="1:10" x14ac:dyDescent="0.3">
      <c r="A1394" t="s">
        <v>8</v>
      </c>
      <c r="B1394" t="s">
        <v>11</v>
      </c>
      <c r="C1394" t="s">
        <v>74</v>
      </c>
      <c r="D1394" s="60">
        <v>0</v>
      </c>
      <c r="E1394" s="17"/>
      <c r="F1394" s="17">
        <f t="shared" si="92"/>
        <v>0</v>
      </c>
      <c r="G1394" s="18"/>
      <c r="H1394" s="135">
        <v>201491</v>
      </c>
      <c r="I1394" s="18" t="s">
        <v>54</v>
      </c>
      <c r="J1394" s="19">
        <f t="shared" si="90"/>
        <v>0.16670707740946109</v>
      </c>
    </row>
    <row r="1395" spans="1:10" x14ac:dyDescent="0.3">
      <c r="A1395" t="s">
        <v>8</v>
      </c>
      <c r="B1395" t="s">
        <v>11</v>
      </c>
      <c r="C1395" t="s">
        <v>62</v>
      </c>
      <c r="D1395" s="60">
        <v>0</v>
      </c>
      <c r="E1395" s="17"/>
      <c r="F1395" s="17">
        <f t="shared" si="92"/>
        <v>0</v>
      </c>
      <c r="G1395" s="18"/>
      <c r="H1395" s="135">
        <v>201491</v>
      </c>
      <c r="I1395" s="18" t="s">
        <v>54</v>
      </c>
      <c r="J1395" s="19">
        <f t="shared" si="90"/>
        <v>0.16670707740946109</v>
      </c>
    </row>
    <row r="1396" spans="1:10" x14ac:dyDescent="0.3">
      <c r="A1396" t="s">
        <v>8</v>
      </c>
      <c r="B1396" t="s">
        <v>11</v>
      </c>
      <c r="C1396" t="s">
        <v>60</v>
      </c>
      <c r="D1396" s="60">
        <v>0</v>
      </c>
      <c r="E1396" s="17"/>
      <c r="F1396" s="17">
        <f t="shared" si="92"/>
        <v>0</v>
      </c>
      <c r="G1396" s="18"/>
      <c r="H1396" s="135">
        <v>201491</v>
      </c>
      <c r="I1396" s="18" t="s">
        <v>54</v>
      </c>
      <c r="J1396" s="19">
        <f t="shared" si="90"/>
        <v>0.16670707740946109</v>
      </c>
    </row>
    <row r="1397" spans="1:10" x14ac:dyDescent="0.3">
      <c r="A1397" t="s">
        <v>8</v>
      </c>
      <c r="B1397" t="s">
        <v>11</v>
      </c>
      <c r="C1397" t="s">
        <v>70</v>
      </c>
      <c r="D1397" s="60">
        <v>0</v>
      </c>
      <c r="E1397" s="17"/>
      <c r="F1397" s="17">
        <f t="shared" si="92"/>
        <v>0</v>
      </c>
      <c r="G1397" s="18"/>
      <c r="H1397" s="135">
        <v>201491</v>
      </c>
      <c r="I1397" s="18" t="s">
        <v>54</v>
      </c>
      <c r="J1397" s="19">
        <f t="shared" si="90"/>
        <v>0.16670707740946109</v>
      </c>
    </row>
    <row r="1398" spans="1:10" x14ac:dyDescent="0.3">
      <c r="A1398" t="s">
        <v>8</v>
      </c>
      <c r="B1398" t="s">
        <v>11</v>
      </c>
      <c r="C1398" t="s">
        <v>64</v>
      </c>
      <c r="D1398" s="60">
        <v>0</v>
      </c>
      <c r="E1398" s="17"/>
      <c r="F1398" s="17">
        <f t="shared" si="92"/>
        <v>0</v>
      </c>
      <c r="G1398" s="18"/>
      <c r="H1398" s="135">
        <v>201491</v>
      </c>
      <c r="I1398" s="18" t="s">
        <v>54</v>
      </c>
      <c r="J1398" s="19">
        <f t="shared" si="90"/>
        <v>0.16670707740946109</v>
      </c>
    </row>
    <row r="1399" spans="1:10" x14ac:dyDescent="0.3">
      <c r="A1399" t="s">
        <v>8</v>
      </c>
      <c r="B1399" t="s">
        <v>11</v>
      </c>
      <c r="C1399" t="s">
        <v>66</v>
      </c>
      <c r="D1399" s="60">
        <v>0</v>
      </c>
      <c r="E1399" s="17"/>
      <c r="F1399" s="17">
        <f t="shared" si="92"/>
        <v>0</v>
      </c>
      <c r="G1399" s="18"/>
      <c r="H1399" s="135">
        <v>201491</v>
      </c>
      <c r="I1399" s="18" t="s">
        <v>54</v>
      </c>
      <c r="J1399" s="19">
        <f t="shared" si="90"/>
        <v>0.16670707740946109</v>
      </c>
    </row>
    <row r="1400" spans="1:10" x14ac:dyDescent="0.3">
      <c r="A1400" t="s">
        <v>8</v>
      </c>
      <c r="B1400" t="s">
        <v>12</v>
      </c>
      <c r="C1400" t="s">
        <v>53</v>
      </c>
      <c r="D1400" s="133">
        <v>5</v>
      </c>
      <c r="E1400" s="134">
        <v>12181.65</v>
      </c>
      <c r="F1400" s="17">
        <f>IF(E1400="","",E1400)</f>
        <v>12181.65</v>
      </c>
      <c r="G1400" s="18" t="s">
        <v>197</v>
      </c>
      <c r="H1400" s="135">
        <v>187961</v>
      </c>
      <c r="I1400" s="18" t="s">
        <v>82</v>
      </c>
      <c r="J1400" s="19">
        <f t="shared" si="90"/>
        <v>0.13857958761208369</v>
      </c>
    </row>
    <row r="1401" spans="1:10" x14ac:dyDescent="0.3">
      <c r="A1401" t="s">
        <v>8</v>
      </c>
      <c r="B1401" t="s">
        <v>12</v>
      </c>
      <c r="C1401" t="s">
        <v>55</v>
      </c>
      <c r="D1401" s="133">
        <v>5</v>
      </c>
      <c r="E1401" s="134">
        <v>47.658741879775853</v>
      </c>
      <c r="F1401" s="17">
        <f t="shared" ref="F1401:F1420" si="93">D1401*E1401</f>
        <v>238.29370939887926</v>
      </c>
      <c r="G1401" s="18"/>
      <c r="H1401" s="135">
        <v>187961</v>
      </c>
      <c r="I1401" s="18" t="s">
        <v>82</v>
      </c>
      <c r="J1401" s="19">
        <f t="shared" si="90"/>
        <v>0.13857958761208369</v>
      </c>
    </row>
    <row r="1402" spans="1:10" x14ac:dyDescent="0.3">
      <c r="A1402" t="s">
        <v>8</v>
      </c>
      <c r="B1402" t="s">
        <v>12</v>
      </c>
      <c r="C1402" t="s">
        <v>26</v>
      </c>
      <c r="D1402" s="133">
        <v>5</v>
      </c>
      <c r="E1402" s="134">
        <v>29.741875861103122</v>
      </c>
      <c r="F1402" s="17">
        <f t="shared" si="93"/>
        <v>148.7093793055156</v>
      </c>
      <c r="G1402" s="18"/>
      <c r="H1402" s="135">
        <v>187961</v>
      </c>
      <c r="I1402" s="18" t="s">
        <v>82</v>
      </c>
      <c r="J1402" s="19">
        <f t="shared" si="90"/>
        <v>0.13857958761208369</v>
      </c>
    </row>
    <row r="1403" spans="1:10" x14ac:dyDescent="0.3">
      <c r="A1403" t="s">
        <v>8</v>
      </c>
      <c r="B1403" t="s">
        <v>12</v>
      </c>
      <c r="C1403" t="s">
        <v>14</v>
      </c>
      <c r="D1403" s="133">
        <v>5</v>
      </c>
      <c r="E1403" s="134">
        <v>43.540891487759097</v>
      </c>
      <c r="F1403" s="17">
        <f t="shared" si="93"/>
        <v>217.70445743879549</v>
      </c>
      <c r="G1403" s="18"/>
      <c r="H1403" s="135">
        <v>187961</v>
      </c>
      <c r="I1403" s="18" t="s">
        <v>82</v>
      </c>
      <c r="J1403" s="19">
        <f t="shared" si="90"/>
        <v>0.13857958761208369</v>
      </c>
    </row>
    <row r="1404" spans="1:10" x14ac:dyDescent="0.3">
      <c r="A1404" t="s">
        <v>8</v>
      </c>
      <c r="B1404" t="s">
        <v>12</v>
      </c>
      <c r="C1404" t="s">
        <v>87</v>
      </c>
      <c r="D1404" s="133">
        <v>6</v>
      </c>
      <c r="E1404" s="134">
        <v>50</v>
      </c>
      <c r="F1404" s="17">
        <f t="shared" si="93"/>
        <v>300</v>
      </c>
      <c r="G1404" s="18" t="s">
        <v>192</v>
      </c>
      <c r="H1404" s="135">
        <v>187961</v>
      </c>
      <c r="I1404" s="18" t="s">
        <v>82</v>
      </c>
      <c r="J1404" s="19">
        <f t="shared" si="90"/>
        <v>0.13857958761208369</v>
      </c>
    </row>
    <row r="1405" spans="1:10" x14ac:dyDescent="0.3">
      <c r="A1405" t="s">
        <v>8</v>
      </c>
      <c r="B1405" t="s">
        <v>12</v>
      </c>
      <c r="C1405" t="s">
        <v>57</v>
      </c>
      <c r="D1405" s="133">
        <v>2</v>
      </c>
      <c r="E1405" s="134">
        <v>30</v>
      </c>
      <c r="F1405" s="17">
        <f t="shared" si="93"/>
        <v>60</v>
      </c>
      <c r="G1405" s="18" t="s">
        <v>192</v>
      </c>
      <c r="H1405" s="135">
        <v>187961</v>
      </c>
      <c r="I1405" s="18" t="s">
        <v>82</v>
      </c>
      <c r="J1405" s="19">
        <f t="shared" si="90"/>
        <v>0.13857958761208369</v>
      </c>
    </row>
    <row r="1406" spans="1:10" x14ac:dyDescent="0.3">
      <c r="A1406" t="s">
        <v>8</v>
      </c>
      <c r="B1406" t="s">
        <v>12</v>
      </c>
      <c r="C1406" t="s">
        <v>71</v>
      </c>
      <c r="D1406" s="133">
        <v>0</v>
      </c>
      <c r="E1406" s="134">
        <v>0</v>
      </c>
      <c r="F1406" s="17">
        <f t="shared" si="93"/>
        <v>0</v>
      </c>
      <c r="G1406" s="18" t="s">
        <v>170</v>
      </c>
      <c r="H1406" s="135">
        <v>187961</v>
      </c>
      <c r="I1406" s="18" t="s">
        <v>82</v>
      </c>
      <c r="J1406" s="19">
        <f t="shared" si="90"/>
        <v>0.13857958761208369</v>
      </c>
    </row>
    <row r="1407" spans="1:10" x14ac:dyDescent="0.3">
      <c r="A1407" t="s">
        <v>8</v>
      </c>
      <c r="B1407" t="s">
        <v>12</v>
      </c>
      <c r="C1407" t="s">
        <v>58</v>
      </c>
      <c r="D1407" s="133">
        <v>5</v>
      </c>
      <c r="E1407" s="37">
        <v>9.918365758754863</v>
      </c>
      <c r="F1407" s="17">
        <f t="shared" si="93"/>
        <v>49.591828793774312</v>
      </c>
      <c r="G1407" s="18"/>
      <c r="H1407" s="135">
        <v>187961</v>
      </c>
      <c r="I1407" s="18" t="s">
        <v>82</v>
      </c>
      <c r="J1407" s="19">
        <f t="shared" si="90"/>
        <v>0.13857958761208369</v>
      </c>
    </row>
    <row r="1408" spans="1:10" x14ac:dyDescent="0.3">
      <c r="A1408" t="s">
        <v>8</v>
      </c>
      <c r="B1408" t="s">
        <v>12</v>
      </c>
      <c r="C1408" t="s">
        <v>59</v>
      </c>
      <c r="D1408" s="133">
        <v>5</v>
      </c>
      <c r="E1408" s="37">
        <v>2.049698443579766</v>
      </c>
      <c r="F1408" s="17">
        <f t="shared" si="93"/>
        <v>10.24849221789883</v>
      </c>
      <c r="G1408" s="18"/>
      <c r="H1408" s="135">
        <v>187961</v>
      </c>
      <c r="I1408" s="18" t="s">
        <v>82</v>
      </c>
      <c r="J1408" s="19">
        <f t="shared" si="90"/>
        <v>0.13857958761208369</v>
      </c>
    </row>
    <row r="1409" spans="1:10" x14ac:dyDescent="0.3">
      <c r="A1409" t="s">
        <v>8</v>
      </c>
      <c r="B1409" t="s">
        <v>12</v>
      </c>
      <c r="C1409" t="s">
        <v>88</v>
      </c>
      <c r="D1409" s="60">
        <v>1</v>
      </c>
      <c r="E1409" s="17"/>
      <c r="F1409" s="17">
        <f t="shared" si="93"/>
        <v>0</v>
      </c>
      <c r="G1409" s="18"/>
      <c r="H1409" s="135">
        <v>187961</v>
      </c>
      <c r="I1409" s="18" t="s">
        <v>82</v>
      </c>
      <c r="J1409" s="19">
        <f t="shared" si="90"/>
        <v>0.13857958761208369</v>
      </c>
    </row>
    <row r="1410" spans="1:10" x14ac:dyDescent="0.3">
      <c r="A1410" t="s">
        <v>8</v>
      </c>
      <c r="B1410" t="s">
        <v>12</v>
      </c>
      <c r="C1410" t="s">
        <v>74</v>
      </c>
      <c r="D1410" s="60">
        <v>1</v>
      </c>
      <c r="E1410" s="37">
        <v>226</v>
      </c>
      <c r="F1410" s="17">
        <f t="shared" si="93"/>
        <v>226</v>
      </c>
      <c r="G1410" s="18" t="s">
        <v>206</v>
      </c>
      <c r="H1410" s="135">
        <v>187961</v>
      </c>
      <c r="I1410" s="18" t="s">
        <v>82</v>
      </c>
      <c r="J1410" s="19">
        <f t="shared" ref="J1410:J1473" si="94">IFERROR(SUMIFS($F$2:$F$1749,$A$2:$A$1749,A1410,$B$2:$B$1749,B1410)/H1410,"")</f>
        <v>0.13857958761208369</v>
      </c>
    </row>
    <row r="1411" spans="1:10" x14ac:dyDescent="0.3">
      <c r="A1411" t="s">
        <v>8</v>
      </c>
      <c r="B1411" t="s">
        <v>12</v>
      </c>
      <c r="C1411" t="s">
        <v>62</v>
      </c>
      <c r="D1411" s="60">
        <v>1</v>
      </c>
      <c r="E1411" s="37">
        <v>0</v>
      </c>
      <c r="F1411" s="17">
        <f t="shared" si="93"/>
        <v>0</v>
      </c>
      <c r="G1411" s="18" t="s">
        <v>206</v>
      </c>
      <c r="H1411" s="135">
        <v>187961</v>
      </c>
      <c r="I1411" s="18" t="s">
        <v>82</v>
      </c>
      <c r="J1411" s="19">
        <f t="shared" si="94"/>
        <v>0.13857958761208369</v>
      </c>
    </row>
    <row r="1412" spans="1:10" x14ac:dyDescent="0.3">
      <c r="A1412" t="s">
        <v>8</v>
      </c>
      <c r="B1412" t="s">
        <v>12</v>
      </c>
      <c r="C1412" t="s">
        <v>89</v>
      </c>
      <c r="D1412" s="60">
        <v>0</v>
      </c>
      <c r="E1412" s="17"/>
      <c r="F1412" s="17">
        <f t="shared" si="93"/>
        <v>0</v>
      </c>
      <c r="G1412" s="18"/>
      <c r="H1412" s="135">
        <v>187961</v>
      </c>
      <c r="I1412" s="18" t="s">
        <v>82</v>
      </c>
      <c r="J1412" s="19">
        <f t="shared" si="94"/>
        <v>0.13857958761208369</v>
      </c>
    </row>
    <row r="1413" spans="1:10" x14ac:dyDescent="0.3">
      <c r="A1413" t="s">
        <v>8</v>
      </c>
      <c r="B1413" t="s">
        <v>12</v>
      </c>
      <c r="C1413" t="s">
        <v>64</v>
      </c>
      <c r="D1413" s="60">
        <v>1</v>
      </c>
      <c r="E1413" s="134">
        <v>51.3</v>
      </c>
      <c r="F1413" s="17">
        <f t="shared" si="93"/>
        <v>51.3</v>
      </c>
      <c r="G1413" s="133" t="s">
        <v>65</v>
      </c>
      <c r="H1413" s="135">
        <v>187961</v>
      </c>
      <c r="I1413" s="18" t="s">
        <v>82</v>
      </c>
      <c r="J1413" s="19">
        <f t="shared" si="94"/>
        <v>0.13857958761208369</v>
      </c>
    </row>
    <row r="1414" spans="1:10" x14ac:dyDescent="0.3">
      <c r="A1414" t="s">
        <v>8</v>
      </c>
      <c r="B1414" t="s">
        <v>12</v>
      </c>
      <c r="C1414" t="s">
        <v>66</v>
      </c>
      <c r="D1414" s="60">
        <v>1</v>
      </c>
      <c r="E1414" s="134">
        <v>0</v>
      </c>
      <c r="F1414" s="17">
        <f t="shared" si="93"/>
        <v>0</v>
      </c>
      <c r="G1414" s="133" t="s">
        <v>65</v>
      </c>
      <c r="H1414" s="135">
        <v>187961</v>
      </c>
      <c r="I1414" s="18" t="s">
        <v>82</v>
      </c>
      <c r="J1414" s="19">
        <f t="shared" si="94"/>
        <v>0.13857958761208369</v>
      </c>
    </row>
    <row r="1415" spans="1:10" x14ac:dyDescent="0.3">
      <c r="A1415" t="s">
        <v>8</v>
      </c>
      <c r="B1415" t="s">
        <v>12</v>
      </c>
      <c r="C1415" t="s">
        <v>60</v>
      </c>
      <c r="D1415" s="60">
        <v>0</v>
      </c>
      <c r="E1415" s="17"/>
      <c r="F1415" s="17">
        <f t="shared" si="93"/>
        <v>0</v>
      </c>
      <c r="G1415" s="18"/>
      <c r="H1415" s="135">
        <v>187961</v>
      </c>
      <c r="I1415" s="18" t="s">
        <v>82</v>
      </c>
      <c r="J1415" s="19">
        <f t="shared" si="94"/>
        <v>0.13857958761208369</v>
      </c>
    </row>
    <row r="1416" spans="1:10" x14ac:dyDescent="0.3">
      <c r="A1416" t="s">
        <v>8</v>
      </c>
      <c r="B1416" t="s">
        <v>12</v>
      </c>
      <c r="C1416" t="s">
        <v>83</v>
      </c>
      <c r="D1416" s="60">
        <v>0</v>
      </c>
      <c r="E1416" s="17"/>
      <c r="F1416" s="17">
        <f t="shared" si="93"/>
        <v>0</v>
      </c>
      <c r="G1416" s="18"/>
      <c r="H1416" s="135">
        <v>187961</v>
      </c>
      <c r="I1416" s="18" t="s">
        <v>82</v>
      </c>
      <c r="J1416" s="19">
        <f t="shared" si="94"/>
        <v>0.13857958761208369</v>
      </c>
    </row>
    <row r="1417" spans="1:10" x14ac:dyDescent="0.3">
      <c r="A1417" t="s">
        <v>8</v>
      </c>
      <c r="B1417" t="s">
        <v>12</v>
      </c>
      <c r="C1417" t="s">
        <v>67</v>
      </c>
      <c r="D1417" s="60">
        <v>0</v>
      </c>
      <c r="E1417" s="17"/>
      <c r="F1417" s="17">
        <f t="shared" si="93"/>
        <v>0</v>
      </c>
      <c r="G1417" s="18"/>
      <c r="H1417" s="135">
        <v>187961</v>
      </c>
      <c r="I1417" s="18" t="s">
        <v>82</v>
      </c>
      <c r="J1417" s="19">
        <f t="shared" si="94"/>
        <v>0.13857958761208369</v>
      </c>
    </row>
    <row r="1418" spans="1:10" x14ac:dyDescent="0.3">
      <c r="A1418" t="s">
        <v>8</v>
      </c>
      <c r="B1418" t="s">
        <v>12</v>
      </c>
      <c r="C1418" t="s">
        <v>90</v>
      </c>
      <c r="D1418" s="60">
        <v>0</v>
      </c>
      <c r="E1418" s="17"/>
      <c r="F1418" s="17">
        <f t="shared" si="93"/>
        <v>0</v>
      </c>
      <c r="G1418" s="18"/>
      <c r="H1418" s="135">
        <v>187961</v>
      </c>
      <c r="I1418" s="18" t="s">
        <v>82</v>
      </c>
      <c r="J1418" s="19">
        <f t="shared" si="94"/>
        <v>0.13857958761208369</v>
      </c>
    </row>
    <row r="1419" spans="1:10" x14ac:dyDescent="0.3">
      <c r="A1419" t="s">
        <v>8</v>
      </c>
      <c r="B1419" t="s">
        <v>12</v>
      </c>
      <c r="C1419" t="s">
        <v>208</v>
      </c>
      <c r="D1419" s="60">
        <v>1</v>
      </c>
      <c r="E1419" s="17">
        <v>10004.61</v>
      </c>
      <c r="F1419" s="17">
        <f t="shared" si="93"/>
        <v>10004.61</v>
      </c>
      <c r="G1419" s="18"/>
      <c r="H1419" s="135">
        <v>187961</v>
      </c>
      <c r="I1419" s="18" t="s">
        <v>82</v>
      </c>
      <c r="J1419" s="19">
        <f t="shared" si="94"/>
        <v>0.13857958761208369</v>
      </c>
    </row>
    <row r="1420" spans="1:10" x14ac:dyDescent="0.3">
      <c r="A1420" t="s">
        <v>8</v>
      </c>
      <c r="B1420" t="s">
        <v>12</v>
      </c>
      <c r="C1420" t="s">
        <v>92</v>
      </c>
      <c r="D1420" s="133">
        <v>1</v>
      </c>
      <c r="E1420" s="134">
        <v>2559.4499999999998</v>
      </c>
      <c r="F1420" s="17">
        <f t="shared" si="93"/>
        <v>2559.4499999999998</v>
      </c>
      <c r="G1420" s="18" t="s">
        <v>192</v>
      </c>
      <c r="H1420" s="135">
        <v>187961</v>
      </c>
      <c r="I1420" s="18" t="s">
        <v>82</v>
      </c>
      <c r="J1420" s="19">
        <f t="shared" si="94"/>
        <v>0.13857958761208369</v>
      </c>
    </row>
    <row r="1421" spans="1:10" x14ac:dyDescent="0.3">
      <c r="A1421" t="s">
        <v>8</v>
      </c>
      <c r="B1421" t="s">
        <v>14</v>
      </c>
      <c r="C1421" t="s">
        <v>53</v>
      </c>
      <c r="D1421" s="133">
        <v>7</v>
      </c>
      <c r="E1421" s="134">
        <v>36100.97</v>
      </c>
      <c r="F1421" s="17">
        <f>IF(E1421="","",E1421)</f>
        <v>36100.97</v>
      </c>
      <c r="G1421" s="18" t="s">
        <v>198</v>
      </c>
      <c r="H1421" s="135">
        <v>1028</v>
      </c>
      <c r="I1421" s="18" t="s">
        <v>93</v>
      </c>
      <c r="J1421" s="19">
        <f t="shared" si="94"/>
        <v>43.540891487759104</v>
      </c>
    </row>
    <row r="1422" spans="1:10" x14ac:dyDescent="0.3">
      <c r="A1422" t="s">
        <v>8</v>
      </c>
      <c r="B1422" t="s">
        <v>14</v>
      </c>
      <c r="C1422" t="s">
        <v>87</v>
      </c>
      <c r="D1422" s="133">
        <v>8</v>
      </c>
      <c r="E1422" s="134">
        <v>50</v>
      </c>
      <c r="F1422" s="17">
        <f t="shared" ref="F1422:F1437" si="95">D1422*E1422</f>
        <v>400</v>
      </c>
      <c r="G1422" s="18" t="s">
        <v>192</v>
      </c>
      <c r="H1422" s="135">
        <v>1028</v>
      </c>
      <c r="I1422" s="18" t="s">
        <v>93</v>
      </c>
      <c r="J1422" s="19">
        <f t="shared" si="94"/>
        <v>43.540891487759104</v>
      </c>
    </row>
    <row r="1423" spans="1:10" x14ac:dyDescent="0.3">
      <c r="A1423" t="s">
        <v>8</v>
      </c>
      <c r="B1423" t="s">
        <v>14</v>
      </c>
      <c r="C1423" t="s">
        <v>74</v>
      </c>
      <c r="D1423" s="60">
        <v>0</v>
      </c>
      <c r="E1423" s="17"/>
      <c r="F1423" s="17">
        <f t="shared" si="95"/>
        <v>0</v>
      </c>
      <c r="G1423" s="18"/>
      <c r="H1423" s="135">
        <v>1028</v>
      </c>
      <c r="I1423" s="18" t="s">
        <v>93</v>
      </c>
      <c r="J1423" s="19">
        <f t="shared" si="94"/>
        <v>43.540891487759104</v>
      </c>
    </row>
    <row r="1424" spans="1:10" x14ac:dyDescent="0.3">
      <c r="A1424" t="s">
        <v>8</v>
      </c>
      <c r="B1424" t="s">
        <v>14</v>
      </c>
      <c r="C1424" t="s">
        <v>62</v>
      </c>
      <c r="D1424" s="60">
        <v>0</v>
      </c>
      <c r="E1424" s="17"/>
      <c r="F1424" s="17">
        <f t="shared" si="95"/>
        <v>0</v>
      </c>
      <c r="G1424" s="18"/>
      <c r="H1424" s="135">
        <v>1028</v>
      </c>
      <c r="I1424" s="18" t="s">
        <v>93</v>
      </c>
      <c r="J1424" s="19">
        <f t="shared" si="94"/>
        <v>43.540891487759104</v>
      </c>
    </row>
    <row r="1425" spans="1:10" x14ac:dyDescent="0.3">
      <c r="A1425" t="s">
        <v>8</v>
      </c>
      <c r="B1425" t="s">
        <v>14</v>
      </c>
      <c r="C1425" t="s">
        <v>58</v>
      </c>
      <c r="D1425" s="133">
        <v>7</v>
      </c>
      <c r="E1425" s="37">
        <v>9.918365758754863</v>
      </c>
      <c r="F1425" s="17">
        <f t="shared" si="95"/>
        <v>69.428560311284045</v>
      </c>
      <c r="G1425" s="18"/>
      <c r="H1425" s="135">
        <v>1028</v>
      </c>
      <c r="I1425" s="18" t="s">
        <v>93</v>
      </c>
      <c r="J1425" s="19">
        <f t="shared" si="94"/>
        <v>43.540891487759104</v>
      </c>
    </row>
    <row r="1426" spans="1:10" x14ac:dyDescent="0.3">
      <c r="A1426" t="s">
        <v>8</v>
      </c>
      <c r="B1426" t="s">
        <v>14</v>
      </c>
      <c r="C1426" t="s">
        <v>59</v>
      </c>
      <c r="D1426" s="133">
        <v>7</v>
      </c>
      <c r="E1426" s="37">
        <v>2.049698443579766</v>
      </c>
      <c r="F1426" s="17">
        <f t="shared" si="95"/>
        <v>14.347889105058362</v>
      </c>
      <c r="G1426" s="18"/>
      <c r="H1426" s="135">
        <v>1028</v>
      </c>
      <c r="I1426" s="18" t="s">
        <v>93</v>
      </c>
      <c r="J1426" s="19">
        <f t="shared" si="94"/>
        <v>43.540891487759104</v>
      </c>
    </row>
    <row r="1427" spans="1:10" x14ac:dyDescent="0.3">
      <c r="A1427" t="s">
        <v>8</v>
      </c>
      <c r="B1427" t="s">
        <v>14</v>
      </c>
      <c r="C1427" t="s">
        <v>70</v>
      </c>
      <c r="D1427" s="60">
        <v>0</v>
      </c>
      <c r="E1427" s="17"/>
      <c r="F1427" s="17">
        <f t="shared" si="95"/>
        <v>0</v>
      </c>
      <c r="G1427" s="18"/>
      <c r="H1427" s="135">
        <v>1028</v>
      </c>
      <c r="I1427" s="18" t="s">
        <v>93</v>
      </c>
      <c r="J1427" s="19">
        <f t="shared" si="94"/>
        <v>43.540891487759104</v>
      </c>
    </row>
    <row r="1428" spans="1:10" x14ac:dyDescent="0.3">
      <c r="A1428" t="s">
        <v>8</v>
      </c>
      <c r="B1428" t="s">
        <v>14</v>
      </c>
      <c r="C1428" t="s">
        <v>72</v>
      </c>
      <c r="D1428" s="133">
        <v>1</v>
      </c>
      <c r="E1428" s="134">
        <v>153.58000000000001</v>
      </c>
      <c r="F1428" s="17">
        <f t="shared" si="95"/>
        <v>153.58000000000001</v>
      </c>
      <c r="G1428" s="18" t="s">
        <v>192</v>
      </c>
      <c r="H1428" s="135">
        <v>1028</v>
      </c>
      <c r="I1428" s="18" t="s">
        <v>93</v>
      </c>
      <c r="J1428" s="19">
        <f t="shared" si="94"/>
        <v>43.540891487759104</v>
      </c>
    </row>
    <row r="1429" spans="1:10" x14ac:dyDescent="0.3">
      <c r="A1429" t="s">
        <v>8</v>
      </c>
      <c r="B1429" t="s">
        <v>14</v>
      </c>
      <c r="C1429" t="s">
        <v>94</v>
      </c>
      <c r="D1429" s="133">
        <v>2</v>
      </c>
      <c r="E1429" s="134">
        <v>30</v>
      </c>
      <c r="F1429" s="17">
        <f t="shared" si="95"/>
        <v>60</v>
      </c>
      <c r="G1429" s="18" t="s">
        <v>192</v>
      </c>
      <c r="H1429" s="135">
        <v>1028</v>
      </c>
      <c r="I1429" s="18" t="s">
        <v>93</v>
      </c>
      <c r="J1429" s="19">
        <f t="shared" si="94"/>
        <v>43.540891487759104</v>
      </c>
    </row>
    <row r="1430" spans="1:10" x14ac:dyDescent="0.3">
      <c r="A1430" t="s">
        <v>8</v>
      </c>
      <c r="B1430" t="s">
        <v>14</v>
      </c>
      <c r="C1430" t="s">
        <v>76</v>
      </c>
      <c r="D1430" s="133">
        <v>0</v>
      </c>
      <c r="E1430" s="134">
        <v>0</v>
      </c>
      <c r="F1430" s="17">
        <f t="shared" si="95"/>
        <v>0</v>
      </c>
      <c r="G1430" s="18" t="s">
        <v>170</v>
      </c>
      <c r="H1430" s="135">
        <v>1028</v>
      </c>
      <c r="I1430" s="18" t="s">
        <v>93</v>
      </c>
      <c r="J1430" s="19">
        <f t="shared" si="94"/>
        <v>43.540891487759104</v>
      </c>
    </row>
    <row r="1431" spans="1:10" x14ac:dyDescent="0.3">
      <c r="A1431" t="s">
        <v>8</v>
      </c>
      <c r="B1431" t="s">
        <v>14</v>
      </c>
      <c r="C1431" t="s">
        <v>95</v>
      </c>
      <c r="D1431" s="60">
        <v>1</v>
      </c>
      <c r="E1431" s="134">
        <v>0</v>
      </c>
      <c r="F1431" s="17">
        <f t="shared" si="95"/>
        <v>0</v>
      </c>
      <c r="G1431" s="133" t="s">
        <v>65</v>
      </c>
      <c r="H1431" s="135">
        <v>1028</v>
      </c>
      <c r="I1431" s="18" t="s">
        <v>93</v>
      </c>
      <c r="J1431" s="19">
        <f t="shared" si="94"/>
        <v>43.540891487759104</v>
      </c>
    </row>
    <row r="1432" spans="1:10" x14ac:dyDescent="0.3">
      <c r="A1432" t="s">
        <v>8</v>
      </c>
      <c r="B1432" t="s">
        <v>14</v>
      </c>
      <c r="C1432" t="s">
        <v>64</v>
      </c>
      <c r="D1432" s="60">
        <v>1</v>
      </c>
      <c r="E1432" s="134">
        <v>75.540000000000006</v>
      </c>
      <c r="F1432" s="17">
        <f t="shared" si="95"/>
        <v>75.540000000000006</v>
      </c>
      <c r="G1432" s="133" t="s">
        <v>65</v>
      </c>
      <c r="H1432" s="135">
        <v>1028</v>
      </c>
      <c r="I1432" s="18" t="s">
        <v>93</v>
      </c>
      <c r="J1432" s="19">
        <f t="shared" si="94"/>
        <v>43.540891487759104</v>
      </c>
    </row>
    <row r="1433" spans="1:10" x14ac:dyDescent="0.3">
      <c r="A1433" t="s">
        <v>8</v>
      </c>
      <c r="B1433" t="s">
        <v>14</v>
      </c>
      <c r="C1433" t="s">
        <v>73</v>
      </c>
      <c r="D1433" s="60">
        <v>0</v>
      </c>
      <c r="E1433" s="17"/>
      <c r="F1433" s="17">
        <f t="shared" si="95"/>
        <v>0</v>
      </c>
      <c r="G1433" s="18"/>
      <c r="H1433" s="135">
        <v>1028</v>
      </c>
      <c r="I1433" s="18" t="s">
        <v>93</v>
      </c>
      <c r="J1433" s="19">
        <f t="shared" si="94"/>
        <v>43.540891487759104</v>
      </c>
    </row>
    <row r="1434" spans="1:10" x14ac:dyDescent="0.3">
      <c r="A1434" t="s">
        <v>8</v>
      </c>
      <c r="B1434" t="s">
        <v>14</v>
      </c>
      <c r="C1434" t="s">
        <v>89</v>
      </c>
      <c r="D1434" s="60">
        <v>0</v>
      </c>
      <c r="E1434" s="17"/>
      <c r="F1434" s="17">
        <f t="shared" si="95"/>
        <v>0</v>
      </c>
      <c r="G1434" s="18"/>
      <c r="H1434" s="135">
        <v>1028</v>
      </c>
      <c r="I1434" s="18" t="s">
        <v>93</v>
      </c>
      <c r="J1434" s="19">
        <f t="shared" si="94"/>
        <v>43.540891487759104</v>
      </c>
    </row>
    <row r="1435" spans="1:10" x14ac:dyDescent="0.3">
      <c r="A1435" t="s">
        <v>8</v>
      </c>
      <c r="B1435" t="s">
        <v>14</v>
      </c>
      <c r="C1435" t="s">
        <v>96</v>
      </c>
      <c r="D1435" s="133">
        <v>1</v>
      </c>
      <c r="E1435" s="134">
        <v>4226.8</v>
      </c>
      <c r="F1435" s="17">
        <f t="shared" si="95"/>
        <v>4226.8</v>
      </c>
      <c r="G1435" s="18" t="s">
        <v>192</v>
      </c>
      <c r="H1435" s="135">
        <v>1028</v>
      </c>
      <c r="I1435" s="18" t="s">
        <v>93</v>
      </c>
      <c r="J1435" s="19">
        <f t="shared" si="94"/>
        <v>43.540891487759104</v>
      </c>
    </row>
    <row r="1436" spans="1:10" x14ac:dyDescent="0.3">
      <c r="A1436" t="s">
        <v>8</v>
      </c>
      <c r="B1436" t="s">
        <v>14</v>
      </c>
      <c r="C1436" t="s">
        <v>97</v>
      </c>
      <c r="D1436" s="133">
        <v>1</v>
      </c>
      <c r="E1436" s="134">
        <v>2559.44</v>
      </c>
      <c r="F1436" s="17">
        <f t="shared" si="95"/>
        <v>2559.44</v>
      </c>
      <c r="G1436" s="18" t="s">
        <v>192</v>
      </c>
      <c r="H1436" s="135">
        <v>1028</v>
      </c>
      <c r="I1436" s="18" t="s">
        <v>93</v>
      </c>
      <c r="J1436" s="19">
        <f t="shared" si="94"/>
        <v>43.540891487759104</v>
      </c>
    </row>
    <row r="1437" spans="1:10" x14ac:dyDescent="0.3">
      <c r="A1437" t="s">
        <v>8</v>
      </c>
      <c r="B1437" t="s">
        <v>14</v>
      </c>
      <c r="C1437" t="s">
        <v>98</v>
      </c>
      <c r="D1437" s="133">
        <v>1</v>
      </c>
      <c r="E1437" s="134">
        <v>1099.93</v>
      </c>
      <c r="F1437" s="17">
        <f t="shared" si="95"/>
        <v>1099.93</v>
      </c>
      <c r="G1437" s="18" t="s">
        <v>192</v>
      </c>
      <c r="H1437" s="135">
        <v>1028</v>
      </c>
      <c r="I1437" s="18" t="s">
        <v>93</v>
      </c>
      <c r="J1437" s="19">
        <f t="shared" si="94"/>
        <v>43.540891487759104</v>
      </c>
    </row>
    <row r="1438" spans="1:10" x14ac:dyDescent="0.3">
      <c r="A1438" t="s">
        <v>8</v>
      </c>
      <c r="B1438" t="s">
        <v>13</v>
      </c>
      <c r="C1438" t="s">
        <v>99</v>
      </c>
      <c r="D1438" s="133">
        <v>5</v>
      </c>
      <c r="E1438" s="134">
        <v>16792.47</v>
      </c>
      <c r="F1438" s="17">
        <f>IF(E1438="","",E1438)</f>
        <v>16792.47</v>
      </c>
      <c r="G1438" s="18" t="s">
        <v>197</v>
      </c>
      <c r="H1438" s="135">
        <v>201491</v>
      </c>
      <c r="I1438" s="18" t="s">
        <v>54</v>
      </c>
      <c r="J1438" s="19">
        <f t="shared" si="94"/>
        <v>8.787994435064031E-2</v>
      </c>
    </row>
    <row r="1439" spans="1:10" x14ac:dyDescent="0.3">
      <c r="A1439" t="s">
        <v>8</v>
      </c>
      <c r="B1439" t="s">
        <v>13</v>
      </c>
      <c r="C1439" t="s">
        <v>55</v>
      </c>
      <c r="D1439" s="133">
        <v>5</v>
      </c>
      <c r="E1439" s="134">
        <v>47.658741879775853</v>
      </c>
      <c r="F1439" s="17">
        <f t="shared" ref="F1439:F1453" si="96">D1439*E1439</f>
        <v>238.29370939887926</v>
      </c>
      <c r="G1439" s="18"/>
      <c r="H1439" s="135">
        <v>201491</v>
      </c>
      <c r="I1439" s="18" t="s">
        <v>54</v>
      </c>
      <c r="J1439" s="19">
        <f t="shared" si="94"/>
        <v>8.787994435064031E-2</v>
      </c>
    </row>
    <row r="1440" spans="1:10" x14ac:dyDescent="0.3">
      <c r="A1440" t="s">
        <v>8</v>
      </c>
      <c r="B1440" t="s">
        <v>13</v>
      </c>
      <c r="C1440" t="s">
        <v>26</v>
      </c>
      <c r="D1440" s="133">
        <v>5</v>
      </c>
      <c r="E1440" s="134">
        <v>29.741875861103122</v>
      </c>
      <c r="F1440" s="17">
        <f t="shared" si="96"/>
        <v>148.7093793055156</v>
      </c>
      <c r="G1440" s="18"/>
      <c r="H1440" s="135">
        <v>201491</v>
      </c>
      <c r="I1440" s="18" t="s">
        <v>54</v>
      </c>
      <c r="J1440" s="19">
        <f t="shared" si="94"/>
        <v>8.787994435064031E-2</v>
      </c>
    </row>
    <row r="1441" spans="1:10" x14ac:dyDescent="0.3">
      <c r="A1441" t="s">
        <v>8</v>
      </c>
      <c r="B1441" t="s">
        <v>13</v>
      </c>
      <c r="C1441" t="s">
        <v>14</v>
      </c>
      <c r="D1441" s="133">
        <v>5</v>
      </c>
      <c r="E1441" s="134">
        <v>43.540891487759097</v>
      </c>
      <c r="F1441" s="17">
        <f t="shared" si="96"/>
        <v>217.70445743879549</v>
      </c>
      <c r="G1441" s="18"/>
      <c r="H1441" s="135">
        <v>201491</v>
      </c>
      <c r="I1441" s="18" t="s">
        <v>54</v>
      </c>
      <c r="J1441" s="19">
        <f t="shared" si="94"/>
        <v>8.787994435064031E-2</v>
      </c>
    </row>
    <row r="1442" spans="1:10" x14ac:dyDescent="0.3">
      <c r="A1442" t="s">
        <v>8</v>
      </c>
      <c r="B1442" t="s">
        <v>13</v>
      </c>
      <c r="C1442" t="s">
        <v>87</v>
      </c>
      <c r="D1442" s="133">
        <v>5</v>
      </c>
      <c r="E1442" s="134">
        <v>50</v>
      </c>
      <c r="F1442" s="17">
        <f t="shared" si="96"/>
        <v>250</v>
      </c>
      <c r="G1442" s="18" t="s">
        <v>192</v>
      </c>
      <c r="H1442" s="135">
        <v>201491</v>
      </c>
      <c r="I1442" s="18" t="s">
        <v>54</v>
      </c>
      <c r="J1442" s="19">
        <f t="shared" si="94"/>
        <v>8.787994435064031E-2</v>
      </c>
    </row>
    <row r="1443" spans="1:10" x14ac:dyDescent="0.3">
      <c r="A1443" t="s">
        <v>8</v>
      </c>
      <c r="B1443" t="s">
        <v>13</v>
      </c>
      <c r="C1443" t="s">
        <v>70</v>
      </c>
      <c r="D1443" s="60">
        <v>0</v>
      </c>
      <c r="E1443" s="17"/>
      <c r="F1443" s="17">
        <f t="shared" si="96"/>
        <v>0</v>
      </c>
      <c r="G1443" s="18"/>
      <c r="H1443" s="135">
        <v>201491</v>
      </c>
      <c r="I1443" s="18" t="s">
        <v>54</v>
      </c>
      <c r="J1443" s="19">
        <f t="shared" si="94"/>
        <v>8.787994435064031E-2</v>
      </c>
    </row>
    <row r="1444" spans="1:10" x14ac:dyDescent="0.3">
      <c r="A1444" t="s">
        <v>8</v>
      </c>
      <c r="B1444" t="s">
        <v>13</v>
      </c>
      <c r="C1444" t="s">
        <v>76</v>
      </c>
      <c r="D1444" s="133">
        <v>0</v>
      </c>
      <c r="E1444" s="134">
        <v>0</v>
      </c>
      <c r="F1444" s="17">
        <f t="shared" si="96"/>
        <v>0</v>
      </c>
      <c r="G1444" s="18" t="s">
        <v>170</v>
      </c>
      <c r="H1444" s="135">
        <v>201491</v>
      </c>
      <c r="I1444" s="18" t="s">
        <v>54</v>
      </c>
      <c r="J1444" s="19">
        <f t="shared" si="94"/>
        <v>8.787994435064031E-2</v>
      </c>
    </row>
    <row r="1445" spans="1:10" x14ac:dyDescent="0.3">
      <c r="A1445" t="s">
        <v>8</v>
      </c>
      <c r="B1445" t="s">
        <v>13</v>
      </c>
      <c r="C1445" t="s">
        <v>71</v>
      </c>
      <c r="D1445" s="133">
        <v>0</v>
      </c>
      <c r="E1445" s="134">
        <v>0</v>
      </c>
      <c r="F1445" s="17">
        <f t="shared" si="96"/>
        <v>0</v>
      </c>
      <c r="G1445" s="18" t="s">
        <v>170</v>
      </c>
      <c r="H1445" s="135">
        <v>201491</v>
      </c>
      <c r="I1445" s="18" t="s">
        <v>54</v>
      </c>
      <c r="J1445" s="19">
        <f t="shared" si="94"/>
        <v>8.787994435064031E-2</v>
      </c>
    </row>
    <row r="1446" spans="1:10" x14ac:dyDescent="0.3">
      <c r="A1446" t="s">
        <v>8</v>
      </c>
      <c r="B1446" t="s">
        <v>13</v>
      </c>
      <c r="C1446" t="s">
        <v>83</v>
      </c>
      <c r="D1446" s="60">
        <v>0</v>
      </c>
      <c r="E1446" s="17"/>
      <c r="F1446" s="17">
        <f t="shared" si="96"/>
        <v>0</v>
      </c>
      <c r="G1446" s="18"/>
      <c r="H1446" s="135">
        <v>201491</v>
      </c>
      <c r="I1446" s="18" t="s">
        <v>54</v>
      </c>
      <c r="J1446" s="19">
        <f t="shared" si="94"/>
        <v>8.787994435064031E-2</v>
      </c>
    </row>
    <row r="1447" spans="1:10" x14ac:dyDescent="0.3">
      <c r="A1447" t="s">
        <v>8</v>
      </c>
      <c r="B1447" t="s">
        <v>13</v>
      </c>
      <c r="C1447" t="s">
        <v>58</v>
      </c>
      <c r="D1447" s="133">
        <v>5</v>
      </c>
      <c r="E1447" s="37">
        <v>9.918365758754863</v>
      </c>
      <c r="F1447" s="17">
        <f t="shared" si="96"/>
        <v>49.591828793774312</v>
      </c>
      <c r="G1447" s="18"/>
      <c r="H1447" s="135">
        <v>201491</v>
      </c>
      <c r="I1447" s="18" t="s">
        <v>54</v>
      </c>
      <c r="J1447" s="19">
        <f t="shared" si="94"/>
        <v>8.787994435064031E-2</v>
      </c>
    </row>
    <row r="1448" spans="1:10" x14ac:dyDescent="0.3">
      <c r="A1448" t="s">
        <v>8</v>
      </c>
      <c r="B1448" t="s">
        <v>13</v>
      </c>
      <c r="C1448" t="s">
        <v>59</v>
      </c>
      <c r="D1448" s="133">
        <v>5</v>
      </c>
      <c r="E1448" s="37">
        <v>2.049698443579766</v>
      </c>
      <c r="F1448" s="17">
        <f t="shared" si="96"/>
        <v>10.24849221789883</v>
      </c>
      <c r="G1448" s="18"/>
      <c r="H1448" s="135">
        <v>201491</v>
      </c>
      <c r="I1448" s="18" t="s">
        <v>54</v>
      </c>
      <c r="J1448" s="19">
        <f t="shared" si="94"/>
        <v>8.787994435064031E-2</v>
      </c>
    </row>
    <row r="1449" spans="1:10" x14ac:dyDescent="0.3">
      <c r="A1449" t="s">
        <v>8</v>
      </c>
      <c r="B1449" t="s">
        <v>13</v>
      </c>
      <c r="C1449" t="s">
        <v>74</v>
      </c>
      <c r="D1449" s="60">
        <v>0</v>
      </c>
      <c r="E1449" s="17"/>
      <c r="F1449" s="17">
        <f t="shared" si="96"/>
        <v>0</v>
      </c>
      <c r="G1449" s="18"/>
      <c r="H1449" s="135">
        <v>201491</v>
      </c>
      <c r="I1449" s="18" t="s">
        <v>54</v>
      </c>
      <c r="J1449" s="19">
        <f t="shared" si="94"/>
        <v>8.787994435064031E-2</v>
      </c>
    </row>
    <row r="1450" spans="1:10" x14ac:dyDescent="0.3">
      <c r="A1450" t="s">
        <v>8</v>
      </c>
      <c r="B1450" t="s">
        <v>13</v>
      </c>
      <c r="C1450" t="s">
        <v>62</v>
      </c>
      <c r="D1450" s="60">
        <v>0</v>
      </c>
      <c r="E1450" s="17"/>
      <c r="F1450" s="17">
        <f t="shared" si="96"/>
        <v>0</v>
      </c>
      <c r="G1450" s="18"/>
      <c r="H1450" s="135">
        <v>201491</v>
      </c>
      <c r="I1450" s="18" t="s">
        <v>54</v>
      </c>
      <c r="J1450" s="19">
        <f t="shared" si="94"/>
        <v>8.787994435064031E-2</v>
      </c>
    </row>
    <row r="1451" spans="1:10" x14ac:dyDescent="0.3">
      <c r="A1451" t="s">
        <v>8</v>
      </c>
      <c r="B1451" t="s">
        <v>13</v>
      </c>
      <c r="C1451" t="s">
        <v>75</v>
      </c>
      <c r="D1451" s="60">
        <v>0</v>
      </c>
      <c r="E1451" s="17"/>
      <c r="F1451" s="17">
        <f t="shared" si="96"/>
        <v>0</v>
      </c>
      <c r="G1451" s="18"/>
      <c r="H1451" s="135">
        <v>201491</v>
      </c>
      <c r="I1451" s="18" t="s">
        <v>54</v>
      </c>
      <c r="J1451" s="19">
        <f t="shared" si="94"/>
        <v>8.787994435064031E-2</v>
      </c>
    </row>
    <row r="1452" spans="1:10" x14ac:dyDescent="0.3">
      <c r="A1452" t="s">
        <v>8</v>
      </c>
      <c r="B1452" t="s">
        <v>13</v>
      </c>
      <c r="C1452" t="s">
        <v>64</v>
      </c>
      <c r="D1452" s="60">
        <v>0</v>
      </c>
      <c r="E1452" s="17"/>
      <c r="F1452" s="17">
        <f t="shared" si="96"/>
        <v>0</v>
      </c>
      <c r="G1452" s="18"/>
      <c r="H1452" s="135">
        <v>201491</v>
      </c>
      <c r="I1452" s="18" t="s">
        <v>54</v>
      </c>
      <c r="J1452" s="19">
        <f t="shared" si="94"/>
        <v>8.787994435064031E-2</v>
      </c>
    </row>
    <row r="1453" spans="1:10" x14ac:dyDescent="0.3">
      <c r="A1453" t="s">
        <v>8</v>
      </c>
      <c r="B1453" t="s">
        <v>13</v>
      </c>
      <c r="C1453" t="s">
        <v>67</v>
      </c>
      <c r="D1453" s="60">
        <v>0</v>
      </c>
      <c r="E1453" s="17"/>
      <c r="F1453" s="17">
        <f t="shared" si="96"/>
        <v>0</v>
      </c>
      <c r="G1453" s="18"/>
      <c r="H1453" s="135">
        <v>201491</v>
      </c>
      <c r="I1453" s="18" t="s">
        <v>54</v>
      </c>
      <c r="J1453" s="19">
        <f t="shared" si="94"/>
        <v>8.787994435064031E-2</v>
      </c>
    </row>
    <row r="1454" spans="1:10" x14ac:dyDescent="0.3">
      <c r="A1454" t="s">
        <v>8</v>
      </c>
      <c r="B1454" t="s">
        <v>15</v>
      </c>
      <c r="C1454" t="s">
        <v>100</v>
      </c>
      <c r="D1454" s="133">
        <v>13</v>
      </c>
      <c r="E1454" s="134">
        <v>70861.78</v>
      </c>
      <c r="F1454" s="17">
        <f>IF(E1454="","",E1454)</f>
        <v>70861.78</v>
      </c>
      <c r="G1454" s="18" t="s">
        <v>209</v>
      </c>
      <c r="H1454" s="135">
        <v>187961</v>
      </c>
      <c r="I1454" s="18" t="s">
        <v>82</v>
      </c>
      <c r="J1454" s="19">
        <f t="shared" si="94"/>
        <v>0.39817134647401664</v>
      </c>
    </row>
    <row r="1455" spans="1:10" x14ac:dyDescent="0.3">
      <c r="A1455" t="s">
        <v>8</v>
      </c>
      <c r="B1455" t="s">
        <v>15</v>
      </c>
      <c r="C1455" t="s">
        <v>55</v>
      </c>
      <c r="D1455" s="133">
        <v>13</v>
      </c>
      <c r="E1455" s="134">
        <v>47.658741879775853</v>
      </c>
      <c r="F1455" s="17">
        <f t="shared" ref="F1455:F1479" si="97">D1455*E1455</f>
        <v>619.56364443708605</v>
      </c>
      <c r="G1455" s="18"/>
      <c r="H1455" s="135">
        <v>187961</v>
      </c>
      <c r="I1455" s="18" t="s">
        <v>82</v>
      </c>
      <c r="J1455" s="19">
        <f t="shared" si="94"/>
        <v>0.39817134647401664</v>
      </c>
    </row>
    <row r="1456" spans="1:10" x14ac:dyDescent="0.3">
      <c r="A1456" t="s">
        <v>8</v>
      </c>
      <c r="B1456" t="s">
        <v>15</v>
      </c>
      <c r="C1456" t="s">
        <v>26</v>
      </c>
      <c r="D1456" s="133">
        <v>13</v>
      </c>
      <c r="E1456" s="134">
        <v>29.741875861103122</v>
      </c>
      <c r="F1456" s="17">
        <f t="shared" si="97"/>
        <v>386.6443861943406</v>
      </c>
      <c r="G1456" s="18"/>
      <c r="H1456" s="135">
        <v>187961</v>
      </c>
      <c r="I1456" s="18" t="s">
        <v>82</v>
      </c>
      <c r="J1456" s="19">
        <f t="shared" si="94"/>
        <v>0.39817134647401664</v>
      </c>
    </row>
    <row r="1457" spans="1:10" x14ac:dyDescent="0.3">
      <c r="A1457" t="s">
        <v>8</v>
      </c>
      <c r="B1457" t="s">
        <v>15</v>
      </c>
      <c r="C1457" t="s">
        <v>14</v>
      </c>
      <c r="D1457" s="133">
        <v>13</v>
      </c>
      <c r="E1457" s="134">
        <v>43.540891487759097</v>
      </c>
      <c r="F1457" s="17">
        <f t="shared" si="97"/>
        <v>566.03158934086832</v>
      </c>
      <c r="G1457" s="18"/>
      <c r="H1457" s="135">
        <v>187961</v>
      </c>
      <c r="I1457" s="18" t="s">
        <v>82</v>
      </c>
      <c r="J1457" s="19">
        <f t="shared" si="94"/>
        <v>0.39817134647401664</v>
      </c>
    </row>
    <row r="1458" spans="1:10" x14ac:dyDescent="0.3">
      <c r="A1458" t="s">
        <v>8</v>
      </c>
      <c r="B1458" t="s">
        <v>15</v>
      </c>
      <c r="C1458" t="s">
        <v>56</v>
      </c>
      <c r="D1458" s="133">
        <v>11</v>
      </c>
      <c r="E1458" s="134">
        <v>50</v>
      </c>
      <c r="F1458" s="17">
        <f t="shared" si="97"/>
        <v>550</v>
      </c>
      <c r="G1458" s="18" t="s">
        <v>192</v>
      </c>
      <c r="H1458" s="135">
        <v>187961</v>
      </c>
      <c r="I1458" s="18" t="s">
        <v>82</v>
      </c>
      <c r="J1458" s="19">
        <f t="shared" si="94"/>
        <v>0.39817134647401664</v>
      </c>
    </row>
    <row r="1459" spans="1:10" x14ac:dyDescent="0.3">
      <c r="A1459" t="s">
        <v>8</v>
      </c>
      <c r="B1459" t="s">
        <v>15</v>
      </c>
      <c r="C1459" t="s">
        <v>70</v>
      </c>
      <c r="D1459" s="60">
        <v>0</v>
      </c>
      <c r="E1459" s="17"/>
      <c r="F1459" s="17">
        <f t="shared" si="97"/>
        <v>0</v>
      </c>
      <c r="G1459" s="18"/>
      <c r="H1459" s="135">
        <v>187961</v>
      </c>
      <c r="I1459" s="18" t="s">
        <v>82</v>
      </c>
      <c r="J1459" s="19">
        <f t="shared" si="94"/>
        <v>0.39817134647401664</v>
      </c>
    </row>
    <row r="1460" spans="1:10" x14ac:dyDescent="0.3">
      <c r="A1460" t="s">
        <v>8</v>
      </c>
      <c r="B1460" t="s">
        <v>15</v>
      </c>
      <c r="C1460" t="s">
        <v>76</v>
      </c>
      <c r="D1460" s="133">
        <v>8</v>
      </c>
      <c r="E1460" s="134">
        <v>30</v>
      </c>
      <c r="F1460" s="17">
        <f t="shared" si="97"/>
        <v>240</v>
      </c>
      <c r="G1460" s="18" t="s">
        <v>192</v>
      </c>
      <c r="H1460" s="135">
        <v>187961</v>
      </c>
      <c r="I1460" s="18" t="s">
        <v>82</v>
      </c>
      <c r="J1460" s="19">
        <f t="shared" si="94"/>
        <v>0.39817134647401664</v>
      </c>
    </row>
    <row r="1461" spans="1:10" x14ac:dyDescent="0.3">
      <c r="A1461" t="s">
        <v>8</v>
      </c>
      <c r="B1461" t="s">
        <v>15</v>
      </c>
      <c r="C1461" t="s">
        <v>72</v>
      </c>
      <c r="D1461" s="133">
        <v>1</v>
      </c>
      <c r="E1461" s="134">
        <v>128.68</v>
      </c>
      <c r="F1461" s="17">
        <f t="shared" si="97"/>
        <v>128.68</v>
      </c>
      <c r="G1461" s="18" t="s">
        <v>192</v>
      </c>
      <c r="H1461" s="135">
        <v>187961</v>
      </c>
      <c r="I1461" s="18" t="s">
        <v>82</v>
      </c>
      <c r="J1461" s="19">
        <f t="shared" si="94"/>
        <v>0.39817134647401664</v>
      </c>
    </row>
    <row r="1462" spans="1:10" x14ac:dyDescent="0.3">
      <c r="A1462" t="s">
        <v>8</v>
      </c>
      <c r="B1462" t="s">
        <v>15</v>
      </c>
      <c r="C1462" t="s">
        <v>101</v>
      </c>
      <c r="D1462" s="60">
        <v>1</v>
      </c>
      <c r="E1462" s="37">
        <v>666.2</v>
      </c>
      <c r="F1462" s="17">
        <f t="shared" si="97"/>
        <v>666.2</v>
      </c>
      <c r="G1462" s="18" t="s">
        <v>192</v>
      </c>
      <c r="H1462" s="135">
        <v>187961</v>
      </c>
      <c r="I1462" s="18" t="s">
        <v>82</v>
      </c>
      <c r="J1462" s="19">
        <f t="shared" si="94"/>
        <v>0.39817134647401664</v>
      </c>
    </row>
    <row r="1463" spans="1:10" x14ac:dyDescent="0.3">
      <c r="A1463" t="s">
        <v>8</v>
      </c>
      <c r="B1463" t="s">
        <v>15</v>
      </c>
      <c r="C1463" t="s">
        <v>58</v>
      </c>
      <c r="D1463" s="133">
        <v>13</v>
      </c>
      <c r="E1463" s="37">
        <v>9.918365758754863</v>
      </c>
      <c r="F1463" s="17">
        <f t="shared" si="97"/>
        <v>128.93875486381322</v>
      </c>
      <c r="G1463" s="18"/>
      <c r="H1463" s="135">
        <v>187961</v>
      </c>
      <c r="I1463" s="18" t="s">
        <v>82</v>
      </c>
      <c r="J1463" s="19">
        <f t="shared" si="94"/>
        <v>0.39817134647401664</v>
      </c>
    </row>
    <row r="1464" spans="1:10" x14ac:dyDescent="0.3">
      <c r="A1464" t="s">
        <v>8</v>
      </c>
      <c r="B1464" t="s">
        <v>15</v>
      </c>
      <c r="C1464" t="s">
        <v>59</v>
      </c>
      <c r="D1464" s="133">
        <v>13</v>
      </c>
      <c r="E1464" s="37">
        <v>2.049698443579766</v>
      </c>
      <c r="F1464" s="17">
        <f t="shared" si="97"/>
        <v>26.646079766536957</v>
      </c>
      <c r="G1464" s="18"/>
      <c r="H1464" s="135">
        <v>187961</v>
      </c>
      <c r="I1464" s="18" t="s">
        <v>82</v>
      </c>
      <c r="J1464" s="19">
        <f t="shared" si="94"/>
        <v>0.39817134647401664</v>
      </c>
    </row>
    <row r="1465" spans="1:10" x14ac:dyDescent="0.3">
      <c r="A1465" t="s">
        <v>8</v>
      </c>
      <c r="B1465" t="s">
        <v>15</v>
      </c>
      <c r="C1465" t="s">
        <v>102</v>
      </c>
      <c r="D1465" s="60">
        <v>1</v>
      </c>
      <c r="E1465" s="17"/>
      <c r="F1465" s="17">
        <f t="shared" si="97"/>
        <v>0</v>
      </c>
      <c r="G1465" s="18"/>
      <c r="H1465" s="135">
        <v>187961</v>
      </c>
      <c r="I1465" s="18" t="s">
        <v>82</v>
      </c>
      <c r="J1465" s="19">
        <f t="shared" si="94"/>
        <v>0.39817134647401664</v>
      </c>
    </row>
    <row r="1466" spans="1:10" x14ac:dyDescent="0.3">
      <c r="A1466" t="s">
        <v>8</v>
      </c>
      <c r="B1466" t="s">
        <v>15</v>
      </c>
      <c r="C1466" t="s">
        <v>103</v>
      </c>
      <c r="D1466" s="60">
        <v>1</v>
      </c>
      <c r="E1466" s="17"/>
      <c r="F1466" s="17">
        <f t="shared" si="97"/>
        <v>0</v>
      </c>
      <c r="G1466" s="18"/>
      <c r="H1466" s="135">
        <v>187961</v>
      </c>
      <c r="I1466" s="18" t="s">
        <v>82</v>
      </c>
      <c r="J1466" s="19">
        <f t="shared" si="94"/>
        <v>0.39817134647401664</v>
      </c>
    </row>
    <row r="1467" spans="1:10" x14ac:dyDescent="0.3">
      <c r="A1467" t="s">
        <v>8</v>
      </c>
      <c r="B1467" t="s">
        <v>15</v>
      </c>
      <c r="C1467" t="s">
        <v>210</v>
      </c>
      <c r="D1467" s="60">
        <v>1</v>
      </c>
      <c r="E1467" s="17">
        <v>666.2</v>
      </c>
      <c r="F1467" s="17">
        <f t="shared" si="97"/>
        <v>666.2</v>
      </c>
      <c r="G1467" s="18"/>
      <c r="H1467" s="135">
        <v>187961</v>
      </c>
      <c r="I1467" s="18" t="s">
        <v>82</v>
      </c>
      <c r="J1467" s="19">
        <f t="shared" si="94"/>
        <v>0.39817134647401664</v>
      </c>
    </row>
    <row r="1468" spans="1:10" x14ac:dyDescent="0.3">
      <c r="A1468" t="s">
        <v>8</v>
      </c>
      <c r="B1468" t="s">
        <v>15</v>
      </c>
      <c r="C1468" t="s">
        <v>104</v>
      </c>
      <c r="D1468" s="60">
        <v>0</v>
      </c>
      <c r="E1468" s="17"/>
      <c r="F1468" s="17">
        <f t="shared" si="97"/>
        <v>0</v>
      </c>
      <c r="G1468" s="18"/>
      <c r="H1468" s="135">
        <v>187961</v>
      </c>
      <c r="I1468" s="18" t="s">
        <v>82</v>
      </c>
      <c r="J1468" s="19">
        <f t="shared" si="94"/>
        <v>0.39817134647401664</v>
      </c>
    </row>
    <row r="1469" spans="1:10" x14ac:dyDescent="0.3">
      <c r="A1469" t="s">
        <v>8</v>
      </c>
      <c r="B1469" t="s">
        <v>15</v>
      </c>
      <c r="C1469" t="s">
        <v>74</v>
      </c>
      <c r="D1469" s="60">
        <v>0</v>
      </c>
      <c r="E1469" s="17"/>
      <c r="F1469" s="17">
        <f t="shared" si="97"/>
        <v>0</v>
      </c>
      <c r="G1469" s="18"/>
      <c r="H1469" s="135">
        <v>187961</v>
      </c>
      <c r="I1469" s="18" t="s">
        <v>82</v>
      </c>
      <c r="J1469" s="19">
        <f t="shared" si="94"/>
        <v>0.39817134647401664</v>
      </c>
    </row>
    <row r="1470" spans="1:10" x14ac:dyDescent="0.3">
      <c r="A1470" t="s">
        <v>8</v>
      </c>
      <c r="B1470" t="s">
        <v>15</v>
      </c>
      <c r="C1470" t="s">
        <v>62</v>
      </c>
      <c r="D1470" s="60">
        <v>0</v>
      </c>
      <c r="E1470" s="17"/>
      <c r="F1470" s="17">
        <f t="shared" si="97"/>
        <v>0</v>
      </c>
      <c r="G1470" s="18"/>
      <c r="H1470" s="135">
        <v>187961</v>
      </c>
      <c r="I1470" s="18" t="s">
        <v>82</v>
      </c>
      <c r="J1470" s="19">
        <f t="shared" si="94"/>
        <v>0.39817134647401664</v>
      </c>
    </row>
    <row r="1471" spans="1:10" x14ac:dyDescent="0.3">
      <c r="A1471" t="s">
        <v>8</v>
      </c>
      <c r="B1471" t="s">
        <v>15</v>
      </c>
      <c r="C1471" t="s">
        <v>105</v>
      </c>
      <c r="D1471" s="60">
        <v>1</v>
      </c>
      <c r="E1471" s="17"/>
      <c r="F1471" s="17">
        <f t="shared" si="97"/>
        <v>0</v>
      </c>
      <c r="G1471" s="18"/>
      <c r="H1471" s="135">
        <v>187961</v>
      </c>
      <c r="I1471" s="18" t="s">
        <v>82</v>
      </c>
      <c r="J1471" s="19">
        <f t="shared" si="94"/>
        <v>0.39817134647401664</v>
      </c>
    </row>
    <row r="1472" spans="1:10" x14ac:dyDescent="0.3">
      <c r="A1472" t="s">
        <v>8</v>
      </c>
      <c r="B1472" t="s">
        <v>15</v>
      </c>
      <c r="C1472" t="s">
        <v>60</v>
      </c>
      <c r="D1472" s="60">
        <v>0</v>
      </c>
      <c r="E1472" s="17"/>
      <c r="F1472" s="17">
        <f t="shared" si="97"/>
        <v>0</v>
      </c>
      <c r="G1472" s="18"/>
      <c r="H1472" s="135">
        <v>187961</v>
      </c>
      <c r="I1472" s="18" t="s">
        <v>82</v>
      </c>
      <c r="J1472" s="19">
        <f t="shared" si="94"/>
        <v>0.39817134647401664</v>
      </c>
    </row>
    <row r="1473" spans="1:10" x14ac:dyDescent="0.3">
      <c r="A1473" t="s">
        <v>8</v>
      </c>
      <c r="B1473" t="s">
        <v>15</v>
      </c>
      <c r="C1473" t="s">
        <v>84</v>
      </c>
      <c r="D1473" s="60">
        <v>0</v>
      </c>
      <c r="E1473" s="17"/>
      <c r="F1473" s="17">
        <f t="shared" si="97"/>
        <v>0</v>
      </c>
      <c r="G1473" s="18"/>
      <c r="H1473" s="135">
        <v>187961</v>
      </c>
      <c r="I1473" s="18" t="s">
        <v>82</v>
      </c>
      <c r="J1473" s="19">
        <f t="shared" si="94"/>
        <v>0.39817134647401664</v>
      </c>
    </row>
    <row r="1474" spans="1:10" x14ac:dyDescent="0.3">
      <c r="A1474" t="s">
        <v>8</v>
      </c>
      <c r="B1474" t="s">
        <v>15</v>
      </c>
      <c r="C1474" t="s">
        <v>75</v>
      </c>
      <c r="D1474" s="60">
        <v>0</v>
      </c>
      <c r="E1474" s="17"/>
      <c r="F1474" s="17">
        <f t="shared" si="97"/>
        <v>0</v>
      </c>
      <c r="G1474" s="18"/>
      <c r="H1474" s="135">
        <v>187961</v>
      </c>
      <c r="I1474" s="18" t="s">
        <v>82</v>
      </c>
      <c r="J1474" s="19">
        <f t="shared" ref="J1474:J1537" si="98">IFERROR(SUMIFS($F$2:$F$1749,$A$2:$A$1749,A1474,$B$2:$B$1749,B1474)/H1474,"")</f>
        <v>0.39817134647401664</v>
      </c>
    </row>
    <row r="1475" spans="1:10" x14ac:dyDescent="0.3">
      <c r="A1475" t="s">
        <v>8</v>
      </c>
      <c r="B1475" t="s">
        <v>15</v>
      </c>
      <c r="C1475" t="s">
        <v>64</v>
      </c>
      <c r="D1475" s="60">
        <v>0</v>
      </c>
      <c r="E1475" s="17"/>
      <c r="F1475" s="17">
        <f t="shared" si="97"/>
        <v>0</v>
      </c>
      <c r="G1475" s="18"/>
      <c r="H1475" s="135">
        <v>187961</v>
      </c>
      <c r="I1475" s="18" t="s">
        <v>82</v>
      </c>
      <c r="J1475" s="19">
        <f t="shared" si="98"/>
        <v>0.39817134647401664</v>
      </c>
    </row>
    <row r="1476" spans="1:10" x14ac:dyDescent="0.3">
      <c r="A1476" t="s">
        <v>8</v>
      </c>
      <c r="B1476" t="s">
        <v>15</v>
      </c>
      <c r="C1476" t="s">
        <v>67</v>
      </c>
      <c r="D1476" s="60">
        <v>1</v>
      </c>
      <c r="E1476" s="17"/>
      <c r="F1476" s="17">
        <f t="shared" si="97"/>
        <v>0</v>
      </c>
      <c r="G1476" s="18"/>
      <c r="H1476" s="135">
        <v>187961</v>
      </c>
      <c r="I1476" s="18" t="s">
        <v>82</v>
      </c>
      <c r="J1476" s="19">
        <f t="shared" si="98"/>
        <v>0.39817134647401664</v>
      </c>
    </row>
    <row r="1477" spans="1:10" x14ac:dyDescent="0.3">
      <c r="A1477" t="s">
        <v>8</v>
      </c>
      <c r="B1477" t="s">
        <v>15</v>
      </c>
      <c r="C1477" t="s">
        <v>86</v>
      </c>
      <c r="D1477" s="60">
        <v>1</v>
      </c>
      <c r="E1477" s="17"/>
      <c r="F1477" s="17">
        <f t="shared" si="97"/>
        <v>0</v>
      </c>
      <c r="G1477" s="18"/>
      <c r="H1477" s="135">
        <v>187961</v>
      </c>
      <c r="I1477" s="18" t="s">
        <v>82</v>
      </c>
      <c r="J1477" s="19">
        <f t="shared" si="98"/>
        <v>0.39817134647401664</v>
      </c>
    </row>
    <row r="1478" spans="1:10" x14ac:dyDescent="0.3">
      <c r="A1478" t="s">
        <v>8</v>
      </c>
      <c r="B1478" t="s">
        <v>15</v>
      </c>
      <c r="C1478" t="s">
        <v>106</v>
      </c>
      <c r="D1478" s="60">
        <v>1</v>
      </c>
      <c r="E1478" s="17"/>
      <c r="F1478" s="17">
        <f t="shared" si="97"/>
        <v>0</v>
      </c>
      <c r="G1478" s="18"/>
      <c r="H1478" s="135">
        <v>187961</v>
      </c>
      <c r="I1478" s="18" t="s">
        <v>82</v>
      </c>
      <c r="J1478" s="19">
        <f t="shared" si="98"/>
        <v>0.39817134647401664</v>
      </c>
    </row>
    <row r="1479" spans="1:10" x14ac:dyDescent="0.3">
      <c r="A1479" t="s">
        <v>8</v>
      </c>
      <c r="B1479" t="s">
        <v>15</v>
      </c>
      <c r="C1479" t="s">
        <v>107</v>
      </c>
      <c r="D1479" s="60">
        <v>1</v>
      </c>
      <c r="E1479" s="17"/>
      <c r="F1479" s="17">
        <f t="shared" si="97"/>
        <v>0</v>
      </c>
      <c r="G1479" s="18"/>
      <c r="H1479" s="135">
        <v>187961</v>
      </c>
      <c r="I1479" s="18" t="s">
        <v>82</v>
      </c>
      <c r="J1479" s="19">
        <f t="shared" si="98"/>
        <v>0.39817134647401664</v>
      </c>
    </row>
    <row r="1480" spans="1:10" x14ac:dyDescent="0.3">
      <c r="A1480" t="s">
        <v>8</v>
      </c>
      <c r="B1480" t="s">
        <v>211</v>
      </c>
      <c r="C1480" t="s">
        <v>108</v>
      </c>
      <c r="D1480" s="133">
        <v>49</v>
      </c>
      <c r="E1480" s="134">
        <v>258484.68</v>
      </c>
      <c r="F1480" s="17">
        <f>IF(E1480="","",E1480)</f>
        <v>258484.68</v>
      </c>
      <c r="G1480" s="18" t="s">
        <v>212</v>
      </c>
      <c r="H1480" s="135">
        <v>187961</v>
      </c>
      <c r="I1480" s="18" t="s">
        <v>82</v>
      </c>
      <c r="J1480" s="19">
        <f t="shared" si="98"/>
        <v>1.4163430131682511</v>
      </c>
    </row>
    <row r="1481" spans="1:10" x14ac:dyDescent="0.3">
      <c r="A1481" t="s">
        <v>8</v>
      </c>
      <c r="B1481" t="s">
        <v>211</v>
      </c>
      <c r="C1481" t="s">
        <v>55</v>
      </c>
      <c r="D1481" s="133">
        <v>49</v>
      </c>
      <c r="E1481" s="134">
        <v>47.658741879775853</v>
      </c>
      <c r="F1481" s="17">
        <f t="shared" ref="F1481:F1498" si="99">D1481*E1481</f>
        <v>2335.2783521090169</v>
      </c>
      <c r="G1481" s="18"/>
      <c r="H1481" s="135">
        <v>187961</v>
      </c>
      <c r="I1481" s="18" t="s">
        <v>82</v>
      </c>
      <c r="J1481" s="19">
        <f t="shared" si="98"/>
        <v>1.4163430131682511</v>
      </c>
    </row>
    <row r="1482" spans="1:10" x14ac:dyDescent="0.3">
      <c r="A1482" t="s">
        <v>8</v>
      </c>
      <c r="B1482" t="s">
        <v>211</v>
      </c>
      <c r="C1482" t="s">
        <v>26</v>
      </c>
      <c r="D1482" s="133">
        <v>49</v>
      </c>
      <c r="E1482" s="134">
        <v>29.741875861103122</v>
      </c>
      <c r="F1482" s="17">
        <f t="shared" si="99"/>
        <v>1457.3519171940529</v>
      </c>
      <c r="G1482" s="18"/>
      <c r="H1482" s="135">
        <v>187961</v>
      </c>
      <c r="I1482" s="18" t="s">
        <v>82</v>
      </c>
      <c r="J1482" s="19">
        <f t="shared" si="98"/>
        <v>1.4163430131682511</v>
      </c>
    </row>
    <row r="1483" spans="1:10" x14ac:dyDescent="0.3">
      <c r="A1483" t="s">
        <v>8</v>
      </c>
      <c r="B1483" t="s">
        <v>211</v>
      </c>
      <c r="C1483" t="s">
        <v>14</v>
      </c>
      <c r="D1483" s="133">
        <v>49</v>
      </c>
      <c r="E1483" s="134">
        <v>43.540891487759097</v>
      </c>
      <c r="F1483" s="17">
        <f t="shared" si="99"/>
        <v>2133.5036829001956</v>
      </c>
      <c r="G1483" s="18"/>
      <c r="H1483" s="135">
        <v>187961</v>
      </c>
      <c r="I1483" s="18" t="s">
        <v>82</v>
      </c>
      <c r="J1483" s="19">
        <f t="shared" si="98"/>
        <v>1.4163430131682511</v>
      </c>
    </row>
    <row r="1484" spans="1:10" x14ac:dyDescent="0.3">
      <c r="A1484" t="s">
        <v>8</v>
      </c>
      <c r="B1484" t="s">
        <v>211</v>
      </c>
      <c r="C1484" t="s">
        <v>56</v>
      </c>
      <c r="D1484" s="60">
        <v>1</v>
      </c>
      <c r="E1484" s="37">
        <v>50</v>
      </c>
      <c r="F1484" s="17">
        <f t="shared" si="99"/>
        <v>50</v>
      </c>
      <c r="G1484" s="18" t="s">
        <v>192</v>
      </c>
      <c r="H1484" s="135">
        <v>187961</v>
      </c>
      <c r="I1484" s="18" t="s">
        <v>82</v>
      </c>
      <c r="J1484" s="19">
        <f t="shared" si="98"/>
        <v>1.4163430131682511</v>
      </c>
    </row>
    <row r="1485" spans="1:10" x14ac:dyDescent="0.3">
      <c r="A1485" t="s">
        <v>8</v>
      </c>
      <c r="B1485" t="s">
        <v>211</v>
      </c>
      <c r="C1485" t="s">
        <v>70</v>
      </c>
      <c r="D1485" s="60">
        <v>1</v>
      </c>
      <c r="E1485" s="17"/>
      <c r="F1485" s="17">
        <f t="shared" si="99"/>
        <v>0</v>
      </c>
      <c r="G1485" s="18"/>
      <c r="H1485" s="135">
        <v>187961</v>
      </c>
      <c r="I1485" s="18" t="s">
        <v>82</v>
      </c>
      <c r="J1485" s="19">
        <f t="shared" si="98"/>
        <v>1.4163430131682511</v>
      </c>
    </row>
    <row r="1486" spans="1:10" x14ac:dyDescent="0.3">
      <c r="A1486" t="s">
        <v>8</v>
      </c>
      <c r="B1486" t="s">
        <v>211</v>
      </c>
      <c r="C1486" t="s">
        <v>76</v>
      </c>
      <c r="D1486" s="60">
        <v>39</v>
      </c>
      <c r="E1486" s="37">
        <v>30</v>
      </c>
      <c r="F1486" s="17">
        <f t="shared" si="99"/>
        <v>1170</v>
      </c>
      <c r="G1486" s="18" t="s">
        <v>192</v>
      </c>
      <c r="H1486" s="135">
        <v>187961</v>
      </c>
      <c r="I1486" s="18" t="s">
        <v>82</v>
      </c>
      <c r="J1486" s="19">
        <f t="shared" si="98"/>
        <v>1.4163430131682511</v>
      </c>
    </row>
    <row r="1487" spans="1:10" x14ac:dyDescent="0.3">
      <c r="A1487" t="s">
        <v>8</v>
      </c>
      <c r="B1487" t="s">
        <v>211</v>
      </c>
      <c r="C1487" t="s">
        <v>58</v>
      </c>
      <c r="D1487" s="133">
        <v>49</v>
      </c>
      <c r="E1487" s="37">
        <v>9.918365758754863</v>
      </c>
      <c r="F1487" s="17">
        <f t="shared" si="99"/>
        <v>485.9999221789883</v>
      </c>
      <c r="G1487" s="18"/>
      <c r="H1487" s="135">
        <v>187961</v>
      </c>
      <c r="I1487" s="18" t="s">
        <v>82</v>
      </c>
      <c r="J1487" s="19">
        <f t="shared" si="98"/>
        <v>1.4163430131682511</v>
      </c>
    </row>
    <row r="1488" spans="1:10" x14ac:dyDescent="0.3">
      <c r="A1488" t="s">
        <v>8</v>
      </c>
      <c r="B1488" t="s">
        <v>211</v>
      </c>
      <c r="C1488" t="s">
        <v>59</v>
      </c>
      <c r="D1488" s="133">
        <v>49</v>
      </c>
      <c r="E1488" s="37">
        <v>2.049698443579766</v>
      </c>
      <c r="F1488" s="17">
        <f t="shared" si="99"/>
        <v>100.43522373540854</v>
      </c>
      <c r="G1488" s="18"/>
      <c r="H1488" s="135">
        <v>187961</v>
      </c>
      <c r="I1488" s="18" t="s">
        <v>82</v>
      </c>
      <c r="J1488" s="19">
        <f t="shared" si="98"/>
        <v>1.4163430131682511</v>
      </c>
    </row>
    <row r="1489" spans="1:10" x14ac:dyDescent="0.3">
      <c r="A1489" t="s">
        <v>8</v>
      </c>
      <c r="B1489" t="s">
        <v>211</v>
      </c>
      <c r="C1489" t="s">
        <v>102</v>
      </c>
      <c r="D1489" s="60">
        <v>0</v>
      </c>
      <c r="E1489" s="17"/>
      <c r="F1489" s="17">
        <f t="shared" si="99"/>
        <v>0</v>
      </c>
      <c r="G1489" s="18"/>
      <c r="H1489" s="135">
        <v>187961</v>
      </c>
      <c r="I1489" s="18" t="s">
        <v>82</v>
      </c>
      <c r="J1489" s="19">
        <f t="shared" si="98"/>
        <v>1.4163430131682511</v>
      </c>
    </row>
    <row r="1490" spans="1:10" x14ac:dyDescent="0.3">
      <c r="A1490" t="s">
        <v>8</v>
      </c>
      <c r="B1490" t="s">
        <v>211</v>
      </c>
      <c r="C1490" t="s">
        <v>103</v>
      </c>
      <c r="D1490" s="60">
        <v>0</v>
      </c>
      <c r="E1490" s="17"/>
      <c r="F1490" s="17">
        <f t="shared" si="99"/>
        <v>0</v>
      </c>
      <c r="G1490" s="18"/>
      <c r="H1490" s="135">
        <v>187961</v>
      </c>
      <c r="I1490" s="18" t="s">
        <v>82</v>
      </c>
      <c r="J1490" s="19">
        <f t="shared" si="98"/>
        <v>1.4163430131682511</v>
      </c>
    </row>
    <row r="1491" spans="1:10" x14ac:dyDescent="0.3">
      <c r="A1491" t="s">
        <v>8</v>
      </c>
      <c r="B1491" t="s">
        <v>211</v>
      </c>
      <c r="C1491" t="s">
        <v>104</v>
      </c>
      <c r="D1491" s="60">
        <v>0</v>
      </c>
      <c r="E1491" s="17"/>
      <c r="F1491" s="17">
        <f t="shared" si="99"/>
        <v>0</v>
      </c>
      <c r="G1491" s="18"/>
      <c r="H1491" s="135">
        <v>187961</v>
      </c>
      <c r="I1491" s="18" t="s">
        <v>82</v>
      </c>
      <c r="J1491" s="19">
        <f t="shared" si="98"/>
        <v>1.4163430131682511</v>
      </c>
    </row>
    <row r="1492" spans="1:10" x14ac:dyDescent="0.3">
      <c r="A1492" t="s">
        <v>8</v>
      </c>
      <c r="B1492" t="s">
        <v>211</v>
      </c>
      <c r="C1492" t="s">
        <v>74</v>
      </c>
      <c r="D1492" s="60">
        <v>0</v>
      </c>
      <c r="E1492" s="17"/>
      <c r="F1492" s="17">
        <f t="shared" si="99"/>
        <v>0</v>
      </c>
      <c r="G1492" s="18"/>
      <c r="H1492" s="135">
        <v>187961</v>
      </c>
      <c r="I1492" s="18" t="s">
        <v>82</v>
      </c>
      <c r="J1492" s="19">
        <f t="shared" si="98"/>
        <v>1.4163430131682511</v>
      </c>
    </row>
    <row r="1493" spans="1:10" x14ac:dyDescent="0.3">
      <c r="A1493" t="s">
        <v>8</v>
      </c>
      <c r="B1493" t="s">
        <v>211</v>
      </c>
      <c r="C1493" t="s">
        <v>62</v>
      </c>
      <c r="D1493" s="60">
        <v>0</v>
      </c>
      <c r="E1493" s="17"/>
      <c r="F1493" s="17">
        <f t="shared" si="99"/>
        <v>0</v>
      </c>
      <c r="G1493" s="18"/>
      <c r="H1493" s="135">
        <v>187961</v>
      </c>
      <c r="I1493" s="18" t="s">
        <v>82</v>
      </c>
      <c r="J1493" s="19">
        <f t="shared" si="98"/>
        <v>1.4163430131682511</v>
      </c>
    </row>
    <row r="1494" spans="1:10" x14ac:dyDescent="0.3">
      <c r="A1494" t="s">
        <v>8</v>
      </c>
      <c r="B1494" t="s">
        <v>211</v>
      </c>
      <c r="C1494" t="s">
        <v>67</v>
      </c>
      <c r="D1494" s="60">
        <v>0</v>
      </c>
      <c r="E1494" s="17"/>
      <c r="F1494" s="17">
        <f t="shared" si="99"/>
        <v>0</v>
      </c>
      <c r="G1494" s="18"/>
      <c r="H1494" s="135">
        <v>187961</v>
      </c>
      <c r="I1494" s="18" t="s">
        <v>82</v>
      </c>
      <c r="J1494" s="19">
        <f t="shared" si="98"/>
        <v>1.4163430131682511</v>
      </c>
    </row>
    <row r="1495" spans="1:10" x14ac:dyDescent="0.3">
      <c r="A1495" t="s">
        <v>8</v>
      </c>
      <c r="B1495" t="s">
        <v>211</v>
      </c>
      <c r="C1495" t="s">
        <v>86</v>
      </c>
      <c r="D1495" s="60">
        <v>0</v>
      </c>
      <c r="E1495" s="17"/>
      <c r="F1495" s="17">
        <f t="shared" si="99"/>
        <v>0</v>
      </c>
      <c r="G1495" s="18"/>
      <c r="H1495" s="135">
        <v>187961</v>
      </c>
      <c r="I1495" s="18" t="s">
        <v>82</v>
      </c>
      <c r="J1495" s="19">
        <f t="shared" si="98"/>
        <v>1.4163430131682511</v>
      </c>
    </row>
    <row r="1496" spans="1:10" x14ac:dyDescent="0.3">
      <c r="A1496" t="s">
        <v>8</v>
      </c>
      <c r="B1496" t="s">
        <v>211</v>
      </c>
      <c r="C1496" t="s">
        <v>109</v>
      </c>
      <c r="D1496" s="60">
        <v>0</v>
      </c>
      <c r="E1496" s="17"/>
      <c r="F1496" s="17">
        <f t="shared" si="99"/>
        <v>0</v>
      </c>
      <c r="G1496" s="18"/>
      <c r="H1496" s="135">
        <v>187961</v>
      </c>
      <c r="I1496" s="18" t="s">
        <v>82</v>
      </c>
      <c r="J1496" s="19">
        <f t="shared" si="98"/>
        <v>1.4163430131682511</v>
      </c>
    </row>
    <row r="1497" spans="1:10" x14ac:dyDescent="0.3">
      <c r="A1497" t="s">
        <v>8</v>
      </c>
      <c r="B1497" t="s">
        <v>211</v>
      </c>
      <c r="C1497" t="s">
        <v>110</v>
      </c>
      <c r="D1497" s="60">
        <v>0</v>
      </c>
      <c r="E1497" s="17"/>
      <c r="F1497" s="17">
        <f t="shared" si="99"/>
        <v>0</v>
      </c>
      <c r="G1497" s="18"/>
      <c r="H1497" s="135">
        <v>187961</v>
      </c>
      <c r="I1497" s="18" t="s">
        <v>82</v>
      </c>
      <c r="J1497" s="19">
        <f t="shared" si="98"/>
        <v>1.4163430131682511</v>
      </c>
    </row>
    <row r="1498" spans="1:10" x14ac:dyDescent="0.3">
      <c r="A1498" t="s">
        <v>8</v>
      </c>
      <c r="B1498" t="s">
        <v>211</v>
      </c>
      <c r="C1498" t="s">
        <v>111</v>
      </c>
      <c r="D1498" s="60">
        <v>0</v>
      </c>
      <c r="E1498" s="17"/>
      <c r="F1498" s="17">
        <f t="shared" si="99"/>
        <v>0</v>
      </c>
      <c r="G1498" s="18"/>
      <c r="H1498" s="135">
        <v>187961</v>
      </c>
      <c r="I1498" s="18" t="s">
        <v>82</v>
      </c>
      <c r="J1498" s="19">
        <f t="shared" si="98"/>
        <v>1.4163430131682511</v>
      </c>
    </row>
    <row r="1499" spans="1:10" x14ac:dyDescent="0.3">
      <c r="A1499" t="s">
        <v>8</v>
      </c>
      <c r="B1499" t="s">
        <v>213</v>
      </c>
      <c r="C1499" t="s">
        <v>112</v>
      </c>
      <c r="D1499" s="133">
        <v>30</v>
      </c>
      <c r="E1499" s="134">
        <v>177211.8</v>
      </c>
      <c r="F1499" s="17">
        <f>IF(E1499="","",E1499)</f>
        <v>177211.8</v>
      </c>
      <c r="G1499" s="18" t="s">
        <v>214</v>
      </c>
      <c r="H1499" s="135">
        <v>187961</v>
      </c>
      <c r="I1499" s="18" t="s">
        <v>82</v>
      </c>
      <c r="J1499" s="19">
        <f t="shared" si="98"/>
        <v>0.9651421688697609</v>
      </c>
    </row>
    <row r="1500" spans="1:10" x14ac:dyDescent="0.3">
      <c r="A1500" t="s">
        <v>8</v>
      </c>
      <c r="B1500" t="s">
        <v>213</v>
      </c>
      <c r="C1500" t="s">
        <v>55</v>
      </c>
      <c r="D1500" s="133">
        <v>30</v>
      </c>
      <c r="E1500" s="134">
        <v>47.658741879775853</v>
      </c>
      <c r="F1500" s="17">
        <f t="shared" ref="F1500:F1517" si="100">D1500*E1500</f>
        <v>1429.7622563932755</v>
      </c>
      <c r="G1500" s="18"/>
      <c r="H1500" s="135">
        <v>187961</v>
      </c>
      <c r="I1500" s="18" t="s">
        <v>82</v>
      </c>
      <c r="J1500" s="19">
        <f t="shared" si="98"/>
        <v>0.9651421688697609</v>
      </c>
    </row>
    <row r="1501" spans="1:10" x14ac:dyDescent="0.3">
      <c r="A1501" t="s">
        <v>8</v>
      </c>
      <c r="B1501" t="s">
        <v>213</v>
      </c>
      <c r="C1501" t="s">
        <v>26</v>
      </c>
      <c r="D1501" s="133">
        <v>30</v>
      </c>
      <c r="E1501" s="134">
        <v>29.741875861103122</v>
      </c>
      <c r="F1501" s="17">
        <f t="shared" si="100"/>
        <v>892.2562758330937</v>
      </c>
      <c r="G1501" s="18"/>
      <c r="H1501" s="135">
        <v>187961</v>
      </c>
      <c r="I1501" s="18" t="s">
        <v>82</v>
      </c>
      <c r="J1501" s="19">
        <f t="shared" si="98"/>
        <v>0.9651421688697609</v>
      </c>
    </row>
    <row r="1502" spans="1:10" x14ac:dyDescent="0.3">
      <c r="A1502" t="s">
        <v>8</v>
      </c>
      <c r="B1502" t="s">
        <v>213</v>
      </c>
      <c r="C1502" t="s">
        <v>14</v>
      </c>
      <c r="D1502" s="133">
        <v>30</v>
      </c>
      <c r="E1502" s="134">
        <v>43.540891487759097</v>
      </c>
      <c r="F1502" s="17">
        <f t="shared" si="100"/>
        <v>1306.2267446327728</v>
      </c>
      <c r="G1502" s="18"/>
      <c r="H1502" s="135">
        <v>187961</v>
      </c>
      <c r="I1502" s="18" t="s">
        <v>82</v>
      </c>
      <c r="J1502" s="19">
        <f t="shared" si="98"/>
        <v>0.9651421688697609</v>
      </c>
    </row>
    <row r="1503" spans="1:10" x14ac:dyDescent="0.3">
      <c r="A1503" t="s">
        <v>8</v>
      </c>
      <c r="B1503" t="s">
        <v>213</v>
      </c>
      <c r="C1503" t="s">
        <v>56</v>
      </c>
      <c r="D1503" s="60">
        <v>3</v>
      </c>
      <c r="E1503" s="37">
        <v>50</v>
      </c>
      <c r="F1503" s="17">
        <f t="shared" si="100"/>
        <v>150</v>
      </c>
      <c r="G1503" s="18" t="s">
        <v>192</v>
      </c>
      <c r="H1503" s="135">
        <v>187961</v>
      </c>
      <c r="I1503" s="18" t="s">
        <v>82</v>
      </c>
      <c r="J1503" s="19">
        <f t="shared" si="98"/>
        <v>0.9651421688697609</v>
      </c>
    </row>
    <row r="1504" spans="1:10" x14ac:dyDescent="0.3">
      <c r="A1504" t="s">
        <v>8</v>
      </c>
      <c r="B1504" t="s">
        <v>213</v>
      </c>
      <c r="C1504" t="s">
        <v>70</v>
      </c>
      <c r="D1504" s="60">
        <v>1</v>
      </c>
      <c r="E1504" s="17"/>
      <c r="F1504" s="17">
        <f t="shared" si="100"/>
        <v>0</v>
      </c>
      <c r="G1504" s="18"/>
      <c r="H1504" s="135">
        <v>187961</v>
      </c>
      <c r="I1504" s="18" t="s">
        <v>82</v>
      </c>
      <c r="J1504" s="19">
        <f t="shared" si="98"/>
        <v>0.9651421688697609</v>
      </c>
    </row>
    <row r="1505" spans="1:10" x14ac:dyDescent="0.3">
      <c r="A1505" t="s">
        <v>8</v>
      </c>
      <c r="B1505" t="s">
        <v>213</v>
      </c>
      <c r="C1505" t="s">
        <v>71</v>
      </c>
      <c r="D1505" s="60">
        <v>2</v>
      </c>
      <c r="E1505" s="37">
        <v>30</v>
      </c>
      <c r="F1505" s="17">
        <f t="shared" si="100"/>
        <v>60</v>
      </c>
      <c r="G1505" s="18" t="s">
        <v>192</v>
      </c>
      <c r="H1505" s="135">
        <v>187961</v>
      </c>
      <c r="I1505" s="18" t="s">
        <v>82</v>
      </c>
      <c r="J1505" s="19">
        <f t="shared" si="98"/>
        <v>0.9651421688697609</v>
      </c>
    </row>
    <row r="1506" spans="1:10" x14ac:dyDescent="0.3">
      <c r="A1506" t="s">
        <v>8</v>
      </c>
      <c r="B1506" t="s">
        <v>213</v>
      </c>
      <c r="C1506" t="s">
        <v>58</v>
      </c>
      <c r="D1506" s="133">
        <v>30</v>
      </c>
      <c r="E1506" s="37">
        <v>9.918365758754863</v>
      </c>
      <c r="F1506" s="17">
        <f t="shared" si="100"/>
        <v>297.55097276264587</v>
      </c>
      <c r="G1506" s="18"/>
      <c r="H1506" s="135">
        <v>187961</v>
      </c>
      <c r="I1506" s="18" t="s">
        <v>82</v>
      </c>
      <c r="J1506" s="19">
        <f t="shared" si="98"/>
        <v>0.9651421688697609</v>
      </c>
    </row>
    <row r="1507" spans="1:10" x14ac:dyDescent="0.3">
      <c r="A1507" t="s">
        <v>8</v>
      </c>
      <c r="B1507" t="s">
        <v>213</v>
      </c>
      <c r="C1507" t="s">
        <v>113</v>
      </c>
      <c r="D1507" s="133">
        <v>30</v>
      </c>
      <c r="E1507" s="37">
        <v>2.049698443579766</v>
      </c>
      <c r="F1507" s="17">
        <f t="shared" si="100"/>
        <v>61.490953307392985</v>
      </c>
      <c r="G1507" s="18"/>
      <c r="H1507" s="135">
        <v>187961</v>
      </c>
      <c r="I1507" s="18" t="s">
        <v>82</v>
      </c>
      <c r="J1507" s="19">
        <f t="shared" si="98"/>
        <v>0.9651421688697609</v>
      </c>
    </row>
    <row r="1508" spans="1:10" x14ac:dyDescent="0.3">
      <c r="A1508" t="s">
        <v>8</v>
      </c>
      <c r="B1508" t="s">
        <v>213</v>
      </c>
      <c r="C1508" t="s">
        <v>102</v>
      </c>
      <c r="D1508" s="60">
        <v>0</v>
      </c>
      <c r="E1508" s="17"/>
      <c r="F1508" s="17">
        <f t="shared" si="100"/>
        <v>0</v>
      </c>
      <c r="G1508" s="18"/>
      <c r="H1508" s="135">
        <v>187961</v>
      </c>
      <c r="I1508" s="18" t="s">
        <v>82</v>
      </c>
      <c r="J1508" s="19">
        <f t="shared" si="98"/>
        <v>0.9651421688697609</v>
      </c>
    </row>
    <row r="1509" spans="1:10" x14ac:dyDescent="0.3">
      <c r="A1509" t="s">
        <v>8</v>
      </c>
      <c r="B1509" t="s">
        <v>213</v>
      </c>
      <c r="C1509" t="s">
        <v>103</v>
      </c>
      <c r="D1509" s="60">
        <v>0</v>
      </c>
      <c r="E1509" s="17"/>
      <c r="F1509" s="17">
        <f t="shared" si="100"/>
        <v>0</v>
      </c>
      <c r="G1509" s="18"/>
      <c r="H1509" s="135">
        <v>187961</v>
      </c>
      <c r="I1509" s="18" t="s">
        <v>82</v>
      </c>
      <c r="J1509" s="19">
        <f t="shared" si="98"/>
        <v>0.9651421688697609</v>
      </c>
    </row>
    <row r="1510" spans="1:10" x14ac:dyDescent="0.3">
      <c r="A1510" t="s">
        <v>8</v>
      </c>
      <c r="B1510" t="s">
        <v>213</v>
      </c>
      <c r="C1510" t="s">
        <v>104</v>
      </c>
      <c r="D1510" s="60">
        <v>0</v>
      </c>
      <c r="E1510" s="17"/>
      <c r="F1510" s="17">
        <f t="shared" si="100"/>
        <v>0</v>
      </c>
      <c r="G1510" s="18"/>
      <c r="H1510" s="135">
        <v>187961</v>
      </c>
      <c r="I1510" s="18" t="s">
        <v>82</v>
      </c>
      <c r="J1510" s="19">
        <f t="shared" si="98"/>
        <v>0.9651421688697609</v>
      </c>
    </row>
    <row r="1511" spans="1:10" x14ac:dyDescent="0.3">
      <c r="A1511" t="s">
        <v>8</v>
      </c>
      <c r="B1511" t="s">
        <v>213</v>
      </c>
      <c r="C1511" t="s">
        <v>74</v>
      </c>
      <c r="D1511" s="60">
        <v>0</v>
      </c>
      <c r="E1511" s="17"/>
      <c r="F1511" s="17">
        <f t="shared" si="100"/>
        <v>0</v>
      </c>
      <c r="G1511" s="18"/>
      <c r="H1511" s="135">
        <v>187961</v>
      </c>
      <c r="I1511" s="18" t="s">
        <v>82</v>
      </c>
      <c r="J1511" s="19">
        <f t="shared" si="98"/>
        <v>0.9651421688697609</v>
      </c>
    </row>
    <row r="1512" spans="1:10" x14ac:dyDescent="0.3">
      <c r="A1512" t="s">
        <v>8</v>
      </c>
      <c r="B1512" t="s">
        <v>213</v>
      </c>
      <c r="C1512" t="s">
        <v>62</v>
      </c>
      <c r="D1512" s="60">
        <v>0</v>
      </c>
      <c r="E1512" s="17"/>
      <c r="F1512" s="17">
        <f t="shared" si="100"/>
        <v>0</v>
      </c>
      <c r="G1512" s="18"/>
      <c r="H1512" s="135">
        <v>187961</v>
      </c>
      <c r="I1512" s="18" t="s">
        <v>82</v>
      </c>
      <c r="J1512" s="19">
        <f t="shared" si="98"/>
        <v>0.9651421688697609</v>
      </c>
    </row>
    <row r="1513" spans="1:10" x14ac:dyDescent="0.3">
      <c r="A1513" t="s">
        <v>8</v>
      </c>
      <c r="B1513" t="s">
        <v>213</v>
      </c>
      <c r="C1513" t="s">
        <v>67</v>
      </c>
      <c r="D1513" s="60">
        <v>0</v>
      </c>
      <c r="E1513" s="17"/>
      <c r="F1513" s="17">
        <f t="shared" si="100"/>
        <v>0</v>
      </c>
      <c r="G1513" s="18"/>
      <c r="H1513" s="135">
        <v>187961</v>
      </c>
      <c r="I1513" s="18" t="s">
        <v>82</v>
      </c>
      <c r="J1513" s="19">
        <f t="shared" si="98"/>
        <v>0.9651421688697609</v>
      </c>
    </row>
    <row r="1514" spans="1:10" x14ac:dyDescent="0.3">
      <c r="A1514" t="s">
        <v>8</v>
      </c>
      <c r="B1514" t="s">
        <v>213</v>
      </c>
      <c r="C1514" t="s">
        <v>86</v>
      </c>
      <c r="D1514" s="60">
        <v>0</v>
      </c>
      <c r="E1514" s="17"/>
      <c r="F1514" s="17">
        <f t="shared" si="100"/>
        <v>0</v>
      </c>
      <c r="G1514" s="18"/>
      <c r="H1514" s="135">
        <v>187961</v>
      </c>
      <c r="I1514" s="18" t="s">
        <v>82</v>
      </c>
      <c r="J1514" s="19">
        <f t="shared" si="98"/>
        <v>0.9651421688697609</v>
      </c>
    </row>
    <row r="1515" spans="1:10" x14ac:dyDescent="0.3">
      <c r="A1515" t="s">
        <v>8</v>
      </c>
      <c r="B1515" t="s">
        <v>213</v>
      </c>
      <c r="C1515" t="s">
        <v>114</v>
      </c>
      <c r="D1515" s="60">
        <v>0</v>
      </c>
      <c r="E1515" s="17"/>
      <c r="F1515" s="17">
        <f t="shared" si="100"/>
        <v>0</v>
      </c>
      <c r="G1515" s="18"/>
      <c r="H1515" s="135">
        <v>187961</v>
      </c>
      <c r="I1515" s="18" t="s">
        <v>82</v>
      </c>
      <c r="J1515" s="19">
        <f t="shared" si="98"/>
        <v>0.9651421688697609</v>
      </c>
    </row>
    <row r="1516" spans="1:10" x14ac:dyDescent="0.3">
      <c r="A1516" t="s">
        <v>8</v>
      </c>
      <c r="B1516" t="s">
        <v>213</v>
      </c>
      <c r="C1516" t="s">
        <v>115</v>
      </c>
      <c r="D1516" s="60">
        <v>1</v>
      </c>
      <c r="E1516" s="17"/>
      <c r="F1516" s="17">
        <f t="shared" si="100"/>
        <v>0</v>
      </c>
      <c r="G1516" s="18"/>
      <c r="H1516" s="135">
        <v>187961</v>
      </c>
      <c r="I1516" s="18" t="s">
        <v>82</v>
      </c>
      <c r="J1516" s="19">
        <f t="shared" si="98"/>
        <v>0.9651421688697609</v>
      </c>
    </row>
    <row r="1517" spans="1:10" x14ac:dyDescent="0.3">
      <c r="A1517" t="s">
        <v>8</v>
      </c>
      <c r="B1517" t="s">
        <v>213</v>
      </c>
      <c r="C1517" t="s">
        <v>116</v>
      </c>
      <c r="D1517" s="60">
        <v>1</v>
      </c>
      <c r="E1517" s="17"/>
      <c r="F1517" s="17">
        <f t="shared" si="100"/>
        <v>0</v>
      </c>
      <c r="G1517" s="18"/>
      <c r="H1517" s="135">
        <v>187961</v>
      </c>
      <c r="I1517" s="18" t="s">
        <v>82</v>
      </c>
      <c r="J1517" s="19">
        <f t="shared" si="98"/>
        <v>0.9651421688697609</v>
      </c>
    </row>
    <row r="1518" spans="1:10" x14ac:dyDescent="0.3">
      <c r="A1518" t="s">
        <v>8</v>
      </c>
      <c r="B1518" t="s">
        <v>18</v>
      </c>
      <c r="C1518" t="s">
        <v>53</v>
      </c>
      <c r="D1518" s="133">
        <v>17</v>
      </c>
      <c r="E1518" s="134">
        <v>68738.289999999994</v>
      </c>
      <c r="F1518" s="17">
        <f>IF(E1518="","",E1518)</f>
        <v>68738.289999999994</v>
      </c>
      <c r="G1518" s="18" t="s">
        <v>215</v>
      </c>
      <c r="H1518" s="135">
        <v>187961</v>
      </c>
      <c r="I1518" s="18" t="s">
        <v>82</v>
      </c>
      <c r="J1518" s="19">
        <f t="shared" si="98"/>
        <v>0.45961945695291334</v>
      </c>
    </row>
    <row r="1519" spans="1:10" x14ac:dyDescent="0.3">
      <c r="A1519" t="s">
        <v>8</v>
      </c>
      <c r="B1519" t="s">
        <v>18</v>
      </c>
      <c r="C1519" t="s">
        <v>55</v>
      </c>
      <c r="D1519" s="133">
        <v>17</v>
      </c>
      <c r="E1519" s="134">
        <v>47.658741879775853</v>
      </c>
      <c r="F1519" s="17">
        <f t="shared" ref="F1519:F1534" si="101">D1519*E1519</f>
        <v>810.19861195618955</v>
      </c>
      <c r="G1519" s="18"/>
      <c r="H1519" s="135">
        <v>187961</v>
      </c>
      <c r="I1519" s="18" t="s">
        <v>82</v>
      </c>
      <c r="J1519" s="19">
        <f t="shared" si="98"/>
        <v>0.45961945695291334</v>
      </c>
    </row>
    <row r="1520" spans="1:10" x14ac:dyDescent="0.3">
      <c r="A1520" t="s">
        <v>8</v>
      </c>
      <c r="B1520" t="s">
        <v>18</v>
      </c>
      <c r="C1520" t="s">
        <v>26</v>
      </c>
      <c r="D1520" s="133">
        <v>17</v>
      </c>
      <c r="E1520" s="134">
        <v>29.741875861103122</v>
      </c>
      <c r="F1520" s="17">
        <f t="shared" si="101"/>
        <v>505.61188963875304</v>
      </c>
      <c r="G1520" s="18"/>
      <c r="H1520" s="135">
        <v>187961</v>
      </c>
      <c r="I1520" s="18" t="s">
        <v>82</v>
      </c>
      <c r="J1520" s="19">
        <f t="shared" si="98"/>
        <v>0.45961945695291334</v>
      </c>
    </row>
    <row r="1521" spans="1:10" x14ac:dyDescent="0.3">
      <c r="A1521" t="s">
        <v>8</v>
      </c>
      <c r="B1521" t="s">
        <v>18</v>
      </c>
      <c r="C1521" t="s">
        <v>14</v>
      </c>
      <c r="D1521" s="133">
        <v>17</v>
      </c>
      <c r="E1521" s="134">
        <v>43.540891487759097</v>
      </c>
      <c r="F1521" s="17">
        <f t="shared" si="101"/>
        <v>740.19515529190471</v>
      </c>
      <c r="G1521" s="18"/>
      <c r="H1521" s="135">
        <v>187961</v>
      </c>
      <c r="I1521" s="18" t="s">
        <v>82</v>
      </c>
      <c r="J1521" s="19">
        <f t="shared" si="98"/>
        <v>0.45961945695291334</v>
      </c>
    </row>
    <row r="1522" spans="1:10" x14ac:dyDescent="0.3">
      <c r="A1522" t="s">
        <v>8</v>
      </c>
      <c r="B1522" t="s">
        <v>18</v>
      </c>
      <c r="C1522" t="s">
        <v>56</v>
      </c>
      <c r="D1522" s="133">
        <v>11</v>
      </c>
      <c r="E1522" s="134">
        <v>50</v>
      </c>
      <c r="F1522" s="17">
        <f t="shared" si="101"/>
        <v>550</v>
      </c>
      <c r="G1522" s="18" t="s">
        <v>192</v>
      </c>
      <c r="H1522" s="135">
        <v>187961</v>
      </c>
      <c r="I1522" s="18" t="s">
        <v>82</v>
      </c>
      <c r="J1522" s="19">
        <f t="shared" si="98"/>
        <v>0.45961945695291334</v>
      </c>
    </row>
    <row r="1523" spans="1:10" x14ac:dyDescent="0.3">
      <c r="A1523" t="s">
        <v>8</v>
      </c>
      <c r="B1523" t="s">
        <v>18</v>
      </c>
      <c r="C1523" t="s">
        <v>70</v>
      </c>
      <c r="D1523" s="60">
        <v>0</v>
      </c>
      <c r="E1523" s="17"/>
      <c r="F1523" s="17">
        <f t="shared" si="101"/>
        <v>0</v>
      </c>
      <c r="G1523" s="18"/>
      <c r="H1523" s="135">
        <v>187961</v>
      </c>
      <c r="I1523" s="18" t="s">
        <v>82</v>
      </c>
      <c r="J1523" s="19">
        <f t="shared" si="98"/>
        <v>0.45961945695291334</v>
      </c>
    </row>
    <row r="1524" spans="1:10" x14ac:dyDescent="0.3">
      <c r="A1524" t="s">
        <v>8</v>
      </c>
      <c r="B1524" t="s">
        <v>18</v>
      </c>
      <c r="C1524" t="s">
        <v>57</v>
      </c>
      <c r="D1524" s="133">
        <v>5</v>
      </c>
      <c r="E1524" s="134">
        <v>30</v>
      </c>
      <c r="F1524" s="17">
        <f t="shared" si="101"/>
        <v>150</v>
      </c>
      <c r="G1524" s="18" t="s">
        <v>192</v>
      </c>
      <c r="H1524" s="135">
        <v>187961</v>
      </c>
      <c r="I1524" s="18" t="s">
        <v>82</v>
      </c>
      <c r="J1524" s="19">
        <f t="shared" si="98"/>
        <v>0.45961945695291334</v>
      </c>
    </row>
    <row r="1525" spans="1:10" x14ac:dyDescent="0.3">
      <c r="A1525" t="s">
        <v>8</v>
      </c>
      <c r="B1525" t="s">
        <v>18</v>
      </c>
      <c r="C1525" t="s">
        <v>72</v>
      </c>
      <c r="D1525" s="133">
        <v>1</v>
      </c>
      <c r="E1525" s="134">
        <v>153.58000000000001</v>
      </c>
      <c r="F1525" s="17">
        <f t="shared" si="101"/>
        <v>153.58000000000001</v>
      </c>
      <c r="G1525" s="18" t="s">
        <v>192</v>
      </c>
      <c r="H1525" s="135">
        <v>187961</v>
      </c>
      <c r="I1525" s="18" t="s">
        <v>82</v>
      </c>
      <c r="J1525" s="19">
        <f t="shared" si="98"/>
        <v>0.45961945695291334</v>
      </c>
    </row>
    <row r="1526" spans="1:10" x14ac:dyDescent="0.3">
      <c r="A1526" t="s">
        <v>8</v>
      </c>
      <c r="B1526" t="s">
        <v>18</v>
      </c>
      <c r="C1526" t="s">
        <v>58</v>
      </c>
      <c r="D1526" s="133">
        <v>17</v>
      </c>
      <c r="E1526" s="37">
        <v>9.918365758754863</v>
      </c>
      <c r="F1526" s="17">
        <f t="shared" si="101"/>
        <v>168.61221789883268</v>
      </c>
      <c r="G1526" s="18"/>
      <c r="H1526" s="135">
        <v>187961</v>
      </c>
      <c r="I1526" s="18" t="s">
        <v>82</v>
      </c>
      <c r="J1526" s="19">
        <f t="shared" si="98"/>
        <v>0.45961945695291334</v>
      </c>
    </row>
    <row r="1527" spans="1:10" x14ac:dyDescent="0.3">
      <c r="A1527" t="s">
        <v>8</v>
      </c>
      <c r="B1527" t="s">
        <v>18</v>
      </c>
      <c r="C1527" t="s">
        <v>59</v>
      </c>
      <c r="D1527" s="133">
        <v>17</v>
      </c>
      <c r="E1527" s="37">
        <v>2.049698443579766</v>
      </c>
      <c r="F1527" s="17">
        <f t="shared" si="101"/>
        <v>34.844873540856021</v>
      </c>
      <c r="G1527" s="18"/>
      <c r="H1527" s="135">
        <v>187961</v>
      </c>
      <c r="I1527" s="18" t="s">
        <v>82</v>
      </c>
      <c r="J1527" s="19">
        <f t="shared" si="98"/>
        <v>0.45961945695291334</v>
      </c>
    </row>
    <row r="1528" spans="1:10" x14ac:dyDescent="0.3">
      <c r="A1528" t="s">
        <v>8</v>
      </c>
      <c r="B1528" t="s">
        <v>18</v>
      </c>
      <c r="C1528" t="s">
        <v>74</v>
      </c>
      <c r="D1528" s="60">
        <v>1</v>
      </c>
      <c r="E1528" s="37">
        <v>180</v>
      </c>
      <c r="F1528" s="17">
        <f t="shared" si="101"/>
        <v>180</v>
      </c>
      <c r="G1528" s="18" t="s">
        <v>206</v>
      </c>
      <c r="H1528" s="135">
        <v>187961</v>
      </c>
      <c r="I1528" s="18" t="s">
        <v>82</v>
      </c>
      <c r="J1528" s="19">
        <f t="shared" si="98"/>
        <v>0.45961945695291334</v>
      </c>
    </row>
    <row r="1529" spans="1:10" x14ac:dyDescent="0.3">
      <c r="A1529" t="s">
        <v>8</v>
      </c>
      <c r="B1529" t="s">
        <v>18</v>
      </c>
      <c r="C1529" t="s">
        <v>62</v>
      </c>
      <c r="D1529" s="60">
        <v>1</v>
      </c>
      <c r="E1529" s="37">
        <v>0</v>
      </c>
      <c r="F1529" s="17">
        <f t="shared" si="101"/>
        <v>0</v>
      </c>
      <c r="G1529" s="18" t="s">
        <v>206</v>
      </c>
      <c r="H1529" s="135">
        <v>187961</v>
      </c>
      <c r="I1529" s="18" t="s">
        <v>82</v>
      </c>
      <c r="J1529" s="19">
        <f t="shared" si="98"/>
        <v>0.45961945695291334</v>
      </c>
    </row>
    <row r="1530" spans="1:10" x14ac:dyDescent="0.3">
      <c r="A1530" t="s">
        <v>8</v>
      </c>
      <c r="B1530" t="s">
        <v>18</v>
      </c>
      <c r="C1530" t="s">
        <v>117</v>
      </c>
      <c r="D1530" s="60">
        <v>0</v>
      </c>
      <c r="E1530" s="17"/>
      <c r="F1530" s="17">
        <f t="shared" si="101"/>
        <v>0</v>
      </c>
      <c r="G1530" s="18"/>
      <c r="H1530" s="135">
        <v>187961</v>
      </c>
      <c r="I1530" s="18" t="s">
        <v>82</v>
      </c>
      <c r="J1530" s="19">
        <f t="shared" si="98"/>
        <v>0.45961945695291334</v>
      </c>
    </row>
    <row r="1531" spans="1:10" x14ac:dyDescent="0.3">
      <c r="A1531" t="s">
        <v>8</v>
      </c>
      <c r="B1531" t="s">
        <v>18</v>
      </c>
      <c r="C1531" t="s">
        <v>84</v>
      </c>
      <c r="D1531" s="60">
        <v>0</v>
      </c>
      <c r="E1531" s="17"/>
      <c r="F1531" s="17">
        <f t="shared" si="101"/>
        <v>0</v>
      </c>
      <c r="G1531" s="18"/>
      <c r="H1531" s="135">
        <v>187961</v>
      </c>
      <c r="I1531" s="18" t="s">
        <v>82</v>
      </c>
      <c r="J1531" s="19">
        <f t="shared" si="98"/>
        <v>0.45961945695291334</v>
      </c>
    </row>
    <row r="1532" spans="1:10" x14ac:dyDescent="0.3">
      <c r="A1532" t="s">
        <v>8</v>
      </c>
      <c r="B1532" t="s">
        <v>18</v>
      </c>
      <c r="C1532" t="s">
        <v>118</v>
      </c>
      <c r="D1532" s="133">
        <v>0</v>
      </c>
      <c r="E1532" s="134">
        <v>0</v>
      </c>
      <c r="F1532" s="17">
        <f t="shared" si="101"/>
        <v>0</v>
      </c>
      <c r="G1532" s="18" t="s">
        <v>170</v>
      </c>
      <c r="H1532" s="135">
        <v>187961</v>
      </c>
      <c r="I1532" s="18" t="s">
        <v>82</v>
      </c>
      <c r="J1532" s="19">
        <f t="shared" si="98"/>
        <v>0.45961945695291334</v>
      </c>
    </row>
    <row r="1533" spans="1:10" x14ac:dyDescent="0.3">
      <c r="A1533" t="s">
        <v>8</v>
      </c>
      <c r="B1533" t="s">
        <v>18</v>
      </c>
      <c r="C1533" t="s">
        <v>75</v>
      </c>
      <c r="D1533" s="60">
        <v>1</v>
      </c>
      <c r="E1533" s="134">
        <v>1628.63</v>
      </c>
      <c r="F1533" s="17">
        <f t="shared" si="101"/>
        <v>1628.63</v>
      </c>
      <c r="G1533" s="133" t="s">
        <v>65</v>
      </c>
      <c r="H1533" s="135">
        <v>187961</v>
      </c>
      <c r="I1533" s="18" t="s">
        <v>82</v>
      </c>
      <c r="J1533" s="19">
        <f t="shared" si="98"/>
        <v>0.45961945695291334</v>
      </c>
    </row>
    <row r="1534" spans="1:10" x14ac:dyDescent="0.3">
      <c r="A1534" t="s">
        <v>8</v>
      </c>
      <c r="B1534" t="s">
        <v>18</v>
      </c>
      <c r="C1534" t="s">
        <v>64</v>
      </c>
      <c r="D1534" s="60">
        <v>1</v>
      </c>
      <c r="E1534" s="134">
        <v>12730.57</v>
      </c>
      <c r="F1534" s="17">
        <f t="shared" si="101"/>
        <v>12730.57</v>
      </c>
      <c r="G1534" s="133" t="s">
        <v>65</v>
      </c>
      <c r="H1534" s="135">
        <v>187961</v>
      </c>
      <c r="I1534" s="18" t="s">
        <v>82</v>
      </c>
      <c r="J1534" s="19">
        <f t="shared" si="98"/>
        <v>0.45961945695291334</v>
      </c>
    </row>
    <row r="1535" spans="1:10" x14ac:dyDescent="0.3">
      <c r="A1535" t="s">
        <v>8</v>
      </c>
      <c r="B1535" t="s">
        <v>19</v>
      </c>
      <c r="C1535" t="s">
        <v>53</v>
      </c>
      <c r="D1535" s="133">
        <v>8</v>
      </c>
      <c r="E1535" s="134">
        <v>24895.279999999999</v>
      </c>
      <c r="F1535" s="17">
        <f>IF(E1535="","",E1535)</f>
        <v>24895.279999999999</v>
      </c>
      <c r="G1535" s="18" t="s">
        <v>205</v>
      </c>
      <c r="H1535" s="135">
        <v>187961</v>
      </c>
      <c r="I1535" s="18" t="s">
        <v>82</v>
      </c>
      <c r="J1535" s="19">
        <f t="shared" si="98"/>
        <v>0.25810740838497226</v>
      </c>
    </row>
    <row r="1536" spans="1:10" x14ac:dyDescent="0.3">
      <c r="A1536" t="s">
        <v>8</v>
      </c>
      <c r="B1536" t="s">
        <v>19</v>
      </c>
      <c r="C1536" t="s">
        <v>55</v>
      </c>
      <c r="D1536" s="133">
        <v>8</v>
      </c>
      <c r="E1536" s="134">
        <v>47.658741879775853</v>
      </c>
      <c r="F1536" s="17">
        <f t="shared" ref="F1536:F1553" si="102">D1536*E1536</f>
        <v>381.26993503820682</v>
      </c>
      <c r="G1536" s="18"/>
      <c r="H1536" s="135">
        <v>187961</v>
      </c>
      <c r="I1536" s="18" t="s">
        <v>82</v>
      </c>
      <c r="J1536" s="19">
        <f t="shared" si="98"/>
        <v>0.25810740838497226</v>
      </c>
    </row>
    <row r="1537" spans="1:10" x14ac:dyDescent="0.3">
      <c r="A1537" t="s">
        <v>8</v>
      </c>
      <c r="B1537" t="s">
        <v>19</v>
      </c>
      <c r="C1537" t="s">
        <v>26</v>
      </c>
      <c r="D1537" s="133">
        <v>8</v>
      </c>
      <c r="E1537" s="134">
        <v>29.741875861103122</v>
      </c>
      <c r="F1537" s="17">
        <f t="shared" si="102"/>
        <v>237.93500688882497</v>
      </c>
      <c r="G1537" s="18"/>
      <c r="H1537" s="135">
        <v>187961</v>
      </c>
      <c r="I1537" s="18" t="s">
        <v>82</v>
      </c>
      <c r="J1537" s="19">
        <f t="shared" si="98"/>
        <v>0.25810740838497226</v>
      </c>
    </row>
    <row r="1538" spans="1:10" x14ac:dyDescent="0.3">
      <c r="A1538" t="s">
        <v>8</v>
      </c>
      <c r="B1538" t="s">
        <v>19</v>
      </c>
      <c r="C1538" t="s">
        <v>14</v>
      </c>
      <c r="D1538" s="133">
        <v>8</v>
      </c>
      <c r="E1538" s="134">
        <v>43.540891487759097</v>
      </c>
      <c r="F1538" s="17">
        <f t="shared" si="102"/>
        <v>348.32713190207278</v>
      </c>
      <c r="G1538" s="18"/>
      <c r="H1538" s="135">
        <v>187961</v>
      </c>
      <c r="I1538" s="18" t="s">
        <v>82</v>
      </c>
      <c r="J1538" s="19">
        <f t="shared" ref="J1538:J1601" si="103">IFERROR(SUMIFS($F$2:$F$1749,$A$2:$A$1749,A1538,$B$2:$B$1749,B1538)/H1538,"")</f>
        <v>0.25810740838497226</v>
      </c>
    </row>
    <row r="1539" spans="1:10" x14ac:dyDescent="0.3">
      <c r="A1539" t="s">
        <v>8</v>
      </c>
      <c r="B1539" t="s">
        <v>19</v>
      </c>
      <c r="C1539" t="s">
        <v>56</v>
      </c>
      <c r="D1539" s="133">
        <v>10</v>
      </c>
      <c r="E1539" s="134">
        <v>50</v>
      </c>
      <c r="F1539" s="17">
        <f t="shared" si="102"/>
        <v>500</v>
      </c>
      <c r="G1539" s="18" t="s">
        <v>192</v>
      </c>
      <c r="H1539" s="135">
        <v>187961</v>
      </c>
      <c r="I1539" s="18" t="s">
        <v>82</v>
      </c>
      <c r="J1539" s="19">
        <f t="shared" si="103"/>
        <v>0.25810740838497226</v>
      </c>
    </row>
    <row r="1540" spans="1:10" x14ac:dyDescent="0.3">
      <c r="A1540" t="s">
        <v>8</v>
      </c>
      <c r="B1540" t="s">
        <v>19</v>
      </c>
      <c r="C1540" t="s">
        <v>70</v>
      </c>
      <c r="D1540" s="60">
        <v>1</v>
      </c>
      <c r="E1540" s="17"/>
      <c r="F1540" s="17">
        <f t="shared" si="102"/>
        <v>0</v>
      </c>
      <c r="G1540" s="18"/>
      <c r="H1540" s="135">
        <v>187961</v>
      </c>
      <c r="I1540" s="18" t="s">
        <v>82</v>
      </c>
      <c r="J1540" s="19">
        <f t="shared" si="103"/>
        <v>0.25810740838497226</v>
      </c>
    </row>
    <row r="1541" spans="1:10" x14ac:dyDescent="0.3">
      <c r="A1541" t="s">
        <v>8</v>
      </c>
      <c r="B1541" t="s">
        <v>19</v>
      </c>
      <c r="C1541" t="s">
        <v>119</v>
      </c>
      <c r="D1541" s="133">
        <v>1</v>
      </c>
      <c r="E1541" s="134">
        <v>21479.53</v>
      </c>
      <c r="F1541" s="17">
        <f t="shared" si="102"/>
        <v>21479.53</v>
      </c>
      <c r="G1541" s="18" t="s">
        <v>192</v>
      </c>
      <c r="H1541" s="135">
        <v>187961</v>
      </c>
      <c r="I1541" s="18" t="s">
        <v>82</v>
      </c>
      <c r="J1541" s="19">
        <f t="shared" si="103"/>
        <v>0.25810740838497226</v>
      </c>
    </row>
    <row r="1542" spans="1:10" x14ac:dyDescent="0.3">
      <c r="A1542" t="s">
        <v>8</v>
      </c>
      <c r="B1542" t="s">
        <v>19</v>
      </c>
      <c r="C1542" t="s">
        <v>57</v>
      </c>
      <c r="D1542" s="133">
        <v>4</v>
      </c>
      <c r="E1542" s="134">
        <v>30</v>
      </c>
      <c r="F1542" s="17">
        <f t="shared" si="102"/>
        <v>120</v>
      </c>
      <c r="G1542" s="18" t="s">
        <v>192</v>
      </c>
      <c r="H1542" s="135">
        <v>187961</v>
      </c>
      <c r="I1542" s="18" t="s">
        <v>82</v>
      </c>
      <c r="J1542" s="19">
        <f t="shared" si="103"/>
        <v>0.25810740838497226</v>
      </c>
    </row>
    <row r="1543" spans="1:10" x14ac:dyDescent="0.3">
      <c r="A1543" t="s">
        <v>8</v>
      </c>
      <c r="B1543" t="s">
        <v>19</v>
      </c>
      <c r="C1543" t="s">
        <v>76</v>
      </c>
      <c r="D1543" s="133">
        <v>0</v>
      </c>
      <c r="E1543" s="134">
        <v>0</v>
      </c>
      <c r="F1543" s="17">
        <f t="shared" si="102"/>
        <v>0</v>
      </c>
      <c r="G1543" s="18" t="s">
        <v>170</v>
      </c>
      <c r="H1543" s="135">
        <v>187961</v>
      </c>
      <c r="I1543" s="18" t="s">
        <v>82</v>
      </c>
      <c r="J1543" s="19">
        <f t="shared" si="103"/>
        <v>0.25810740838497226</v>
      </c>
    </row>
    <row r="1544" spans="1:10" x14ac:dyDescent="0.3">
      <c r="A1544" t="s">
        <v>8</v>
      </c>
      <c r="B1544" t="s">
        <v>19</v>
      </c>
      <c r="C1544" t="s">
        <v>71</v>
      </c>
      <c r="D1544" s="133">
        <v>2</v>
      </c>
      <c r="E1544" s="134">
        <v>40.520000000000003</v>
      </c>
      <c r="F1544" s="17">
        <f t="shared" si="102"/>
        <v>81.040000000000006</v>
      </c>
      <c r="G1544" s="18" t="s">
        <v>192</v>
      </c>
      <c r="H1544" s="135">
        <v>187961</v>
      </c>
      <c r="I1544" s="18" t="s">
        <v>82</v>
      </c>
      <c r="J1544" s="19">
        <f t="shared" si="103"/>
        <v>0.25810740838497226</v>
      </c>
    </row>
    <row r="1545" spans="1:10" x14ac:dyDescent="0.3">
      <c r="A1545" t="s">
        <v>8</v>
      </c>
      <c r="B1545" t="s">
        <v>19</v>
      </c>
      <c r="C1545" t="s">
        <v>72</v>
      </c>
      <c r="D1545" s="133">
        <v>1</v>
      </c>
      <c r="E1545" s="134">
        <v>153.58000000000001</v>
      </c>
      <c r="F1545" s="17">
        <f t="shared" si="102"/>
        <v>153.58000000000001</v>
      </c>
      <c r="G1545" s="18" t="s">
        <v>192</v>
      </c>
      <c r="H1545" s="135">
        <v>187961</v>
      </c>
      <c r="I1545" s="18" t="s">
        <v>82</v>
      </c>
      <c r="J1545" s="19">
        <f t="shared" si="103"/>
        <v>0.25810740838497226</v>
      </c>
    </row>
    <row r="1546" spans="1:10" x14ac:dyDescent="0.3">
      <c r="A1546" t="s">
        <v>8</v>
      </c>
      <c r="B1546" t="s">
        <v>19</v>
      </c>
      <c r="C1546" t="s">
        <v>58</v>
      </c>
      <c r="D1546" s="133">
        <v>8</v>
      </c>
      <c r="E1546" s="37">
        <v>9.918365758754863</v>
      </c>
      <c r="F1546" s="17">
        <f t="shared" si="102"/>
        <v>79.346926070038904</v>
      </c>
      <c r="G1546" s="18"/>
      <c r="H1546" s="135">
        <v>187961</v>
      </c>
      <c r="I1546" s="18" t="s">
        <v>82</v>
      </c>
      <c r="J1546" s="19">
        <f t="shared" si="103"/>
        <v>0.25810740838497226</v>
      </c>
    </row>
    <row r="1547" spans="1:10" x14ac:dyDescent="0.3">
      <c r="A1547" t="s">
        <v>8</v>
      </c>
      <c r="B1547" t="s">
        <v>19</v>
      </c>
      <c r="C1547" t="s">
        <v>59</v>
      </c>
      <c r="D1547" s="133">
        <v>8</v>
      </c>
      <c r="E1547" s="37">
        <v>2.049698443579766</v>
      </c>
      <c r="F1547" s="17">
        <f t="shared" si="102"/>
        <v>16.397587548638128</v>
      </c>
      <c r="G1547" s="18"/>
      <c r="H1547" s="135">
        <v>187961</v>
      </c>
      <c r="I1547" s="18" t="s">
        <v>82</v>
      </c>
      <c r="J1547" s="19">
        <f t="shared" si="103"/>
        <v>0.25810740838497226</v>
      </c>
    </row>
    <row r="1548" spans="1:10" x14ac:dyDescent="0.3">
      <c r="A1548" t="s">
        <v>8</v>
      </c>
      <c r="B1548" t="s">
        <v>19</v>
      </c>
      <c r="C1548" t="s">
        <v>89</v>
      </c>
      <c r="D1548" s="60">
        <v>0</v>
      </c>
      <c r="E1548" s="17"/>
      <c r="F1548" s="17">
        <f t="shared" si="102"/>
        <v>0</v>
      </c>
      <c r="G1548" s="18"/>
      <c r="H1548" s="135">
        <v>187961</v>
      </c>
      <c r="I1548" s="18" t="s">
        <v>82</v>
      </c>
      <c r="J1548" s="19">
        <f t="shared" si="103"/>
        <v>0.25810740838497226</v>
      </c>
    </row>
    <row r="1549" spans="1:10" x14ac:dyDescent="0.3">
      <c r="A1549" t="s">
        <v>8</v>
      </c>
      <c r="B1549" t="s">
        <v>19</v>
      </c>
      <c r="C1549" t="s">
        <v>74</v>
      </c>
      <c r="D1549" s="60">
        <v>0</v>
      </c>
      <c r="E1549" s="17"/>
      <c r="F1549" s="17">
        <f t="shared" si="102"/>
        <v>0</v>
      </c>
      <c r="G1549" s="18"/>
      <c r="H1549" s="135">
        <v>187961</v>
      </c>
      <c r="I1549" s="18" t="s">
        <v>82</v>
      </c>
      <c r="J1549" s="19">
        <f t="shared" si="103"/>
        <v>0.25810740838497226</v>
      </c>
    </row>
    <row r="1550" spans="1:10" x14ac:dyDescent="0.3">
      <c r="A1550" t="s">
        <v>8</v>
      </c>
      <c r="B1550" t="s">
        <v>19</v>
      </c>
      <c r="C1550" t="s">
        <v>62</v>
      </c>
      <c r="D1550" s="60">
        <v>0</v>
      </c>
      <c r="E1550" s="17"/>
      <c r="F1550" s="17">
        <f t="shared" si="102"/>
        <v>0</v>
      </c>
      <c r="G1550" s="18"/>
      <c r="H1550" s="135">
        <v>187961</v>
      </c>
      <c r="I1550" s="18" t="s">
        <v>82</v>
      </c>
      <c r="J1550" s="19">
        <f t="shared" si="103"/>
        <v>0.25810740838497226</v>
      </c>
    </row>
    <row r="1551" spans="1:10" x14ac:dyDescent="0.3">
      <c r="A1551" t="s">
        <v>8</v>
      </c>
      <c r="B1551" t="s">
        <v>19</v>
      </c>
      <c r="C1551" t="s">
        <v>114</v>
      </c>
      <c r="D1551" s="60">
        <v>0</v>
      </c>
      <c r="E1551" s="17"/>
      <c r="F1551" s="17">
        <f t="shared" si="102"/>
        <v>0</v>
      </c>
      <c r="G1551" s="18"/>
      <c r="H1551" s="135">
        <v>187961</v>
      </c>
      <c r="I1551" s="18" t="s">
        <v>82</v>
      </c>
      <c r="J1551" s="19">
        <f t="shared" si="103"/>
        <v>0.25810740838497226</v>
      </c>
    </row>
    <row r="1552" spans="1:10" x14ac:dyDescent="0.3">
      <c r="A1552" t="s">
        <v>8</v>
      </c>
      <c r="B1552" t="s">
        <v>19</v>
      </c>
      <c r="C1552" t="s">
        <v>75</v>
      </c>
      <c r="D1552" s="60">
        <v>1</v>
      </c>
      <c r="E1552" s="134">
        <v>24.9</v>
      </c>
      <c r="F1552" s="17">
        <f t="shared" si="102"/>
        <v>24.9</v>
      </c>
      <c r="G1552" s="133" t="s">
        <v>65</v>
      </c>
      <c r="H1552" s="135">
        <v>187961</v>
      </c>
      <c r="I1552" s="18" t="s">
        <v>82</v>
      </c>
      <c r="J1552" s="19">
        <f t="shared" si="103"/>
        <v>0.25810740838497226</v>
      </c>
    </row>
    <row r="1553" spans="1:10" x14ac:dyDescent="0.3">
      <c r="A1553" t="s">
        <v>8</v>
      </c>
      <c r="B1553" t="s">
        <v>19</v>
      </c>
      <c r="C1553" t="s">
        <v>64</v>
      </c>
      <c r="D1553" s="60">
        <v>1</v>
      </c>
      <c r="E1553" s="134">
        <v>196.52</v>
      </c>
      <c r="F1553" s="17">
        <f t="shared" si="102"/>
        <v>196.52</v>
      </c>
      <c r="G1553" s="133" t="s">
        <v>65</v>
      </c>
      <c r="H1553" s="135">
        <v>187961</v>
      </c>
      <c r="I1553" s="18" t="s">
        <v>82</v>
      </c>
      <c r="J1553" s="19">
        <f t="shared" si="103"/>
        <v>0.25810740838497226</v>
      </c>
    </row>
    <row r="1554" spans="1:10" x14ac:dyDescent="0.3">
      <c r="A1554" t="s">
        <v>8</v>
      </c>
      <c r="B1554" t="s">
        <v>20</v>
      </c>
      <c r="C1554" t="s">
        <v>53</v>
      </c>
      <c r="D1554" s="133">
        <v>3</v>
      </c>
      <c r="E1554" s="134">
        <v>11232.4</v>
      </c>
      <c r="F1554" s="17">
        <f>IF(E1554="","",E1554)</f>
        <v>11232.4</v>
      </c>
      <c r="G1554" s="18" t="s">
        <v>216</v>
      </c>
      <c r="H1554" s="135">
        <v>201491</v>
      </c>
      <c r="I1554" s="18" t="s">
        <v>54</v>
      </c>
      <c r="J1554" s="19">
        <f t="shared" si="103"/>
        <v>5.9164571719297218E-2</v>
      </c>
    </row>
    <row r="1555" spans="1:10" x14ac:dyDescent="0.3">
      <c r="A1555" t="s">
        <v>8</v>
      </c>
      <c r="B1555" t="s">
        <v>20</v>
      </c>
      <c r="C1555" t="s">
        <v>55</v>
      </c>
      <c r="D1555" s="133">
        <v>3</v>
      </c>
      <c r="E1555" s="134">
        <v>47.658741879775853</v>
      </c>
      <c r="F1555" s="17">
        <f t="shared" ref="F1555:F1570" si="104">D1555*E1555</f>
        <v>142.97622563932757</v>
      </c>
      <c r="G1555" s="18"/>
      <c r="H1555" s="135">
        <v>201491</v>
      </c>
      <c r="I1555" s="18" t="s">
        <v>54</v>
      </c>
      <c r="J1555" s="19">
        <f t="shared" si="103"/>
        <v>5.9164571719297218E-2</v>
      </c>
    </row>
    <row r="1556" spans="1:10" x14ac:dyDescent="0.3">
      <c r="A1556" t="s">
        <v>8</v>
      </c>
      <c r="B1556" t="s">
        <v>20</v>
      </c>
      <c r="C1556" t="s">
        <v>26</v>
      </c>
      <c r="D1556" s="133">
        <v>3</v>
      </c>
      <c r="E1556" s="134">
        <v>29.741875861103122</v>
      </c>
      <c r="F1556" s="17">
        <f t="shared" si="104"/>
        <v>89.225627583309361</v>
      </c>
      <c r="G1556" s="18"/>
      <c r="H1556" s="135">
        <v>201491</v>
      </c>
      <c r="I1556" s="18" t="s">
        <v>54</v>
      </c>
      <c r="J1556" s="19">
        <f t="shared" si="103"/>
        <v>5.9164571719297218E-2</v>
      </c>
    </row>
    <row r="1557" spans="1:10" x14ac:dyDescent="0.3">
      <c r="A1557" t="s">
        <v>8</v>
      </c>
      <c r="B1557" t="s">
        <v>20</v>
      </c>
      <c r="C1557" t="s">
        <v>14</v>
      </c>
      <c r="D1557" s="133">
        <v>3</v>
      </c>
      <c r="E1557" s="134">
        <v>43.540891487759097</v>
      </c>
      <c r="F1557" s="17">
        <f t="shared" si="104"/>
        <v>130.62267446327729</v>
      </c>
      <c r="G1557" s="18"/>
      <c r="H1557" s="135">
        <v>201491</v>
      </c>
      <c r="I1557" s="18" t="s">
        <v>54</v>
      </c>
      <c r="J1557" s="19">
        <f t="shared" si="103"/>
        <v>5.9164571719297218E-2</v>
      </c>
    </row>
    <row r="1558" spans="1:10" x14ac:dyDescent="0.3">
      <c r="A1558" t="s">
        <v>8</v>
      </c>
      <c r="B1558" t="s">
        <v>20</v>
      </c>
      <c r="C1558" t="s">
        <v>56</v>
      </c>
      <c r="D1558" s="133">
        <v>1</v>
      </c>
      <c r="E1558" s="134">
        <v>90</v>
      </c>
      <c r="F1558" s="17">
        <f t="shared" si="104"/>
        <v>90</v>
      </c>
      <c r="G1558" s="18" t="s">
        <v>192</v>
      </c>
      <c r="H1558" s="135">
        <v>201491</v>
      </c>
      <c r="I1558" s="18" t="s">
        <v>54</v>
      </c>
      <c r="J1558" s="19">
        <f t="shared" si="103"/>
        <v>5.9164571719297218E-2</v>
      </c>
    </row>
    <row r="1559" spans="1:10" x14ac:dyDescent="0.3">
      <c r="A1559" t="s">
        <v>8</v>
      </c>
      <c r="B1559" t="s">
        <v>20</v>
      </c>
      <c r="C1559" t="s">
        <v>56</v>
      </c>
      <c r="D1559" s="133">
        <v>1</v>
      </c>
      <c r="E1559" s="134">
        <v>50</v>
      </c>
      <c r="F1559" s="17">
        <f t="shared" si="104"/>
        <v>50</v>
      </c>
      <c r="G1559" s="18" t="s">
        <v>192</v>
      </c>
      <c r="H1559" s="135">
        <v>201491</v>
      </c>
      <c r="I1559" s="18" t="s">
        <v>54</v>
      </c>
      <c r="J1559" s="19">
        <f t="shared" si="103"/>
        <v>5.9164571719297218E-2</v>
      </c>
    </row>
    <row r="1560" spans="1:10" x14ac:dyDescent="0.3">
      <c r="A1560" t="s">
        <v>8</v>
      </c>
      <c r="B1560" t="s">
        <v>20</v>
      </c>
      <c r="C1560" t="s">
        <v>70</v>
      </c>
      <c r="D1560" s="60">
        <v>0</v>
      </c>
      <c r="E1560" s="17"/>
      <c r="F1560" s="17">
        <f t="shared" si="104"/>
        <v>0</v>
      </c>
      <c r="G1560" s="18"/>
      <c r="H1560" s="135">
        <v>201491</v>
      </c>
      <c r="I1560" s="18" t="s">
        <v>54</v>
      </c>
      <c r="J1560" s="19">
        <f t="shared" si="103"/>
        <v>5.9164571719297218E-2</v>
      </c>
    </row>
    <row r="1561" spans="1:10" x14ac:dyDescent="0.3">
      <c r="A1561" t="s">
        <v>8</v>
      </c>
      <c r="B1561" t="s">
        <v>20</v>
      </c>
      <c r="C1561" t="s">
        <v>57</v>
      </c>
      <c r="D1561" s="133">
        <v>2</v>
      </c>
      <c r="E1561" s="134">
        <v>30</v>
      </c>
      <c r="F1561" s="17">
        <f t="shared" si="104"/>
        <v>60</v>
      </c>
      <c r="G1561" s="18" t="s">
        <v>192</v>
      </c>
      <c r="H1561" s="135">
        <v>201491</v>
      </c>
      <c r="I1561" s="18" t="s">
        <v>54</v>
      </c>
      <c r="J1561" s="19">
        <f t="shared" si="103"/>
        <v>5.9164571719297218E-2</v>
      </c>
    </row>
    <row r="1562" spans="1:10" x14ac:dyDescent="0.3">
      <c r="A1562" t="s">
        <v>8</v>
      </c>
      <c r="B1562" t="s">
        <v>20</v>
      </c>
      <c r="C1562" t="s">
        <v>72</v>
      </c>
      <c r="D1562" s="133">
        <v>1</v>
      </c>
      <c r="E1562" s="134">
        <v>0</v>
      </c>
      <c r="F1562" s="17">
        <f t="shared" si="104"/>
        <v>0</v>
      </c>
      <c r="G1562" s="18" t="s">
        <v>192</v>
      </c>
      <c r="H1562" s="135">
        <v>201491</v>
      </c>
      <c r="I1562" s="18" t="s">
        <v>54</v>
      </c>
      <c r="J1562" s="19">
        <f t="shared" si="103"/>
        <v>5.9164571719297218E-2</v>
      </c>
    </row>
    <row r="1563" spans="1:10" x14ac:dyDescent="0.3">
      <c r="A1563" t="s">
        <v>8</v>
      </c>
      <c r="B1563" t="s">
        <v>20</v>
      </c>
      <c r="C1563" t="s">
        <v>58</v>
      </c>
      <c r="D1563" s="133">
        <v>3</v>
      </c>
      <c r="E1563" s="37">
        <v>9.918365758754863</v>
      </c>
      <c r="F1563" s="17">
        <f t="shared" si="104"/>
        <v>29.755097276264589</v>
      </c>
      <c r="G1563" s="18"/>
      <c r="H1563" s="135">
        <v>201491</v>
      </c>
      <c r="I1563" s="18" t="s">
        <v>54</v>
      </c>
      <c r="J1563" s="19">
        <f t="shared" si="103"/>
        <v>5.9164571719297218E-2</v>
      </c>
    </row>
    <row r="1564" spans="1:10" x14ac:dyDescent="0.3">
      <c r="A1564" t="s">
        <v>8</v>
      </c>
      <c r="B1564" t="s">
        <v>20</v>
      </c>
      <c r="C1564" t="s">
        <v>59</v>
      </c>
      <c r="D1564" s="133">
        <v>3</v>
      </c>
      <c r="E1564" s="37">
        <v>2.049698443579766</v>
      </c>
      <c r="F1564" s="17">
        <f t="shared" si="104"/>
        <v>6.1490953307392981</v>
      </c>
      <c r="G1564" s="18"/>
      <c r="H1564" s="135">
        <v>201491</v>
      </c>
      <c r="I1564" s="18" t="s">
        <v>54</v>
      </c>
      <c r="J1564" s="19">
        <f t="shared" si="103"/>
        <v>5.9164571719297218E-2</v>
      </c>
    </row>
    <row r="1565" spans="1:10" x14ac:dyDescent="0.3">
      <c r="A1565" t="s">
        <v>8</v>
      </c>
      <c r="B1565" t="s">
        <v>20</v>
      </c>
      <c r="C1565" t="s">
        <v>89</v>
      </c>
      <c r="D1565" s="60">
        <v>0</v>
      </c>
      <c r="E1565" s="17"/>
      <c r="F1565" s="17">
        <f t="shared" si="104"/>
        <v>0</v>
      </c>
      <c r="G1565" s="18"/>
      <c r="H1565" s="135">
        <v>201491</v>
      </c>
      <c r="I1565" s="18" t="s">
        <v>54</v>
      </c>
      <c r="J1565" s="19">
        <f t="shared" si="103"/>
        <v>5.9164571719297218E-2</v>
      </c>
    </row>
    <row r="1566" spans="1:10" x14ac:dyDescent="0.3">
      <c r="A1566" t="s">
        <v>8</v>
      </c>
      <c r="B1566" t="s">
        <v>20</v>
      </c>
      <c r="C1566" t="s">
        <v>74</v>
      </c>
      <c r="D1566" s="60">
        <v>1</v>
      </c>
      <c r="E1566" s="37">
        <v>90</v>
      </c>
      <c r="F1566" s="17">
        <f t="shared" si="104"/>
        <v>90</v>
      </c>
      <c r="G1566" s="18" t="s">
        <v>206</v>
      </c>
      <c r="H1566" s="135">
        <v>201491</v>
      </c>
      <c r="I1566" s="18" t="s">
        <v>54</v>
      </c>
      <c r="J1566" s="19">
        <f t="shared" si="103"/>
        <v>5.9164571719297218E-2</v>
      </c>
    </row>
    <row r="1567" spans="1:10" x14ac:dyDescent="0.3">
      <c r="A1567" t="s">
        <v>8</v>
      </c>
      <c r="B1567" t="s">
        <v>20</v>
      </c>
      <c r="C1567" t="s">
        <v>62</v>
      </c>
      <c r="D1567" s="60">
        <v>1</v>
      </c>
      <c r="E1567" s="37">
        <v>0</v>
      </c>
      <c r="F1567" s="17">
        <f t="shared" si="104"/>
        <v>0</v>
      </c>
      <c r="G1567" s="18" t="s">
        <v>206</v>
      </c>
      <c r="H1567" s="135">
        <v>201491</v>
      </c>
      <c r="I1567" s="18" t="s">
        <v>54</v>
      </c>
      <c r="J1567" s="19">
        <f t="shared" si="103"/>
        <v>5.9164571719297218E-2</v>
      </c>
    </row>
    <row r="1568" spans="1:10" x14ac:dyDescent="0.3">
      <c r="A1568" t="s">
        <v>8</v>
      </c>
      <c r="B1568" t="s">
        <v>20</v>
      </c>
      <c r="C1568" t="s">
        <v>114</v>
      </c>
      <c r="D1568" s="60">
        <v>0</v>
      </c>
      <c r="E1568" s="17"/>
      <c r="F1568" s="17">
        <f t="shared" si="104"/>
        <v>0</v>
      </c>
      <c r="G1568" s="18"/>
      <c r="H1568" s="135">
        <v>201491</v>
      </c>
      <c r="I1568" s="18" t="s">
        <v>54</v>
      </c>
      <c r="J1568" s="19">
        <f t="shared" si="103"/>
        <v>5.9164571719297218E-2</v>
      </c>
    </row>
    <row r="1569" spans="1:10" x14ac:dyDescent="0.3">
      <c r="A1569" t="s">
        <v>8</v>
      </c>
      <c r="B1569" t="s">
        <v>20</v>
      </c>
      <c r="C1569" t="s">
        <v>75</v>
      </c>
      <c r="D1569" s="60">
        <v>0</v>
      </c>
      <c r="E1569" s="17"/>
      <c r="F1569" s="17">
        <f t="shared" si="104"/>
        <v>0</v>
      </c>
      <c r="G1569" s="18"/>
      <c r="H1569" s="135">
        <v>201491</v>
      </c>
      <c r="I1569" s="18" t="s">
        <v>54</v>
      </c>
      <c r="J1569" s="19">
        <f t="shared" si="103"/>
        <v>5.9164571719297218E-2</v>
      </c>
    </row>
    <row r="1570" spans="1:10" x14ac:dyDescent="0.3">
      <c r="A1570" t="s">
        <v>8</v>
      </c>
      <c r="B1570" t="s">
        <v>20</v>
      </c>
      <c r="C1570" t="s">
        <v>64</v>
      </c>
      <c r="D1570" s="60">
        <v>0</v>
      </c>
      <c r="E1570" s="17"/>
      <c r="F1570" s="17">
        <f t="shared" si="104"/>
        <v>0</v>
      </c>
      <c r="G1570" s="18"/>
      <c r="H1570" s="135">
        <v>201491</v>
      </c>
      <c r="I1570" s="18" t="s">
        <v>54</v>
      </c>
      <c r="J1570" s="19">
        <f t="shared" si="103"/>
        <v>5.9164571719297218E-2</v>
      </c>
    </row>
    <row r="1571" spans="1:10" x14ac:dyDescent="0.3">
      <c r="A1571" t="s">
        <v>8</v>
      </c>
      <c r="B1571" t="s">
        <v>21</v>
      </c>
      <c r="C1571" t="s">
        <v>53</v>
      </c>
      <c r="D1571" s="133">
        <v>2</v>
      </c>
      <c r="E1571" s="134">
        <v>5004.5</v>
      </c>
      <c r="F1571" s="17">
        <f>IF(E1571="","",E1571)</f>
        <v>5004.5</v>
      </c>
      <c r="G1571" s="18" t="s">
        <v>201</v>
      </c>
      <c r="H1571" s="135">
        <v>201491</v>
      </c>
      <c r="I1571" s="18" t="s">
        <v>54</v>
      </c>
      <c r="J1571" s="19">
        <f t="shared" si="103"/>
        <v>2.7849626766763506E-2</v>
      </c>
    </row>
    <row r="1572" spans="1:10" x14ac:dyDescent="0.3">
      <c r="A1572" t="s">
        <v>8</v>
      </c>
      <c r="B1572" t="s">
        <v>21</v>
      </c>
      <c r="C1572" t="s">
        <v>55</v>
      </c>
      <c r="D1572" s="133">
        <v>2</v>
      </c>
      <c r="E1572" s="134">
        <v>47.658741879775853</v>
      </c>
      <c r="F1572" s="17">
        <f t="shared" ref="F1572:F1585" si="105">D1572*E1572</f>
        <v>95.317483759551706</v>
      </c>
      <c r="G1572" s="18"/>
      <c r="H1572" s="135">
        <v>201491</v>
      </c>
      <c r="I1572" s="18" t="s">
        <v>54</v>
      </c>
      <c r="J1572" s="19">
        <f t="shared" si="103"/>
        <v>2.7849626766763506E-2</v>
      </c>
    </row>
    <row r="1573" spans="1:10" x14ac:dyDescent="0.3">
      <c r="A1573" t="s">
        <v>8</v>
      </c>
      <c r="B1573" t="s">
        <v>21</v>
      </c>
      <c r="C1573" t="s">
        <v>26</v>
      </c>
      <c r="D1573" s="133">
        <v>2</v>
      </c>
      <c r="E1573" s="134">
        <v>29.741875861103122</v>
      </c>
      <c r="F1573" s="17">
        <f t="shared" si="105"/>
        <v>59.483751722206243</v>
      </c>
      <c r="G1573" s="18"/>
      <c r="H1573" s="135">
        <v>201491</v>
      </c>
      <c r="I1573" s="18" t="s">
        <v>54</v>
      </c>
      <c r="J1573" s="19">
        <f t="shared" si="103"/>
        <v>2.7849626766763506E-2</v>
      </c>
    </row>
    <row r="1574" spans="1:10" x14ac:dyDescent="0.3">
      <c r="A1574" t="s">
        <v>8</v>
      </c>
      <c r="B1574" t="s">
        <v>21</v>
      </c>
      <c r="C1574" t="s">
        <v>14</v>
      </c>
      <c r="D1574" s="133">
        <v>2</v>
      </c>
      <c r="E1574" s="134">
        <v>43.540891487759097</v>
      </c>
      <c r="F1574" s="17">
        <f t="shared" si="105"/>
        <v>87.081782975518195</v>
      </c>
      <c r="G1574" s="18"/>
      <c r="H1574" s="135">
        <v>201491</v>
      </c>
      <c r="I1574" s="18" t="s">
        <v>54</v>
      </c>
      <c r="J1574" s="19">
        <f t="shared" si="103"/>
        <v>2.7849626766763506E-2</v>
      </c>
    </row>
    <row r="1575" spans="1:10" x14ac:dyDescent="0.3">
      <c r="A1575" t="s">
        <v>8</v>
      </c>
      <c r="B1575" t="s">
        <v>21</v>
      </c>
      <c r="C1575" t="s">
        <v>87</v>
      </c>
      <c r="D1575" s="133">
        <v>3</v>
      </c>
      <c r="E1575" s="134">
        <v>50</v>
      </c>
      <c r="F1575" s="17">
        <f t="shared" si="105"/>
        <v>150</v>
      </c>
      <c r="G1575" s="18" t="s">
        <v>192</v>
      </c>
      <c r="H1575" s="135">
        <v>201491</v>
      </c>
      <c r="I1575" s="18" t="s">
        <v>54</v>
      </c>
      <c r="J1575" s="19">
        <f t="shared" si="103"/>
        <v>2.7849626766763506E-2</v>
      </c>
    </row>
    <row r="1576" spans="1:10" x14ac:dyDescent="0.3">
      <c r="A1576" t="s">
        <v>8</v>
      </c>
      <c r="B1576" t="s">
        <v>21</v>
      </c>
      <c r="C1576" t="s">
        <v>70</v>
      </c>
      <c r="D1576" s="60">
        <v>0</v>
      </c>
      <c r="E1576" s="17"/>
      <c r="F1576" s="17">
        <f t="shared" si="105"/>
        <v>0</v>
      </c>
      <c r="G1576" s="18"/>
      <c r="H1576" s="135">
        <v>201491</v>
      </c>
      <c r="I1576" s="18" t="s">
        <v>54</v>
      </c>
      <c r="J1576" s="19">
        <f t="shared" si="103"/>
        <v>2.7849626766763506E-2</v>
      </c>
    </row>
    <row r="1577" spans="1:10" x14ac:dyDescent="0.3">
      <c r="A1577" t="s">
        <v>8</v>
      </c>
      <c r="B1577" t="s">
        <v>21</v>
      </c>
      <c r="C1577" t="s">
        <v>120</v>
      </c>
      <c r="D1577" s="133">
        <v>1</v>
      </c>
      <c r="E1577" s="134">
        <v>30</v>
      </c>
      <c r="F1577" s="17">
        <f t="shared" si="105"/>
        <v>30</v>
      </c>
      <c r="G1577" s="18" t="s">
        <v>192</v>
      </c>
      <c r="H1577" s="135">
        <v>201491</v>
      </c>
      <c r="I1577" s="18" t="s">
        <v>54</v>
      </c>
      <c r="J1577" s="19">
        <f t="shared" si="103"/>
        <v>2.7849626766763506E-2</v>
      </c>
    </row>
    <row r="1578" spans="1:10" x14ac:dyDescent="0.3">
      <c r="A1578" t="s">
        <v>8</v>
      </c>
      <c r="B1578" t="s">
        <v>21</v>
      </c>
      <c r="C1578" t="s">
        <v>71</v>
      </c>
      <c r="D1578" s="133">
        <v>0</v>
      </c>
      <c r="E1578" s="134">
        <v>0</v>
      </c>
      <c r="F1578" s="17">
        <f t="shared" si="105"/>
        <v>0</v>
      </c>
      <c r="G1578" s="18" t="s">
        <v>170</v>
      </c>
      <c r="H1578" s="135">
        <v>201491</v>
      </c>
      <c r="I1578" s="18" t="s">
        <v>54</v>
      </c>
      <c r="J1578" s="19">
        <f t="shared" si="103"/>
        <v>2.7849626766763506E-2</v>
      </c>
    </row>
    <row r="1579" spans="1:10" x14ac:dyDescent="0.3">
      <c r="A1579" t="s">
        <v>8</v>
      </c>
      <c r="B1579" t="s">
        <v>21</v>
      </c>
      <c r="C1579" t="s">
        <v>58</v>
      </c>
      <c r="D1579" s="133">
        <v>2</v>
      </c>
      <c r="E1579" s="37">
        <v>9.918365758754863</v>
      </c>
      <c r="F1579" s="17">
        <f t="shared" si="105"/>
        <v>19.836731517509726</v>
      </c>
      <c r="G1579" s="18"/>
      <c r="H1579" s="135">
        <v>201491</v>
      </c>
      <c r="I1579" s="18" t="s">
        <v>54</v>
      </c>
      <c r="J1579" s="19">
        <f t="shared" si="103"/>
        <v>2.7849626766763506E-2</v>
      </c>
    </row>
    <row r="1580" spans="1:10" x14ac:dyDescent="0.3">
      <c r="A1580" t="s">
        <v>8</v>
      </c>
      <c r="B1580" t="s">
        <v>21</v>
      </c>
      <c r="C1580" t="s">
        <v>59</v>
      </c>
      <c r="D1580" s="133">
        <v>2</v>
      </c>
      <c r="E1580" s="37">
        <v>2.049698443579766</v>
      </c>
      <c r="F1580" s="17">
        <f t="shared" si="105"/>
        <v>4.0993968871595321</v>
      </c>
      <c r="G1580" s="18"/>
      <c r="H1580" s="135">
        <v>201491</v>
      </c>
      <c r="I1580" s="18" t="s">
        <v>54</v>
      </c>
      <c r="J1580" s="19">
        <f t="shared" si="103"/>
        <v>2.7849626766763506E-2</v>
      </c>
    </row>
    <row r="1581" spans="1:10" x14ac:dyDescent="0.3">
      <c r="A1581" t="s">
        <v>8</v>
      </c>
      <c r="B1581" t="s">
        <v>21</v>
      </c>
      <c r="C1581" t="s">
        <v>74</v>
      </c>
      <c r="D1581" s="60">
        <v>1</v>
      </c>
      <c r="E1581" s="37">
        <v>90</v>
      </c>
      <c r="F1581" s="17">
        <f t="shared" si="105"/>
        <v>90</v>
      </c>
      <c r="G1581" s="18" t="s">
        <v>206</v>
      </c>
      <c r="H1581" s="135">
        <v>201491</v>
      </c>
      <c r="I1581" s="18" t="s">
        <v>54</v>
      </c>
      <c r="J1581" s="19">
        <f t="shared" si="103"/>
        <v>2.7849626766763506E-2</v>
      </c>
    </row>
    <row r="1582" spans="1:10" x14ac:dyDescent="0.3">
      <c r="A1582" t="s">
        <v>8</v>
      </c>
      <c r="B1582" t="s">
        <v>21</v>
      </c>
      <c r="C1582" t="s">
        <v>62</v>
      </c>
      <c r="D1582" s="60">
        <v>1</v>
      </c>
      <c r="E1582" s="37">
        <v>0</v>
      </c>
      <c r="F1582" s="17">
        <f t="shared" si="105"/>
        <v>0</v>
      </c>
      <c r="G1582" s="18" t="s">
        <v>206</v>
      </c>
      <c r="H1582" s="135">
        <v>201491</v>
      </c>
      <c r="I1582" s="18" t="s">
        <v>54</v>
      </c>
      <c r="J1582" s="19">
        <f t="shared" si="103"/>
        <v>2.7849626766763506E-2</v>
      </c>
    </row>
    <row r="1583" spans="1:10" x14ac:dyDescent="0.3">
      <c r="A1583" t="s">
        <v>8</v>
      </c>
      <c r="B1583" t="s">
        <v>21</v>
      </c>
      <c r="C1583" t="s">
        <v>121</v>
      </c>
      <c r="D1583" s="60">
        <v>0</v>
      </c>
      <c r="E1583" s="17"/>
      <c r="F1583" s="17">
        <f t="shared" si="105"/>
        <v>0</v>
      </c>
      <c r="G1583" s="18"/>
      <c r="H1583" s="135">
        <v>201491</v>
      </c>
      <c r="I1583" s="18" t="s">
        <v>54</v>
      </c>
      <c r="J1583" s="19">
        <f t="shared" si="103"/>
        <v>2.7849626766763506E-2</v>
      </c>
    </row>
    <row r="1584" spans="1:10" x14ac:dyDescent="0.3">
      <c r="A1584" t="s">
        <v>8</v>
      </c>
      <c r="B1584" t="s">
        <v>21</v>
      </c>
      <c r="C1584" t="s">
        <v>75</v>
      </c>
      <c r="D1584" s="60">
        <v>1</v>
      </c>
      <c r="E1584" s="134">
        <v>9.64</v>
      </c>
      <c r="F1584" s="17">
        <f t="shared" si="105"/>
        <v>9.64</v>
      </c>
      <c r="G1584" s="133" t="s">
        <v>65</v>
      </c>
      <c r="H1584" s="135">
        <v>201491</v>
      </c>
      <c r="I1584" s="18" t="s">
        <v>54</v>
      </c>
      <c r="J1584" s="19">
        <f t="shared" si="103"/>
        <v>2.7849626766763506E-2</v>
      </c>
    </row>
    <row r="1585" spans="1:10" x14ac:dyDescent="0.3">
      <c r="A1585" t="s">
        <v>8</v>
      </c>
      <c r="B1585" t="s">
        <v>21</v>
      </c>
      <c r="C1585" t="s">
        <v>64</v>
      </c>
      <c r="D1585" s="60">
        <v>1</v>
      </c>
      <c r="E1585" s="134">
        <v>61.49</v>
      </c>
      <c r="F1585" s="17">
        <f t="shared" si="105"/>
        <v>61.49</v>
      </c>
      <c r="G1585" s="133" t="s">
        <v>65</v>
      </c>
      <c r="H1585" s="135">
        <v>201491</v>
      </c>
      <c r="I1585" s="18" t="s">
        <v>54</v>
      </c>
      <c r="J1585" s="19">
        <f t="shared" si="103"/>
        <v>2.7849626766763506E-2</v>
      </c>
    </row>
    <row r="1586" spans="1:10" x14ac:dyDescent="0.3">
      <c r="A1586" t="s">
        <v>8</v>
      </c>
      <c r="B1586" t="s">
        <v>22</v>
      </c>
      <c r="C1586" t="s">
        <v>53</v>
      </c>
      <c r="D1586" s="133">
        <v>19</v>
      </c>
      <c r="E1586" s="134">
        <v>85604.31</v>
      </c>
      <c r="F1586" s="17">
        <f>IF(E1586="","",E1586)</f>
        <v>85604.31</v>
      </c>
      <c r="G1586" s="18" t="s">
        <v>202</v>
      </c>
      <c r="H1586" s="135">
        <v>187961</v>
      </c>
      <c r="I1586" s="18" t="s">
        <v>82</v>
      </c>
      <c r="J1586" s="19">
        <f t="shared" si="103"/>
        <v>0.48442651345326149</v>
      </c>
    </row>
    <row r="1587" spans="1:10" x14ac:dyDescent="0.3">
      <c r="A1587" t="s">
        <v>8</v>
      </c>
      <c r="B1587" t="s">
        <v>22</v>
      </c>
      <c r="C1587" t="s">
        <v>55</v>
      </c>
      <c r="D1587" s="133">
        <v>19</v>
      </c>
      <c r="E1587" s="134">
        <v>47.658741879775853</v>
      </c>
      <c r="F1587" s="17">
        <f t="shared" ref="F1587:F1606" si="106">D1587*E1587</f>
        <v>905.51609571574124</v>
      </c>
      <c r="G1587" s="18"/>
      <c r="H1587" s="135">
        <v>187961</v>
      </c>
      <c r="I1587" s="18" t="s">
        <v>82</v>
      </c>
      <c r="J1587" s="19">
        <f t="shared" si="103"/>
        <v>0.48442651345326149</v>
      </c>
    </row>
    <row r="1588" spans="1:10" x14ac:dyDescent="0.3">
      <c r="A1588" t="s">
        <v>8</v>
      </c>
      <c r="B1588" t="s">
        <v>22</v>
      </c>
      <c r="C1588" t="s">
        <v>26</v>
      </c>
      <c r="D1588" s="133">
        <v>19</v>
      </c>
      <c r="E1588" s="134">
        <v>29.741875861103122</v>
      </c>
      <c r="F1588" s="17">
        <f t="shared" si="106"/>
        <v>565.09564136095935</v>
      </c>
      <c r="G1588" s="18"/>
      <c r="H1588" s="135">
        <v>187961</v>
      </c>
      <c r="I1588" s="18" t="s">
        <v>82</v>
      </c>
      <c r="J1588" s="19">
        <f t="shared" si="103"/>
        <v>0.48442651345326149</v>
      </c>
    </row>
    <row r="1589" spans="1:10" x14ac:dyDescent="0.3">
      <c r="A1589" t="s">
        <v>8</v>
      </c>
      <c r="B1589" t="s">
        <v>22</v>
      </c>
      <c r="C1589" t="s">
        <v>14</v>
      </c>
      <c r="D1589" s="133">
        <v>19</v>
      </c>
      <c r="E1589" s="134">
        <v>43.540891487759097</v>
      </c>
      <c r="F1589" s="17">
        <f t="shared" si="106"/>
        <v>827.27693826742279</v>
      </c>
      <c r="G1589" s="18"/>
      <c r="H1589" s="135">
        <v>187961</v>
      </c>
      <c r="I1589" s="18" t="s">
        <v>82</v>
      </c>
      <c r="J1589" s="19">
        <f t="shared" si="103"/>
        <v>0.48442651345326149</v>
      </c>
    </row>
    <row r="1590" spans="1:10" x14ac:dyDescent="0.3">
      <c r="A1590" t="s">
        <v>8</v>
      </c>
      <c r="B1590" t="s">
        <v>22</v>
      </c>
      <c r="C1590" t="s">
        <v>87</v>
      </c>
      <c r="D1590" s="133">
        <v>4</v>
      </c>
      <c r="E1590" s="134">
        <v>50</v>
      </c>
      <c r="F1590" s="17">
        <f t="shared" si="106"/>
        <v>200</v>
      </c>
      <c r="G1590" s="18" t="s">
        <v>192</v>
      </c>
      <c r="H1590" s="135">
        <v>187961</v>
      </c>
      <c r="I1590" s="18" t="s">
        <v>82</v>
      </c>
      <c r="J1590" s="19">
        <f t="shared" si="103"/>
        <v>0.48442651345326149</v>
      </c>
    </row>
    <row r="1591" spans="1:10" x14ac:dyDescent="0.3">
      <c r="A1591" t="s">
        <v>8</v>
      </c>
      <c r="B1591" t="s">
        <v>22</v>
      </c>
      <c r="C1591" t="s">
        <v>70</v>
      </c>
      <c r="D1591" s="60">
        <v>1</v>
      </c>
      <c r="E1591" s="17"/>
      <c r="F1591" s="17">
        <f t="shared" si="106"/>
        <v>0</v>
      </c>
      <c r="G1591" s="18"/>
      <c r="H1591" s="135">
        <v>187961</v>
      </c>
      <c r="I1591" s="18" t="s">
        <v>82</v>
      </c>
      <c r="J1591" s="19">
        <f t="shared" si="103"/>
        <v>0.48442651345326149</v>
      </c>
    </row>
    <row r="1592" spans="1:10" x14ac:dyDescent="0.3">
      <c r="A1592" t="s">
        <v>8</v>
      </c>
      <c r="B1592" t="s">
        <v>22</v>
      </c>
      <c r="C1592" t="s">
        <v>76</v>
      </c>
      <c r="D1592" s="133">
        <v>3</v>
      </c>
      <c r="E1592" s="134">
        <v>30</v>
      </c>
      <c r="F1592" s="17">
        <f t="shared" si="106"/>
        <v>90</v>
      </c>
      <c r="G1592" s="18" t="s">
        <v>192</v>
      </c>
      <c r="H1592" s="135">
        <v>187961</v>
      </c>
      <c r="I1592" s="18" t="s">
        <v>82</v>
      </c>
      <c r="J1592" s="19">
        <f t="shared" si="103"/>
        <v>0.48442651345326149</v>
      </c>
    </row>
    <row r="1593" spans="1:10" x14ac:dyDescent="0.3">
      <c r="A1593" t="s">
        <v>8</v>
      </c>
      <c r="B1593" t="s">
        <v>22</v>
      </c>
      <c r="C1593" t="s">
        <v>71</v>
      </c>
      <c r="D1593" s="133">
        <v>1</v>
      </c>
      <c r="E1593" s="134">
        <v>40.520000000000003</v>
      </c>
      <c r="F1593" s="17">
        <f t="shared" si="106"/>
        <v>40.520000000000003</v>
      </c>
      <c r="G1593" s="18" t="s">
        <v>192</v>
      </c>
      <c r="H1593" s="135">
        <v>187961</v>
      </c>
      <c r="I1593" s="18" t="s">
        <v>82</v>
      </c>
      <c r="J1593" s="19">
        <f t="shared" si="103"/>
        <v>0.48442651345326149</v>
      </c>
    </row>
    <row r="1594" spans="1:10" x14ac:dyDescent="0.3">
      <c r="A1594" t="s">
        <v>8</v>
      </c>
      <c r="B1594" t="s">
        <v>22</v>
      </c>
      <c r="C1594" t="s">
        <v>72</v>
      </c>
      <c r="D1594" s="133">
        <v>1</v>
      </c>
      <c r="E1594" s="134">
        <v>153.58000000000001</v>
      </c>
      <c r="F1594" s="17">
        <f t="shared" si="106"/>
        <v>153.58000000000001</v>
      </c>
      <c r="G1594" s="18" t="s">
        <v>192</v>
      </c>
      <c r="H1594" s="135">
        <v>187961</v>
      </c>
      <c r="I1594" s="18" t="s">
        <v>82</v>
      </c>
      <c r="J1594" s="19">
        <f t="shared" si="103"/>
        <v>0.48442651345326149</v>
      </c>
    </row>
    <row r="1595" spans="1:10" x14ac:dyDescent="0.3">
      <c r="A1595" t="s">
        <v>8</v>
      </c>
      <c r="B1595" t="s">
        <v>22</v>
      </c>
      <c r="C1595" t="s">
        <v>58</v>
      </c>
      <c r="D1595" s="133">
        <v>19</v>
      </c>
      <c r="E1595" s="37">
        <v>9.918365758754863</v>
      </c>
      <c r="F1595" s="17">
        <f t="shared" si="106"/>
        <v>188.4489494163424</v>
      </c>
      <c r="G1595" s="18"/>
      <c r="H1595" s="135">
        <v>187961</v>
      </c>
      <c r="I1595" s="18" t="s">
        <v>82</v>
      </c>
      <c r="J1595" s="19">
        <f t="shared" si="103"/>
        <v>0.48442651345326149</v>
      </c>
    </row>
    <row r="1596" spans="1:10" x14ac:dyDescent="0.3">
      <c r="A1596" t="s">
        <v>8</v>
      </c>
      <c r="B1596" t="s">
        <v>22</v>
      </c>
      <c r="C1596" t="s">
        <v>59</v>
      </c>
      <c r="D1596" s="133">
        <v>19</v>
      </c>
      <c r="E1596" s="37">
        <v>2.049698443579766</v>
      </c>
      <c r="F1596" s="17">
        <f t="shared" si="106"/>
        <v>38.944270428015557</v>
      </c>
      <c r="G1596" s="18"/>
      <c r="H1596" s="135">
        <v>187961</v>
      </c>
      <c r="I1596" s="18" t="s">
        <v>82</v>
      </c>
      <c r="J1596" s="19">
        <f t="shared" si="103"/>
        <v>0.48442651345326149</v>
      </c>
    </row>
    <row r="1597" spans="1:10" x14ac:dyDescent="0.3">
      <c r="A1597" t="s">
        <v>8</v>
      </c>
      <c r="B1597" t="s">
        <v>22</v>
      </c>
      <c r="C1597" t="s">
        <v>74</v>
      </c>
      <c r="D1597" s="60">
        <v>0</v>
      </c>
      <c r="E1597" s="17"/>
      <c r="F1597" s="17">
        <f t="shared" si="106"/>
        <v>0</v>
      </c>
      <c r="G1597" s="18"/>
      <c r="H1597" s="135">
        <v>187961</v>
      </c>
      <c r="I1597" s="18" t="s">
        <v>82</v>
      </c>
      <c r="J1597" s="19">
        <f t="shared" si="103"/>
        <v>0.48442651345326149</v>
      </c>
    </row>
    <row r="1598" spans="1:10" x14ac:dyDescent="0.3">
      <c r="A1598" t="s">
        <v>8</v>
      </c>
      <c r="B1598" t="s">
        <v>22</v>
      </c>
      <c r="C1598" t="s">
        <v>62</v>
      </c>
      <c r="D1598" s="60">
        <v>0</v>
      </c>
      <c r="E1598" s="17"/>
      <c r="F1598" s="17">
        <f t="shared" si="106"/>
        <v>0</v>
      </c>
      <c r="G1598" s="18"/>
      <c r="H1598" s="135">
        <v>187961</v>
      </c>
      <c r="I1598" s="18" t="s">
        <v>82</v>
      </c>
      <c r="J1598" s="19">
        <f t="shared" si="103"/>
        <v>0.48442651345326149</v>
      </c>
    </row>
    <row r="1599" spans="1:10" x14ac:dyDescent="0.3">
      <c r="A1599" t="s">
        <v>8</v>
      </c>
      <c r="B1599" t="s">
        <v>22</v>
      </c>
      <c r="C1599" t="s">
        <v>122</v>
      </c>
      <c r="D1599" s="60">
        <v>1</v>
      </c>
      <c r="E1599" s="17"/>
      <c r="F1599" s="17">
        <f t="shared" si="106"/>
        <v>0</v>
      </c>
      <c r="G1599" s="18"/>
      <c r="H1599" s="135">
        <v>187961</v>
      </c>
      <c r="I1599" s="18" t="s">
        <v>82</v>
      </c>
      <c r="J1599" s="19">
        <f t="shared" si="103"/>
        <v>0.48442651345326149</v>
      </c>
    </row>
    <row r="1600" spans="1:10" x14ac:dyDescent="0.3">
      <c r="A1600" t="s">
        <v>8</v>
      </c>
      <c r="B1600" t="s">
        <v>22</v>
      </c>
      <c r="C1600" t="s">
        <v>123</v>
      </c>
      <c r="D1600" s="133">
        <v>1</v>
      </c>
      <c r="E1600" s="134">
        <v>2439.6</v>
      </c>
      <c r="F1600" s="17">
        <f t="shared" si="106"/>
        <v>2439.6</v>
      </c>
      <c r="G1600" s="18" t="s">
        <v>192</v>
      </c>
      <c r="H1600" s="135">
        <v>187961</v>
      </c>
      <c r="I1600" s="18" t="s">
        <v>82</v>
      </c>
      <c r="J1600" s="19">
        <f t="shared" si="103"/>
        <v>0.48442651345326149</v>
      </c>
    </row>
    <row r="1601" spans="1:10" x14ac:dyDescent="0.3">
      <c r="A1601" t="s">
        <v>8</v>
      </c>
      <c r="B1601" t="s">
        <v>22</v>
      </c>
      <c r="C1601" t="s">
        <v>121</v>
      </c>
      <c r="D1601" s="60">
        <v>1</v>
      </c>
      <c r="E1601" s="17"/>
      <c r="F1601" s="17">
        <f t="shared" si="106"/>
        <v>0</v>
      </c>
      <c r="G1601" s="18"/>
      <c r="H1601" s="135">
        <v>187961</v>
      </c>
      <c r="I1601" s="18" t="s">
        <v>82</v>
      </c>
      <c r="J1601" s="19">
        <f t="shared" si="103"/>
        <v>0.48442651345326149</v>
      </c>
    </row>
    <row r="1602" spans="1:10" x14ac:dyDescent="0.3">
      <c r="A1602" t="s">
        <v>8</v>
      </c>
      <c r="B1602" t="s">
        <v>22</v>
      </c>
      <c r="C1602" t="s">
        <v>89</v>
      </c>
      <c r="D1602" s="60">
        <v>0</v>
      </c>
      <c r="E1602" s="17"/>
      <c r="F1602" s="17">
        <f t="shared" si="106"/>
        <v>0</v>
      </c>
      <c r="G1602" s="18"/>
      <c r="H1602" s="135">
        <v>187961</v>
      </c>
      <c r="I1602" s="18" t="s">
        <v>82</v>
      </c>
      <c r="J1602" s="19">
        <f t="shared" ref="J1602:J1665" si="107">IFERROR(SUMIFS($F$2:$F$1749,$A$2:$A$1749,A1602,$B$2:$B$1749,B1602)/H1602,"")</f>
        <v>0.48442651345326149</v>
      </c>
    </row>
    <row r="1603" spans="1:10" x14ac:dyDescent="0.3">
      <c r="A1603" t="s">
        <v>8</v>
      </c>
      <c r="B1603" t="s">
        <v>22</v>
      </c>
      <c r="C1603" t="s">
        <v>67</v>
      </c>
      <c r="D1603" s="60">
        <v>0</v>
      </c>
      <c r="E1603" s="17"/>
      <c r="F1603" s="17">
        <f t="shared" si="106"/>
        <v>0</v>
      </c>
      <c r="G1603" s="18"/>
      <c r="H1603" s="135">
        <v>187961</v>
      </c>
      <c r="I1603" s="18" t="s">
        <v>82</v>
      </c>
      <c r="J1603" s="19">
        <f t="shared" si="107"/>
        <v>0.48442651345326149</v>
      </c>
    </row>
    <row r="1604" spans="1:10" x14ac:dyDescent="0.3">
      <c r="A1604" t="s">
        <v>8</v>
      </c>
      <c r="B1604" t="s">
        <v>22</v>
      </c>
      <c r="C1604" t="s">
        <v>114</v>
      </c>
      <c r="D1604" s="60">
        <v>0</v>
      </c>
      <c r="E1604" s="17"/>
      <c r="F1604" s="17">
        <f t="shared" si="106"/>
        <v>0</v>
      </c>
      <c r="G1604" s="18"/>
      <c r="H1604" s="135">
        <v>187961</v>
      </c>
      <c r="I1604" s="18" t="s">
        <v>82</v>
      </c>
      <c r="J1604" s="19">
        <f t="shared" si="107"/>
        <v>0.48442651345326149</v>
      </c>
    </row>
    <row r="1605" spans="1:10" x14ac:dyDescent="0.3">
      <c r="A1605" t="s">
        <v>8</v>
      </c>
      <c r="B1605" t="s">
        <v>22</v>
      </c>
      <c r="C1605" t="s">
        <v>75</v>
      </c>
      <c r="D1605" s="60">
        <v>0</v>
      </c>
      <c r="E1605" s="17"/>
      <c r="F1605" s="17">
        <f t="shared" si="106"/>
        <v>0</v>
      </c>
      <c r="G1605" s="18"/>
      <c r="H1605" s="135">
        <v>187961</v>
      </c>
      <c r="I1605" s="18" t="s">
        <v>82</v>
      </c>
      <c r="J1605" s="19">
        <f t="shared" si="107"/>
        <v>0.48442651345326149</v>
      </c>
    </row>
    <row r="1606" spans="1:10" x14ac:dyDescent="0.3">
      <c r="A1606" t="s">
        <v>8</v>
      </c>
      <c r="B1606" t="s">
        <v>22</v>
      </c>
      <c r="C1606" t="s">
        <v>64</v>
      </c>
      <c r="D1606" s="60">
        <v>0</v>
      </c>
      <c r="E1606" s="17"/>
      <c r="F1606" s="17">
        <f t="shared" si="106"/>
        <v>0</v>
      </c>
      <c r="G1606" s="18"/>
      <c r="H1606" s="135">
        <v>187961</v>
      </c>
      <c r="I1606" s="18" t="s">
        <v>82</v>
      </c>
      <c r="J1606" s="19">
        <f t="shared" si="107"/>
        <v>0.48442651345326149</v>
      </c>
    </row>
    <row r="1607" spans="1:10" x14ac:dyDescent="0.3">
      <c r="A1607" t="s">
        <v>8</v>
      </c>
      <c r="B1607" t="s">
        <v>23</v>
      </c>
      <c r="C1607" t="s">
        <v>53</v>
      </c>
      <c r="D1607" s="133">
        <v>12</v>
      </c>
      <c r="E1607" s="134">
        <v>46152.22</v>
      </c>
      <c r="F1607" s="17">
        <f>IF(E1607="","",E1607)</f>
        <v>46152.22</v>
      </c>
      <c r="G1607" s="18" t="s">
        <v>203</v>
      </c>
      <c r="H1607" s="135">
        <v>187961</v>
      </c>
      <c r="I1607" s="18" t="s">
        <v>82</v>
      </c>
      <c r="J1607" s="19">
        <f t="shared" si="107"/>
        <v>0.2663444272012368</v>
      </c>
    </row>
    <row r="1608" spans="1:10" x14ac:dyDescent="0.3">
      <c r="A1608" t="s">
        <v>8</v>
      </c>
      <c r="B1608" t="s">
        <v>23</v>
      </c>
      <c r="C1608" t="s">
        <v>55</v>
      </c>
      <c r="D1608" s="133">
        <v>12</v>
      </c>
      <c r="E1608" s="134">
        <v>47.658741879775853</v>
      </c>
      <c r="F1608" s="17">
        <f t="shared" ref="F1608:F1637" si="108">D1608*E1608</f>
        <v>571.90490255731027</v>
      </c>
      <c r="G1608" s="18"/>
      <c r="H1608" s="135">
        <v>187961</v>
      </c>
      <c r="I1608" s="18" t="s">
        <v>82</v>
      </c>
      <c r="J1608" s="19">
        <f t="shared" si="107"/>
        <v>0.2663444272012368</v>
      </c>
    </row>
    <row r="1609" spans="1:10" x14ac:dyDescent="0.3">
      <c r="A1609" t="s">
        <v>8</v>
      </c>
      <c r="B1609" t="s">
        <v>23</v>
      </c>
      <c r="C1609" t="s">
        <v>26</v>
      </c>
      <c r="D1609" s="133">
        <v>12</v>
      </c>
      <c r="E1609" s="134">
        <v>29.741875861103122</v>
      </c>
      <c r="F1609" s="17">
        <f t="shared" si="108"/>
        <v>356.90251033323744</v>
      </c>
      <c r="G1609" s="18"/>
      <c r="H1609" s="135">
        <v>187961</v>
      </c>
      <c r="I1609" s="18" t="s">
        <v>82</v>
      </c>
      <c r="J1609" s="19">
        <f t="shared" si="107"/>
        <v>0.2663444272012368</v>
      </c>
    </row>
    <row r="1610" spans="1:10" x14ac:dyDescent="0.3">
      <c r="A1610" t="s">
        <v>8</v>
      </c>
      <c r="B1610" t="s">
        <v>23</v>
      </c>
      <c r="C1610" t="s">
        <v>14</v>
      </c>
      <c r="D1610" s="133">
        <v>12</v>
      </c>
      <c r="E1610" s="134">
        <v>43.540891487759097</v>
      </c>
      <c r="F1610" s="17">
        <f t="shared" si="108"/>
        <v>522.49069785310917</v>
      </c>
      <c r="G1610" s="18"/>
      <c r="H1610" s="135">
        <v>187961</v>
      </c>
      <c r="I1610" s="18" t="s">
        <v>82</v>
      </c>
      <c r="J1610" s="19">
        <f t="shared" si="107"/>
        <v>0.2663444272012368</v>
      </c>
    </row>
    <row r="1611" spans="1:10" x14ac:dyDescent="0.3">
      <c r="A1611" t="s">
        <v>8</v>
      </c>
      <c r="B1611" t="s">
        <v>23</v>
      </c>
      <c r="C1611" t="s">
        <v>56</v>
      </c>
      <c r="D1611" s="133">
        <v>17</v>
      </c>
      <c r="E1611" s="134">
        <v>50</v>
      </c>
      <c r="F1611" s="17">
        <f t="shared" si="108"/>
        <v>850</v>
      </c>
      <c r="G1611" s="18" t="s">
        <v>192</v>
      </c>
      <c r="H1611" s="135">
        <v>187961</v>
      </c>
      <c r="I1611" s="18" t="s">
        <v>82</v>
      </c>
      <c r="J1611" s="19">
        <f t="shared" si="107"/>
        <v>0.2663444272012368</v>
      </c>
    </row>
    <row r="1612" spans="1:10" x14ac:dyDescent="0.3">
      <c r="A1612" t="s">
        <v>8</v>
      </c>
      <c r="B1612" t="s">
        <v>23</v>
      </c>
      <c r="C1612" t="s">
        <v>70</v>
      </c>
      <c r="D1612" s="60">
        <v>1</v>
      </c>
      <c r="E1612" s="17"/>
      <c r="F1612" s="17">
        <f t="shared" si="108"/>
        <v>0</v>
      </c>
      <c r="G1612" s="18"/>
      <c r="H1612" s="135">
        <v>187961</v>
      </c>
      <c r="I1612" s="18" t="s">
        <v>82</v>
      </c>
      <c r="J1612" s="19">
        <f t="shared" si="107"/>
        <v>0.2663444272012368</v>
      </c>
    </row>
    <row r="1613" spans="1:10" x14ac:dyDescent="0.3">
      <c r="A1613" t="s">
        <v>8</v>
      </c>
      <c r="B1613" t="s">
        <v>23</v>
      </c>
      <c r="C1613" t="s">
        <v>76</v>
      </c>
      <c r="D1613" s="133">
        <v>1</v>
      </c>
      <c r="E1613" s="134">
        <v>33.72</v>
      </c>
      <c r="F1613" s="17">
        <f t="shared" si="108"/>
        <v>33.72</v>
      </c>
      <c r="G1613" s="18" t="s">
        <v>192</v>
      </c>
      <c r="H1613" s="135">
        <v>187961</v>
      </c>
      <c r="I1613" s="18" t="s">
        <v>82</v>
      </c>
      <c r="J1613" s="19">
        <f t="shared" si="107"/>
        <v>0.2663444272012368</v>
      </c>
    </row>
    <row r="1614" spans="1:10" x14ac:dyDescent="0.3">
      <c r="A1614" t="s">
        <v>8</v>
      </c>
      <c r="B1614" t="s">
        <v>23</v>
      </c>
      <c r="C1614" t="s">
        <v>57</v>
      </c>
      <c r="D1614" s="133">
        <v>11</v>
      </c>
      <c r="E1614" s="134">
        <v>30</v>
      </c>
      <c r="F1614" s="17">
        <f t="shared" si="108"/>
        <v>330</v>
      </c>
      <c r="G1614" s="18" t="s">
        <v>192</v>
      </c>
      <c r="H1614" s="135">
        <v>187961</v>
      </c>
      <c r="I1614" s="18" t="s">
        <v>82</v>
      </c>
      <c r="J1614" s="19">
        <f t="shared" si="107"/>
        <v>0.2663444272012368</v>
      </c>
    </row>
    <row r="1615" spans="1:10" x14ac:dyDescent="0.3">
      <c r="A1615" t="s">
        <v>8</v>
      </c>
      <c r="B1615" t="s">
        <v>23</v>
      </c>
      <c r="C1615" t="s">
        <v>72</v>
      </c>
      <c r="D1615" s="133">
        <v>1</v>
      </c>
      <c r="E1615" s="134">
        <v>128.68</v>
      </c>
      <c r="F1615" s="17">
        <f t="shared" si="108"/>
        <v>128.68</v>
      </c>
      <c r="G1615" s="18" t="s">
        <v>192</v>
      </c>
      <c r="H1615" s="135">
        <v>187961</v>
      </c>
      <c r="I1615" s="18" t="s">
        <v>82</v>
      </c>
      <c r="J1615" s="19">
        <f t="shared" si="107"/>
        <v>0.2663444272012368</v>
      </c>
    </row>
    <row r="1616" spans="1:10" x14ac:dyDescent="0.3">
      <c r="A1616" t="s">
        <v>8</v>
      </c>
      <c r="B1616" t="s">
        <v>23</v>
      </c>
      <c r="C1616" t="s">
        <v>58</v>
      </c>
      <c r="D1616" s="133">
        <v>12</v>
      </c>
      <c r="E1616" s="37">
        <v>9.918365758754863</v>
      </c>
      <c r="F1616" s="17">
        <f t="shared" si="108"/>
        <v>119.02038910505836</v>
      </c>
      <c r="G1616" s="18"/>
      <c r="H1616" s="135">
        <v>187961</v>
      </c>
      <c r="I1616" s="18" t="s">
        <v>82</v>
      </c>
      <c r="J1616" s="19">
        <f t="shared" si="107"/>
        <v>0.2663444272012368</v>
      </c>
    </row>
    <row r="1617" spans="1:10" x14ac:dyDescent="0.3">
      <c r="A1617" t="s">
        <v>8</v>
      </c>
      <c r="B1617" t="s">
        <v>23</v>
      </c>
      <c r="C1617" t="s">
        <v>59</v>
      </c>
      <c r="D1617" s="133">
        <v>12</v>
      </c>
      <c r="E1617" s="37">
        <v>2.049698443579766</v>
      </c>
      <c r="F1617" s="17">
        <f t="shared" si="108"/>
        <v>24.596381322957193</v>
      </c>
      <c r="G1617" s="18"/>
      <c r="H1617" s="135">
        <v>187961</v>
      </c>
      <c r="I1617" s="18" t="s">
        <v>82</v>
      </c>
      <c r="J1617" s="19">
        <f t="shared" si="107"/>
        <v>0.2663444272012368</v>
      </c>
    </row>
    <row r="1618" spans="1:10" x14ac:dyDescent="0.3">
      <c r="A1618" t="s">
        <v>8</v>
      </c>
      <c r="B1618" t="s">
        <v>23</v>
      </c>
      <c r="C1618" t="s">
        <v>74</v>
      </c>
      <c r="D1618" s="60">
        <v>1</v>
      </c>
      <c r="E1618" s="37">
        <v>90</v>
      </c>
      <c r="F1618" s="17">
        <f t="shared" si="108"/>
        <v>90</v>
      </c>
      <c r="G1618" s="18" t="s">
        <v>206</v>
      </c>
      <c r="H1618" s="135">
        <v>187961</v>
      </c>
      <c r="I1618" s="18" t="s">
        <v>82</v>
      </c>
      <c r="J1618" s="19">
        <f t="shared" si="107"/>
        <v>0.2663444272012368</v>
      </c>
    </row>
    <row r="1619" spans="1:10" x14ac:dyDescent="0.3">
      <c r="A1619" t="s">
        <v>8</v>
      </c>
      <c r="B1619" t="s">
        <v>23</v>
      </c>
      <c r="C1619" t="s">
        <v>62</v>
      </c>
      <c r="D1619" s="60">
        <v>1</v>
      </c>
      <c r="E1619" s="37">
        <v>0</v>
      </c>
      <c r="F1619" s="17">
        <f t="shared" si="108"/>
        <v>0</v>
      </c>
      <c r="G1619" s="18" t="s">
        <v>206</v>
      </c>
      <c r="H1619" s="135">
        <v>187961</v>
      </c>
      <c r="I1619" s="18" t="s">
        <v>82</v>
      </c>
      <c r="J1619" s="19">
        <f t="shared" si="107"/>
        <v>0.2663444272012368</v>
      </c>
    </row>
    <row r="1620" spans="1:10" x14ac:dyDescent="0.3">
      <c r="A1620" t="s">
        <v>8</v>
      </c>
      <c r="B1620" t="s">
        <v>23</v>
      </c>
      <c r="C1620" t="s">
        <v>75</v>
      </c>
      <c r="D1620" s="60">
        <v>1</v>
      </c>
      <c r="E1620" s="134">
        <v>0</v>
      </c>
      <c r="F1620" s="17">
        <f t="shared" si="108"/>
        <v>0</v>
      </c>
      <c r="G1620" s="133" t="s">
        <v>65</v>
      </c>
      <c r="H1620" s="135">
        <v>187961</v>
      </c>
      <c r="I1620" s="18" t="s">
        <v>82</v>
      </c>
      <c r="J1620" s="19">
        <f t="shared" si="107"/>
        <v>0.2663444272012368</v>
      </c>
    </row>
    <row r="1621" spans="1:10" x14ac:dyDescent="0.3">
      <c r="A1621" t="s">
        <v>8</v>
      </c>
      <c r="B1621" t="s">
        <v>23</v>
      </c>
      <c r="C1621" t="s">
        <v>64</v>
      </c>
      <c r="D1621" s="60">
        <v>1</v>
      </c>
      <c r="E1621" s="134">
        <v>198.78</v>
      </c>
      <c r="F1621" s="17">
        <f t="shared" si="108"/>
        <v>198.78</v>
      </c>
      <c r="G1621" s="133" t="s">
        <v>65</v>
      </c>
      <c r="H1621" s="135">
        <v>187961</v>
      </c>
      <c r="I1621" s="18" t="s">
        <v>82</v>
      </c>
      <c r="J1621" s="19">
        <f t="shared" si="107"/>
        <v>0.2663444272012368</v>
      </c>
    </row>
    <row r="1622" spans="1:10" x14ac:dyDescent="0.3">
      <c r="A1622" t="s">
        <v>8</v>
      </c>
      <c r="B1622" t="s">
        <v>23</v>
      </c>
      <c r="C1622" t="s">
        <v>124</v>
      </c>
      <c r="D1622" s="60">
        <v>1</v>
      </c>
      <c r="E1622" s="17"/>
      <c r="F1622" s="17">
        <f t="shared" si="108"/>
        <v>0</v>
      </c>
      <c r="G1622" s="18"/>
      <c r="H1622" s="135">
        <v>187961</v>
      </c>
      <c r="I1622" s="18" t="s">
        <v>82</v>
      </c>
      <c r="J1622" s="19">
        <f t="shared" si="107"/>
        <v>0.2663444272012368</v>
      </c>
    </row>
    <row r="1623" spans="1:10" x14ac:dyDescent="0.3">
      <c r="A1623" t="s">
        <v>8</v>
      </c>
      <c r="B1623" t="s">
        <v>23</v>
      </c>
      <c r="C1623" t="s">
        <v>125</v>
      </c>
      <c r="D1623" s="60">
        <v>1</v>
      </c>
      <c r="E1623" s="17"/>
      <c r="F1623" s="17">
        <f t="shared" si="108"/>
        <v>0</v>
      </c>
      <c r="G1623" s="18"/>
      <c r="H1623" s="135">
        <v>187961</v>
      </c>
      <c r="I1623" s="18" t="s">
        <v>82</v>
      </c>
      <c r="J1623" s="19">
        <f t="shared" si="107"/>
        <v>0.2663444272012368</v>
      </c>
    </row>
    <row r="1624" spans="1:10" x14ac:dyDescent="0.3">
      <c r="A1624" t="s">
        <v>8</v>
      </c>
      <c r="B1624" t="s">
        <v>23</v>
      </c>
      <c r="C1624" t="s">
        <v>126</v>
      </c>
      <c r="D1624" s="60">
        <v>1</v>
      </c>
      <c r="E1624" s="17"/>
      <c r="F1624" s="17">
        <f t="shared" si="108"/>
        <v>0</v>
      </c>
      <c r="G1624" s="18"/>
      <c r="H1624" s="135">
        <v>187961</v>
      </c>
      <c r="I1624" s="18" t="s">
        <v>82</v>
      </c>
      <c r="J1624" s="19">
        <f t="shared" si="107"/>
        <v>0.2663444272012368</v>
      </c>
    </row>
    <row r="1625" spans="1:10" x14ac:dyDescent="0.3">
      <c r="A1625" t="s">
        <v>8</v>
      </c>
      <c r="B1625" t="s">
        <v>23</v>
      </c>
      <c r="C1625" t="s">
        <v>127</v>
      </c>
      <c r="D1625" s="60">
        <v>1</v>
      </c>
      <c r="E1625" s="17"/>
      <c r="F1625" s="17">
        <f t="shared" si="108"/>
        <v>0</v>
      </c>
      <c r="G1625" s="18"/>
      <c r="H1625" s="135">
        <v>187961</v>
      </c>
      <c r="I1625" s="18" t="s">
        <v>82</v>
      </c>
      <c r="J1625" s="19">
        <f t="shared" si="107"/>
        <v>0.2663444272012368</v>
      </c>
    </row>
    <row r="1626" spans="1:10" x14ac:dyDescent="0.3">
      <c r="A1626" t="s">
        <v>8</v>
      </c>
      <c r="B1626" t="s">
        <v>23</v>
      </c>
      <c r="C1626" t="s">
        <v>128</v>
      </c>
      <c r="D1626" s="133">
        <v>1</v>
      </c>
      <c r="E1626" s="134">
        <v>684.05</v>
      </c>
      <c r="F1626" s="17">
        <f t="shared" si="108"/>
        <v>684.05</v>
      </c>
      <c r="G1626" s="18" t="s">
        <v>192</v>
      </c>
      <c r="H1626" s="135">
        <v>187961</v>
      </c>
      <c r="I1626" s="18" t="s">
        <v>82</v>
      </c>
      <c r="J1626" s="19">
        <f t="shared" si="107"/>
        <v>0.2663444272012368</v>
      </c>
    </row>
    <row r="1627" spans="1:10" x14ac:dyDescent="0.3">
      <c r="A1627" t="s">
        <v>8</v>
      </c>
      <c r="B1627" t="s">
        <v>23</v>
      </c>
      <c r="C1627" t="s">
        <v>129</v>
      </c>
      <c r="D1627" s="60">
        <v>0</v>
      </c>
      <c r="E1627" s="17"/>
      <c r="F1627" s="17">
        <f t="shared" si="108"/>
        <v>0</v>
      </c>
      <c r="G1627" s="18"/>
      <c r="H1627" s="135">
        <v>187961</v>
      </c>
      <c r="I1627" s="18" t="s">
        <v>82</v>
      </c>
      <c r="J1627" s="19">
        <f t="shared" si="107"/>
        <v>0.2663444272012368</v>
      </c>
    </row>
    <row r="1628" spans="1:10" x14ac:dyDescent="0.3">
      <c r="A1628" t="s">
        <v>8</v>
      </c>
      <c r="B1628" t="s">
        <v>23</v>
      </c>
      <c r="C1628" t="s">
        <v>102</v>
      </c>
      <c r="D1628" s="60">
        <v>0</v>
      </c>
      <c r="E1628" s="17"/>
      <c r="F1628" s="17">
        <f t="shared" si="108"/>
        <v>0</v>
      </c>
      <c r="G1628" s="18"/>
      <c r="H1628" s="135">
        <v>187961</v>
      </c>
      <c r="I1628" s="18" t="s">
        <v>82</v>
      </c>
      <c r="J1628" s="19">
        <f t="shared" si="107"/>
        <v>0.2663444272012368</v>
      </c>
    </row>
    <row r="1629" spans="1:10" x14ac:dyDescent="0.3">
      <c r="A1629" t="s">
        <v>8</v>
      </c>
      <c r="B1629" t="s">
        <v>23</v>
      </c>
      <c r="C1629" t="s">
        <v>89</v>
      </c>
      <c r="D1629" s="60">
        <v>0</v>
      </c>
      <c r="E1629" s="17"/>
      <c r="F1629" s="17">
        <f t="shared" si="108"/>
        <v>0</v>
      </c>
      <c r="G1629" s="18"/>
      <c r="H1629" s="135">
        <v>187961</v>
      </c>
      <c r="I1629" s="18" t="s">
        <v>82</v>
      </c>
      <c r="J1629" s="19">
        <f t="shared" si="107"/>
        <v>0.2663444272012368</v>
      </c>
    </row>
    <row r="1630" spans="1:10" x14ac:dyDescent="0.3">
      <c r="A1630" t="s">
        <v>8</v>
      </c>
      <c r="B1630" t="s">
        <v>23</v>
      </c>
      <c r="C1630" t="s">
        <v>130</v>
      </c>
      <c r="D1630" s="60">
        <v>1</v>
      </c>
      <c r="E1630" s="17"/>
      <c r="F1630" s="17">
        <f t="shared" si="108"/>
        <v>0</v>
      </c>
      <c r="G1630" s="18"/>
      <c r="H1630" s="135">
        <v>187961</v>
      </c>
      <c r="I1630" s="18" t="s">
        <v>82</v>
      </c>
      <c r="J1630" s="19">
        <f t="shared" si="107"/>
        <v>0.2663444272012368</v>
      </c>
    </row>
    <row r="1631" spans="1:10" x14ac:dyDescent="0.3">
      <c r="A1631" t="s">
        <v>8</v>
      </c>
      <c r="B1631" t="s">
        <v>23</v>
      </c>
      <c r="C1631" t="s">
        <v>131</v>
      </c>
      <c r="D1631" s="60">
        <v>1</v>
      </c>
      <c r="E1631" s="17"/>
      <c r="F1631" s="17">
        <f t="shared" si="108"/>
        <v>0</v>
      </c>
      <c r="G1631" s="18"/>
      <c r="H1631" s="135">
        <v>187961</v>
      </c>
      <c r="I1631" s="18" t="s">
        <v>82</v>
      </c>
      <c r="J1631" s="19">
        <f t="shared" si="107"/>
        <v>0.2663444272012368</v>
      </c>
    </row>
    <row r="1632" spans="1:10" x14ac:dyDescent="0.3">
      <c r="A1632" t="s">
        <v>8</v>
      </c>
      <c r="B1632" t="s">
        <v>23</v>
      </c>
      <c r="C1632" t="s">
        <v>132</v>
      </c>
      <c r="D1632" s="60">
        <v>0</v>
      </c>
      <c r="E1632" s="17"/>
      <c r="F1632" s="17">
        <f t="shared" si="108"/>
        <v>0</v>
      </c>
      <c r="G1632" s="18"/>
      <c r="H1632" s="135">
        <v>187961</v>
      </c>
      <c r="I1632" s="18" t="s">
        <v>82</v>
      </c>
      <c r="J1632" s="19">
        <f t="shared" si="107"/>
        <v>0.2663444272012368</v>
      </c>
    </row>
    <row r="1633" spans="1:10" x14ac:dyDescent="0.3">
      <c r="A1633" t="s">
        <v>8</v>
      </c>
      <c r="B1633" t="s">
        <v>23</v>
      </c>
      <c r="C1633" t="s">
        <v>121</v>
      </c>
      <c r="D1633" s="60">
        <v>1</v>
      </c>
      <c r="E1633" s="17"/>
      <c r="F1633" s="17">
        <f t="shared" si="108"/>
        <v>0</v>
      </c>
      <c r="G1633" s="18"/>
      <c r="H1633" s="135">
        <v>187961</v>
      </c>
      <c r="I1633" s="18" t="s">
        <v>82</v>
      </c>
      <c r="J1633" s="19">
        <f t="shared" si="107"/>
        <v>0.2663444272012368</v>
      </c>
    </row>
    <row r="1634" spans="1:10" x14ac:dyDescent="0.3">
      <c r="A1634" t="s">
        <v>8</v>
      </c>
      <c r="B1634" t="s">
        <v>23</v>
      </c>
      <c r="C1634" t="s">
        <v>67</v>
      </c>
      <c r="D1634" s="60">
        <v>0</v>
      </c>
      <c r="E1634" s="17"/>
      <c r="F1634" s="17">
        <f t="shared" si="108"/>
        <v>0</v>
      </c>
      <c r="G1634" s="18"/>
      <c r="H1634" s="135">
        <v>187961</v>
      </c>
      <c r="I1634" s="18" t="s">
        <v>82</v>
      </c>
      <c r="J1634" s="19">
        <f t="shared" si="107"/>
        <v>0.2663444272012368</v>
      </c>
    </row>
    <row r="1635" spans="1:10" x14ac:dyDescent="0.3">
      <c r="A1635" t="s">
        <v>8</v>
      </c>
      <c r="B1635" t="s">
        <v>23</v>
      </c>
      <c r="C1635" t="s">
        <v>86</v>
      </c>
      <c r="D1635" s="60">
        <v>0</v>
      </c>
      <c r="E1635" s="17"/>
      <c r="F1635" s="17">
        <f t="shared" si="108"/>
        <v>0</v>
      </c>
      <c r="G1635" s="18"/>
      <c r="H1635" s="135">
        <v>187961</v>
      </c>
      <c r="I1635" s="18" t="s">
        <v>82</v>
      </c>
      <c r="J1635" s="19">
        <f t="shared" si="107"/>
        <v>0.2663444272012368</v>
      </c>
    </row>
    <row r="1636" spans="1:10" x14ac:dyDescent="0.3">
      <c r="A1636" t="s">
        <v>8</v>
      </c>
      <c r="B1636" t="s">
        <v>23</v>
      </c>
      <c r="C1636" t="s">
        <v>106</v>
      </c>
      <c r="D1636" s="60">
        <v>0</v>
      </c>
      <c r="E1636" s="17"/>
      <c r="F1636" s="17">
        <f t="shared" si="108"/>
        <v>0</v>
      </c>
      <c r="G1636" s="18"/>
      <c r="H1636" s="135">
        <v>187961</v>
      </c>
      <c r="I1636" s="18" t="s">
        <v>82</v>
      </c>
      <c r="J1636" s="19">
        <f t="shared" si="107"/>
        <v>0.2663444272012368</v>
      </c>
    </row>
    <row r="1637" spans="1:10" x14ac:dyDescent="0.3">
      <c r="A1637" t="s">
        <v>8</v>
      </c>
      <c r="B1637" t="s">
        <v>23</v>
      </c>
      <c r="C1637" t="s">
        <v>73</v>
      </c>
      <c r="D1637" s="60">
        <v>0</v>
      </c>
      <c r="E1637" s="17"/>
      <c r="F1637" s="17">
        <f t="shared" si="108"/>
        <v>0</v>
      </c>
      <c r="G1637" s="18"/>
      <c r="H1637" s="135">
        <v>187961</v>
      </c>
      <c r="I1637" s="18" t="s">
        <v>82</v>
      </c>
      <c r="J1637" s="19">
        <f t="shared" si="107"/>
        <v>0.2663444272012368</v>
      </c>
    </row>
    <row r="1638" spans="1:10" x14ac:dyDescent="0.3">
      <c r="A1638" t="s">
        <v>8</v>
      </c>
      <c r="B1638" t="s">
        <v>24</v>
      </c>
      <c r="C1638" t="s">
        <v>53</v>
      </c>
      <c r="D1638" s="133">
        <v>8</v>
      </c>
      <c r="E1638" s="134">
        <v>29551.63</v>
      </c>
      <c r="F1638" s="17">
        <f>IF(E1638="","",E1638)</f>
        <v>29551.63</v>
      </c>
      <c r="G1638" s="18" t="s">
        <v>205</v>
      </c>
      <c r="H1638" s="135">
        <v>201491</v>
      </c>
      <c r="I1638" s="18" t="s">
        <v>54</v>
      </c>
      <c r="J1638" s="19">
        <f t="shared" si="107"/>
        <v>0.19068373568768721</v>
      </c>
    </row>
    <row r="1639" spans="1:10" x14ac:dyDescent="0.3">
      <c r="A1639" t="s">
        <v>8</v>
      </c>
      <c r="B1639" t="s">
        <v>24</v>
      </c>
      <c r="C1639" t="s">
        <v>55</v>
      </c>
      <c r="D1639" s="133">
        <v>8</v>
      </c>
      <c r="E1639" s="134">
        <v>47.658741879775853</v>
      </c>
      <c r="F1639" s="17">
        <f t="shared" ref="F1639:F1659" si="109">D1639*E1639</f>
        <v>381.26993503820682</v>
      </c>
      <c r="G1639" s="18"/>
      <c r="H1639" s="135">
        <v>201491</v>
      </c>
      <c r="I1639" s="18" t="s">
        <v>54</v>
      </c>
      <c r="J1639" s="19">
        <f t="shared" si="107"/>
        <v>0.19068373568768721</v>
      </c>
    </row>
    <row r="1640" spans="1:10" x14ac:dyDescent="0.3">
      <c r="A1640" t="s">
        <v>8</v>
      </c>
      <c r="B1640" t="s">
        <v>24</v>
      </c>
      <c r="C1640" t="s">
        <v>26</v>
      </c>
      <c r="D1640" s="133">
        <v>8</v>
      </c>
      <c r="E1640" s="134">
        <v>29.741875861103122</v>
      </c>
      <c r="F1640" s="17">
        <f t="shared" si="109"/>
        <v>237.93500688882497</v>
      </c>
      <c r="G1640" s="18"/>
      <c r="H1640" s="135">
        <v>201491</v>
      </c>
      <c r="I1640" s="18" t="s">
        <v>54</v>
      </c>
      <c r="J1640" s="19">
        <f t="shared" si="107"/>
        <v>0.19068373568768721</v>
      </c>
    </row>
    <row r="1641" spans="1:10" x14ac:dyDescent="0.3">
      <c r="A1641" t="s">
        <v>8</v>
      </c>
      <c r="B1641" t="s">
        <v>24</v>
      </c>
      <c r="C1641" t="s">
        <v>14</v>
      </c>
      <c r="D1641" s="133">
        <v>8</v>
      </c>
      <c r="E1641" s="134">
        <v>43.540891487759097</v>
      </c>
      <c r="F1641" s="17">
        <f t="shared" si="109"/>
        <v>348.32713190207278</v>
      </c>
      <c r="G1641" s="18"/>
      <c r="H1641" s="135">
        <v>201491</v>
      </c>
      <c r="I1641" s="18" t="s">
        <v>54</v>
      </c>
      <c r="J1641" s="19">
        <f t="shared" si="107"/>
        <v>0.19068373568768721</v>
      </c>
    </row>
    <row r="1642" spans="1:10" x14ac:dyDescent="0.3">
      <c r="A1642" t="s">
        <v>8</v>
      </c>
      <c r="B1642" t="s">
        <v>24</v>
      </c>
      <c r="C1642" t="s">
        <v>56</v>
      </c>
      <c r="D1642" s="133">
        <v>9</v>
      </c>
      <c r="E1642" s="134">
        <v>50</v>
      </c>
      <c r="F1642" s="17">
        <f t="shared" si="109"/>
        <v>450</v>
      </c>
      <c r="G1642" s="18" t="s">
        <v>192</v>
      </c>
      <c r="H1642" s="135">
        <v>201491</v>
      </c>
      <c r="I1642" s="18" t="s">
        <v>54</v>
      </c>
      <c r="J1642" s="19">
        <f t="shared" si="107"/>
        <v>0.19068373568768721</v>
      </c>
    </row>
    <row r="1643" spans="1:10" x14ac:dyDescent="0.3">
      <c r="A1643" t="s">
        <v>8</v>
      </c>
      <c r="B1643" t="s">
        <v>24</v>
      </c>
      <c r="C1643" t="s">
        <v>133</v>
      </c>
      <c r="D1643" s="60">
        <v>0</v>
      </c>
      <c r="E1643" s="17"/>
      <c r="F1643" s="17">
        <f t="shared" si="109"/>
        <v>0</v>
      </c>
      <c r="G1643" s="18"/>
      <c r="H1643" s="135">
        <v>201491</v>
      </c>
      <c r="I1643" s="18" t="s">
        <v>54</v>
      </c>
      <c r="J1643" s="19">
        <f t="shared" si="107"/>
        <v>0.19068373568768721</v>
      </c>
    </row>
    <row r="1644" spans="1:10" x14ac:dyDescent="0.3">
      <c r="A1644" t="s">
        <v>8</v>
      </c>
      <c r="B1644" t="s">
        <v>24</v>
      </c>
      <c r="C1644" t="s">
        <v>70</v>
      </c>
      <c r="D1644" s="60">
        <v>0</v>
      </c>
      <c r="E1644" s="17"/>
      <c r="F1644" s="17">
        <f t="shared" si="109"/>
        <v>0</v>
      </c>
      <c r="G1644" s="18"/>
      <c r="H1644" s="135">
        <v>201491</v>
      </c>
      <c r="I1644" s="18" t="s">
        <v>54</v>
      </c>
      <c r="J1644" s="19">
        <f t="shared" si="107"/>
        <v>0.19068373568768721</v>
      </c>
    </row>
    <row r="1645" spans="1:10" x14ac:dyDescent="0.3">
      <c r="A1645" t="s">
        <v>8</v>
      </c>
      <c r="B1645" t="s">
        <v>24</v>
      </c>
      <c r="C1645" t="s">
        <v>76</v>
      </c>
      <c r="D1645" s="133">
        <v>0</v>
      </c>
      <c r="E1645" s="134">
        <v>0</v>
      </c>
      <c r="F1645" s="17">
        <f t="shared" si="109"/>
        <v>0</v>
      </c>
      <c r="G1645" s="18" t="s">
        <v>170</v>
      </c>
      <c r="H1645" s="135">
        <v>201491</v>
      </c>
      <c r="I1645" s="18" t="s">
        <v>54</v>
      </c>
      <c r="J1645" s="19">
        <f t="shared" si="107"/>
        <v>0.19068373568768721</v>
      </c>
    </row>
    <row r="1646" spans="1:10" x14ac:dyDescent="0.3">
      <c r="A1646" t="s">
        <v>8</v>
      </c>
      <c r="B1646" t="s">
        <v>24</v>
      </c>
      <c r="C1646" t="s">
        <v>57</v>
      </c>
      <c r="D1646" s="133">
        <v>3</v>
      </c>
      <c r="E1646" s="134">
        <v>30</v>
      </c>
      <c r="F1646" s="17">
        <f t="shared" si="109"/>
        <v>90</v>
      </c>
      <c r="G1646" s="18" t="s">
        <v>192</v>
      </c>
      <c r="H1646" s="135">
        <v>201491</v>
      </c>
      <c r="I1646" s="18" t="s">
        <v>54</v>
      </c>
      <c r="J1646" s="19">
        <f t="shared" si="107"/>
        <v>0.19068373568768721</v>
      </c>
    </row>
    <row r="1647" spans="1:10" x14ac:dyDescent="0.3">
      <c r="A1647" t="s">
        <v>8</v>
      </c>
      <c r="B1647" t="s">
        <v>24</v>
      </c>
      <c r="C1647" t="s">
        <v>72</v>
      </c>
      <c r="D1647" s="133">
        <v>1</v>
      </c>
      <c r="E1647" s="134">
        <v>25.6</v>
      </c>
      <c r="F1647" s="17">
        <f t="shared" si="109"/>
        <v>25.6</v>
      </c>
      <c r="G1647" s="18" t="s">
        <v>192</v>
      </c>
      <c r="H1647" s="135">
        <v>201491</v>
      </c>
      <c r="I1647" s="18" t="s">
        <v>54</v>
      </c>
      <c r="J1647" s="19">
        <f t="shared" si="107"/>
        <v>0.19068373568768721</v>
      </c>
    </row>
    <row r="1648" spans="1:10" x14ac:dyDescent="0.3">
      <c r="A1648" t="s">
        <v>8</v>
      </c>
      <c r="B1648" t="s">
        <v>24</v>
      </c>
      <c r="C1648" t="s">
        <v>58</v>
      </c>
      <c r="D1648" s="133">
        <v>8</v>
      </c>
      <c r="E1648" s="37">
        <v>9.918365758754863</v>
      </c>
      <c r="F1648" s="17">
        <f t="shared" si="109"/>
        <v>79.346926070038904</v>
      </c>
      <c r="G1648" s="18"/>
      <c r="H1648" s="135">
        <v>201491</v>
      </c>
      <c r="I1648" s="18" t="s">
        <v>54</v>
      </c>
      <c r="J1648" s="19">
        <f t="shared" si="107"/>
        <v>0.19068373568768721</v>
      </c>
    </row>
    <row r="1649" spans="1:10" x14ac:dyDescent="0.3">
      <c r="A1649" t="s">
        <v>8</v>
      </c>
      <c r="B1649" t="s">
        <v>24</v>
      </c>
      <c r="C1649" t="s">
        <v>59</v>
      </c>
      <c r="D1649" s="133">
        <v>8</v>
      </c>
      <c r="E1649" s="37">
        <v>2.049698443579766</v>
      </c>
      <c r="F1649" s="17">
        <f t="shared" si="109"/>
        <v>16.397587548638128</v>
      </c>
      <c r="G1649" s="18"/>
      <c r="H1649" s="135">
        <v>201491</v>
      </c>
      <c r="I1649" s="18" t="s">
        <v>54</v>
      </c>
      <c r="J1649" s="19">
        <f t="shared" si="107"/>
        <v>0.19068373568768721</v>
      </c>
    </row>
    <row r="1650" spans="1:10" x14ac:dyDescent="0.3">
      <c r="A1650" t="s">
        <v>8</v>
      </c>
      <c r="B1650" t="s">
        <v>24</v>
      </c>
      <c r="C1650" t="s">
        <v>134</v>
      </c>
      <c r="D1650" s="133">
        <v>1</v>
      </c>
      <c r="E1650" s="134">
        <v>3028</v>
      </c>
      <c r="F1650" s="17">
        <f t="shared" si="109"/>
        <v>3028</v>
      </c>
      <c r="G1650" s="18" t="s">
        <v>192</v>
      </c>
      <c r="H1650" s="135">
        <v>201491</v>
      </c>
      <c r="I1650" s="18" t="s">
        <v>54</v>
      </c>
      <c r="J1650" s="19">
        <f t="shared" si="107"/>
        <v>0.19068373568768721</v>
      </c>
    </row>
    <row r="1651" spans="1:10" x14ac:dyDescent="0.3">
      <c r="A1651" t="s">
        <v>8</v>
      </c>
      <c r="B1651" t="s">
        <v>24</v>
      </c>
      <c r="C1651" t="s">
        <v>135</v>
      </c>
      <c r="D1651" s="133">
        <v>1</v>
      </c>
      <c r="E1651" s="134">
        <v>2635.82</v>
      </c>
      <c r="F1651" s="17">
        <f t="shared" si="109"/>
        <v>2635.82</v>
      </c>
      <c r="G1651" s="18" t="s">
        <v>192</v>
      </c>
      <c r="H1651" s="135">
        <v>201491</v>
      </c>
      <c r="I1651" s="18" t="s">
        <v>54</v>
      </c>
      <c r="J1651" s="19">
        <f t="shared" si="107"/>
        <v>0.19068373568768721</v>
      </c>
    </row>
    <row r="1652" spans="1:10" x14ac:dyDescent="0.3">
      <c r="A1652" t="s">
        <v>8</v>
      </c>
      <c r="B1652" t="s">
        <v>24</v>
      </c>
      <c r="C1652" t="s">
        <v>136</v>
      </c>
      <c r="D1652" s="133">
        <v>1</v>
      </c>
      <c r="E1652" s="134">
        <v>1400</v>
      </c>
      <c r="F1652" s="17">
        <f t="shared" si="109"/>
        <v>1400</v>
      </c>
      <c r="G1652" s="18" t="s">
        <v>192</v>
      </c>
      <c r="H1652" s="135">
        <v>201491</v>
      </c>
      <c r="I1652" s="18" t="s">
        <v>54</v>
      </c>
      <c r="J1652" s="19">
        <f t="shared" si="107"/>
        <v>0.19068373568768721</v>
      </c>
    </row>
    <row r="1653" spans="1:10" x14ac:dyDescent="0.3">
      <c r="A1653" t="s">
        <v>8</v>
      </c>
      <c r="B1653" t="s">
        <v>24</v>
      </c>
      <c r="C1653" t="s">
        <v>89</v>
      </c>
      <c r="D1653" s="60">
        <v>0</v>
      </c>
      <c r="E1653" s="17"/>
      <c r="F1653" s="17">
        <f t="shared" si="109"/>
        <v>0</v>
      </c>
      <c r="G1653" s="18"/>
      <c r="H1653" s="135">
        <v>201491</v>
      </c>
      <c r="I1653" s="18" t="s">
        <v>54</v>
      </c>
      <c r="J1653" s="19">
        <f t="shared" si="107"/>
        <v>0.19068373568768721</v>
      </c>
    </row>
    <row r="1654" spans="1:10" x14ac:dyDescent="0.3">
      <c r="A1654" t="s">
        <v>8</v>
      </c>
      <c r="B1654" t="s">
        <v>24</v>
      </c>
      <c r="C1654" t="s">
        <v>74</v>
      </c>
      <c r="D1654" s="60">
        <v>0</v>
      </c>
      <c r="E1654" s="17"/>
      <c r="F1654" s="17">
        <f t="shared" si="109"/>
        <v>0</v>
      </c>
      <c r="G1654" s="18"/>
      <c r="H1654" s="135">
        <v>201491</v>
      </c>
      <c r="I1654" s="18" t="s">
        <v>54</v>
      </c>
      <c r="J1654" s="19">
        <f t="shared" si="107"/>
        <v>0.19068373568768721</v>
      </c>
    </row>
    <row r="1655" spans="1:10" x14ac:dyDescent="0.3">
      <c r="A1655" t="s">
        <v>8</v>
      </c>
      <c r="B1655" t="s">
        <v>24</v>
      </c>
      <c r="C1655" t="s">
        <v>62</v>
      </c>
      <c r="D1655" s="60">
        <v>0</v>
      </c>
      <c r="E1655" s="17"/>
      <c r="F1655" s="17">
        <f t="shared" si="109"/>
        <v>0</v>
      </c>
      <c r="G1655" s="18"/>
      <c r="H1655" s="135">
        <v>201491</v>
      </c>
      <c r="I1655" s="18" t="s">
        <v>54</v>
      </c>
      <c r="J1655" s="19">
        <f t="shared" si="107"/>
        <v>0.19068373568768721</v>
      </c>
    </row>
    <row r="1656" spans="1:10" x14ac:dyDescent="0.3">
      <c r="A1656" t="s">
        <v>8</v>
      </c>
      <c r="B1656" t="s">
        <v>24</v>
      </c>
      <c r="C1656" t="s">
        <v>137</v>
      </c>
      <c r="D1656" s="60">
        <v>0</v>
      </c>
      <c r="E1656" s="17"/>
      <c r="F1656" s="17">
        <f t="shared" si="109"/>
        <v>0</v>
      </c>
      <c r="G1656" s="18"/>
      <c r="H1656" s="135">
        <v>201491</v>
      </c>
      <c r="I1656" s="18" t="s">
        <v>54</v>
      </c>
      <c r="J1656" s="19">
        <f t="shared" si="107"/>
        <v>0.19068373568768721</v>
      </c>
    </row>
    <row r="1657" spans="1:10" x14ac:dyDescent="0.3">
      <c r="A1657" t="s">
        <v>8</v>
      </c>
      <c r="B1657" t="s">
        <v>24</v>
      </c>
      <c r="C1657" t="s">
        <v>114</v>
      </c>
      <c r="D1657" s="60">
        <v>0</v>
      </c>
      <c r="E1657" s="17"/>
      <c r="F1657" s="17">
        <f t="shared" si="109"/>
        <v>0</v>
      </c>
      <c r="G1657" s="18"/>
      <c r="H1657" s="135">
        <v>201491</v>
      </c>
      <c r="I1657" s="18" t="s">
        <v>54</v>
      </c>
      <c r="J1657" s="19">
        <f t="shared" si="107"/>
        <v>0.19068373568768721</v>
      </c>
    </row>
    <row r="1658" spans="1:10" x14ac:dyDescent="0.3">
      <c r="A1658" t="s">
        <v>8</v>
      </c>
      <c r="B1658" t="s">
        <v>24</v>
      </c>
      <c r="C1658" t="s">
        <v>75</v>
      </c>
      <c r="D1658" s="60">
        <v>1</v>
      </c>
      <c r="E1658" s="134">
        <v>0</v>
      </c>
      <c r="F1658" s="17">
        <f t="shared" si="109"/>
        <v>0</v>
      </c>
      <c r="G1658" s="133" t="s">
        <v>65</v>
      </c>
      <c r="H1658" s="135">
        <v>201491</v>
      </c>
      <c r="I1658" s="18" t="s">
        <v>54</v>
      </c>
      <c r="J1658" s="19">
        <f t="shared" si="107"/>
        <v>0.19068373568768721</v>
      </c>
    </row>
    <row r="1659" spans="1:10" x14ac:dyDescent="0.3">
      <c r="A1659" t="s">
        <v>8</v>
      </c>
      <c r="B1659" t="s">
        <v>24</v>
      </c>
      <c r="C1659" t="s">
        <v>64</v>
      </c>
      <c r="D1659" s="60">
        <v>1</v>
      </c>
      <c r="E1659" s="134">
        <v>176.73</v>
      </c>
      <c r="F1659" s="17">
        <f t="shared" si="109"/>
        <v>176.73</v>
      </c>
      <c r="G1659" s="133" t="s">
        <v>65</v>
      </c>
      <c r="H1659" s="135">
        <v>201491</v>
      </c>
      <c r="I1659" s="18" t="s">
        <v>54</v>
      </c>
      <c r="J1659" s="19">
        <f t="shared" si="107"/>
        <v>0.19068373568768721</v>
      </c>
    </row>
    <row r="1660" spans="1:10" x14ac:dyDescent="0.3">
      <c r="A1660" t="s">
        <v>8</v>
      </c>
      <c r="B1660" t="s">
        <v>26</v>
      </c>
      <c r="C1660" t="s">
        <v>53</v>
      </c>
      <c r="D1660" s="133">
        <v>6</v>
      </c>
      <c r="E1660" s="134">
        <v>25029.47</v>
      </c>
      <c r="F1660" s="17">
        <f>IF(E1660="","",E1660)</f>
        <v>25029.47</v>
      </c>
      <c r="G1660" s="18" t="s">
        <v>217</v>
      </c>
      <c r="H1660" s="135">
        <v>1028</v>
      </c>
      <c r="I1660" s="18" t="s">
        <v>93</v>
      </c>
      <c r="J1660" s="19">
        <f t="shared" si="107"/>
        <v>29.741875861103122</v>
      </c>
    </row>
    <row r="1661" spans="1:10" x14ac:dyDescent="0.3">
      <c r="A1661" t="s">
        <v>8</v>
      </c>
      <c r="B1661" t="s">
        <v>26</v>
      </c>
      <c r="C1661" t="s">
        <v>87</v>
      </c>
      <c r="D1661" s="133">
        <v>4</v>
      </c>
      <c r="E1661" s="134">
        <v>50</v>
      </c>
      <c r="F1661" s="17">
        <f t="shared" ref="F1661:F1680" si="110">D1661*E1661</f>
        <v>200</v>
      </c>
      <c r="G1661" s="18" t="s">
        <v>192</v>
      </c>
      <c r="H1661" s="135">
        <v>1028</v>
      </c>
      <c r="I1661" s="18" t="s">
        <v>93</v>
      </c>
      <c r="J1661" s="19">
        <f t="shared" si="107"/>
        <v>29.741875861103122</v>
      </c>
    </row>
    <row r="1662" spans="1:10" x14ac:dyDescent="0.3">
      <c r="A1662" t="s">
        <v>8</v>
      </c>
      <c r="B1662" t="s">
        <v>26</v>
      </c>
      <c r="C1662" t="s">
        <v>133</v>
      </c>
      <c r="D1662" s="60">
        <v>0</v>
      </c>
      <c r="E1662" s="17"/>
      <c r="F1662" s="17">
        <f t="shared" si="110"/>
        <v>0</v>
      </c>
      <c r="G1662" s="18"/>
      <c r="H1662" s="135">
        <v>1028</v>
      </c>
      <c r="I1662" s="18" t="s">
        <v>93</v>
      </c>
      <c r="J1662" s="19">
        <f t="shared" si="107"/>
        <v>29.741875861103122</v>
      </c>
    </row>
    <row r="1663" spans="1:10" x14ac:dyDescent="0.3">
      <c r="A1663" t="s">
        <v>8</v>
      </c>
      <c r="B1663" t="s">
        <v>26</v>
      </c>
      <c r="C1663" t="s">
        <v>74</v>
      </c>
      <c r="D1663" s="60">
        <v>0</v>
      </c>
      <c r="E1663" s="17"/>
      <c r="F1663" s="17">
        <f t="shared" si="110"/>
        <v>0</v>
      </c>
      <c r="G1663" s="18"/>
      <c r="H1663" s="135">
        <v>1028</v>
      </c>
      <c r="I1663" s="18" t="s">
        <v>93</v>
      </c>
      <c r="J1663" s="19">
        <f t="shared" si="107"/>
        <v>29.741875861103122</v>
      </c>
    </row>
    <row r="1664" spans="1:10" x14ac:dyDescent="0.3">
      <c r="A1664" t="s">
        <v>8</v>
      </c>
      <c r="B1664" t="s">
        <v>26</v>
      </c>
      <c r="C1664" t="s">
        <v>138</v>
      </c>
      <c r="D1664" s="60">
        <v>0</v>
      </c>
      <c r="E1664" s="17"/>
      <c r="F1664" s="17">
        <f t="shared" si="110"/>
        <v>0</v>
      </c>
      <c r="G1664" s="18"/>
      <c r="H1664" s="135">
        <v>1028</v>
      </c>
      <c r="I1664" s="18" t="s">
        <v>93</v>
      </c>
      <c r="J1664" s="19">
        <f t="shared" si="107"/>
        <v>29.741875861103122</v>
      </c>
    </row>
    <row r="1665" spans="1:10" x14ac:dyDescent="0.3">
      <c r="A1665" t="s">
        <v>8</v>
      </c>
      <c r="B1665" t="s">
        <v>26</v>
      </c>
      <c r="C1665" t="s">
        <v>72</v>
      </c>
      <c r="D1665" s="133">
        <v>1</v>
      </c>
      <c r="E1665" s="134">
        <v>30.71</v>
      </c>
      <c r="F1665" s="17">
        <f t="shared" si="110"/>
        <v>30.71</v>
      </c>
      <c r="G1665" s="18" t="s">
        <v>192</v>
      </c>
      <c r="H1665" s="135">
        <v>1028</v>
      </c>
      <c r="I1665" s="18" t="s">
        <v>93</v>
      </c>
      <c r="J1665" s="19">
        <f t="shared" si="107"/>
        <v>29.741875861103122</v>
      </c>
    </row>
    <row r="1666" spans="1:10" x14ac:dyDescent="0.3">
      <c r="A1666" t="s">
        <v>8</v>
      </c>
      <c r="B1666" t="s">
        <v>26</v>
      </c>
      <c r="C1666" t="s">
        <v>71</v>
      </c>
      <c r="D1666" s="133">
        <v>1</v>
      </c>
      <c r="E1666" s="134">
        <v>40.520000000000003</v>
      </c>
      <c r="F1666" s="17">
        <f t="shared" si="110"/>
        <v>40.520000000000003</v>
      </c>
      <c r="G1666" s="18" t="s">
        <v>192</v>
      </c>
      <c r="H1666" s="135">
        <v>1028</v>
      </c>
      <c r="I1666" s="18" t="s">
        <v>93</v>
      </c>
      <c r="J1666" s="19">
        <f t="shared" ref="J1666:J1729" si="111">IFERROR(SUMIFS($F$2:$F$1749,$A$2:$A$1749,A1666,$B$2:$B$1749,B1666)/H1666,"")</f>
        <v>29.741875861103122</v>
      </c>
    </row>
    <row r="1667" spans="1:10" x14ac:dyDescent="0.3">
      <c r="A1667" t="s">
        <v>8</v>
      </c>
      <c r="B1667" t="s">
        <v>26</v>
      </c>
      <c r="C1667" t="s">
        <v>76</v>
      </c>
      <c r="D1667" s="133">
        <v>1</v>
      </c>
      <c r="E1667" s="134">
        <v>30</v>
      </c>
      <c r="F1667" s="17">
        <f t="shared" si="110"/>
        <v>30</v>
      </c>
      <c r="G1667" s="18" t="s">
        <v>192</v>
      </c>
      <c r="H1667" s="135">
        <v>1028</v>
      </c>
      <c r="I1667" s="18" t="s">
        <v>93</v>
      </c>
      <c r="J1667" s="19">
        <f t="shared" si="111"/>
        <v>29.741875861103122</v>
      </c>
    </row>
    <row r="1668" spans="1:10" x14ac:dyDescent="0.3">
      <c r="A1668" t="s">
        <v>8</v>
      </c>
      <c r="B1668" t="s">
        <v>26</v>
      </c>
      <c r="C1668" t="s">
        <v>95</v>
      </c>
      <c r="D1668" s="60">
        <v>1</v>
      </c>
      <c r="E1668" s="134">
        <v>0</v>
      </c>
      <c r="F1668" s="17">
        <f t="shared" si="110"/>
        <v>0</v>
      </c>
      <c r="G1668" s="133" t="s">
        <v>65</v>
      </c>
      <c r="H1668" s="135">
        <v>1028</v>
      </c>
      <c r="I1668" s="18" t="s">
        <v>93</v>
      </c>
      <c r="J1668" s="19">
        <f t="shared" si="111"/>
        <v>29.741875861103122</v>
      </c>
    </row>
    <row r="1669" spans="1:10" x14ac:dyDescent="0.3">
      <c r="A1669" t="s">
        <v>8</v>
      </c>
      <c r="B1669" t="s">
        <v>26</v>
      </c>
      <c r="C1669" t="s">
        <v>139</v>
      </c>
      <c r="D1669" s="60">
        <v>1</v>
      </c>
      <c r="E1669" s="134">
        <v>59.24</v>
      </c>
      <c r="F1669" s="17">
        <f t="shared" si="110"/>
        <v>59.24</v>
      </c>
      <c r="G1669" s="133" t="s">
        <v>65</v>
      </c>
      <c r="H1669" s="135">
        <v>1028</v>
      </c>
      <c r="I1669" s="18" t="s">
        <v>93</v>
      </c>
      <c r="J1669" s="19">
        <f t="shared" si="111"/>
        <v>29.741875861103122</v>
      </c>
    </row>
    <row r="1670" spans="1:10" x14ac:dyDescent="0.3">
      <c r="A1670" t="s">
        <v>8</v>
      </c>
      <c r="B1670" t="s">
        <v>26</v>
      </c>
      <c r="C1670" t="s">
        <v>73</v>
      </c>
      <c r="D1670" s="60">
        <v>0</v>
      </c>
      <c r="E1670" s="17"/>
      <c r="F1670" s="17">
        <f t="shared" si="110"/>
        <v>0</v>
      </c>
      <c r="G1670" s="18"/>
      <c r="H1670" s="135">
        <v>1028</v>
      </c>
      <c r="I1670" s="18" t="s">
        <v>93</v>
      </c>
      <c r="J1670" s="19">
        <f t="shared" si="111"/>
        <v>29.741875861103122</v>
      </c>
    </row>
    <row r="1671" spans="1:10" x14ac:dyDescent="0.3">
      <c r="A1671" t="s">
        <v>8</v>
      </c>
      <c r="B1671" t="s">
        <v>26</v>
      </c>
      <c r="C1671" t="s">
        <v>140</v>
      </c>
      <c r="D1671" s="133">
        <v>1</v>
      </c>
      <c r="E1671" s="134">
        <v>2500</v>
      </c>
      <c r="F1671" s="17">
        <f t="shared" si="110"/>
        <v>2500</v>
      </c>
      <c r="G1671" s="18" t="s">
        <v>192</v>
      </c>
      <c r="H1671" s="135">
        <v>1028</v>
      </c>
      <c r="I1671" s="18" t="s">
        <v>93</v>
      </c>
      <c r="J1671" s="19">
        <f t="shared" si="111"/>
        <v>29.741875861103122</v>
      </c>
    </row>
    <row r="1672" spans="1:10" x14ac:dyDescent="0.3">
      <c r="A1672" t="s">
        <v>8</v>
      </c>
      <c r="B1672" t="s">
        <v>26</v>
      </c>
      <c r="C1672" t="s">
        <v>141</v>
      </c>
      <c r="D1672" s="133">
        <v>1</v>
      </c>
      <c r="E1672" s="134">
        <v>2612.9</v>
      </c>
      <c r="F1672" s="17">
        <f t="shared" si="110"/>
        <v>2612.9</v>
      </c>
      <c r="G1672" s="18" t="s">
        <v>192</v>
      </c>
      <c r="H1672" s="135">
        <v>1028</v>
      </c>
      <c r="I1672" s="18" t="s">
        <v>93</v>
      </c>
      <c r="J1672" s="19">
        <f t="shared" si="111"/>
        <v>29.741875861103122</v>
      </c>
    </row>
    <row r="1673" spans="1:10" x14ac:dyDescent="0.3">
      <c r="A1673" t="s">
        <v>8</v>
      </c>
      <c r="B1673" t="s">
        <v>26</v>
      </c>
      <c r="C1673" t="s">
        <v>63</v>
      </c>
      <c r="D1673" s="60">
        <v>0</v>
      </c>
      <c r="E1673" s="17"/>
      <c r="F1673" s="17">
        <f t="shared" si="110"/>
        <v>0</v>
      </c>
      <c r="G1673" s="18"/>
      <c r="H1673" s="135">
        <v>1028</v>
      </c>
      <c r="I1673" s="18" t="s">
        <v>93</v>
      </c>
      <c r="J1673" s="19">
        <f t="shared" si="111"/>
        <v>29.741875861103122</v>
      </c>
    </row>
    <row r="1674" spans="1:10" x14ac:dyDescent="0.3">
      <c r="A1674" t="s">
        <v>8</v>
      </c>
      <c r="B1674" t="s">
        <v>26</v>
      </c>
      <c r="C1674" t="s">
        <v>58</v>
      </c>
      <c r="D1674" s="133">
        <v>6</v>
      </c>
      <c r="E1674" s="37">
        <v>9.918365758754863</v>
      </c>
      <c r="F1674" s="17">
        <f t="shared" si="110"/>
        <v>59.510194552529178</v>
      </c>
      <c r="G1674" s="18"/>
      <c r="H1674" s="135">
        <v>1028</v>
      </c>
      <c r="I1674" s="18" t="s">
        <v>93</v>
      </c>
      <c r="J1674" s="19">
        <f t="shared" si="111"/>
        <v>29.741875861103122</v>
      </c>
    </row>
    <row r="1675" spans="1:10" x14ac:dyDescent="0.3">
      <c r="A1675" t="s">
        <v>8</v>
      </c>
      <c r="B1675" t="s">
        <v>26</v>
      </c>
      <c r="C1675" t="s">
        <v>59</v>
      </c>
      <c r="D1675" s="133">
        <v>6</v>
      </c>
      <c r="E1675" s="37">
        <v>2.049698443579766</v>
      </c>
      <c r="F1675" s="17">
        <f t="shared" si="110"/>
        <v>12.298190661478596</v>
      </c>
      <c r="G1675" s="18"/>
      <c r="H1675" s="135">
        <v>1028</v>
      </c>
      <c r="I1675" s="18" t="s">
        <v>93</v>
      </c>
      <c r="J1675" s="19">
        <f t="shared" si="111"/>
        <v>29.741875861103122</v>
      </c>
    </row>
    <row r="1676" spans="1:10" x14ac:dyDescent="0.3">
      <c r="A1676" t="s">
        <v>8</v>
      </c>
      <c r="B1676" t="s">
        <v>26</v>
      </c>
      <c r="C1676" t="s">
        <v>142</v>
      </c>
      <c r="D1676" s="60">
        <v>0</v>
      </c>
      <c r="E1676" s="17"/>
      <c r="F1676" s="17">
        <f t="shared" si="110"/>
        <v>0</v>
      </c>
      <c r="G1676" s="18"/>
      <c r="H1676" s="135">
        <v>1028</v>
      </c>
      <c r="I1676" s="18" t="s">
        <v>93</v>
      </c>
      <c r="J1676" s="19">
        <f t="shared" si="111"/>
        <v>29.741875861103122</v>
      </c>
    </row>
    <row r="1677" spans="1:10" x14ac:dyDescent="0.3">
      <c r="A1677" t="s">
        <v>8</v>
      </c>
      <c r="B1677" t="s">
        <v>26</v>
      </c>
      <c r="C1677" t="s">
        <v>143</v>
      </c>
      <c r="D1677" s="60">
        <v>0</v>
      </c>
      <c r="E1677" s="17"/>
      <c r="F1677" s="17">
        <f t="shared" si="110"/>
        <v>0</v>
      </c>
      <c r="G1677" s="18"/>
      <c r="H1677" s="135">
        <v>1028</v>
      </c>
      <c r="I1677" s="18" t="s">
        <v>93</v>
      </c>
      <c r="J1677" s="19">
        <f t="shared" si="111"/>
        <v>29.741875861103122</v>
      </c>
    </row>
    <row r="1678" spans="1:10" x14ac:dyDescent="0.3">
      <c r="A1678" t="s">
        <v>8</v>
      </c>
      <c r="B1678" t="s">
        <v>26</v>
      </c>
      <c r="C1678" t="s">
        <v>144</v>
      </c>
      <c r="D1678" s="60">
        <v>0</v>
      </c>
      <c r="E1678" s="17"/>
      <c r="F1678" s="17">
        <f t="shared" si="110"/>
        <v>0</v>
      </c>
      <c r="G1678" s="18"/>
      <c r="H1678" s="135">
        <v>1028</v>
      </c>
      <c r="I1678" s="18" t="s">
        <v>93</v>
      </c>
      <c r="J1678" s="19">
        <f t="shared" si="111"/>
        <v>29.741875861103122</v>
      </c>
    </row>
    <row r="1679" spans="1:10" x14ac:dyDescent="0.3">
      <c r="A1679" t="s">
        <v>8</v>
      </c>
      <c r="B1679" t="s">
        <v>26</v>
      </c>
      <c r="C1679" t="s">
        <v>145</v>
      </c>
      <c r="D1679" s="60">
        <v>0</v>
      </c>
      <c r="E1679" s="17"/>
      <c r="F1679" s="17">
        <f t="shared" si="110"/>
        <v>0</v>
      </c>
      <c r="G1679" s="18"/>
      <c r="H1679" s="135">
        <v>1028</v>
      </c>
      <c r="I1679" s="18" t="s">
        <v>93</v>
      </c>
      <c r="J1679" s="19">
        <f t="shared" si="111"/>
        <v>29.741875861103122</v>
      </c>
    </row>
    <row r="1680" spans="1:10" x14ac:dyDescent="0.3">
      <c r="A1680" t="s">
        <v>8</v>
      </c>
      <c r="B1680" t="s">
        <v>26</v>
      </c>
      <c r="C1680" t="s">
        <v>121</v>
      </c>
      <c r="D1680" s="60">
        <v>0</v>
      </c>
      <c r="E1680" s="17"/>
      <c r="F1680" s="17">
        <f t="shared" si="110"/>
        <v>0</v>
      </c>
      <c r="G1680" s="18"/>
      <c r="H1680" s="135">
        <v>1028</v>
      </c>
      <c r="I1680" s="18" t="s">
        <v>93</v>
      </c>
      <c r="J1680" s="19">
        <f t="shared" si="111"/>
        <v>29.741875861103122</v>
      </c>
    </row>
    <row r="1681" spans="1:10" x14ac:dyDescent="0.3">
      <c r="A1681" t="s">
        <v>8</v>
      </c>
      <c r="B1681" t="s">
        <v>25</v>
      </c>
      <c r="C1681" t="s">
        <v>53</v>
      </c>
      <c r="D1681" s="133">
        <v>121</v>
      </c>
      <c r="E1681" s="134">
        <v>383065.11</v>
      </c>
      <c r="F1681" s="17">
        <f>IF(E1681="","",E1681)</f>
        <v>383065.11</v>
      </c>
      <c r="G1681" s="18" t="s">
        <v>218</v>
      </c>
      <c r="H1681" s="135">
        <v>201491</v>
      </c>
      <c r="I1681" s="18" t="s">
        <v>54</v>
      </c>
      <c r="J1681" s="19">
        <f t="shared" si="111"/>
        <v>2.2620803826729117</v>
      </c>
    </row>
    <row r="1682" spans="1:10" x14ac:dyDescent="0.3">
      <c r="A1682" t="s">
        <v>8</v>
      </c>
      <c r="B1682" t="s">
        <v>25</v>
      </c>
      <c r="C1682" t="s">
        <v>146</v>
      </c>
      <c r="D1682" s="60">
        <v>1</v>
      </c>
      <c r="E1682" s="17">
        <v>9818.16</v>
      </c>
      <c r="F1682" s="17">
        <f t="shared" ref="F1682:F1703" si="112">D1682*E1682</f>
        <v>9818.16</v>
      </c>
      <c r="G1682" s="18"/>
      <c r="H1682" s="135">
        <v>201491</v>
      </c>
      <c r="I1682" s="18" t="s">
        <v>54</v>
      </c>
      <c r="J1682" s="19">
        <f t="shared" si="111"/>
        <v>2.2620803826729117</v>
      </c>
    </row>
    <row r="1683" spans="1:10" x14ac:dyDescent="0.3">
      <c r="A1683" t="s">
        <v>8</v>
      </c>
      <c r="B1683" t="s">
        <v>25</v>
      </c>
      <c r="C1683" t="s">
        <v>147</v>
      </c>
      <c r="D1683" s="133">
        <v>1</v>
      </c>
      <c r="E1683" s="134">
        <v>33759.11</v>
      </c>
      <c r="F1683" s="17">
        <f t="shared" si="112"/>
        <v>33759.11</v>
      </c>
      <c r="G1683" s="18" t="s">
        <v>192</v>
      </c>
      <c r="H1683" s="135">
        <v>201491</v>
      </c>
      <c r="I1683" s="18" t="s">
        <v>54</v>
      </c>
      <c r="J1683" s="19">
        <f t="shared" si="111"/>
        <v>2.2620803826729117</v>
      </c>
    </row>
    <row r="1684" spans="1:10" x14ac:dyDescent="0.3">
      <c r="A1684" t="s">
        <v>8</v>
      </c>
      <c r="B1684" t="s">
        <v>25</v>
      </c>
      <c r="C1684" t="s">
        <v>72</v>
      </c>
      <c r="D1684" s="133">
        <v>1</v>
      </c>
      <c r="E1684" s="134">
        <v>153.58000000000001</v>
      </c>
      <c r="F1684" s="17">
        <f t="shared" si="112"/>
        <v>153.58000000000001</v>
      </c>
      <c r="G1684" s="18" t="s">
        <v>192</v>
      </c>
      <c r="H1684" s="135">
        <v>201491</v>
      </c>
      <c r="I1684" s="18" t="s">
        <v>54</v>
      </c>
      <c r="J1684" s="19">
        <f t="shared" si="111"/>
        <v>2.2620803826729117</v>
      </c>
    </row>
    <row r="1685" spans="1:10" x14ac:dyDescent="0.3">
      <c r="A1685" t="s">
        <v>8</v>
      </c>
      <c r="B1685" t="s">
        <v>25</v>
      </c>
      <c r="C1685" t="s">
        <v>148</v>
      </c>
      <c r="D1685" s="60">
        <v>1</v>
      </c>
      <c r="E1685" s="17"/>
      <c r="F1685" s="17">
        <f t="shared" si="112"/>
        <v>0</v>
      </c>
      <c r="G1685" s="18"/>
      <c r="H1685" s="135">
        <v>201491</v>
      </c>
      <c r="I1685" s="18" t="s">
        <v>54</v>
      </c>
      <c r="J1685" s="19">
        <f t="shared" si="111"/>
        <v>2.2620803826729117</v>
      </c>
    </row>
    <row r="1686" spans="1:10" x14ac:dyDescent="0.3">
      <c r="A1686" t="s">
        <v>8</v>
      </c>
      <c r="B1686" t="s">
        <v>25</v>
      </c>
      <c r="C1686" t="s">
        <v>150</v>
      </c>
      <c r="D1686" s="60">
        <v>1</v>
      </c>
      <c r="E1686" s="17"/>
      <c r="F1686" s="17">
        <f t="shared" si="112"/>
        <v>0</v>
      </c>
      <c r="G1686" s="18"/>
      <c r="H1686" s="135">
        <v>201491</v>
      </c>
      <c r="I1686" s="18" t="s">
        <v>54</v>
      </c>
      <c r="J1686" s="19">
        <f t="shared" si="111"/>
        <v>2.2620803826729117</v>
      </c>
    </row>
    <row r="1687" spans="1:10" x14ac:dyDescent="0.3">
      <c r="A1687" t="s">
        <v>8</v>
      </c>
      <c r="B1687" t="s">
        <v>25</v>
      </c>
      <c r="C1687" t="s">
        <v>152</v>
      </c>
      <c r="D1687" s="60">
        <v>1</v>
      </c>
      <c r="E1687" s="17">
        <v>5543</v>
      </c>
      <c r="F1687" s="17">
        <f t="shared" si="112"/>
        <v>5543</v>
      </c>
      <c r="G1687" s="18"/>
      <c r="H1687" s="135">
        <v>201491</v>
      </c>
      <c r="I1687" s="18" t="s">
        <v>54</v>
      </c>
      <c r="J1687" s="19">
        <f t="shared" si="111"/>
        <v>2.2620803826729117</v>
      </c>
    </row>
    <row r="1688" spans="1:10" x14ac:dyDescent="0.3">
      <c r="A1688" t="s">
        <v>8</v>
      </c>
      <c r="B1688" t="s">
        <v>25</v>
      </c>
      <c r="C1688" t="s">
        <v>153</v>
      </c>
      <c r="D1688" s="133">
        <v>1</v>
      </c>
      <c r="E1688" s="134">
        <v>900</v>
      </c>
      <c r="F1688" s="17">
        <f t="shared" si="112"/>
        <v>900</v>
      </c>
      <c r="G1688" s="18" t="s">
        <v>192</v>
      </c>
      <c r="H1688" s="135">
        <v>201491</v>
      </c>
      <c r="I1688" s="18" t="s">
        <v>54</v>
      </c>
      <c r="J1688" s="19">
        <f t="shared" si="111"/>
        <v>2.2620803826729117</v>
      </c>
    </row>
    <row r="1689" spans="1:10" x14ac:dyDescent="0.3">
      <c r="A1689" t="s">
        <v>8</v>
      </c>
      <c r="B1689" t="s">
        <v>25</v>
      </c>
      <c r="C1689" t="s">
        <v>154</v>
      </c>
      <c r="D1689" s="60">
        <v>4</v>
      </c>
      <c r="E1689" s="17">
        <v>30</v>
      </c>
      <c r="F1689" s="17">
        <f t="shared" si="112"/>
        <v>120</v>
      </c>
      <c r="G1689" s="18"/>
      <c r="H1689" s="135">
        <v>201491</v>
      </c>
      <c r="I1689" s="18" t="s">
        <v>54</v>
      </c>
      <c r="J1689" s="19">
        <f t="shared" si="111"/>
        <v>2.2620803826729117</v>
      </c>
    </row>
    <row r="1690" spans="1:10" x14ac:dyDescent="0.3">
      <c r="A1690" t="s">
        <v>8</v>
      </c>
      <c r="B1690" t="s">
        <v>25</v>
      </c>
      <c r="C1690" t="s">
        <v>61</v>
      </c>
      <c r="D1690" s="60">
        <v>1</v>
      </c>
      <c r="E1690" s="37">
        <v>136</v>
      </c>
      <c r="F1690" s="17">
        <f t="shared" si="112"/>
        <v>136</v>
      </c>
      <c r="G1690" s="18" t="s">
        <v>206</v>
      </c>
      <c r="H1690" s="135">
        <v>201491</v>
      </c>
      <c r="I1690" s="18" t="s">
        <v>54</v>
      </c>
      <c r="J1690" s="19">
        <f t="shared" si="111"/>
        <v>2.2620803826729117</v>
      </c>
    </row>
    <row r="1691" spans="1:10" x14ac:dyDescent="0.3">
      <c r="A1691" t="s">
        <v>8</v>
      </c>
      <c r="B1691" t="s">
        <v>25</v>
      </c>
      <c r="C1691" t="s">
        <v>26</v>
      </c>
      <c r="D1691" s="133">
        <v>121</v>
      </c>
      <c r="E1691" s="134">
        <v>29.741875861103122</v>
      </c>
      <c r="F1691" s="17">
        <f t="shared" si="112"/>
        <v>3598.7669791934777</v>
      </c>
      <c r="G1691" s="18"/>
      <c r="H1691" s="135">
        <v>201491</v>
      </c>
      <c r="I1691" s="18" t="s">
        <v>54</v>
      </c>
      <c r="J1691" s="19">
        <f t="shared" si="111"/>
        <v>2.2620803826729117</v>
      </c>
    </row>
    <row r="1692" spans="1:10" x14ac:dyDescent="0.3">
      <c r="A1692" t="s">
        <v>8</v>
      </c>
      <c r="B1692" t="s">
        <v>25</v>
      </c>
      <c r="C1692" t="s">
        <v>14</v>
      </c>
      <c r="D1692" s="133">
        <v>121</v>
      </c>
      <c r="E1692" s="134">
        <v>43.540891487759097</v>
      </c>
      <c r="F1692" s="17">
        <f t="shared" si="112"/>
        <v>5268.4478700188511</v>
      </c>
      <c r="G1692" s="18"/>
      <c r="H1692" s="135">
        <v>201491</v>
      </c>
      <c r="I1692" s="18" t="s">
        <v>54</v>
      </c>
      <c r="J1692" s="19">
        <f t="shared" si="111"/>
        <v>2.2620803826729117</v>
      </c>
    </row>
    <row r="1693" spans="1:10" x14ac:dyDescent="0.3">
      <c r="A1693" t="s">
        <v>8</v>
      </c>
      <c r="B1693" t="s">
        <v>25</v>
      </c>
      <c r="C1693" t="s">
        <v>114</v>
      </c>
      <c r="D1693" s="60">
        <v>1</v>
      </c>
      <c r="E1693" s="17"/>
      <c r="F1693" s="17">
        <f t="shared" si="112"/>
        <v>0</v>
      </c>
      <c r="G1693" s="18"/>
      <c r="H1693" s="135">
        <v>201491</v>
      </c>
      <c r="I1693" s="18" t="s">
        <v>54</v>
      </c>
      <c r="J1693" s="19">
        <f t="shared" si="111"/>
        <v>2.2620803826729117</v>
      </c>
    </row>
    <row r="1694" spans="1:10" x14ac:dyDescent="0.3">
      <c r="A1694" t="s">
        <v>8</v>
      </c>
      <c r="B1694" t="s">
        <v>25</v>
      </c>
      <c r="C1694" t="s">
        <v>155</v>
      </c>
      <c r="D1694" s="133">
        <v>121</v>
      </c>
      <c r="E1694" s="134">
        <v>47.658741879775853</v>
      </c>
      <c r="F1694" s="17">
        <f t="shared" si="112"/>
        <v>5766.7077674528782</v>
      </c>
      <c r="G1694" s="18"/>
      <c r="H1694" s="135">
        <v>201491</v>
      </c>
      <c r="I1694" s="18" t="s">
        <v>54</v>
      </c>
      <c r="J1694" s="19">
        <f t="shared" si="111"/>
        <v>2.2620803826729117</v>
      </c>
    </row>
    <row r="1695" spans="1:10" x14ac:dyDescent="0.3">
      <c r="A1695" t="s">
        <v>8</v>
      </c>
      <c r="B1695" t="s">
        <v>25</v>
      </c>
      <c r="C1695" t="s">
        <v>58</v>
      </c>
      <c r="D1695" s="133">
        <v>121</v>
      </c>
      <c r="E1695" s="37">
        <v>9.918365758754863</v>
      </c>
      <c r="F1695" s="17">
        <f t="shared" si="112"/>
        <v>1200.1222568093385</v>
      </c>
      <c r="G1695" s="18"/>
      <c r="H1695" s="135">
        <v>201491</v>
      </c>
      <c r="I1695" s="18" t="s">
        <v>54</v>
      </c>
      <c r="J1695" s="19">
        <f t="shared" si="111"/>
        <v>2.2620803826729117</v>
      </c>
    </row>
    <row r="1696" spans="1:10" x14ac:dyDescent="0.3">
      <c r="A1696" t="s">
        <v>8</v>
      </c>
      <c r="B1696" t="s">
        <v>25</v>
      </c>
      <c r="C1696" t="s">
        <v>113</v>
      </c>
      <c r="D1696" s="133">
        <v>121</v>
      </c>
      <c r="E1696" s="37">
        <v>2.049698443579766</v>
      </c>
      <c r="F1696" s="17">
        <f t="shared" si="112"/>
        <v>248.0135116731517</v>
      </c>
      <c r="G1696" s="18"/>
      <c r="H1696" s="135">
        <v>201491</v>
      </c>
      <c r="I1696" s="18" t="s">
        <v>54</v>
      </c>
      <c r="J1696" s="19">
        <f t="shared" si="111"/>
        <v>2.2620803826729117</v>
      </c>
    </row>
    <row r="1697" spans="1:10" x14ac:dyDescent="0.3">
      <c r="A1697" t="s">
        <v>8</v>
      </c>
      <c r="B1697" t="s">
        <v>25</v>
      </c>
      <c r="C1697" t="s">
        <v>156</v>
      </c>
      <c r="D1697" s="60">
        <v>1</v>
      </c>
      <c r="E1697" s="17"/>
      <c r="F1697" s="17">
        <f t="shared" si="112"/>
        <v>0</v>
      </c>
      <c r="G1697" s="18"/>
      <c r="H1697" s="135">
        <v>201491</v>
      </c>
      <c r="I1697" s="18" t="s">
        <v>54</v>
      </c>
      <c r="J1697" s="19">
        <f t="shared" si="111"/>
        <v>2.2620803826729117</v>
      </c>
    </row>
    <row r="1698" spans="1:10" x14ac:dyDescent="0.3">
      <c r="A1698" t="s">
        <v>8</v>
      </c>
      <c r="B1698" t="s">
        <v>25</v>
      </c>
      <c r="C1698" t="s">
        <v>158</v>
      </c>
      <c r="D1698" s="60">
        <v>1</v>
      </c>
      <c r="E1698" s="17">
        <v>2616.52</v>
      </c>
      <c r="F1698" s="17">
        <f t="shared" si="112"/>
        <v>2616.52</v>
      </c>
      <c r="G1698" s="18"/>
      <c r="H1698" s="135">
        <v>201491</v>
      </c>
      <c r="I1698" s="18" t="s">
        <v>54</v>
      </c>
      <c r="J1698" s="19">
        <f t="shared" si="111"/>
        <v>2.2620803826729117</v>
      </c>
    </row>
    <row r="1699" spans="1:10" x14ac:dyDescent="0.3">
      <c r="A1699" t="s">
        <v>8</v>
      </c>
      <c r="B1699" t="s">
        <v>25</v>
      </c>
      <c r="C1699" t="s">
        <v>89</v>
      </c>
      <c r="D1699" s="60">
        <v>1</v>
      </c>
      <c r="E1699" s="17"/>
      <c r="F1699" s="17">
        <f t="shared" si="112"/>
        <v>0</v>
      </c>
      <c r="G1699" s="18"/>
      <c r="H1699" s="135">
        <v>201491</v>
      </c>
      <c r="I1699" s="18" t="s">
        <v>54</v>
      </c>
      <c r="J1699" s="19">
        <f t="shared" si="111"/>
        <v>2.2620803826729117</v>
      </c>
    </row>
    <row r="1700" spans="1:10" x14ac:dyDescent="0.3">
      <c r="A1700" t="s">
        <v>8</v>
      </c>
      <c r="B1700" t="s">
        <v>25</v>
      </c>
      <c r="C1700" t="s">
        <v>133</v>
      </c>
      <c r="D1700" s="60">
        <v>1</v>
      </c>
      <c r="E1700" s="17"/>
      <c r="F1700" s="17">
        <f t="shared" si="112"/>
        <v>0</v>
      </c>
      <c r="G1700" s="18"/>
      <c r="H1700" s="135">
        <v>201491</v>
      </c>
      <c r="I1700" s="18" t="s">
        <v>54</v>
      </c>
      <c r="J1700" s="19">
        <f t="shared" si="111"/>
        <v>2.2620803826729117</v>
      </c>
    </row>
    <row r="1701" spans="1:10" x14ac:dyDescent="0.3">
      <c r="A1701" t="s">
        <v>8</v>
      </c>
      <c r="B1701" t="s">
        <v>25</v>
      </c>
      <c r="C1701" t="s">
        <v>160</v>
      </c>
      <c r="D1701" s="60">
        <v>1</v>
      </c>
      <c r="E1701" s="134">
        <v>3595.3</v>
      </c>
      <c r="F1701" s="17">
        <f t="shared" si="112"/>
        <v>3595.3</v>
      </c>
      <c r="G1701" s="133" t="s">
        <v>65</v>
      </c>
      <c r="H1701" s="135">
        <v>201491</v>
      </c>
      <c r="I1701" s="18" t="s">
        <v>54</v>
      </c>
      <c r="J1701" s="19">
        <f t="shared" si="111"/>
        <v>2.2620803826729117</v>
      </c>
    </row>
    <row r="1702" spans="1:10" x14ac:dyDescent="0.3">
      <c r="A1702" t="s">
        <v>8</v>
      </c>
      <c r="B1702" t="s">
        <v>25</v>
      </c>
      <c r="C1702" t="s">
        <v>161</v>
      </c>
      <c r="D1702" s="60">
        <v>1</v>
      </c>
      <c r="E1702" s="134">
        <v>0</v>
      </c>
      <c r="F1702" s="17">
        <f t="shared" si="112"/>
        <v>0</v>
      </c>
      <c r="G1702" s="133" t="s">
        <v>65</v>
      </c>
      <c r="H1702" s="135">
        <v>201491</v>
      </c>
      <c r="I1702" s="18" t="s">
        <v>54</v>
      </c>
      <c r="J1702" s="19">
        <f t="shared" si="111"/>
        <v>2.2620803826729117</v>
      </c>
    </row>
    <row r="1703" spans="1:10" x14ac:dyDescent="0.3">
      <c r="A1703" t="s">
        <v>8</v>
      </c>
      <c r="B1703" t="s">
        <v>25</v>
      </c>
      <c r="C1703" t="s">
        <v>70</v>
      </c>
      <c r="D1703" s="60">
        <v>1</v>
      </c>
      <c r="E1703" s="17"/>
      <c r="F1703" s="17">
        <f t="shared" si="112"/>
        <v>0</v>
      </c>
      <c r="G1703" s="18"/>
      <c r="H1703" s="135">
        <v>201491</v>
      </c>
      <c r="I1703" s="18" t="s">
        <v>54</v>
      </c>
      <c r="J1703" s="19">
        <f t="shared" si="111"/>
        <v>2.2620803826729117</v>
      </c>
    </row>
    <row r="1704" spans="1:10" x14ac:dyDescent="0.3">
      <c r="A1704" t="s">
        <v>8</v>
      </c>
      <c r="B1704" t="s">
        <v>27</v>
      </c>
      <c r="C1704" t="s">
        <v>53</v>
      </c>
      <c r="D1704" s="133">
        <v>8</v>
      </c>
      <c r="E1704" s="134">
        <v>37236.620000000003</v>
      </c>
      <c r="F1704" s="17">
        <f>IF(E1704="","",E1704)</f>
        <v>37236.620000000003</v>
      </c>
      <c r="G1704" s="18" t="s">
        <v>205</v>
      </c>
      <c r="H1704" s="135">
        <v>1028</v>
      </c>
      <c r="I1704" s="18" t="s">
        <v>93</v>
      </c>
      <c r="J1704" s="19">
        <f t="shared" si="111"/>
        <v>47.658741879775846</v>
      </c>
    </row>
    <row r="1705" spans="1:10" x14ac:dyDescent="0.3">
      <c r="A1705" t="s">
        <v>8</v>
      </c>
      <c r="B1705" t="s">
        <v>27</v>
      </c>
      <c r="C1705" t="s">
        <v>26</v>
      </c>
      <c r="D1705" s="133">
        <v>8</v>
      </c>
      <c r="E1705" s="134">
        <v>29.741875861103122</v>
      </c>
      <c r="F1705" s="17">
        <f t="shared" ref="F1705:F1727" si="113">D1705*E1705</f>
        <v>237.93500688882497</v>
      </c>
      <c r="G1705" s="18"/>
      <c r="H1705" s="135">
        <v>1028</v>
      </c>
      <c r="I1705" s="18" t="s">
        <v>93</v>
      </c>
      <c r="J1705" s="19">
        <f t="shared" si="111"/>
        <v>47.658741879775846</v>
      </c>
    </row>
    <row r="1706" spans="1:10" x14ac:dyDescent="0.3">
      <c r="A1706" t="s">
        <v>8</v>
      </c>
      <c r="B1706" t="s">
        <v>27</v>
      </c>
      <c r="C1706" t="s">
        <v>14</v>
      </c>
      <c r="D1706" s="133">
        <v>8</v>
      </c>
      <c r="E1706" s="134">
        <v>43.540891487759097</v>
      </c>
      <c r="F1706" s="17">
        <f t="shared" si="113"/>
        <v>348.32713190207278</v>
      </c>
      <c r="G1706" s="18"/>
      <c r="H1706" s="135">
        <v>1028</v>
      </c>
      <c r="I1706" s="18" t="s">
        <v>93</v>
      </c>
      <c r="J1706" s="19">
        <f t="shared" si="111"/>
        <v>47.658741879775846</v>
      </c>
    </row>
    <row r="1707" spans="1:10" x14ac:dyDescent="0.3">
      <c r="A1707" t="s">
        <v>8</v>
      </c>
      <c r="B1707" t="s">
        <v>27</v>
      </c>
      <c r="C1707" t="s">
        <v>87</v>
      </c>
      <c r="D1707" s="133">
        <v>10</v>
      </c>
      <c r="E1707" s="134">
        <v>28</v>
      </c>
      <c r="F1707" s="17">
        <f t="shared" si="113"/>
        <v>280</v>
      </c>
      <c r="G1707" s="18" t="s">
        <v>192</v>
      </c>
      <c r="H1707" s="135">
        <v>1028</v>
      </c>
      <c r="I1707" s="18" t="s">
        <v>93</v>
      </c>
      <c r="J1707" s="19">
        <f t="shared" si="111"/>
        <v>47.658741879775846</v>
      </c>
    </row>
    <row r="1708" spans="1:10" x14ac:dyDescent="0.3">
      <c r="A1708" t="s">
        <v>8</v>
      </c>
      <c r="B1708" t="s">
        <v>27</v>
      </c>
      <c r="C1708" t="s">
        <v>76</v>
      </c>
      <c r="D1708" s="133">
        <v>0</v>
      </c>
      <c r="E1708" s="134">
        <v>0</v>
      </c>
      <c r="F1708" s="17">
        <f t="shared" si="113"/>
        <v>0</v>
      </c>
      <c r="G1708" s="18" t="s">
        <v>170</v>
      </c>
      <c r="H1708" s="135">
        <v>1028</v>
      </c>
      <c r="I1708" s="18" t="s">
        <v>93</v>
      </c>
      <c r="J1708" s="19">
        <f t="shared" si="111"/>
        <v>47.658741879775846</v>
      </c>
    </row>
    <row r="1709" spans="1:10" x14ac:dyDescent="0.3">
      <c r="A1709" t="s">
        <v>8</v>
      </c>
      <c r="B1709" t="s">
        <v>27</v>
      </c>
      <c r="C1709" t="s">
        <v>71</v>
      </c>
      <c r="D1709" s="133">
        <v>1</v>
      </c>
      <c r="E1709" s="134">
        <v>40.520000000000003</v>
      </c>
      <c r="F1709" s="17">
        <f t="shared" si="113"/>
        <v>40.520000000000003</v>
      </c>
      <c r="G1709" s="18" t="s">
        <v>192</v>
      </c>
      <c r="H1709" s="135">
        <v>1028</v>
      </c>
      <c r="I1709" s="18" t="s">
        <v>93</v>
      </c>
      <c r="J1709" s="19">
        <f t="shared" si="111"/>
        <v>47.658741879775846</v>
      </c>
    </row>
    <row r="1710" spans="1:10" x14ac:dyDescent="0.3">
      <c r="A1710" t="s">
        <v>8</v>
      </c>
      <c r="B1710" t="s">
        <v>27</v>
      </c>
      <c r="C1710" t="s">
        <v>57</v>
      </c>
      <c r="D1710" s="133">
        <v>4</v>
      </c>
      <c r="E1710" s="134">
        <v>30</v>
      </c>
      <c r="F1710" s="17">
        <f t="shared" si="113"/>
        <v>120</v>
      </c>
      <c r="G1710" s="18" t="s">
        <v>192</v>
      </c>
      <c r="H1710" s="135">
        <v>1028</v>
      </c>
      <c r="I1710" s="18" t="s">
        <v>93</v>
      </c>
      <c r="J1710" s="19">
        <f t="shared" si="111"/>
        <v>47.658741879775846</v>
      </c>
    </row>
    <row r="1711" spans="1:10" x14ac:dyDescent="0.3">
      <c r="A1711" t="s">
        <v>8</v>
      </c>
      <c r="B1711" t="s">
        <v>27</v>
      </c>
      <c r="C1711" t="s">
        <v>58</v>
      </c>
      <c r="D1711" s="133">
        <v>8</v>
      </c>
      <c r="E1711" s="37">
        <v>9.918365758754863</v>
      </c>
      <c r="F1711" s="17">
        <f t="shared" si="113"/>
        <v>79.346926070038904</v>
      </c>
      <c r="G1711" s="18"/>
      <c r="H1711" s="135">
        <v>1028</v>
      </c>
      <c r="I1711" s="18" t="s">
        <v>93</v>
      </c>
      <c r="J1711" s="19">
        <f t="shared" si="111"/>
        <v>47.658741879775846</v>
      </c>
    </row>
    <row r="1712" spans="1:10" x14ac:dyDescent="0.3">
      <c r="A1712" t="s">
        <v>8</v>
      </c>
      <c r="B1712" t="s">
        <v>27</v>
      </c>
      <c r="C1712" t="s">
        <v>59</v>
      </c>
      <c r="D1712" s="133">
        <v>8</v>
      </c>
      <c r="E1712" s="37">
        <v>2.049698443579766</v>
      </c>
      <c r="F1712" s="17">
        <f t="shared" si="113"/>
        <v>16.397587548638128</v>
      </c>
      <c r="G1712" s="18"/>
      <c r="H1712" s="135">
        <v>1028</v>
      </c>
      <c r="I1712" s="18" t="s">
        <v>93</v>
      </c>
      <c r="J1712" s="19">
        <f t="shared" si="111"/>
        <v>47.658741879775846</v>
      </c>
    </row>
    <row r="1713" spans="1:10" x14ac:dyDescent="0.3">
      <c r="A1713" t="s">
        <v>8</v>
      </c>
      <c r="B1713" t="s">
        <v>27</v>
      </c>
      <c r="C1713" t="s">
        <v>62</v>
      </c>
      <c r="D1713" s="60">
        <v>0</v>
      </c>
      <c r="E1713" s="17"/>
      <c r="F1713" s="17">
        <f t="shared" si="113"/>
        <v>0</v>
      </c>
      <c r="G1713" s="18"/>
      <c r="H1713" s="135">
        <v>1028</v>
      </c>
      <c r="I1713" s="18" t="s">
        <v>93</v>
      </c>
      <c r="J1713" s="19">
        <f t="shared" si="111"/>
        <v>47.658741879775846</v>
      </c>
    </row>
    <row r="1714" spans="1:10" x14ac:dyDescent="0.3">
      <c r="A1714" t="s">
        <v>8</v>
      </c>
      <c r="B1714" t="s">
        <v>27</v>
      </c>
      <c r="C1714" t="s">
        <v>74</v>
      </c>
      <c r="D1714" s="60">
        <v>0</v>
      </c>
      <c r="E1714" s="17"/>
      <c r="F1714" s="17">
        <f t="shared" si="113"/>
        <v>0</v>
      </c>
      <c r="G1714" s="18"/>
      <c r="H1714" s="135">
        <v>1028</v>
      </c>
      <c r="I1714" s="18" t="s">
        <v>93</v>
      </c>
      <c r="J1714" s="19">
        <f t="shared" si="111"/>
        <v>47.658741879775846</v>
      </c>
    </row>
    <row r="1715" spans="1:10" x14ac:dyDescent="0.3">
      <c r="A1715" t="s">
        <v>8</v>
      </c>
      <c r="B1715" t="s">
        <v>27</v>
      </c>
      <c r="C1715" t="s">
        <v>162</v>
      </c>
      <c r="D1715" s="60">
        <v>0</v>
      </c>
      <c r="E1715" s="17"/>
      <c r="F1715" s="17">
        <f t="shared" si="113"/>
        <v>0</v>
      </c>
      <c r="G1715" s="18"/>
      <c r="H1715" s="135">
        <v>1028</v>
      </c>
      <c r="I1715" s="18" t="s">
        <v>93</v>
      </c>
      <c r="J1715" s="19">
        <f t="shared" si="111"/>
        <v>47.658741879775846</v>
      </c>
    </row>
    <row r="1716" spans="1:10" x14ac:dyDescent="0.3">
      <c r="A1716" t="s">
        <v>8</v>
      </c>
      <c r="B1716" t="s">
        <v>27</v>
      </c>
      <c r="C1716" t="s">
        <v>72</v>
      </c>
      <c r="D1716" s="133">
        <v>1</v>
      </c>
      <c r="E1716" s="134">
        <v>76.790000000000006</v>
      </c>
      <c r="F1716" s="17">
        <f t="shared" si="113"/>
        <v>76.790000000000006</v>
      </c>
      <c r="G1716" s="18" t="s">
        <v>192</v>
      </c>
      <c r="H1716" s="135">
        <v>1028</v>
      </c>
      <c r="I1716" s="18" t="s">
        <v>93</v>
      </c>
      <c r="J1716" s="19">
        <f t="shared" si="111"/>
        <v>47.658741879775846</v>
      </c>
    </row>
    <row r="1717" spans="1:10" x14ac:dyDescent="0.3">
      <c r="A1717" t="s">
        <v>8</v>
      </c>
      <c r="B1717" t="s">
        <v>27</v>
      </c>
      <c r="C1717" t="s">
        <v>70</v>
      </c>
      <c r="D1717" s="60">
        <v>0</v>
      </c>
      <c r="E1717" s="17"/>
      <c r="F1717" s="17">
        <f t="shared" si="113"/>
        <v>0</v>
      </c>
      <c r="G1717" s="18"/>
      <c r="H1717" s="135">
        <v>1028</v>
      </c>
      <c r="I1717" s="18" t="s">
        <v>93</v>
      </c>
      <c r="J1717" s="19">
        <f t="shared" si="111"/>
        <v>47.658741879775846</v>
      </c>
    </row>
    <row r="1718" spans="1:10" x14ac:dyDescent="0.3">
      <c r="A1718" t="s">
        <v>8</v>
      </c>
      <c r="B1718" t="s">
        <v>27</v>
      </c>
      <c r="C1718" t="s">
        <v>64</v>
      </c>
      <c r="D1718" s="60">
        <v>0</v>
      </c>
      <c r="E1718" s="17"/>
      <c r="F1718" s="17">
        <f t="shared" si="113"/>
        <v>0</v>
      </c>
      <c r="G1718" s="18"/>
      <c r="H1718" s="135">
        <v>1028</v>
      </c>
      <c r="I1718" s="18" t="s">
        <v>93</v>
      </c>
      <c r="J1718" s="19">
        <f t="shared" si="111"/>
        <v>47.658741879775846</v>
      </c>
    </row>
    <row r="1719" spans="1:10" x14ac:dyDescent="0.3">
      <c r="A1719" t="s">
        <v>8</v>
      </c>
      <c r="B1719" t="s">
        <v>27</v>
      </c>
      <c r="C1719" t="s">
        <v>66</v>
      </c>
      <c r="D1719" s="60">
        <v>0</v>
      </c>
      <c r="E1719" s="17"/>
      <c r="F1719" s="17">
        <f t="shared" si="113"/>
        <v>0</v>
      </c>
      <c r="G1719" s="18"/>
      <c r="H1719" s="135">
        <v>1028</v>
      </c>
      <c r="I1719" s="18" t="s">
        <v>93</v>
      </c>
      <c r="J1719" s="19">
        <f t="shared" si="111"/>
        <v>47.658741879775846</v>
      </c>
    </row>
    <row r="1720" spans="1:10" x14ac:dyDescent="0.3">
      <c r="A1720" t="s">
        <v>8</v>
      </c>
      <c r="B1720" t="s">
        <v>27</v>
      </c>
      <c r="C1720" t="s">
        <v>133</v>
      </c>
      <c r="D1720" s="60">
        <v>0</v>
      </c>
      <c r="E1720" s="17"/>
      <c r="F1720" s="17">
        <f t="shared" si="113"/>
        <v>0</v>
      </c>
      <c r="G1720" s="18"/>
      <c r="H1720" s="135">
        <v>1028</v>
      </c>
      <c r="I1720" s="18" t="s">
        <v>93</v>
      </c>
      <c r="J1720" s="19">
        <f t="shared" si="111"/>
        <v>47.658741879775846</v>
      </c>
    </row>
    <row r="1721" spans="1:10" x14ac:dyDescent="0.3">
      <c r="A1721" t="s">
        <v>8</v>
      </c>
      <c r="B1721" t="s">
        <v>27</v>
      </c>
      <c r="C1721" t="s">
        <v>67</v>
      </c>
      <c r="D1721" s="60">
        <v>0</v>
      </c>
      <c r="E1721" s="17"/>
      <c r="F1721" s="17">
        <f t="shared" si="113"/>
        <v>0</v>
      </c>
      <c r="G1721" s="18"/>
      <c r="H1721" s="135">
        <v>1028</v>
      </c>
      <c r="I1721" s="18" t="s">
        <v>93</v>
      </c>
      <c r="J1721" s="19">
        <f t="shared" si="111"/>
        <v>47.658741879775846</v>
      </c>
    </row>
    <row r="1722" spans="1:10" x14ac:dyDescent="0.3">
      <c r="A1722" t="s">
        <v>8</v>
      </c>
      <c r="B1722" t="s">
        <v>27</v>
      </c>
      <c r="C1722" t="s">
        <v>84</v>
      </c>
      <c r="D1722" s="60">
        <v>0</v>
      </c>
      <c r="E1722" s="17"/>
      <c r="F1722" s="17">
        <f t="shared" si="113"/>
        <v>0</v>
      </c>
      <c r="G1722" s="18"/>
      <c r="H1722" s="135">
        <v>1028</v>
      </c>
      <c r="I1722" s="18" t="s">
        <v>93</v>
      </c>
      <c r="J1722" s="19">
        <f t="shared" si="111"/>
        <v>47.658741879775846</v>
      </c>
    </row>
    <row r="1723" spans="1:10" x14ac:dyDescent="0.3">
      <c r="A1723" t="s">
        <v>8</v>
      </c>
      <c r="B1723" t="s">
        <v>27</v>
      </c>
      <c r="C1723" t="s">
        <v>114</v>
      </c>
      <c r="D1723" s="60">
        <v>0</v>
      </c>
      <c r="E1723" s="17"/>
      <c r="F1723" s="17">
        <f t="shared" si="113"/>
        <v>0</v>
      </c>
      <c r="G1723" s="18"/>
      <c r="H1723" s="135">
        <v>1028</v>
      </c>
      <c r="I1723" s="18" t="s">
        <v>93</v>
      </c>
      <c r="J1723" s="19">
        <f t="shared" si="111"/>
        <v>47.658741879775846</v>
      </c>
    </row>
    <row r="1724" spans="1:10" x14ac:dyDescent="0.3">
      <c r="A1724" t="s">
        <v>8</v>
      </c>
      <c r="B1724" t="s">
        <v>27</v>
      </c>
      <c r="C1724" t="s">
        <v>121</v>
      </c>
      <c r="D1724" s="60">
        <v>1</v>
      </c>
      <c r="E1724" s="120">
        <v>2867.75</v>
      </c>
      <c r="F1724" s="17">
        <f t="shared" si="113"/>
        <v>2867.75</v>
      </c>
      <c r="G1724" s="18"/>
      <c r="H1724" s="135">
        <v>1028</v>
      </c>
      <c r="I1724" s="18" t="s">
        <v>93</v>
      </c>
      <c r="J1724" s="19">
        <f t="shared" si="111"/>
        <v>47.658741879775846</v>
      </c>
    </row>
    <row r="1725" spans="1:10" x14ac:dyDescent="0.3">
      <c r="A1725" t="s">
        <v>8</v>
      </c>
      <c r="B1725" t="s">
        <v>27</v>
      </c>
      <c r="C1725" t="s">
        <v>106</v>
      </c>
      <c r="D1725" s="60">
        <v>0</v>
      </c>
      <c r="E1725" s="17"/>
      <c r="F1725" s="17">
        <f t="shared" si="113"/>
        <v>0</v>
      </c>
      <c r="G1725" s="18"/>
      <c r="H1725" s="135">
        <v>1028</v>
      </c>
      <c r="I1725" s="18" t="s">
        <v>93</v>
      </c>
      <c r="J1725" s="19">
        <f t="shared" si="111"/>
        <v>47.658741879775846</v>
      </c>
    </row>
    <row r="1726" spans="1:10" x14ac:dyDescent="0.3">
      <c r="A1726" t="s">
        <v>8</v>
      </c>
      <c r="B1726" t="s">
        <v>27</v>
      </c>
      <c r="C1726" t="s">
        <v>86</v>
      </c>
      <c r="D1726" s="60">
        <v>0</v>
      </c>
      <c r="E1726" s="17"/>
      <c r="F1726" s="17">
        <f t="shared" si="113"/>
        <v>0</v>
      </c>
      <c r="G1726" s="18"/>
      <c r="H1726" s="135">
        <v>1028</v>
      </c>
      <c r="I1726" s="18" t="s">
        <v>93</v>
      </c>
      <c r="J1726" s="19">
        <f t="shared" si="111"/>
        <v>47.658741879775846</v>
      </c>
    </row>
    <row r="1727" spans="1:10" x14ac:dyDescent="0.3">
      <c r="A1727" t="s">
        <v>8</v>
      </c>
      <c r="B1727" t="s">
        <v>27</v>
      </c>
      <c r="C1727" t="s">
        <v>163</v>
      </c>
      <c r="D1727" s="60">
        <v>1</v>
      </c>
      <c r="E1727" s="17">
        <v>7689.5</v>
      </c>
      <c r="F1727" s="17">
        <f t="shared" si="113"/>
        <v>7689.5</v>
      </c>
      <c r="G1727" s="18"/>
      <c r="H1727" s="135">
        <v>1028</v>
      </c>
      <c r="I1727" s="18" t="s">
        <v>93</v>
      </c>
      <c r="J1727" s="19">
        <f t="shared" si="111"/>
        <v>47.658741879775846</v>
      </c>
    </row>
    <row r="1728" spans="1:10" x14ac:dyDescent="0.3">
      <c r="A1728" t="s">
        <v>8</v>
      </c>
      <c r="B1728" t="s">
        <v>28</v>
      </c>
      <c r="C1728" t="s">
        <v>53</v>
      </c>
      <c r="D1728" s="133">
        <v>7</v>
      </c>
      <c r="E1728" s="134">
        <v>26679.57</v>
      </c>
      <c r="F1728" s="17">
        <f>IF(E1728="","",E1728)</f>
        <v>26679.57</v>
      </c>
      <c r="G1728" s="18" t="s">
        <v>198</v>
      </c>
      <c r="H1728" s="135">
        <v>187961</v>
      </c>
      <c r="I1728" s="18" t="s">
        <v>82</v>
      </c>
      <c r="J1728" s="19">
        <f t="shared" si="111"/>
        <v>0.37422250899929671</v>
      </c>
    </row>
    <row r="1729" spans="1:10" x14ac:dyDescent="0.3">
      <c r="A1729" t="s">
        <v>8</v>
      </c>
      <c r="B1729" t="s">
        <v>28</v>
      </c>
      <c r="C1729" t="s">
        <v>55</v>
      </c>
      <c r="D1729" s="133">
        <v>7</v>
      </c>
      <c r="E1729" s="134">
        <v>47.658741879775853</v>
      </c>
      <c r="F1729" s="17">
        <f t="shared" ref="F1729:F1749" si="114">D1729*E1729</f>
        <v>333.61119315843098</v>
      </c>
      <c r="G1729" s="18"/>
      <c r="H1729" s="135">
        <v>187961</v>
      </c>
      <c r="I1729" s="18" t="s">
        <v>82</v>
      </c>
      <c r="J1729" s="19">
        <f t="shared" si="111"/>
        <v>0.37422250899929671</v>
      </c>
    </row>
    <row r="1730" spans="1:10" x14ac:dyDescent="0.3">
      <c r="A1730" t="s">
        <v>8</v>
      </c>
      <c r="B1730" t="s">
        <v>28</v>
      </c>
      <c r="C1730" t="s">
        <v>26</v>
      </c>
      <c r="D1730" s="133">
        <v>7</v>
      </c>
      <c r="E1730" s="134">
        <v>29.741875861103122</v>
      </c>
      <c r="F1730" s="17">
        <f t="shared" si="114"/>
        <v>208.19313102772185</v>
      </c>
      <c r="G1730" s="18"/>
      <c r="H1730" s="135">
        <v>187961</v>
      </c>
      <c r="I1730" s="18" t="s">
        <v>82</v>
      </c>
      <c r="J1730" s="19">
        <f t="shared" ref="J1730:J1749" si="115">IFERROR(SUMIFS($F$2:$F$1749,$A$2:$A$1749,A1730,$B$2:$B$1749,B1730)/H1730,"")</f>
        <v>0.37422250899929671</v>
      </c>
    </row>
    <row r="1731" spans="1:10" x14ac:dyDescent="0.3">
      <c r="A1731" t="s">
        <v>8</v>
      </c>
      <c r="B1731" t="s">
        <v>28</v>
      </c>
      <c r="C1731" t="s">
        <v>14</v>
      </c>
      <c r="D1731" s="133">
        <v>7</v>
      </c>
      <c r="E1731" s="134">
        <v>43.540891487759097</v>
      </c>
      <c r="F1731" s="17">
        <f t="shared" si="114"/>
        <v>304.78624041431368</v>
      </c>
      <c r="G1731" s="18"/>
      <c r="H1731" s="135">
        <v>187961</v>
      </c>
      <c r="I1731" s="18" t="s">
        <v>82</v>
      </c>
      <c r="J1731" s="19">
        <f t="shared" si="115"/>
        <v>0.37422250899929671</v>
      </c>
    </row>
    <row r="1732" spans="1:10" x14ac:dyDescent="0.3">
      <c r="A1732" t="s">
        <v>8</v>
      </c>
      <c r="B1732" t="s">
        <v>28</v>
      </c>
      <c r="C1732" t="s">
        <v>56</v>
      </c>
      <c r="D1732" s="133">
        <v>7</v>
      </c>
      <c r="E1732" s="134">
        <v>50</v>
      </c>
      <c r="F1732" s="17">
        <f t="shared" si="114"/>
        <v>350</v>
      </c>
      <c r="G1732" s="18" t="s">
        <v>192</v>
      </c>
      <c r="H1732" s="135">
        <v>187961</v>
      </c>
      <c r="I1732" s="18" t="s">
        <v>82</v>
      </c>
      <c r="J1732" s="19">
        <f t="shared" si="115"/>
        <v>0.37422250899929671</v>
      </c>
    </row>
    <row r="1733" spans="1:10" x14ac:dyDescent="0.3">
      <c r="A1733" t="s">
        <v>8</v>
      </c>
      <c r="B1733" t="s">
        <v>28</v>
      </c>
      <c r="C1733" t="s">
        <v>70</v>
      </c>
      <c r="D1733" s="60">
        <v>0</v>
      </c>
      <c r="E1733" s="17"/>
      <c r="F1733" s="17">
        <f t="shared" si="114"/>
        <v>0</v>
      </c>
      <c r="G1733" s="18"/>
      <c r="H1733" s="135">
        <v>187961</v>
      </c>
      <c r="I1733" s="18" t="s">
        <v>82</v>
      </c>
      <c r="J1733" s="19">
        <f t="shared" si="115"/>
        <v>0.37422250899929671</v>
      </c>
    </row>
    <row r="1734" spans="1:10" x14ac:dyDescent="0.3">
      <c r="A1734" t="s">
        <v>8</v>
      </c>
      <c r="B1734" t="s">
        <v>28</v>
      </c>
      <c r="C1734" t="s">
        <v>76</v>
      </c>
      <c r="D1734" s="133">
        <v>7</v>
      </c>
      <c r="E1734" s="134">
        <v>33.72</v>
      </c>
      <c r="F1734" s="17">
        <f t="shared" si="114"/>
        <v>236.04</v>
      </c>
      <c r="G1734" s="18" t="s">
        <v>192</v>
      </c>
      <c r="H1734" s="135">
        <v>187961</v>
      </c>
      <c r="I1734" s="18" t="s">
        <v>82</v>
      </c>
      <c r="J1734" s="19">
        <f t="shared" si="115"/>
        <v>0.37422250899929671</v>
      </c>
    </row>
    <row r="1735" spans="1:10" x14ac:dyDescent="0.3">
      <c r="A1735" t="s">
        <v>8</v>
      </c>
      <c r="B1735" t="s">
        <v>28</v>
      </c>
      <c r="C1735" t="s">
        <v>71</v>
      </c>
      <c r="D1735" s="133">
        <v>1</v>
      </c>
      <c r="E1735" s="134">
        <v>40.520000000000003</v>
      </c>
      <c r="F1735" s="17">
        <f t="shared" si="114"/>
        <v>40.520000000000003</v>
      </c>
      <c r="G1735" s="18" t="s">
        <v>192</v>
      </c>
      <c r="H1735" s="135">
        <v>187961</v>
      </c>
      <c r="I1735" s="18" t="s">
        <v>82</v>
      </c>
      <c r="J1735" s="19">
        <f t="shared" si="115"/>
        <v>0.37422250899929671</v>
      </c>
    </row>
    <row r="1736" spans="1:10" x14ac:dyDescent="0.3">
      <c r="A1736" t="s">
        <v>8</v>
      </c>
      <c r="B1736" t="s">
        <v>28</v>
      </c>
      <c r="C1736" t="s">
        <v>72</v>
      </c>
      <c r="D1736" s="133">
        <v>1</v>
      </c>
      <c r="E1736" s="134">
        <v>153.58000000000001</v>
      </c>
      <c r="F1736" s="17">
        <f t="shared" si="114"/>
        <v>153.58000000000001</v>
      </c>
      <c r="G1736" s="18" t="s">
        <v>192</v>
      </c>
      <c r="H1736" s="135">
        <v>187961</v>
      </c>
      <c r="I1736" s="18" t="s">
        <v>82</v>
      </c>
      <c r="J1736" s="19">
        <f t="shared" si="115"/>
        <v>0.37422250899929671</v>
      </c>
    </row>
    <row r="1737" spans="1:10" x14ac:dyDescent="0.3">
      <c r="A1737" t="s">
        <v>8</v>
      </c>
      <c r="B1737" t="s">
        <v>28</v>
      </c>
      <c r="C1737" t="s">
        <v>58</v>
      </c>
      <c r="D1737" s="133">
        <v>7</v>
      </c>
      <c r="E1737" s="37">
        <v>9.918365758754863</v>
      </c>
      <c r="F1737" s="17">
        <f t="shared" si="114"/>
        <v>69.428560311284045</v>
      </c>
      <c r="G1737" s="18"/>
      <c r="H1737" s="135">
        <v>187961</v>
      </c>
      <c r="I1737" s="18" t="s">
        <v>82</v>
      </c>
      <c r="J1737" s="19">
        <f t="shared" si="115"/>
        <v>0.37422250899929671</v>
      </c>
    </row>
    <row r="1738" spans="1:10" x14ac:dyDescent="0.3">
      <c r="A1738" t="s">
        <v>8</v>
      </c>
      <c r="B1738" t="s">
        <v>28</v>
      </c>
      <c r="C1738" t="s">
        <v>59</v>
      </c>
      <c r="D1738" s="133">
        <v>7</v>
      </c>
      <c r="E1738" s="37">
        <v>2.049698443579766</v>
      </c>
      <c r="F1738" s="17">
        <f t="shared" si="114"/>
        <v>14.347889105058362</v>
      </c>
      <c r="G1738" s="18"/>
      <c r="H1738" s="135">
        <v>187961</v>
      </c>
      <c r="I1738" s="18" t="s">
        <v>82</v>
      </c>
      <c r="J1738" s="19">
        <f t="shared" si="115"/>
        <v>0.37422250899929671</v>
      </c>
    </row>
    <row r="1739" spans="1:10" x14ac:dyDescent="0.3">
      <c r="A1739" t="s">
        <v>8</v>
      </c>
      <c r="B1739" t="s">
        <v>28</v>
      </c>
      <c r="C1739" t="s">
        <v>164</v>
      </c>
      <c r="D1739" s="133">
        <v>1</v>
      </c>
      <c r="E1739" s="134">
        <v>1949.81</v>
      </c>
      <c r="F1739" s="17">
        <f t="shared" si="114"/>
        <v>1949.81</v>
      </c>
      <c r="G1739" s="18" t="s">
        <v>192</v>
      </c>
      <c r="H1739" s="135">
        <v>187961</v>
      </c>
      <c r="I1739" s="18" t="s">
        <v>82</v>
      </c>
      <c r="J1739" s="19">
        <f t="shared" si="115"/>
        <v>0.37422250899929671</v>
      </c>
    </row>
    <row r="1740" spans="1:10" x14ac:dyDescent="0.3">
      <c r="A1740" t="s">
        <v>8</v>
      </c>
      <c r="B1740" t="s">
        <v>28</v>
      </c>
      <c r="C1740" t="s">
        <v>165</v>
      </c>
      <c r="D1740" s="133">
        <v>1</v>
      </c>
      <c r="E1740" s="134">
        <v>10310.17</v>
      </c>
      <c r="F1740" s="17">
        <f t="shared" si="114"/>
        <v>10310.17</v>
      </c>
      <c r="G1740" s="18" t="s">
        <v>192</v>
      </c>
      <c r="H1740" s="135">
        <v>187961</v>
      </c>
      <c r="I1740" s="18" t="s">
        <v>82</v>
      </c>
      <c r="J1740" s="19">
        <f t="shared" si="115"/>
        <v>0.37422250899929671</v>
      </c>
    </row>
    <row r="1741" spans="1:10" x14ac:dyDescent="0.3">
      <c r="A1741" t="s">
        <v>8</v>
      </c>
      <c r="B1741" t="s">
        <v>28</v>
      </c>
      <c r="C1741" t="s">
        <v>166</v>
      </c>
      <c r="D1741" s="133">
        <v>1</v>
      </c>
      <c r="E1741" s="134">
        <v>5394.7</v>
      </c>
      <c r="F1741" s="17">
        <f t="shared" si="114"/>
        <v>5394.7</v>
      </c>
      <c r="G1741" s="18" t="s">
        <v>192</v>
      </c>
      <c r="H1741" s="135">
        <v>187961</v>
      </c>
      <c r="I1741" s="18" t="s">
        <v>82</v>
      </c>
      <c r="J1741" s="19">
        <f t="shared" si="115"/>
        <v>0.37422250899929671</v>
      </c>
    </row>
    <row r="1742" spans="1:10" x14ac:dyDescent="0.3">
      <c r="A1742" t="s">
        <v>8</v>
      </c>
      <c r="B1742" t="s">
        <v>28</v>
      </c>
      <c r="C1742" t="s">
        <v>167</v>
      </c>
      <c r="D1742" s="133">
        <v>1</v>
      </c>
      <c r="E1742" s="134">
        <v>21414</v>
      </c>
      <c r="F1742" s="17">
        <f t="shared" si="114"/>
        <v>21414</v>
      </c>
      <c r="G1742" s="18" t="s">
        <v>192</v>
      </c>
      <c r="H1742" s="135">
        <v>187961</v>
      </c>
      <c r="I1742" s="18" t="s">
        <v>82</v>
      </c>
      <c r="J1742" s="19">
        <f t="shared" si="115"/>
        <v>0.37422250899929671</v>
      </c>
    </row>
    <row r="1743" spans="1:10" x14ac:dyDescent="0.3">
      <c r="A1743" t="s">
        <v>8</v>
      </c>
      <c r="B1743" t="s">
        <v>28</v>
      </c>
      <c r="C1743" t="s">
        <v>74</v>
      </c>
      <c r="D1743" s="60">
        <v>1</v>
      </c>
      <c r="E1743" s="37">
        <v>180</v>
      </c>
      <c r="F1743" s="17">
        <f t="shared" si="114"/>
        <v>180</v>
      </c>
      <c r="G1743" s="18" t="s">
        <v>206</v>
      </c>
      <c r="H1743" s="135">
        <v>187961</v>
      </c>
      <c r="I1743" s="18" t="s">
        <v>82</v>
      </c>
      <c r="J1743" s="19">
        <f t="shared" si="115"/>
        <v>0.37422250899929671</v>
      </c>
    </row>
    <row r="1744" spans="1:10" x14ac:dyDescent="0.3">
      <c r="A1744" t="s">
        <v>8</v>
      </c>
      <c r="B1744" t="s">
        <v>28</v>
      </c>
      <c r="C1744" t="s">
        <v>62</v>
      </c>
      <c r="D1744" s="60">
        <v>1</v>
      </c>
      <c r="E1744" s="37">
        <v>0</v>
      </c>
      <c r="F1744" s="17">
        <f t="shared" si="114"/>
        <v>0</v>
      </c>
      <c r="G1744" s="18" t="s">
        <v>206</v>
      </c>
      <c r="H1744" s="135">
        <v>187961</v>
      </c>
      <c r="I1744" s="18" t="s">
        <v>82</v>
      </c>
      <c r="J1744" s="19">
        <f t="shared" si="115"/>
        <v>0.37422250899929671</v>
      </c>
    </row>
    <row r="1745" spans="1:10" x14ac:dyDescent="0.3">
      <c r="A1745" t="s">
        <v>8</v>
      </c>
      <c r="B1745" t="s">
        <v>28</v>
      </c>
      <c r="C1745" t="s">
        <v>60</v>
      </c>
      <c r="D1745" s="60">
        <v>0</v>
      </c>
      <c r="E1745" s="17"/>
      <c r="F1745" s="17">
        <f t="shared" si="114"/>
        <v>0</v>
      </c>
      <c r="G1745" s="18"/>
      <c r="H1745" s="135">
        <v>187961</v>
      </c>
      <c r="I1745" s="18" t="s">
        <v>82</v>
      </c>
      <c r="J1745" s="19">
        <f t="shared" si="115"/>
        <v>0.37422250899929671</v>
      </c>
    </row>
    <row r="1746" spans="1:10" x14ac:dyDescent="0.3">
      <c r="A1746" t="s">
        <v>8</v>
      </c>
      <c r="B1746" t="s">
        <v>28</v>
      </c>
      <c r="C1746" t="s">
        <v>89</v>
      </c>
      <c r="D1746" s="60">
        <v>0</v>
      </c>
      <c r="E1746" s="17"/>
      <c r="F1746" s="17">
        <f t="shared" si="114"/>
        <v>0</v>
      </c>
      <c r="G1746" s="18"/>
      <c r="H1746" s="135">
        <v>187961</v>
      </c>
      <c r="I1746" s="18" t="s">
        <v>82</v>
      </c>
      <c r="J1746" s="19">
        <f t="shared" si="115"/>
        <v>0.37422250899929671</v>
      </c>
    </row>
    <row r="1747" spans="1:10" x14ac:dyDescent="0.3">
      <c r="A1747" t="s">
        <v>8</v>
      </c>
      <c r="B1747" t="s">
        <v>28</v>
      </c>
      <c r="C1747" t="s">
        <v>168</v>
      </c>
      <c r="D1747" s="133">
        <v>1</v>
      </c>
      <c r="E1747" s="134">
        <v>2626.4</v>
      </c>
      <c r="F1747" s="17">
        <f t="shared" si="114"/>
        <v>2626.4</v>
      </c>
      <c r="G1747" s="18" t="s">
        <v>192</v>
      </c>
      <c r="H1747" s="135">
        <v>187961</v>
      </c>
      <c r="I1747" s="18" t="s">
        <v>82</v>
      </c>
      <c r="J1747" s="19">
        <f t="shared" si="115"/>
        <v>0.37422250899929671</v>
      </c>
    </row>
    <row r="1748" spans="1:10" x14ac:dyDescent="0.3">
      <c r="A1748" t="s">
        <v>8</v>
      </c>
      <c r="B1748" t="s">
        <v>28</v>
      </c>
      <c r="C1748" t="s">
        <v>75</v>
      </c>
      <c r="D1748" s="60">
        <v>1</v>
      </c>
      <c r="E1748" s="134">
        <v>0</v>
      </c>
      <c r="F1748" s="17">
        <f t="shared" si="114"/>
        <v>0</v>
      </c>
      <c r="G1748" s="133" t="s">
        <v>65</v>
      </c>
      <c r="H1748" s="135">
        <v>187961</v>
      </c>
      <c r="I1748" s="18" t="s">
        <v>82</v>
      </c>
      <c r="J1748" s="19">
        <f t="shared" si="115"/>
        <v>0.37422250899929671</v>
      </c>
    </row>
    <row r="1749" spans="1:10" x14ac:dyDescent="0.3">
      <c r="A1749" t="s">
        <v>8</v>
      </c>
      <c r="B1749" t="s">
        <v>28</v>
      </c>
      <c r="C1749" t="s">
        <v>64</v>
      </c>
      <c r="D1749" s="60">
        <v>1</v>
      </c>
      <c r="E1749" s="134">
        <v>74.08</v>
      </c>
      <c r="F1749" s="17">
        <f t="shared" si="114"/>
        <v>74.08</v>
      </c>
      <c r="G1749" s="133" t="s">
        <v>65</v>
      </c>
      <c r="H1749" s="135">
        <v>187961</v>
      </c>
      <c r="I1749" s="18" t="s">
        <v>82</v>
      </c>
      <c r="J1749" s="19">
        <f t="shared" si="115"/>
        <v>0.37422250899929671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7"/>
  <sheetViews>
    <sheetView zoomScale="90" zoomScaleNormal="90" workbookViewId="0">
      <selection activeCell="D27" sqref="D27"/>
    </sheetView>
  </sheetViews>
  <sheetFormatPr defaultColWidth="8.6640625" defaultRowHeight="14.4" x14ac:dyDescent="0.3"/>
  <cols>
    <col min="1" max="1" width="38" customWidth="1"/>
    <col min="2" max="2" width="15.33203125" customWidth="1"/>
    <col min="3" max="3" width="2" customWidth="1"/>
    <col min="4" max="4" width="38" customWidth="1"/>
    <col min="5" max="5" width="14" customWidth="1"/>
    <col min="6" max="6" width="2" customWidth="1"/>
    <col min="7" max="7" width="38" customWidth="1"/>
    <col min="8" max="8" width="14" customWidth="1"/>
    <col min="9" max="9" width="2" customWidth="1"/>
    <col min="10" max="10" width="38" customWidth="1"/>
    <col min="11" max="11" width="14" customWidth="1"/>
    <col min="12" max="12" width="2" customWidth="1"/>
    <col min="13" max="13" width="38" customWidth="1"/>
    <col min="14" max="14" width="14" customWidth="1"/>
    <col min="15" max="15" width="2" customWidth="1"/>
    <col min="16" max="16" width="38" customWidth="1"/>
    <col min="17" max="17" width="14" customWidth="1"/>
    <col min="18" max="18" width="2" customWidth="1"/>
    <col min="19" max="19" width="38" customWidth="1"/>
    <col min="20" max="20" width="14" customWidth="1"/>
  </cols>
  <sheetData>
    <row r="1" spans="1:20" ht="15" customHeight="1" x14ac:dyDescent="0.3">
      <c r="A1" s="20" t="s">
        <v>219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spans="1:20" ht="15" customHeight="1" x14ac:dyDescent="0.3">
      <c r="A3" s="22" t="s">
        <v>32</v>
      </c>
      <c r="B3" s="22"/>
      <c r="D3" s="22" t="s">
        <v>33</v>
      </c>
      <c r="E3" s="22"/>
      <c r="G3" s="22" t="s">
        <v>34</v>
      </c>
      <c r="H3" s="22"/>
      <c r="J3" s="22" t="s">
        <v>35</v>
      </c>
      <c r="K3" s="22"/>
      <c r="M3" s="22" t="s">
        <v>220</v>
      </c>
      <c r="N3" s="22"/>
      <c r="P3" s="22" t="s">
        <v>221</v>
      </c>
      <c r="Q3" s="22"/>
      <c r="S3" s="22" t="s">
        <v>38</v>
      </c>
      <c r="T3" s="22"/>
    </row>
    <row r="4" spans="1:20" ht="15" customHeight="1" x14ac:dyDescent="0.3">
      <c r="A4" s="23" t="s">
        <v>222</v>
      </c>
      <c r="B4" s="24" t="s">
        <v>223</v>
      </c>
      <c r="D4" s="23" t="s">
        <v>222</v>
      </c>
      <c r="E4" s="24" t="s">
        <v>223</v>
      </c>
      <c r="G4" s="23" t="s">
        <v>222</v>
      </c>
      <c r="H4" s="24" t="s">
        <v>223</v>
      </c>
      <c r="J4" s="23" t="s">
        <v>222</v>
      </c>
      <c r="K4" s="24" t="s">
        <v>223</v>
      </c>
      <c r="M4" s="23" t="s">
        <v>222</v>
      </c>
      <c r="N4" s="24" t="s">
        <v>223</v>
      </c>
      <c r="P4" s="23" t="s">
        <v>222</v>
      </c>
      <c r="Q4" s="24" t="s">
        <v>223</v>
      </c>
      <c r="S4" s="23" t="s">
        <v>222</v>
      </c>
      <c r="T4" s="24" t="s">
        <v>223</v>
      </c>
    </row>
    <row r="5" spans="1:20" ht="15" customHeight="1" x14ac:dyDescent="0.3">
      <c r="A5" s="5" t="s">
        <v>224</v>
      </c>
      <c r="B5" s="25">
        <v>0</v>
      </c>
      <c r="D5" s="5" t="s">
        <v>224</v>
      </c>
      <c r="E5" s="25">
        <v>0</v>
      </c>
      <c r="G5" s="5" t="s">
        <v>224</v>
      </c>
      <c r="H5" s="25">
        <v>0</v>
      </c>
      <c r="J5" s="5" t="s">
        <v>224</v>
      </c>
      <c r="K5" s="25">
        <v>0</v>
      </c>
      <c r="M5" s="5" t="s">
        <v>224</v>
      </c>
      <c r="N5" s="25">
        <v>0</v>
      </c>
      <c r="P5" s="5" t="s">
        <v>224</v>
      </c>
      <c r="Q5" s="25">
        <v>0</v>
      </c>
      <c r="S5" s="5" t="s">
        <v>224</v>
      </c>
      <c r="T5" s="25">
        <v>0</v>
      </c>
    </row>
    <row r="6" spans="1:20" ht="15" customHeight="1" x14ac:dyDescent="0.3">
      <c r="A6" s="5" t="s">
        <v>225</v>
      </c>
      <c r="B6" s="25">
        <v>4905.3599999999997</v>
      </c>
      <c r="D6" s="5" t="s">
        <v>225</v>
      </c>
      <c r="E6" s="25">
        <v>0</v>
      </c>
      <c r="G6" s="5" t="s">
        <v>225</v>
      </c>
      <c r="H6" s="25">
        <v>11274.36</v>
      </c>
      <c r="J6" s="5" t="s">
        <v>225</v>
      </c>
      <c r="K6" s="25">
        <v>1785.97</v>
      </c>
      <c r="M6" s="5" t="s">
        <v>225</v>
      </c>
      <c r="N6" s="25">
        <v>0</v>
      </c>
      <c r="P6" s="5" t="s">
        <v>225</v>
      </c>
      <c r="Q6" s="25">
        <v>2365.44</v>
      </c>
      <c r="S6" s="5" t="s">
        <v>225</v>
      </c>
      <c r="T6" s="25">
        <v>3219.12</v>
      </c>
    </row>
    <row r="7" spans="1:20" ht="15" customHeight="1" x14ac:dyDescent="0.3">
      <c r="A7" s="5" t="s">
        <v>133</v>
      </c>
      <c r="B7" s="25">
        <v>0</v>
      </c>
      <c r="D7" s="5" t="s">
        <v>226</v>
      </c>
      <c r="E7" s="25">
        <v>0</v>
      </c>
      <c r="G7" s="5" t="s">
        <v>226</v>
      </c>
      <c r="H7" s="25">
        <v>0</v>
      </c>
      <c r="J7" s="5" t="s">
        <v>133</v>
      </c>
      <c r="K7" s="25">
        <v>0</v>
      </c>
      <c r="M7" s="5" t="s">
        <v>133</v>
      </c>
      <c r="N7" s="25">
        <v>0</v>
      </c>
      <c r="P7" s="5" t="s">
        <v>133</v>
      </c>
      <c r="Q7" s="25">
        <v>0</v>
      </c>
      <c r="S7" s="5" t="s">
        <v>133</v>
      </c>
      <c r="T7" s="25">
        <v>0</v>
      </c>
    </row>
    <row r="8" spans="1:20" ht="15" customHeight="1" x14ac:dyDescent="0.3">
      <c r="A8" s="5" t="s">
        <v>226</v>
      </c>
      <c r="B8" s="25">
        <v>0</v>
      </c>
      <c r="D8" s="5" t="s">
        <v>227</v>
      </c>
      <c r="E8" s="25">
        <v>50</v>
      </c>
      <c r="G8" s="5" t="s">
        <v>228</v>
      </c>
      <c r="H8" s="25">
        <v>120</v>
      </c>
      <c r="J8" s="5" t="s">
        <v>229</v>
      </c>
      <c r="K8" s="25">
        <v>50</v>
      </c>
      <c r="M8" s="5" t="s">
        <v>226</v>
      </c>
      <c r="N8" s="25">
        <v>0</v>
      </c>
      <c r="P8" s="5" t="s">
        <v>226</v>
      </c>
      <c r="Q8" s="25">
        <v>0</v>
      </c>
      <c r="S8" s="5" t="s">
        <v>226</v>
      </c>
      <c r="T8" s="25">
        <v>0</v>
      </c>
    </row>
    <row r="9" spans="1:20" ht="15" customHeight="1" x14ac:dyDescent="0.3">
      <c r="A9" s="5" t="s">
        <v>230</v>
      </c>
      <c r="B9" s="25">
        <v>350</v>
      </c>
      <c r="D9" s="5" t="s">
        <v>231</v>
      </c>
      <c r="E9" s="25">
        <v>22072.83</v>
      </c>
      <c r="G9" s="5" t="s">
        <v>231</v>
      </c>
      <c r="H9" s="25">
        <v>6378.71</v>
      </c>
      <c r="J9" s="5" t="s">
        <v>231</v>
      </c>
      <c r="K9" s="25">
        <v>37856.07</v>
      </c>
      <c r="M9" s="5" t="s">
        <v>232</v>
      </c>
      <c r="N9" s="25">
        <v>0</v>
      </c>
      <c r="P9" s="5" t="s">
        <v>232</v>
      </c>
      <c r="Q9" s="25">
        <v>0</v>
      </c>
      <c r="S9" s="5" t="s">
        <v>227</v>
      </c>
      <c r="T9" s="25">
        <v>10</v>
      </c>
    </row>
    <row r="10" spans="1:20" ht="15" customHeight="1" x14ac:dyDescent="0.3">
      <c r="A10" s="5" t="s">
        <v>231</v>
      </c>
      <c r="B10" s="25">
        <v>231241.42</v>
      </c>
      <c r="D10" s="5" t="s">
        <v>89</v>
      </c>
      <c r="E10" s="25">
        <v>0</v>
      </c>
      <c r="G10" s="5" t="s">
        <v>233</v>
      </c>
      <c r="H10" s="25">
        <v>1026</v>
      </c>
      <c r="J10" s="5" t="s">
        <v>233</v>
      </c>
      <c r="K10" s="25">
        <v>2615</v>
      </c>
      <c r="M10" s="5" t="s">
        <v>231</v>
      </c>
      <c r="N10" s="25">
        <v>3360.44</v>
      </c>
      <c r="P10" s="5" t="s">
        <v>231</v>
      </c>
      <c r="Q10" s="25">
        <v>12661.55</v>
      </c>
      <c r="S10" s="5" t="s">
        <v>231</v>
      </c>
      <c r="T10" s="25">
        <v>0</v>
      </c>
    </row>
    <row r="11" spans="1:20" ht="15" customHeight="1" x14ac:dyDescent="0.3">
      <c r="A11" s="5" t="s">
        <v>233</v>
      </c>
      <c r="B11" s="25">
        <v>3960</v>
      </c>
      <c r="D11" s="5" t="s">
        <v>234</v>
      </c>
      <c r="E11" s="25">
        <v>300</v>
      </c>
      <c r="G11" s="5" t="s">
        <v>234</v>
      </c>
      <c r="H11" s="25">
        <v>210</v>
      </c>
      <c r="J11" s="5" t="s">
        <v>235</v>
      </c>
      <c r="K11" s="25">
        <v>0</v>
      </c>
      <c r="M11" s="5" t="s">
        <v>233</v>
      </c>
      <c r="N11" s="25">
        <v>0</v>
      </c>
      <c r="P11" s="5" t="s">
        <v>233</v>
      </c>
      <c r="Q11" s="25">
        <v>0</v>
      </c>
      <c r="S11" s="5" t="s">
        <v>233</v>
      </c>
      <c r="T11" s="25">
        <v>216</v>
      </c>
    </row>
    <row r="12" spans="1:20" ht="15" customHeight="1" x14ac:dyDescent="0.3">
      <c r="A12" s="5" t="s">
        <v>234</v>
      </c>
      <c r="B12" s="25">
        <v>2520</v>
      </c>
      <c r="D12" s="5" t="s">
        <v>236</v>
      </c>
      <c r="E12" s="25">
        <f>E36*B47</f>
        <v>224.32</v>
      </c>
      <c r="G12" s="5" t="s">
        <v>236</v>
      </c>
      <c r="H12" s="25">
        <f>H36*B47</f>
        <v>196.28</v>
      </c>
      <c r="J12" s="5" t="s">
        <v>234</v>
      </c>
      <c r="K12" s="25">
        <v>360</v>
      </c>
      <c r="M12" s="5" t="s">
        <v>234</v>
      </c>
      <c r="N12" s="25">
        <v>120</v>
      </c>
      <c r="P12" s="5" t="s">
        <v>234</v>
      </c>
      <c r="Q12" s="25">
        <v>60</v>
      </c>
      <c r="S12" s="5" t="s">
        <v>234</v>
      </c>
      <c r="T12" s="25">
        <v>90</v>
      </c>
    </row>
    <row r="13" spans="1:20" ht="15" customHeight="1" x14ac:dyDescent="0.3">
      <c r="A13" s="5" t="s">
        <v>236</v>
      </c>
      <c r="B13" s="25">
        <f>B36*B47</f>
        <v>1542.2</v>
      </c>
      <c r="D13" s="5" t="s">
        <v>237</v>
      </c>
      <c r="E13" s="25">
        <f>E36*B48</f>
        <v>292.56</v>
      </c>
      <c r="G13" s="5" t="s">
        <v>237</v>
      </c>
      <c r="H13" s="25">
        <f>H36*B48</f>
        <v>255.99</v>
      </c>
      <c r="J13" s="5" t="s">
        <v>236</v>
      </c>
      <c r="K13" s="25">
        <f>K36*B47</f>
        <v>392.56</v>
      </c>
      <c r="M13" s="5" t="s">
        <v>236</v>
      </c>
      <c r="N13" s="25">
        <f>N36*B47</f>
        <v>28.04</v>
      </c>
      <c r="P13" s="5" t="s">
        <v>236</v>
      </c>
      <c r="Q13" s="25">
        <f>Q36*B47</f>
        <v>140.19999999999999</v>
      </c>
      <c r="S13" s="5" t="s">
        <v>236</v>
      </c>
      <c r="T13" s="25">
        <f>T36*B47</f>
        <v>28.04</v>
      </c>
    </row>
    <row r="14" spans="1:20" ht="15" customHeight="1" x14ac:dyDescent="0.3">
      <c r="A14" s="5" t="s">
        <v>237</v>
      </c>
      <c r="B14" s="25">
        <f>B36*B48</f>
        <v>2011.35</v>
      </c>
      <c r="D14" s="5" t="s">
        <v>238</v>
      </c>
      <c r="E14" s="25">
        <f>E36*B49</f>
        <v>356</v>
      </c>
      <c r="G14" s="5" t="s">
        <v>238</v>
      </c>
      <c r="H14" s="25">
        <f>H36*B49</f>
        <v>311.5</v>
      </c>
      <c r="J14" s="5" t="s">
        <v>237</v>
      </c>
      <c r="K14" s="25">
        <f>K36*B48</f>
        <v>511.98</v>
      </c>
      <c r="M14" s="5" t="s">
        <v>237</v>
      </c>
      <c r="N14" s="25">
        <f>N36*B48</f>
        <v>36.57</v>
      </c>
      <c r="P14" s="5" t="s">
        <v>237</v>
      </c>
      <c r="Q14" s="25">
        <f>Q36*B48</f>
        <v>182.85</v>
      </c>
      <c r="S14" s="5" t="s">
        <v>237</v>
      </c>
      <c r="T14" s="25">
        <f>T36*B48</f>
        <v>36.57</v>
      </c>
    </row>
    <row r="15" spans="1:20" ht="15" customHeight="1" x14ac:dyDescent="0.3">
      <c r="A15" s="5" t="s">
        <v>238</v>
      </c>
      <c r="B15" s="25">
        <f>B36*B49</f>
        <v>2447.5</v>
      </c>
      <c r="D15" s="5" t="s">
        <v>239</v>
      </c>
      <c r="E15" s="25">
        <v>180</v>
      </c>
      <c r="G15" s="5" t="s">
        <v>239</v>
      </c>
      <c r="H15" s="25">
        <v>121</v>
      </c>
      <c r="J15" s="5" t="s">
        <v>238</v>
      </c>
      <c r="K15" s="25">
        <f>K36*B49</f>
        <v>623</v>
      </c>
      <c r="M15" s="5" t="s">
        <v>238</v>
      </c>
      <c r="N15" s="25">
        <f>N36*B49</f>
        <v>44.5</v>
      </c>
      <c r="P15" s="5" t="s">
        <v>238</v>
      </c>
      <c r="Q15" s="25">
        <f>Q36*B49</f>
        <v>222.5</v>
      </c>
      <c r="S15" s="5" t="s">
        <v>238</v>
      </c>
      <c r="T15" s="25">
        <f>T36*B49</f>
        <v>44.5</v>
      </c>
    </row>
    <row r="16" spans="1:20" ht="15" customHeight="1" x14ac:dyDescent="0.3">
      <c r="A16" s="5" t="s">
        <v>239</v>
      </c>
      <c r="B16" s="25">
        <v>194.6</v>
      </c>
      <c r="D16" s="5" t="s">
        <v>240</v>
      </c>
      <c r="E16" s="25">
        <v>0</v>
      </c>
      <c r="G16" s="5" t="s">
        <v>241</v>
      </c>
      <c r="H16" s="25">
        <v>-271.8</v>
      </c>
      <c r="J16" s="5" t="s">
        <v>239</v>
      </c>
      <c r="K16" s="25">
        <v>770</v>
      </c>
      <c r="M16" s="5" t="s">
        <v>242</v>
      </c>
      <c r="N16" s="25">
        <v>0</v>
      </c>
      <c r="P16" s="5" t="s">
        <v>239</v>
      </c>
      <c r="Q16" s="25">
        <v>360</v>
      </c>
      <c r="S16" s="5" t="s">
        <v>239</v>
      </c>
      <c r="T16" s="25">
        <v>0</v>
      </c>
    </row>
    <row r="17" spans="1:20" ht="15" customHeight="1" x14ac:dyDescent="0.3">
      <c r="A17" s="5" t="s">
        <v>240</v>
      </c>
      <c r="B17" s="25">
        <v>94.42</v>
      </c>
      <c r="D17" s="5" t="s">
        <v>242</v>
      </c>
      <c r="E17" s="25">
        <v>0</v>
      </c>
      <c r="G17" s="5" t="s">
        <v>240</v>
      </c>
      <c r="H17" s="25">
        <v>0</v>
      </c>
      <c r="J17" s="5" t="s">
        <v>241</v>
      </c>
      <c r="K17" s="25">
        <v>-1076.3399999999999</v>
      </c>
      <c r="M17" s="5" t="s">
        <v>240</v>
      </c>
      <c r="N17" s="25">
        <v>0</v>
      </c>
      <c r="P17" s="5" t="s">
        <v>240</v>
      </c>
      <c r="Q17" s="25">
        <v>984.16</v>
      </c>
      <c r="S17" s="5" t="s">
        <v>240</v>
      </c>
      <c r="T17" s="25">
        <v>0</v>
      </c>
    </row>
    <row r="18" spans="1:20" ht="15" customHeight="1" x14ac:dyDescent="0.3">
      <c r="A18" s="5" t="s">
        <v>242</v>
      </c>
      <c r="B18" s="25">
        <v>-951.3</v>
      </c>
      <c r="D18" s="5" t="s">
        <v>243</v>
      </c>
      <c r="E18" s="25">
        <v>0</v>
      </c>
      <c r="G18" s="5" t="s">
        <v>243</v>
      </c>
      <c r="H18" s="25">
        <v>0</v>
      </c>
      <c r="J18" s="5" t="s">
        <v>240</v>
      </c>
      <c r="K18" s="25">
        <v>1556.24</v>
      </c>
      <c r="M18" s="5" t="s">
        <v>243</v>
      </c>
      <c r="N18" s="25">
        <v>0</v>
      </c>
      <c r="P18" s="5" t="s">
        <v>242</v>
      </c>
      <c r="Q18" s="25">
        <v>-358.78</v>
      </c>
      <c r="S18" s="5" t="s">
        <v>243</v>
      </c>
      <c r="T18" s="25">
        <v>0</v>
      </c>
    </row>
    <row r="19" spans="1:20" ht="15" customHeight="1" x14ac:dyDescent="0.3">
      <c r="A19" s="5" t="s">
        <v>243</v>
      </c>
      <c r="B19" s="25">
        <v>130.13999999999999</v>
      </c>
      <c r="D19" s="5" t="s">
        <v>244</v>
      </c>
      <c r="E19" s="25">
        <v>821.42</v>
      </c>
      <c r="G19" s="5" t="s">
        <v>245</v>
      </c>
      <c r="H19" s="25">
        <v>315.97000000000003</v>
      </c>
      <c r="J19" s="5" t="s">
        <v>243</v>
      </c>
      <c r="K19" s="25">
        <v>0</v>
      </c>
      <c r="M19" s="5" t="s">
        <v>58</v>
      </c>
      <c r="N19" s="25">
        <f>N36*B50</f>
        <v>11.37</v>
      </c>
      <c r="P19" s="5" t="s">
        <v>243</v>
      </c>
      <c r="Q19" s="25">
        <v>0</v>
      </c>
      <c r="S19" s="5" t="s">
        <v>246</v>
      </c>
      <c r="T19" s="25">
        <v>-358.78</v>
      </c>
    </row>
    <row r="20" spans="1:20" ht="15" customHeight="1" x14ac:dyDescent="0.3">
      <c r="A20" s="5" t="s">
        <v>247</v>
      </c>
      <c r="B20" s="25">
        <v>9096.5499999999993</v>
      </c>
      <c r="D20" s="5" t="s">
        <v>58</v>
      </c>
      <c r="E20" s="25">
        <f>E36*B50</f>
        <v>90.96</v>
      </c>
      <c r="G20" s="5" t="s">
        <v>248</v>
      </c>
      <c r="H20" s="25">
        <v>1639.8</v>
      </c>
      <c r="J20" s="5" t="s">
        <v>249</v>
      </c>
      <c r="K20" s="25">
        <v>1346.19</v>
      </c>
      <c r="M20" s="5" t="s">
        <v>59</v>
      </c>
      <c r="N20" s="25">
        <f>N36*B51</f>
        <v>2.2400000000000002</v>
      </c>
      <c r="P20" s="5" t="s">
        <v>58</v>
      </c>
      <c r="Q20" s="25">
        <f>Q36*B50</f>
        <v>56.849999999999994</v>
      </c>
      <c r="S20" s="5" t="s">
        <v>250</v>
      </c>
      <c r="T20" s="25">
        <v>223.46</v>
      </c>
    </row>
    <row r="21" spans="1:20" ht="15" customHeight="1" x14ac:dyDescent="0.3">
      <c r="A21" s="5" t="s">
        <v>251</v>
      </c>
      <c r="B21" s="25">
        <v>1719.94</v>
      </c>
      <c r="D21" s="5" t="s">
        <v>59</v>
      </c>
      <c r="E21" s="25">
        <f>E36*B51</f>
        <v>17.920000000000002</v>
      </c>
      <c r="G21" s="5" t="s">
        <v>252</v>
      </c>
      <c r="H21" s="25">
        <v>447.13</v>
      </c>
      <c r="J21" s="5" t="s">
        <v>253</v>
      </c>
      <c r="K21" s="25">
        <v>37.08</v>
      </c>
      <c r="M21" s="26" t="s">
        <v>254</v>
      </c>
      <c r="N21" s="27"/>
      <c r="P21" s="5" t="s">
        <v>59</v>
      </c>
      <c r="Q21" s="25">
        <f>Q36*B51</f>
        <v>11.200000000000001</v>
      </c>
      <c r="S21" s="5" t="s">
        <v>58</v>
      </c>
      <c r="T21" s="25">
        <f>T36*B50</f>
        <v>11.37</v>
      </c>
    </row>
    <row r="22" spans="1:20" ht="15" customHeight="1" x14ac:dyDescent="0.3">
      <c r="A22" s="5" t="s">
        <v>255</v>
      </c>
      <c r="B22" s="25">
        <v>1124.73</v>
      </c>
      <c r="D22" s="26" t="s">
        <v>254</v>
      </c>
      <c r="E22" s="27"/>
      <c r="G22" s="5" t="s">
        <v>58</v>
      </c>
      <c r="H22" s="25">
        <f>H36*B50</f>
        <v>79.589999999999989</v>
      </c>
      <c r="J22" s="5" t="s">
        <v>256</v>
      </c>
      <c r="K22" s="25">
        <v>724.64</v>
      </c>
      <c r="P22" s="26" t="s">
        <v>254</v>
      </c>
      <c r="Q22" s="27"/>
      <c r="S22" s="5" t="s">
        <v>59</v>
      </c>
      <c r="T22" s="25">
        <f>T36*B51</f>
        <v>2.2400000000000002</v>
      </c>
    </row>
    <row r="23" spans="1:20" ht="15" customHeight="1" x14ac:dyDescent="0.3">
      <c r="A23" s="5" t="s">
        <v>257</v>
      </c>
      <c r="B23" s="25">
        <v>782.36</v>
      </c>
      <c r="G23" s="5" t="s">
        <v>59</v>
      </c>
      <c r="H23" s="25">
        <f>H36*B51</f>
        <v>15.680000000000001</v>
      </c>
      <c r="J23" s="5" t="s">
        <v>58</v>
      </c>
      <c r="K23" s="25">
        <f>K36*B50</f>
        <v>159.17999999999998</v>
      </c>
      <c r="S23" s="26" t="s">
        <v>254</v>
      </c>
      <c r="T23" s="27"/>
    </row>
    <row r="24" spans="1:20" ht="15" customHeight="1" x14ac:dyDescent="0.3">
      <c r="A24" s="5" t="s">
        <v>258</v>
      </c>
      <c r="B24" s="25">
        <v>139.54</v>
      </c>
      <c r="G24" s="26" t="s">
        <v>254</v>
      </c>
      <c r="H24" s="27"/>
      <c r="J24" s="5" t="s">
        <v>59</v>
      </c>
      <c r="K24" s="25">
        <f>K36*B51</f>
        <v>31.360000000000003</v>
      </c>
    </row>
    <row r="25" spans="1:20" ht="15" customHeight="1" x14ac:dyDescent="0.3">
      <c r="A25" s="5" t="s">
        <v>259</v>
      </c>
      <c r="B25" s="25">
        <v>988.16</v>
      </c>
      <c r="J25" s="5" t="s">
        <v>260</v>
      </c>
      <c r="K25" s="25">
        <v>782.2</v>
      </c>
    </row>
    <row r="26" spans="1:20" ht="15" customHeight="1" x14ac:dyDescent="0.3">
      <c r="A26" s="5" t="s">
        <v>261</v>
      </c>
      <c r="B26" s="25">
        <v>156.22999999999999</v>
      </c>
      <c r="J26" s="26" t="s">
        <v>254</v>
      </c>
      <c r="K26" s="27"/>
    </row>
    <row r="27" spans="1:20" ht="15" customHeight="1" x14ac:dyDescent="0.3">
      <c r="A27" s="5" t="s">
        <v>262</v>
      </c>
      <c r="B27" s="25">
        <v>1014.69</v>
      </c>
    </row>
    <row r="28" spans="1:20" ht="15" customHeight="1" x14ac:dyDescent="0.3">
      <c r="A28" s="5" t="s">
        <v>263</v>
      </c>
      <c r="B28" s="25">
        <v>1068.57</v>
      </c>
    </row>
    <row r="29" spans="1:20" ht="15" customHeight="1" x14ac:dyDescent="0.3">
      <c r="A29" s="5" t="s">
        <v>264</v>
      </c>
      <c r="B29" s="25">
        <v>350</v>
      </c>
    </row>
    <row r="30" spans="1:20" ht="15" customHeight="1" x14ac:dyDescent="0.3">
      <c r="A30" s="5" t="s">
        <v>265</v>
      </c>
      <c r="B30" s="25">
        <v>330.41</v>
      </c>
    </row>
    <row r="31" spans="1:20" ht="15" customHeight="1" x14ac:dyDescent="0.3">
      <c r="A31" s="5" t="s">
        <v>58</v>
      </c>
      <c r="B31" s="25">
        <f>B36*B50</f>
        <v>625.34999999999991</v>
      </c>
    </row>
    <row r="32" spans="1:20" ht="15" customHeight="1" x14ac:dyDescent="0.3">
      <c r="A32" s="5" t="s">
        <v>59</v>
      </c>
      <c r="B32" s="25">
        <f>B36*B51</f>
        <v>123.20000000000002</v>
      </c>
    </row>
    <row r="33" spans="1:20" ht="15" customHeight="1" x14ac:dyDescent="0.3">
      <c r="A33" s="26" t="s">
        <v>254</v>
      </c>
      <c r="B33" s="27"/>
    </row>
    <row r="36" spans="1:20" ht="15" customHeight="1" x14ac:dyDescent="0.3">
      <c r="A36" s="28" t="s">
        <v>266</v>
      </c>
      <c r="B36" s="34">
        <v>55</v>
      </c>
      <c r="D36" s="28" t="s">
        <v>266</v>
      </c>
      <c r="E36" s="34">
        <v>8</v>
      </c>
      <c r="G36" s="28" t="s">
        <v>266</v>
      </c>
      <c r="H36" s="34">
        <v>7</v>
      </c>
      <c r="J36" s="28" t="s">
        <v>266</v>
      </c>
      <c r="K36" s="34">
        <v>14</v>
      </c>
      <c r="M36" s="28" t="s">
        <v>266</v>
      </c>
      <c r="N36" s="34">
        <v>1</v>
      </c>
      <c r="P36" s="28" t="s">
        <v>266</v>
      </c>
      <c r="Q36" s="34">
        <v>5</v>
      </c>
      <c r="S36" s="28" t="s">
        <v>266</v>
      </c>
      <c r="T36" s="34">
        <v>1</v>
      </c>
    </row>
    <row r="37" spans="1:20" ht="15" customHeight="1" x14ac:dyDescent="0.3">
      <c r="A37" s="28" t="s">
        <v>267</v>
      </c>
      <c r="B37" s="34">
        <v>0</v>
      </c>
      <c r="D37" s="28" t="s">
        <v>267</v>
      </c>
      <c r="E37" s="34">
        <v>0</v>
      </c>
      <c r="G37" s="28" t="s">
        <v>267</v>
      </c>
      <c r="H37" s="34">
        <v>0</v>
      </c>
      <c r="J37" s="28" t="s">
        <v>267</v>
      </c>
      <c r="K37" s="34">
        <v>0</v>
      </c>
      <c r="M37" s="28" t="s">
        <v>267</v>
      </c>
      <c r="N37" s="34">
        <v>0</v>
      </c>
      <c r="P37" s="28" t="s">
        <v>267</v>
      </c>
      <c r="Q37" s="34">
        <v>0</v>
      </c>
      <c r="S37" s="28" t="s">
        <v>267</v>
      </c>
      <c r="T37" s="34">
        <v>0</v>
      </c>
    </row>
    <row r="38" spans="1:20" ht="15" customHeight="1" x14ac:dyDescent="0.3">
      <c r="A38" s="28" t="s">
        <v>268</v>
      </c>
      <c r="B38" s="34">
        <v>1781</v>
      </c>
      <c r="D38" s="28" t="s">
        <v>268</v>
      </c>
      <c r="E38" s="34">
        <v>136</v>
      </c>
      <c r="G38" s="28" t="s">
        <v>268</v>
      </c>
      <c r="H38" s="34">
        <v>63</v>
      </c>
      <c r="J38" s="28" t="s">
        <v>268</v>
      </c>
      <c r="K38" s="34">
        <v>149</v>
      </c>
      <c r="M38" s="28" t="s">
        <v>268</v>
      </c>
      <c r="N38" s="34">
        <v>34</v>
      </c>
      <c r="P38" s="28" t="s">
        <v>268</v>
      </c>
      <c r="Q38" s="34">
        <v>21</v>
      </c>
      <c r="S38" s="28" t="s">
        <v>268</v>
      </c>
      <c r="T38" s="34">
        <v>9</v>
      </c>
    </row>
    <row r="39" spans="1:20" ht="15" customHeight="1" x14ac:dyDescent="0.3">
      <c r="A39" s="28" t="s">
        <v>269</v>
      </c>
      <c r="B39" s="34">
        <v>16</v>
      </c>
      <c r="D39" s="28" t="s">
        <v>269</v>
      </c>
      <c r="E39" s="34">
        <v>3</v>
      </c>
      <c r="G39" s="28" t="s">
        <v>269</v>
      </c>
      <c r="H39" s="34">
        <v>1</v>
      </c>
      <c r="J39" s="28" t="s">
        <v>269</v>
      </c>
      <c r="K39" s="34">
        <v>0</v>
      </c>
      <c r="M39" s="28" t="s">
        <v>269</v>
      </c>
      <c r="N39" s="34">
        <v>1</v>
      </c>
      <c r="P39" s="28" t="s">
        <v>269</v>
      </c>
      <c r="Q39" s="34">
        <v>1</v>
      </c>
      <c r="S39" s="28" t="s">
        <v>269</v>
      </c>
      <c r="T39" s="34">
        <v>0</v>
      </c>
    </row>
    <row r="41" spans="1:20" ht="15" customHeight="1" x14ac:dyDescent="0.3">
      <c r="A41" s="28" t="s">
        <v>270</v>
      </c>
      <c r="B41" s="25">
        <v>147589.25</v>
      </c>
      <c r="D41" s="28" t="s">
        <v>270</v>
      </c>
      <c r="E41" s="25">
        <v>10986.18</v>
      </c>
      <c r="G41" s="28" t="s">
        <v>270</v>
      </c>
      <c r="H41" s="25">
        <v>5519.56</v>
      </c>
      <c r="J41" s="28" t="s">
        <v>270</v>
      </c>
      <c r="K41" s="25">
        <v>14226.45</v>
      </c>
      <c r="M41" s="28" t="s">
        <v>270</v>
      </c>
      <c r="N41" s="25">
        <v>3391.87</v>
      </c>
      <c r="P41" s="28" t="s">
        <v>270</v>
      </c>
      <c r="Q41" s="25">
        <v>1453.39</v>
      </c>
      <c r="S41" s="28" t="s">
        <v>270</v>
      </c>
      <c r="T41" s="25">
        <v>719.1</v>
      </c>
    </row>
    <row r="42" spans="1:20" ht="15" customHeight="1" x14ac:dyDescent="0.3">
      <c r="A42" s="28" t="s">
        <v>271</v>
      </c>
      <c r="B42" s="25">
        <v>375.32</v>
      </c>
      <c r="D42" s="28" t="s">
        <v>271</v>
      </c>
      <c r="E42" s="25">
        <v>24.98</v>
      </c>
      <c r="G42" s="28" t="s">
        <v>271</v>
      </c>
      <c r="H42" s="25">
        <v>4.99</v>
      </c>
      <c r="J42" s="28" t="s">
        <v>271</v>
      </c>
      <c r="K42" s="25">
        <v>0</v>
      </c>
      <c r="M42" s="28" t="s">
        <v>271</v>
      </c>
      <c r="N42" s="25">
        <v>39.99</v>
      </c>
      <c r="P42" s="28" t="s">
        <v>271</v>
      </c>
      <c r="Q42" s="25">
        <v>15</v>
      </c>
      <c r="S42" s="28" t="s">
        <v>271</v>
      </c>
      <c r="T42" s="25">
        <v>0</v>
      </c>
    </row>
    <row r="43" spans="1:20" ht="15" customHeight="1" x14ac:dyDescent="0.3">
      <c r="A43" s="28" t="s">
        <v>272</v>
      </c>
      <c r="B43" s="29"/>
      <c r="E43" s="29"/>
      <c r="H43" s="29"/>
      <c r="K43" s="29"/>
      <c r="N43" s="29"/>
      <c r="Q43" s="29"/>
      <c r="T43" s="29"/>
    </row>
    <row r="45" spans="1:20" ht="15" customHeight="1" x14ac:dyDescent="0.3">
      <c r="A45" s="28" t="s">
        <v>273</v>
      </c>
      <c r="B45" s="29"/>
      <c r="D45" s="28" t="s">
        <v>273</v>
      </c>
      <c r="E45" s="29"/>
      <c r="G45" s="28" t="s">
        <v>273</v>
      </c>
      <c r="H45" s="29"/>
      <c r="J45" s="28" t="s">
        <v>273</v>
      </c>
      <c r="K45" s="29"/>
      <c r="M45" s="28" t="s">
        <v>273</v>
      </c>
      <c r="N45" s="29"/>
      <c r="P45" s="28" t="s">
        <v>273</v>
      </c>
      <c r="Q45" s="29"/>
      <c r="S45" s="28" t="s">
        <v>273</v>
      </c>
      <c r="T45" s="29"/>
    </row>
    <row r="47" spans="1:20" ht="15" customHeight="1" x14ac:dyDescent="0.3">
      <c r="A47" s="28" t="s">
        <v>26</v>
      </c>
      <c r="B47" s="25">
        <v>28.04</v>
      </c>
    </row>
    <row r="48" spans="1:20" ht="15" customHeight="1" x14ac:dyDescent="0.3">
      <c r="A48" s="28" t="s">
        <v>14</v>
      </c>
      <c r="B48" s="25">
        <v>36.57</v>
      </c>
    </row>
    <row r="49" spans="1:20" ht="15" customHeight="1" x14ac:dyDescent="0.3">
      <c r="A49" s="28" t="s">
        <v>274</v>
      </c>
      <c r="B49" s="25">
        <v>44.5</v>
      </c>
    </row>
    <row r="50" spans="1:20" ht="15" customHeight="1" x14ac:dyDescent="0.3">
      <c r="A50" s="28" t="s">
        <v>275</v>
      </c>
      <c r="B50" s="25">
        <v>11.37</v>
      </c>
    </row>
    <row r="51" spans="1:20" ht="15" customHeight="1" x14ac:dyDescent="0.3">
      <c r="A51" s="28" t="s">
        <v>276</v>
      </c>
      <c r="B51" s="25">
        <v>2.2400000000000002</v>
      </c>
    </row>
    <row r="53" spans="1:20" ht="15" customHeight="1" x14ac:dyDescent="0.3">
      <c r="A53" s="30" t="s">
        <v>277</v>
      </c>
    </row>
    <row r="55" spans="1:20" ht="15" customHeight="1" x14ac:dyDescent="0.3">
      <c r="A55" s="30" t="s">
        <v>278</v>
      </c>
    </row>
    <row r="60" spans="1:20" ht="15" customHeight="1" x14ac:dyDescent="0.3">
      <c r="A60" s="20" t="s">
        <v>279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2" spans="1:20" ht="15" customHeight="1" x14ac:dyDescent="0.3">
      <c r="A62" s="22" t="s">
        <v>32</v>
      </c>
      <c r="B62" s="22"/>
      <c r="D62" s="22" t="s">
        <v>33</v>
      </c>
      <c r="E62" s="22"/>
      <c r="G62" s="22" t="s">
        <v>34</v>
      </c>
      <c r="H62" s="22"/>
      <c r="J62" s="22" t="s">
        <v>35</v>
      </c>
      <c r="K62" s="22"/>
      <c r="M62" s="22" t="s">
        <v>220</v>
      </c>
      <c r="N62" s="22"/>
      <c r="P62" s="22" t="s">
        <v>221</v>
      </c>
      <c r="Q62" s="22"/>
      <c r="S62" s="22" t="s">
        <v>38</v>
      </c>
      <c r="T62" s="22"/>
    </row>
    <row r="63" spans="1:20" ht="15" customHeight="1" x14ac:dyDescent="0.3">
      <c r="A63" s="23" t="s">
        <v>222</v>
      </c>
      <c r="B63" s="24" t="s">
        <v>223</v>
      </c>
      <c r="D63" s="23" t="s">
        <v>222</v>
      </c>
      <c r="E63" s="24" t="s">
        <v>223</v>
      </c>
      <c r="G63" s="23" t="s">
        <v>222</v>
      </c>
      <c r="H63" s="24" t="s">
        <v>223</v>
      </c>
      <c r="J63" s="23" t="s">
        <v>222</v>
      </c>
      <c r="K63" s="24" t="s">
        <v>223</v>
      </c>
      <c r="M63" s="23" t="s">
        <v>222</v>
      </c>
      <c r="N63" s="24" t="s">
        <v>223</v>
      </c>
      <c r="P63" s="23" t="s">
        <v>222</v>
      </c>
      <c r="Q63" s="24" t="s">
        <v>223</v>
      </c>
      <c r="S63" s="23" t="s">
        <v>222</v>
      </c>
      <c r="T63" s="24" t="s">
        <v>223</v>
      </c>
    </row>
    <row r="64" spans="1:20" ht="15" customHeight="1" x14ac:dyDescent="0.3">
      <c r="A64" s="5" t="s">
        <v>224</v>
      </c>
      <c r="B64" s="25"/>
      <c r="D64" s="5" t="s">
        <v>224</v>
      </c>
      <c r="E64" s="25"/>
      <c r="G64" s="5" t="s">
        <v>224</v>
      </c>
      <c r="H64" s="25"/>
      <c r="J64" s="5" t="s">
        <v>224</v>
      </c>
      <c r="K64" s="25"/>
      <c r="M64" s="5" t="s">
        <v>224</v>
      </c>
      <c r="N64" s="25"/>
      <c r="P64" s="5" t="s">
        <v>224</v>
      </c>
      <c r="Q64" s="25"/>
      <c r="S64" s="5" t="s">
        <v>224</v>
      </c>
      <c r="T64" s="25"/>
    </row>
    <row r="65" spans="1:20" ht="15" customHeight="1" x14ac:dyDescent="0.3">
      <c r="A65" s="5" t="s">
        <v>60</v>
      </c>
      <c r="B65" s="25">
        <v>10409.19</v>
      </c>
      <c r="D65" s="5" t="s">
        <v>60</v>
      </c>
      <c r="E65" s="25"/>
      <c r="G65" s="5" t="s">
        <v>60</v>
      </c>
      <c r="H65" s="25">
        <v>24565.95</v>
      </c>
      <c r="J65" s="5" t="s">
        <v>60</v>
      </c>
      <c r="K65" s="25">
        <v>1234.31</v>
      </c>
      <c r="M65" s="5" t="s">
        <v>60</v>
      </c>
      <c r="N65" s="25"/>
      <c r="P65" s="5" t="s">
        <v>60</v>
      </c>
      <c r="Q65" s="25"/>
      <c r="S65" s="5" t="s">
        <v>60</v>
      </c>
      <c r="T65" s="25"/>
    </row>
    <row r="66" spans="1:20" ht="15" customHeight="1" x14ac:dyDescent="0.3">
      <c r="A66" s="5" t="s">
        <v>133</v>
      </c>
      <c r="B66" s="25"/>
      <c r="D66" s="5" t="s">
        <v>226</v>
      </c>
      <c r="E66" s="25"/>
      <c r="G66" s="5" t="s">
        <v>226</v>
      </c>
      <c r="H66" s="25"/>
      <c r="J66" s="5" t="s">
        <v>133</v>
      </c>
      <c r="K66" s="25"/>
      <c r="M66" s="5" t="s">
        <v>133</v>
      </c>
      <c r="N66" s="25"/>
      <c r="P66" s="5" t="s">
        <v>133</v>
      </c>
      <c r="Q66" s="25"/>
      <c r="S66" s="5" t="s">
        <v>133</v>
      </c>
      <c r="T66" s="25"/>
    </row>
    <row r="67" spans="1:20" ht="15" customHeight="1" x14ac:dyDescent="0.3">
      <c r="A67" s="5" t="s">
        <v>226</v>
      </c>
      <c r="B67" s="25"/>
      <c r="D67" s="5" t="s">
        <v>227</v>
      </c>
      <c r="E67" s="25">
        <v>50</v>
      </c>
      <c r="G67" s="5" t="s">
        <v>280</v>
      </c>
      <c r="H67" s="25">
        <v>50</v>
      </c>
      <c r="J67" s="5" t="s">
        <v>228</v>
      </c>
      <c r="K67" s="25">
        <v>200</v>
      </c>
      <c r="M67" s="5" t="s">
        <v>226</v>
      </c>
      <c r="N67" s="25"/>
      <c r="P67" s="5" t="s">
        <v>226</v>
      </c>
      <c r="Q67" s="25"/>
      <c r="S67" s="5" t="s">
        <v>226</v>
      </c>
      <c r="T67" s="25"/>
    </row>
    <row r="68" spans="1:20" ht="15" customHeight="1" x14ac:dyDescent="0.3">
      <c r="A68" s="5" t="s">
        <v>230</v>
      </c>
      <c r="B68" s="25">
        <v>550</v>
      </c>
      <c r="D68" s="5" t="s">
        <v>231</v>
      </c>
      <c r="E68" s="25">
        <v>38302.980000000003</v>
      </c>
      <c r="G68" s="5" t="s">
        <v>231</v>
      </c>
      <c r="H68" s="25">
        <v>3939.82</v>
      </c>
      <c r="J68" s="5" t="s">
        <v>231</v>
      </c>
      <c r="K68" s="25">
        <v>45703.62</v>
      </c>
      <c r="M68" s="5" t="s">
        <v>232</v>
      </c>
      <c r="N68" s="25"/>
      <c r="P68" s="5" t="s">
        <v>232</v>
      </c>
      <c r="Q68" s="25"/>
      <c r="S68" s="5" t="s">
        <v>227</v>
      </c>
      <c r="T68" s="25"/>
    </row>
    <row r="69" spans="1:20" ht="15" customHeight="1" x14ac:dyDescent="0.3">
      <c r="A69" s="5" t="s">
        <v>231</v>
      </c>
      <c r="B69" s="25">
        <v>330070.25</v>
      </c>
      <c r="D69" s="5" t="s">
        <v>89</v>
      </c>
      <c r="E69" s="25"/>
      <c r="G69" s="5" t="s">
        <v>233</v>
      </c>
      <c r="H69" s="25"/>
      <c r="J69" s="5" t="s">
        <v>233</v>
      </c>
      <c r="K69" s="25">
        <v>2775</v>
      </c>
      <c r="M69" s="5" t="s">
        <v>231</v>
      </c>
      <c r="N69" s="25">
        <v>3592.34</v>
      </c>
      <c r="P69" s="5" t="s">
        <v>231</v>
      </c>
      <c r="Q69" s="25">
        <v>14607.01</v>
      </c>
      <c r="S69" s="5" t="s">
        <v>231</v>
      </c>
      <c r="T69" s="25">
        <v>4116.49</v>
      </c>
    </row>
    <row r="70" spans="1:20" ht="15" customHeight="1" x14ac:dyDescent="0.3">
      <c r="A70" s="5" t="s">
        <v>233</v>
      </c>
      <c r="B70" s="25">
        <v>5868</v>
      </c>
      <c r="D70" s="5" t="s">
        <v>234</v>
      </c>
      <c r="E70" s="25">
        <f>E95*B110</f>
        <v>330</v>
      </c>
      <c r="G70" s="5" t="s">
        <v>234</v>
      </c>
      <c r="H70" s="25">
        <f>H95*B110</f>
        <v>30</v>
      </c>
      <c r="J70" s="5" t="s">
        <v>235</v>
      </c>
      <c r="K70" s="25"/>
      <c r="M70" s="5" t="s">
        <v>233</v>
      </c>
      <c r="N70" s="25"/>
      <c r="P70" s="5" t="s">
        <v>233</v>
      </c>
      <c r="Q70" s="25"/>
      <c r="S70" s="5" t="s">
        <v>233</v>
      </c>
      <c r="T70" s="25"/>
    </row>
    <row r="71" spans="1:20" ht="15" customHeight="1" x14ac:dyDescent="0.3">
      <c r="A71" s="5" t="s">
        <v>234</v>
      </c>
      <c r="B71" s="25">
        <f>B95*B110</f>
        <v>2160</v>
      </c>
      <c r="D71" s="5" t="s">
        <v>236</v>
      </c>
      <c r="E71" s="25">
        <f>E95*B105</f>
        <v>273.02</v>
      </c>
      <c r="G71" s="5" t="s">
        <v>236</v>
      </c>
      <c r="H71" s="25">
        <f>H95*B105</f>
        <v>24.82</v>
      </c>
      <c r="J71" s="5" t="s">
        <v>234</v>
      </c>
      <c r="K71" s="25">
        <f>K95*B110</f>
        <v>390</v>
      </c>
      <c r="M71" s="5" t="s">
        <v>234</v>
      </c>
      <c r="N71" s="25">
        <f>N95*B110</f>
        <v>30</v>
      </c>
      <c r="P71" s="5" t="s">
        <v>234</v>
      </c>
      <c r="Q71" s="25">
        <f>Q95*B110</f>
        <v>150</v>
      </c>
      <c r="S71" s="5" t="s">
        <v>234</v>
      </c>
      <c r="T71" s="25">
        <f>T95*B110</f>
        <v>30</v>
      </c>
    </row>
    <row r="72" spans="1:20" ht="15" customHeight="1" x14ac:dyDescent="0.3">
      <c r="A72" s="5" t="s">
        <v>236</v>
      </c>
      <c r="B72" s="25">
        <f>B95*B105</f>
        <v>1787.04</v>
      </c>
      <c r="D72" s="5" t="s">
        <v>237</v>
      </c>
      <c r="E72" s="25">
        <f>E95*B106</f>
        <v>448.25</v>
      </c>
      <c r="G72" s="5" t="s">
        <v>237</v>
      </c>
      <c r="H72" s="25">
        <f>H95*B106</f>
        <v>40.75</v>
      </c>
      <c r="J72" s="5" t="s">
        <v>236</v>
      </c>
      <c r="K72" s="25">
        <f>K95*B105</f>
        <v>322.66000000000003</v>
      </c>
      <c r="M72" s="5" t="s">
        <v>236</v>
      </c>
      <c r="N72" s="25">
        <f>N95*B105</f>
        <v>24.82</v>
      </c>
      <c r="P72" s="5" t="s">
        <v>236</v>
      </c>
      <c r="Q72" s="25">
        <f>Q95*B105</f>
        <v>124.1</v>
      </c>
      <c r="S72" s="5" t="s">
        <v>236</v>
      </c>
      <c r="T72" s="25">
        <f>T95*B105</f>
        <v>24.82</v>
      </c>
    </row>
    <row r="73" spans="1:20" ht="15" customHeight="1" x14ac:dyDescent="0.3">
      <c r="A73" s="5" t="s">
        <v>237</v>
      </c>
      <c r="B73" s="25">
        <f>B95*B106</f>
        <v>2934</v>
      </c>
      <c r="D73" s="5" t="s">
        <v>238</v>
      </c>
      <c r="E73" s="25">
        <f>E95*B107</f>
        <v>498.41</v>
      </c>
      <c r="G73" s="5" t="s">
        <v>238</v>
      </c>
      <c r="H73" s="25">
        <f>H95*B107</f>
        <v>45.31</v>
      </c>
      <c r="J73" s="5" t="s">
        <v>237</v>
      </c>
      <c r="K73" s="25">
        <f>K95*B106</f>
        <v>529.75</v>
      </c>
      <c r="M73" s="5" t="s">
        <v>237</v>
      </c>
      <c r="N73" s="25">
        <f>N95*B106</f>
        <v>40.75</v>
      </c>
      <c r="P73" s="5" t="s">
        <v>237</v>
      </c>
      <c r="Q73" s="25">
        <f>Q95*B106</f>
        <v>203.75</v>
      </c>
      <c r="S73" s="5" t="s">
        <v>237</v>
      </c>
      <c r="T73" s="25">
        <f>T95*B106</f>
        <v>40.75</v>
      </c>
    </row>
    <row r="74" spans="1:20" ht="15" customHeight="1" x14ac:dyDescent="0.3">
      <c r="A74" s="5" t="s">
        <v>238</v>
      </c>
      <c r="B74" s="25">
        <f>B95*B107</f>
        <v>3262.32</v>
      </c>
      <c r="D74" s="5" t="s">
        <v>239</v>
      </c>
      <c r="E74" s="25"/>
      <c r="G74" s="5" t="s">
        <v>239</v>
      </c>
      <c r="H74" s="25"/>
      <c r="J74" s="5" t="s">
        <v>238</v>
      </c>
      <c r="K74" s="25">
        <f>K95*B107</f>
        <v>589.03</v>
      </c>
      <c r="M74" s="5" t="s">
        <v>238</v>
      </c>
      <c r="N74" s="25">
        <f>N95*B107</f>
        <v>45.31</v>
      </c>
      <c r="P74" s="5" t="s">
        <v>238</v>
      </c>
      <c r="Q74" s="25">
        <f>Q95*B107</f>
        <v>226.55</v>
      </c>
      <c r="S74" s="5" t="s">
        <v>238</v>
      </c>
      <c r="T74" s="25">
        <f>T95*B107</f>
        <v>45.31</v>
      </c>
    </row>
    <row r="75" spans="1:20" ht="15" customHeight="1" x14ac:dyDescent="0.3">
      <c r="A75" s="5" t="s">
        <v>239</v>
      </c>
      <c r="B75" s="25">
        <v>804</v>
      </c>
      <c r="D75" s="5" t="s">
        <v>240</v>
      </c>
      <c r="E75" s="25">
        <v>699.62</v>
      </c>
      <c r="G75" s="5" t="s">
        <v>241</v>
      </c>
      <c r="H75" s="25">
        <v>-494.68</v>
      </c>
      <c r="J75" s="5" t="s">
        <v>239</v>
      </c>
      <c r="K75" s="25"/>
      <c r="M75" s="5" t="s">
        <v>242</v>
      </c>
      <c r="N75" s="25"/>
      <c r="P75" s="5" t="s">
        <v>239</v>
      </c>
      <c r="Q75" s="25"/>
      <c r="S75" s="5" t="s">
        <v>239</v>
      </c>
      <c r="T75" s="25"/>
    </row>
    <row r="76" spans="1:20" ht="15" customHeight="1" x14ac:dyDescent="0.3">
      <c r="A76" s="5" t="s">
        <v>240</v>
      </c>
      <c r="B76" s="25">
        <v>154.6</v>
      </c>
      <c r="D76" s="5" t="s">
        <v>242</v>
      </c>
      <c r="E76" s="25"/>
      <c r="G76" s="5" t="s">
        <v>240</v>
      </c>
      <c r="H76" s="25"/>
      <c r="J76" s="5" t="s">
        <v>241</v>
      </c>
      <c r="K76" s="25">
        <v>-247.34</v>
      </c>
      <c r="M76" s="5" t="s">
        <v>240</v>
      </c>
      <c r="N76" s="25"/>
      <c r="P76" s="5" t="s">
        <v>240</v>
      </c>
      <c r="Q76" s="25"/>
      <c r="S76" s="5" t="s">
        <v>240</v>
      </c>
      <c r="T76" s="25"/>
    </row>
    <row r="77" spans="1:20" ht="15" customHeight="1" x14ac:dyDescent="0.3">
      <c r="A77" s="5" t="s">
        <v>242</v>
      </c>
      <c r="B77" s="25">
        <v>-227.34</v>
      </c>
      <c r="D77" s="5" t="s">
        <v>243</v>
      </c>
      <c r="E77" s="25">
        <v>566.12</v>
      </c>
      <c r="G77" s="5" t="s">
        <v>243</v>
      </c>
      <c r="H77" s="25"/>
      <c r="J77" s="5" t="s">
        <v>240</v>
      </c>
      <c r="K77" s="25"/>
      <c r="M77" s="5" t="s">
        <v>243</v>
      </c>
      <c r="N77" s="25"/>
      <c r="P77" s="5" t="s">
        <v>242</v>
      </c>
      <c r="Q77" s="25"/>
      <c r="S77" s="5" t="s">
        <v>243</v>
      </c>
      <c r="T77" s="25"/>
    </row>
    <row r="78" spans="1:20" ht="15" customHeight="1" x14ac:dyDescent="0.3">
      <c r="A78" s="5" t="s">
        <v>243</v>
      </c>
      <c r="B78" s="25">
        <v>240.9</v>
      </c>
      <c r="D78" s="5" t="s">
        <v>244</v>
      </c>
      <c r="E78" s="25">
        <v>1242.6300000000001</v>
      </c>
      <c r="G78" s="5" t="s">
        <v>245</v>
      </c>
      <c r="H78" s="25">
        <v>357.29</v>
      </c>
      <c r="J78" s="5" t="s">
        <v>243</v>
      </c>
      <c r="K78" s="25"/>
      <c r="M78" s="5" t="s">
        <v>58</v>
      </c>
      <c r="N78" s="25">
        <f>N95*B108</f>
        <v>10.15</v>
      </c>
      <c r="P78" s="5" t="s">
        <v>243</v>
      </c>
      <c r="Q78" s="25"/>
      <c r="S78" s="5" t="s">
        <v>246</v>
      </c>
      <c r="T78" s="25"/>
    </row>
    <row r="79" spans="1:20" ht="15" customHeight="1" x14ac:dyDescent="0.3">
      <c r="A79" s="5" t="s">
        <v>247</v>
      </c>
      <c r="B79" s="25">
        <v>13300.75</v>
      </c>
      <c r="D79" s="5" t="s">
        <v>281</v>
      </c>
      <c r="E79" s="25">
        <v>570.9</v>
      </c>
      <c r="G79" s="5" t="s">
        <v>248</v>
      </c>
      <c r="H79" s="25">
        <v>1441.58</v>
      </c>
      <c r="J79" s="5" t="s">
        <v>249</v>
      </c>
      <c r="K79" s="25">
        <v>1716.95</v>
      </c>
      <c r="M79" s="5" t="s">
        <v>59</v>
      </c>
      <c r="N79" s="25">
        <f>N95*B109</f>
        <v>2.92</v>
      </c>
      <c r="P79" s="5" t="s">
        <v>58</v>
      </c>
      <c r="Q79" s="25">
        <f>Q95*B108</f>
        <v>50.75</v>
      </c>
      <c r="S79" s="5" t="s">
        <v>250</v>
      </c>
      <c r="T79" s="25">
        <v>434.51</v>
      </c>
    </row>
    <row r="80" spans="1:20" ht="15" customHeight="1" x14ac:dyDescent="0.3">
      <c r="A80" s="5" t="s">
        <v>251</v>
      </c>
      <c r="B80" s="25">
        <v>2292.48</v>
      </c>
      <c r="D80" s="5" t="s">
        <v>58</v>
      </c>
      <c r="E80" s="25">
        <f>E95*B108</f>
        <v>111.65</v>
      </c>
      <c r="G80" s="5" t="s">
        <v>252</v>
      </c>
      <c r="H80" s="25"/>
      <c r="J80" s="5" t="s">
        <v>253</v>
      </c>
      <c r="K80" s="25">
        <v>1168.17</v>
      </c>
      <c r="M80" s="26" t="s">
        <v>254</v>
      </c>
      <c r="N80" s="27"/>
      <c r="P80" s="5" t="s">
        <v>59</v>
      </c>
      <c r="Q80" s="25">
        <f>Q95*B109</f>
        <v>14.6</v>
      </c>
      <c r="S80" s="5" t="s">
        <v>58</v>
      </c>
      <c r="T80" s="25">
        <f>T95*B108</f>
        <v>10.15</v>
      </c>
    </row>
    <row r="81" spans="1:20" ht="15" customHeight="1" x14ac:dyDescent="0.3">
      <c r="A81" s="5" t="s">
        <v>255</v>
      </c>
      <c r="B81" s="25">
        <v>1872.58</v>
      </c>
      <c r="D81" s="5" t="s">
        <v>59</v>
      </c>
      <c r="E81" s="25">
        <f>E95*B109</f>
        <v>32.119999999999997</v>
      </c>
      <c r="G81" s="5" t="s">
        <v>58</v>
      </c>
      <c r="H81" s="25">
        <f>H95*B108</f>
        <v>10.15</v>
      </c>
      <c r="J81" s="5" t="s">
        <v>256</v>
      </c>
      <c r="K81" s="25">
        <v>1178.1600000000001</v>
      </c>
      <c r="P81" s="26" t="s">
        <v>254</v>
      </c>
      <c r="Q81" s="27"/>
      <c r="S81" s="5" t="s">
        <v>59</v>
      </c>
      <c r="T81" s="25">
        <f>T95*B109</f>
        <v>2.92</v>
      </c>
    </row>
    <row r="82" spans="1:20" ht="15" customHeight="1" x14ac:dyDescent="0.3">
      <c r="A82" s="5" t="s">
        <v>257</v>
      </c>
      <c r="B82" s="25">
        <v>744.76</v>
      </c>
      <c r="D82" s="26" t="s">
        <v>254</v>
      </c>
      <c r="E82" s="27"/>
      <c r="G82" s="5" t="s">
        <v>59</v>
      </c>
      <c r="H82" s="25">
        <f>H95*B109</f>
        <v>2.92</v>
      </c>
      <c r="J82" s="5" t="s">
        <v>58</v>
      </c>
      <c r="K82" s="25">
        <f>K95*B108</f>
        <v>131.95000000000002</v>
      </c>
      <c r="S82" s="26" t="s">
        <v>254</v>
      </c>
      <c r="T82" s="27"/>
    </row>
    <row r="83" spans="1:20" ht="15" customHeight="1" x14ac:dyDescent="0.3">
      <c r="A83" s="5" t="s">
        <v>258</v>
      </c>
      <c r="B83" s="25">
        <v>280.85000000000002</v>
      </c>
      <c r="G83" s="26" t="s">
        <v>254</v>
      </c>
      <c r="H83" s="27"/>
      <c r="J83" s="5" t="s">
        <v>59</v>
      </c>
      <c r="K83" s="25">
        <f>K95*B109</f>
        <v>37.96</v>
      </c>
    </row>
    <row r="84" spans="1:20" ht="15" customHeight="1" x14ac:dyDescent="0.3">
      <c r="A84" s="5" t="s">
        <v>259</v>
      </c>
      <c r="B84" s="25">
        <v>1825.34</v>
      </c>
      <c r="J84" s="5" t="s">
        <v>260</v>
      </c>
      <c r="K84" s="25">
        <v>1656.05</v>
      </c>
    </row>
    <row r="85" spans="1:20" ht="15" customHeight="1" x14ac:dyDescent="0.3">
      <c r="A85" s="5" t="s">
        <v>261</v>
      </c>
      <c r="B85" s="25">
        <v>201.23</v>
      </c>
      <c r="J85" s="26" t="s">
        <v>254</v>
      </c>
      <c r="K85" s="27"/>
    </row>
    <row r="86" spans="1:20" ht="15" customHeight="1" x14ac:dyDescent="0.3">
      <c r="A86" s="5" t="s">
        <v>262</v>
      </c>
      <c r="B86" s="25">
        <v>1113.47</v>
      </c>
    </row>
    <row r="87" spans="1:20" ht="15" customHeight="1" x14ac:dyDescent="0.3">
      <c r="A87" s="5" t="s">
        <v>263</v>
      </c>
      <c r="B87" s="25">
        <v>1479.27</v>
      </c>
    </row>
    <row r="88" spans="1:20" ht="15" customHeight="1" x14ac:dyDescent="0.3">
      <c r="A88" s="5" t="s">
        <v>264</v>
      </c>
      <c r="B88" s="25"/>
    </row>
    <row r="89" spans="1:20" ht="15" customHeight="1" x14ac:dyDescent="0.3">
      <c r="A89" s="5" t="s">
        <v>265</v>
      </c>
      <c r="B89" s="25">
        <v>234.76</v>
      </c>
    </row>
    <row r="90" spans="1:20" ht="15" customHeight="1" x14ac:dyDescent="0.3">
      <c r="A90" s="5" t="s">
        <v>58</v>
      </c>
      <c r="B90" s="25">
        <f>B95*B108</f>
        <v>730.80000000000007</v>
      </c>
    </row>
    <row r="91" spans="1:20" ht="15" customHeight="1" x14ac:dyDescent="0.3">
      <c r="A91" s="5" t="s">
        <v>59</v>
      </c>
      <c r="B91" s="25">
        <f>B95*B109</f>
        <v>210.24</v>
      </c>
    </row>
    <row r="92" spans="1:20" ht="15" customHeight="1" x14ac:dyDescent="0.3">
      <c r="A92" s="26" t="s">
        <v>254</v>
      </c>
      <c r="B92" s="27"/>
    </row>
    <row r="95" spans="1:20" ht="15" customHeight="1" x14ac:dyDescent="0.3">
      <c r="A95" s="28" t="s">
        <v>266</v>
      </c>
      <c r="B95" s="34">
        <v>72</v>
      </c>
      <c r="D95" s="28" t="s">
        <v>266</v>
      </c>
      <c r="E95" s="34">
        <v>11</v>
      </c>
      <c r="G95" s="28" t="s">
        <v>266</v>
      </c>
      <c r="H95" s="34">
        <v>1</v>
      </c>
      <c r="J95" s="28" t="s">
        <v>266</v>
      </c>
      <c r="K95" s="34">
        <v>13</v>
      </c>
      <c r="M95" s="28" t="s">
        <v>266</v>
      </c>
      <c r="N95" s="31">
        <v>1</v>
      </c>
      <c r="P95" s="28" t="s">
        <v>266</v>
      </c>
      <c r="Q95" s="34">
        <v>5</v>
      </c>
      <c r="S95" s="28" t="s">
        <v>266</v>
      </c>
      <c r="T95" s="34">
        <v>1</v>
      </c>
    </row>
    <row r="96" spans="1:20" ht="15" customHeight="1" x14ac:dyDescent="0.3">
      <c r="A96" s="28" t="s">
        <v>268</v>
      </c>
      <c r="B96" s="31">
        <v>1512</v>
      </c>
      <c r="D96" s="28" t="s">
        <v>268</v>
      </c>
      <c r="E96" s="31">
        <v>89</v>
      </c>
      <c r="G96" s="28" t="s">
        <v>268</v>
      </c>
      <c r="H96" s="31">
        <v>26</v>
      </c>
      <c r="J96" s="28" t="s">
        <v>268</v>
      </c>
      <c r="K96" s="31">
        <v>92</v>
      </c>
      <c r="M96" s="28" t="s">
        <v>268</v>
      </c>
      <c r="N96" s="31">
        <v>24</v>
      </c>
      <c r="P96" s="28" t="s">
        <v>268</v>
      </c>
      <c r="Q96" s="31">
        <v>59</v>
      </c>
      <c r="S96" s="28" t="s">
        <v>268</v>
      </c>
      <c r="T96" s="31">
        <v>18</v>
      </c>
    </row>
    <row r="97" spans="1:20" ht="15" customHeight="1" x14ac:dyDescent="0.3">
      <c r="A97" s="28" t="s">
        <v>269</v>
      </c>
      <c r="B97" s="31">
        <v>21</v>
      </c>
      <c r="D97" s="28" t="s">
        <v>269</v>
      </c>
      <c r="E97" s="31">
        <v>8</v>
      </c>
      <c r="G97" s="28" t="s">
        <v>269</v>
      </c>
      <c r="H97" s="31">
        <v>0</v>
      </c>
      <c r="J97" s="28" t="s">
        <v>269</v>
      </c>
      <c r="K97" s="31">
        <v>1</v>
      </c>
      <c r="M97" s="28" t="s">
        <v>269</v>
      </c>
      <c r="N97" s="31"/>
      <c r="P97" s="28" t="s">
        <v>269</v>
      </c>
      <c r="Q97" s="31">
        <v>2</v>
      </c>
      <c r="S97" s="28" t="s">
        <v>269</v>
      </c>
      <c r="T97" s="31"/>
    </row>
    <row r="99" spans="1:20" ht="15" customHeight="1" x14ac:dyDescent="0.3">
      <c r="A99" s="28" t="s">
        <v>270</v>
      </c>
      <c r="B99" s="86">
        <v>131855.21</v>
      </c>
      <c r="D99" s="28" t="s">
        <v>270</v>
      </c>
      <c r="E99" s="86">
        <v>7236.53</v>
      </c>
      <c r="G99" s="28" t="s">
        <v>270</v>
      </c>
      <c r="H99" s="86">
        <v>2587.6799999999998</v>
      </c>
      <c r="J99" s="28" t="s">
        <v>270</v>
      </c>
      <c r="K99" s="86">
        <v>8984.9599999999991</v>
      </c>
      <c r="M99" s="28" t="s">
        <v>270</v>
      </c>
      <c r="N99" s="29">
        <v>2068.08</v>
      </c>
      <c r="P99" s="28" t="s">
        <v>270</v>
      </c>
      <c r="Q99" s="86">
        <v>3804.88</v>
      </c>
      <c r="S99" s="28" t="s">
        <v>270</v>
      </c>
      <c r="T99" s="86">
        <v>1593.3</v>
      </c>
    </row>
    <row r="100" spans="1:20" ht="15" customHeight="1" x14ac:dyDescent="0.3">
      <c r="A100" s="28" t="s">
        <v>271</v>
      </c>
      <c r="B100" s="29">
        <v>2082.84</v>
      </c>
      <c r="D100" s="28" t="s">
        <v>271</v>
      </c>
      <c r="E100" s="29">
        <v>799.2</v>
      </c>
      <c r="G100" s="28" t="s">
        <v>271</v>
      </c>
      <c r="H100" s="29">
        <v>0</v>
      </c>
      <c r="J100" s="28" t="s">
        <v>271</v>
      </c>
      <c r="K100" s="29">
        <v>89.89</v>
      </c>
      <c r="M100" s="28" t="s">
        <v>271</v>
      </c>
      <c r="N100" s="29"/>
      <c r="P100" s="28" t="s">
        <v>271</v>
      </c>
      <c r="Q100" s="29">
        <v>199.8</v>
      </c>
      <c r="S100" s="28" t="s">
        <v>271</v>
      </c>
      <c r="T100" s="29"/>
    </row>
    <row r="101" spans="1:20" ht="15" customHeight="1" x14ac:dyDescent="0.3">
      <c r="A101" s="28" t="s">
        <v>272</v>
      </c>
      <c r="B101" s="29"/>
      <c r="E101" s="29"/>
      <c r="H101" s="29"/>
      <c r="K101" s="29"/>
      <c r="N101" s="29"/>
      <c r="Q101" s="29"/>
      <c r="T101" s="29"/>
    </row>
    <row r="103" spans="1:20" ht="15" customHeight="1" x14ac:dyDescent="0.3">
      <c r="A103" s="28" t="s">
        <v>273</v>
      </c>
      <c r="B103" s="29"/>
      <c r="D103" s="28" t="s">
        <v>273</v>
      </c>
      <c r="E103" s="29"/>
      <c r="G103" s="28" t="s">
        <v>273</v>
      </c>
      <c r="H103" s="29"/>
      <c r="J103" s="28" t="s">
        <v>273</v>
      </c>
      <c r="K103" s="29"/>
      <c r="M103" s="28" t="s">
        <v>273</v>
      </c>
      <c r="N103" s="29"/>
      <c r="P103" s="28" t="s">
        <v>273</v>
      </c>
      <c r="Q103" s="29"/>
      <c r="S103" s="28" t="s">
        <v>273</v>
      </c>
      <c r="T103" s="29"/>
    </row>
    <row r="105" spans="1:20" ht="15" customHeight="1" x14ac:dyDescent="0.3">
      <c r="A105" s="28" t="s">
        <v>26</v>
      </c>
      <c r="B105" s="29">
        <v>24.82</v>
      </c>
    </row>
    <row r="106" spans="1:20" ht="15" customHeight="1" x14ac:dyDescent="0.3">
      <c r="A106" s="28" t="s">
        <v>14</v>
      </c>
      <c r="B106" s="29">
        <v>40.75</v>
      </c>
    </row>
    <row r="107" spans="1:20" ht="15" customHeight="1" x14ac:dyDescent="0.3">
      <c r="A107" s="28" t="s">
        <v>274</v>
      </c>
      <c r="B107" s="29">
        <v>45.31</v>
      </c>
    </row>
    <row r="108" spans="1:20" ht="15" customHeight="1" x14ac:dyDescent="0.3">
      <c r="A108" s="28" t="s">
        <v>275</v>
      </c>
      <c r="B108" s="29">
        <v>10.15</v>
      </c>
    </row>
    <row r="109" spans="1:20" ht="15" customHeight="1" x14ac:dyDescent="0.3">
      <c r="A109" s="28" t="s">
        <v>276</v>
      </c>
      <c r="B109" s="29">
        <v>2.92</v>
      </c>
    </row>
    <row r="110" spans="1:20" ht="15" customHeight="1" x14ac:dyDescent="0.3">
      <c r="A110" s="32" t="s">
        <v>282</v>
      </c>
      <c r="B110" s="33">
        <v>30</v>
      </c>
    </row>
    <row r="112" spans="1:20" ht="15" customHeight="1" x14ac:dyDescent="0.3">
      <c r="A112" s="30" t="s">
        <v>277</v>
      </c>
    </row>
    <row r="114" spans="1:20" ht="15" customHeight="1" x14ac:dyDescent="0.3">
      <c r="A114" s="30" t="s">
        <v>278</v>
      </c>
    </row>
    <row r="119" spans="1:20" ht="15" customHeight="1" x14ac:dyDescent="0.3">
      <c r="A119" s="10" t="s">
        <v>283</v>
      </c>
    </row>
    <row r="121" spans="1:20" ht="14.25" customHeight="1" x14ac:dyDescent="0.3">
      <c r="A121" s="42" t="s">
        <v>32</v>
      </c>
      <c r="B121" s="45"/>
      <c r="D121" s="42" t="s">
        <v>33</v>
      </c>
      <c r="E121" s="43"/>
      <c r="G121" s="42" t="s">
        <v>34</v>
      </c>
      <c r="H121" s="43"/>
      <c r="J121" s="42" t="s">
        <v>35</v>
      </c>
      <c r="K121" s="43"/>
      <c r="M121" s="42" t="s">
        <v>220</v>
      </c>
      <c r="N121" s="43"/>
      <c r="P121" s="42" t="s">
        <v>221</v>
      </c>
      <c r="Q121" s="43"/>
      <c r="S121" s="42" t="s">
        <v>38</v>
      </c>
      <c r="T121" s="43"/>
    </row>
    <row r="122" spans="1:20" ht="14.25" customHeight="1" x14ac:dyDescent="0.3">
      <c r="A122" s="44" t="s">
        <v>222</v>
      </c>
      <c r="B122" s="44" t="s">
        <v>223</v>
      </c>
      <c r="D122" s="44" t="s">
        <v>222</v>
      </c>
      <c r="E122" s="44" t="s">
        <v>223</v>
      </c>
      <c r="G122" s="44" t="s">
        <v>222</v>
      </c>
      <c r="H122" s="44" t="s">
        <v>223</v>
      </c>
      <c r="J122" s="44" t="s">
        <v>222</v>
      </c>
      <c r="K122" s="44" t="s">
        <v>223</v>
      </c>
      <c r="M122" s="44" t="s">
        <v>222</v>
      </c>
      <c r="N122" s="44" t="s">
        <v>223</v>
      </c>
      <c r="P122" s="44" t="s">
        <v>222</v>
      </c>
      <c r="Q122" s="44" t="s">
        <v>223</v>
      </c>
      <c r="S122" s="44" t="s">
        <v>222</v>
      </c>
      <c r="T122" s="44" t="s">
        <v>223</v>
      </c>
    </row>
    <row r="123" spans="1:20" ht="14.25" customHeight="1" x14ac:dyDescent="0.3">
      <c r="A123" s="45" t="s">
        <v>224</v>
      </c>
      <c r="B123" s="43"/>
      <c r="D123" s="45" t="s">
        <v>224</v>
      </c>
      <c r="E123" s="43"/>
      <c r="G123" s="45" t="s">
        <v>224</v>
      </c>
      <c r="H123" s="43"/>
      <c r="J123" s="45" t="s">
        <v>224</v>
      </c>
      <c r="K123" s="43"/>
      <c r="M123" s="45" t="s">
        <v>224</v>
      </c>
      <c r="N123" s="43"/>
      <c r="P123" s="45" t="s">
        <v>224</v>
      </c>
      <c r="Q123" s="43"/>
      <c r="S123" s="45" t="s">
        <v>224</v>
      </c>
      <c r="T123" s="43"/>
    </row>
    <row r="124" spans="1:20" ht="14.25" customHeight="1" x14ac:dyDescent="0.3">
      <c r="A124" s="45" t="s">
        <v>225</v>
      </c>
      <c r="B124" s="43"/>
      <c r="D124" s="45" t="s">
        <v>225</v>
      </c>
      <c r="E124" s="43"/>
      <c r="G124" s="45" t="s">
        <v>225</v>
      </c>
      <c r="H124" s="43"/>
      <c r="J124" s="45" t="s">
        <v>225</v>
      </c>
      <c r="K124" s="43"/>
      <c r="M124" s="45" t="s">
        <v>225</v>
      </c>
      <c r="N124" s="43"/>
      <c r="P124" s="45" t="s">
        <v>225</v>
      </c>
      <c r="Q124" s="43"/>
      <c r="S124" s="45" t="s">
        <v>225</v>
      </c>
      <c r="T124" s="43"/>
    </row>
    <row r="125" spans="1:20" ht="14.25" customHeight="1" x14ac:dyDescent="0.3">
      <c r="A125" s="45" t="s">
        <v>133</v>
      </c>
      <c r="B125" s="43"/>
      <c r="D125" s="45" t="s">
        <v>226</v>
      </c>
      <c r="E125" s="43"/>
      <c r="G125" s="45" t="s">
        <v>226</v>
      </c>
      <c r="H125" s="43"/>
      <c r="J125" s="45" t="s">
        <v>133</v>
      </c>
      <c r="K125" s="43"/>
      <c r="M125" s="45" t="s">
        <v>133</v>
      </c>
      <c r="N125" s="43"/>
      <c r="P125" s="45" t="s">
        <v>133</v>
      </c>
      <c r="Q125" s="43"/>
      <c r="S125" s="45" t="s">
        <v>133</v>
      </c>
      <c r="T125" s="43"/>
    </row>
    <row r="126" spans="1:20" ht="14.25" customHeight="1" x14ac:dyDescent="0.3">
      <c r="A126" s="45" t="s">
        <v>226</v>
      </c>
      <c r="B126" s="43"/>
      <c r="D126" s="45" t="s">
        <v>227</v>
      </c>
      <c r="E126" s="87">
        <v>50</v>
      </c>
      <c r="G126" s="45" t="s">
        <v>228</v>
      </c>
      <c r="H126" s="43"/>
      <c r="J126" s="45" t="s">
        <v>229</v>
      </c>
      <c r="K126" s="43"/>
      <c r="M126" s="45" t="s">
        <v>226</v>
      </c>
      <c r="N126" s="43"/>
      <c r="P126" s="45" t="s">
        <v>226</v>
      </c>
      <c r="Q126" s="43"/>
      <c r="S126" s="45" t="s">
        <v>226</v>
      </c>
      <c r="T126" s="43"/>
    </row>
    <row r="127" spans="1:20" ht="14.25" customHeight="1" x14ac:dyDescent="0.3">
      <c r="A127" s="45" t="s">
        <v>230</v>
      </c>
      <c r="B127" s="43"/>
      <c r="D127" s="45" t="s">
        <v>231</v>
      </c>
      <c r="E127" s="136">
        <v>51229.97</v>
      </c>
      <c r="G127" s="45" t="s">
        <v>231</v>
      </c>
      <c r="H127" s="88"/>
      <c r="J127" s="45" t="s">
        <v>231</v>
      </c>
      <c r="K127" s="136">
        <v>44237.67</v>
      </c>
      <c r="M127" s="45" t="s">
        <v>232</v>
      </c>
      <c r="N127" s="43"/>
      <c r="P127" s="45" t="s">
        <v>232</v>
      </c>
      <c r="Q127" s="43"/>
      <c r="S127" s="45" t="s">
        <v>227</v>
      </c>
      <c r="T127" s="43"/>
    </row>
    <row r="128" spans="1:20" ht="14.25" customHeight="1" x14ac:dyDescent="0.3">
      <c r="A128" s="45" t="s">
        <v>231</v>
      </c>
      <c r="B128" s="136">
        <v>273165.63</v>
      </c>
      <c r="D128" s="45" t="s">
        <v>89</v>
      </c>
      <c r="E128" s="43"/>
      <c r="G128" s="45" t="s">
        <v>233</v>
      </c>
      <c r="H128" s="43"/>
      <c r="J128" s="45" t="s">
        <v>233</v>
      </c>
      <c r="K128" s="137">
        <v>2075</v>
      </c>
      <c r="M128" s="45" t="s">
        <v>231</v>
      </c>
      <c r="N128" s="88"/>
      <c r="P128" s="45" t="s">
        <v>231</v>
      </c>
      <c r="Q128" s="136">
        <v>14534.18</v>
      </c>
      <c r="S128" s="45" t="s">
        <v>231</v>
      </c>
      <c r="T128" s="136">
        <v>11246.26</v>
      </c>
    </row>
    <row r="129" spans="1:20" ht="14.25" customHeight="1" x14ac:dyDescent="0.3">
      <c r="A129" s="45" t="s">
        <v>233</v>
      </c>
      <c r="B129" s="137">
        <v>2214</v>
      </c>
      <c r="D129" s="45" t="s">
        <v>234</v>
      </c>
      <c r="E129" s="87">
        <f>E154*B170</f>
        <v>420</v>
      </c>
      <c r="G129" s="45" t="s">
        <v>234</v>
      </c>
      <c r="H129" s="87">
        <f>H154*B170</f>
        <v>30</v>
      </c>
      <c r="J129" s="45" t="s">
        <v>235</v>
      </c>
      <c r="K129" s="43"/>
      <c r="M129" s="45" t="s">
        <v>233</v>
      </c>
      <c r="N129" s="43"/>
      <c r="P129" s="45" t="s">
        <v>233</v>
      </c>
      <c r="Q129" s="43"/>
      <c r="S129" s="45" t="s">
        <v>233</v>
      </c>
      <c r="T129" s="43"/>
    </row>
    <row r="130" spans="1:20" ht="14.25" customHeight="1" x14ac:dyDescent="0.3">
      <c r="A130" s="45" t="s">
        <v>234</v>
      </c>
      <c r="B130" s="87">
        <f>B154*B170</f>
        <v>2010</v>
      </c>
      <c r="D130" s="45" t="s">
        <v>236</v>
      </c>
      <c r="E130" s="89">
        <f>E154*B165</f>
        <v>396.34</v>
      </c>
      <c r="G130" s="45" t="s">
        <v>236</v>
      </c>
      <c r="H130" s="46">
        <f>H154*B165</f>
        <v>28.31</v>
      </c>
      <c r="J130" s="45" t="s">
        <v>234</v>
      </c>
      <c r="K130" s="87">
        <f>K154*B170</f>
        <v>360</v>
      </c>
      <c r="M130" s="45" t="s">
        <v>234</v>
      </c>
      <c r="N130" s="87">
        <f>N154*B170</f>
        <v>30</v>
      </c>
      <c r="P130" s="45" t="s">
        <v>234</v>
      </c>
      <c r="Q130" s="87">
        <f>Q154*B170</f>
        <v>150</v>
      </c>
      <c r="S130" s="45" t="s">
        <v>234</v>
      </c>
      <c r="T130" s="87">
        <f>T154*B170</f>
        <v>60</v>
      </c>
    </row>
    <row r="131" spans="1:20" ht="14.25" customHeight="1" x14ac:dyDescent="0.3">
      <c r="A131" s="45" t="s">
        <v>236</v>
      </c>
      <c r="B131" s="46">
        <f>B154*B165</f>
        <v>1896.77</v>
      </c>
      <c r="D131" s="45" t="s">
        <v>237</v>
      </c>
      <c r="E131" s="89">
        <f>E154*B166</f>
        <v>669.06</v>
      </c>
      <c r="G131" s="45" t="s">
        <v>237</v>
      </c>
      <c r="H131" s="46">
        <f>H154*B166</f>
        <v>47.79</v>
      </c>
      <c r="J131" s="45" t="s">
        <v>236</v>
      </c>
      <c r="K131" s="46">
        <f>K154*B165</f>
        <v>339.71999999999997</v>
      </c>
      <c r="M131" s="45" t="s">
        <v>236</v>
      </c>
      <c r="N131" s="46">
        <f>N154*B165</f>
        <v>28.31</v>
      </c>
      <c r="P131" s="45" t="s">
        <v>236</v>
      </c>
      <c r="Q131" s="46">
        <f>Q154*B165</f>
        <v>141.54999999999998</v>
      </c>
      <c r="S131" s="45" t="s">
        <v>236</v>
      </c>
      <c r="T131" s="46">
        <f>T154*B165</f>
        <v>56.62</v>
      </c>
    </row>
    <row r="132" spans="1:20" ht="14.25" customHeight="1" x14ac:dyDescent="0.3">
      <c r="A132" s="45" t="s">
        <v>237</v>
      </c>
      <c r="B132" s="46">
        <f>B154*B166</f>
        <v>3201.93</v>
      </c>
      <c r="D132" s="45" t="s">
        <v>238</v>
      </c>
      <c r="E132" s="89">
        <f>E154*B167</f>
        <v>903.56000000000006</v>
      </c>
      <c r="G132" s="45" t="s">
        <v>238</v>
      </c>
      <c r="H132" s="46">
        <f>H154*B167</f>
        <v>64.540000000000006</v>
      </c>
      <c r="J132" s="45" t="s">
        <v>237</v>
      </c>
      <c r="K132" s="46">
        <f>K154*B166</f>
        <v>573.48</v>
      </c>
      <c r="M132" s="45" t="s">
        <v>237</v>
      </c>
      <c r="N132" s="46">
        <f>N154*B166</f>
        <v>47.79</v>
      </c>
      <c r="P132" s="45" t="s">
        <v>237</v>
      </c>
      <c r="Q132" s="46">
        <f>Q154*B166</f>
        <v>238.95</v>
      </c>
      <c r="S132" s="45" t="s">
        <v>237</v>
      </c>
      <c r="T132" s="46">
        <f>T154*B166</f>
        <v>95.58</v>
      </c>
    </row>
    <row r="133" spans="1:20" ht="14.25" customHeight="1" x14ac:dyDescent="0.3">
      <c r="A133" s="45" t="s">
        <v>238</v>
      </c>
      <c r="B133" s="46">
        <f>B154*B167</f>
        <v>4324.18</v>
      </c>
      <c r="D133" s="45" t="s">
        <v>239</v>
      </c>
      <c r="E133" s="88">
        <v>140</v>
      </c>
      <c r="G133" s="45" t="s">
        <v>239</v>
      </c>
      <c r="H133" s="43"/>
      <c r="J133" s="45" t="s">
        <v>238</v>
      </c>
      <c r="K133" s="46">
        <f>K154*B167</f>
        <v>774.48</v>
      </c>
      <c r="M133" s="45" t="s">
        <v>238</v>
      </c>
      <c r="N133" s="46">
        <f>N154*B167</f>
        <v>64.540000000000006</v>
      </c>
      <c r="P133" s="45" t="s">
        <v>238</v>
      </c>
      <c r="Q133" s="46">
        <f>Q154*B167</f>
        <v>322.70000000000005</v>
      </c>
      <c r="S133" s="45" t="s">
        <v>238</v>
      </c>
      <c r="T133" s="46">
        <f>T154*B167</f>
        <v>129.08000000000001</v>
      </c>
    </row>
    <row r="134" spans="1:20" ht="14.25" customHeight="1" x14ac:dyDescent="0.3">
      <c r="A134" s="45" t="s">
        <v>239</v>
      </c>
      <c r="B134" s="124">
        <v>306</v>
      </c>
      <c r="D134" s="45" t="s">
        <v>240</v>
      </c>
      <c r="E134" s="88">
        <v>798.12</v>
      </c>
      <c r="G134" s="45" t="s">
        <v>241</v>
      </c>
      <c r="H134" s="46"/>
      <c r="J134" s="45" t="s">
        <v>239</v>
      </c>
      <c r="K134" s="88">
        <v>140</v>
      </c>
      <c r="M134" s="45" t="s">
        <v>242</v>
      </c>
      <c r="N134" s="43"/>
      <c r="P134" s="45" t="s">
        <v>239</v>
      </c>
      <c r="Q134" s="43"/>
      <c r="S134" s="45" t="s">
        <v>239</v>
      </c>
      <c r="T134" s="43"/>
    </row>
    <row r="135" spans="1:20" ht="14.25" customHeight="1" x14ac:dyDescent="0.3">
      <c r="A135" s="45" t="s">
        <v>240</v>
      </c>
      <c r="B135" s="124">
        <v>1646.58</v>
      </c>
      <c r="D135" s="45" t="s">
        <v>242</v>
      </c>
      <c r="E135" s="43"/>
      <c r="G135" s="45" t="s">
        <v>240</v>
      </c>
      <c r="H135" s="43"/>
      <c r="J135" s="45" t="s">
        <v>241</v>
      </c>
      <c r="K135" s="46"/>
      <c r="M135" s="45" t="s">
        <v>240</v>
      </c>
      <c r="N135" s="43"/>
      <c r="P135" s="45" t="s">
        <v>240</v>
      </c>
      <c r="Q135" s="43"/>
      <c r="S135" s="45" t="s">
        <v>240</v>
      </c>
      <c r="T135" s="43"/>
    </row>
    <row r="136" spans="1:20" ht="14.25" customHeight="1" x14ac:dyDescent="0.3">
      <c r="A136" s="45" t="s">
        <v>242</v>
      </c>
      <c r="B136" s="46"/>
      <c r="D136" s="45" t="s">
        <v>243</v>
      </c>
      <c r="E136" s="88">
        <v>222.88</v>
      </c>
      <c r="G136" s="45" t="s">
        <v>243</v>
      </c>
      <c r="H136" s="43"/>
      <c r="J136" s="45" t="s">
        <v>240</v>
      </c>
      <c r="K136" s="43"/>
      <c r="M136" s="45" t="s">
        <v>243</v>
      </c>
      <c r="N136" s="43"/>
      <c r="P136" s="45" t="s">
        <v>242</v>
      </c>
      <c r="Q136" s="43"/>
      <c r="S136" s="45" t="s">
        <v>243</v>
      </c>
      <c r="T136" s="43"/>
    </row>
    <row r="137" spans="1:20" ht="14.25" customHeight="1" x14ac:dyDescent="0.3">
      <c r="A137" s="45" t="s">
        <v>243</v>
      </c>
      <c r="B137" s="124">
        <v>2478.44</v>
      </c>
      <c r="D137" s="45"/>
      <c r="E137" s="46"/>
      <c r="G137" s="45" t="s">
        <v>248</v>
      </c>
      <c r="H137" s="46">
        <v>870.28</v>
      </c>
      <c r="J137" s="45" t="s">
        <v>243</v>
      </c>
      <c r="K137" s="43"/>
      <c r="M137" s="45" t="s">
        <v>58</v>
      </c>
      <c r="N137" s="46">
        <f>N154*B168</f>
        <v>10.050000000000001</v>
      </c>
      <c r="P137" s="45" t="s">
        <v>243</v>
      </c>
      <c r="Q137" s="88">
        <v>111.44</v>
      </c>
      <c r="S137" s="45" t="s">
        <v>246</v>
      </c>
      <c r="T137" s="43"/>
    </row>
    <row r="138" spans="1:20" ht="14.25" customHeight="1" x14ac:dyDescent="0.3">
      <c r="A138" s="45" t="s">
        <v>247</v>
      </c>
      <c r="B138" s="87">
        <v>17746.330000000002</v>
      </c>
      <c r="D138" s="45" t="s">
        <v>284</v>
      </c>
      <c r="E138" s="46">
        <v>2909.04</v>
      </c>
      <c r="G138" s="45" t="s">
        <v>252</v>
      </c>
      <c r="H138" s="43"/>
      <c r="J138" s="45" t="s">
        <v>249</v>
      </c>
      <c r="K138" s="46">
        <v>2525.1999999999998</v>
      </c>
      <c r="M138" s="45" t="s">
        <v>59</v>
      </c>
      <c r="N138" s="46">
        <f>N154*B169</f>
        <v>2.0699999999999998</v>
      </c>
      <c r="P138" s="45" t="s">
        <v>58</v>
      </c>
      <c r="Q138" s="46">
        <f>Q154*B168</f>
        <v>50.25</v>
      </c>
      <c r="S138" s="45" t="s">
        <v>250</v>
      </c>
      <c r="T138" s="46"/>
    </row>
    <row r="139" spans="1:20" ht="14.25" customHeight="1" x14ac:dyDescent="0.3">
      <c r="A139" s="45" t="s">
        <v>251</v>
      </c>
      <c r="B139" s="46">
        <v>4006.59</v>
      </c>
      <c r="D139" s="45" t="s">
        <v>58</v>
      </c>
      <c r="E139" s="46">
        <f>E154*B168</f>
        <v>140.70000000000002</v>
      </c>
      <c r="G139" s="45" t="s">
        <v>58</v>
      </c>
      <c r="H139" s="46">
        <f>H154*B168</f>
        <v>10.050000000000001</v>
      </c>
      <c r="J139" s="45" t="s">
        <v>253</v>
      </c>
      <c r="K139" s="46">
        <v>1667.65</v>
      </c>
      <c r="N139" s="48"/>
      <c r="P139" s="45" t="s">
        <v>59</v>
      </c>
      <c r="Q139" s="46">
        <f>Q154*B169</f>
        <v>10.35</v>
      </c>
      <c r="S139" s="45" t="s">
        <v>58</v>
      </c>
      <c r="T139" s="46">
        <f>T154*B168</f>
        <v>20.100000000000001</v>
      </c>
    </row>
    <row r="140" spans="1:20" ht="14.25" customHeight="1" x14ac:dyDescent="0.3">
      <c r="A140" s="45" t="s">
        <v>255</v>
      </c>
      <c r="B140" s="46">
        <v>2367.16</v>
      </c>
      <c r="D140" s="45" t="s">
        <v>59</v>
      </c>
      <c r="E140" s="46">
        <f>E154*B169</f>
        <v>28.979999999999997</v>
      </c>
      <c r="G140" s="45" t="s">
        <v>59</v>
      </c>
      <c r="H140" s="46">
        <f>H154*B169</f>
        <v>2.0699999999999998</v>
      </c>
      <c r="J140" s="45" t="s">
        <v>256</v>
      </c>
      <c r="K140" s="46">
        <v>1214.3900000000001</v>
      </c>
      <c r="M140" s="43"/>
      <c r="N140" s="43"/>
      <c r="P140" s="47" t="s">
        <v>254</v>
      </c>
      <c r="Q140" s="48"/>
      <c r="S140" s="45" t="s">
        <v>59</v>
      </c>
      <c r="T140" s="46">
        <f>T154*B169</f>
        <v>4.1399999999999997</v>
      </c>
    </row>
    <row r="141" spans="1:20" ht="14.25" customHeight="1" x14ac:dyDescent="0.3">
      <c r="A141" s="45" t="s">
        <v>257</v>
      </c>
      <c r="B141" s="46">
        <v>1265.26</v>
      </c>
      <c r="E141" s="48"/>
      <c r="H141" s="48"/>
      <c r="J141" s="45" t="s">
        <v>58</v>
      </c>
      <c r="K141" s="46">
        <f>K154*B168</f>
        <v>120.60000000000001</v>
      </c>
      <c r="M141" s="43"/>
      <c r="N141" s="43"/>
      <c r="P141" s="43"/>
      <c r="Q141" s="43"/>
      <c r="S141" s="47" t="s">
        <v>254</v>
      </c>
      <c r="T141" s="48"/>
    </row>
    <row r="142" spans="1:20" ht="14.25" customHeight="1" x14ac:dyDescent="0.3">
      <c r="A142" s="45" t="s">
        <v>258</v>
      </c>
      <c r="B142" s="46">
        <v>375.12</v>
      </c>
      <c r="D142" s="43"/>
      <c r="E142" s="43"/>
      <c r="G142" s="43"/>
      <c r="H142" s="43"/>
      <c r="J142" s="45" t="s">
        <v>59</v>
      </c>
      <c r="K142" s="46">
        <f>K154*B169</f>
        <v>24.839999999999996</v>
      </c>
      <c r="M142" s="43"/>
      <c r="N142" s="43"/>
      <c r="P142" s="43"/>
      <c r="Q142" s="43"/>
      <c r="S142" s="43"/>
      <c r="T142" s="43"/>
    </row>
    <row r="143" spans="1:20" ht="14.25" customHeight="1" x14ac:dyDescent="0.3">
      <c r="A143" s="45" t="s">
        <v>259</v>
      </c>
      <c r="B143" s="46">
        <v>1337.45</v>
      </c>
      <c r="D143" s="43"/>
      <c r="E143" s="43"/>
      <c r="G143" s="43"/>
      <c r="H143" s="43"/>
      <c r="J143" s="45" t="s">
        <v>260</v>
      </c>
      <c r="K143" s="46">
        <v>1892.16</v>
      </c>
      <c r="M143" s="43"/>
      <c r="N143" s="43"/>
      <c r="P143" s="43"/>
      <c r="Q143" s="43"/>
      <c r="S143" s="43"/>
      <c r="T143" s="43"/>
    </row>
    <row r="144" spans="1:20" ht="14.25" customHeight="1" x14ac:dyDescent="0.3">
      <c r="A144" s="45" t="s">
        <v>261</v>
      </c>
      <c r="B144" s="46">
        <v>101.15</v>
      </c>
      <c r="D144" s="43"/>
      <c r="E144" s="43"/>
      <c r="G144" s="43"/>
      <c r="H144" s="43"/>
      <c r="K144" s="48"/>
      <c r="M144" s="43"/>
      <c r="N144" s="43"/>
      <c r="P144" s="43"/>
      <c r="Q144" s="43"/>
      <c r="S144" s="43"/>
      <c r="T144" s="43"/>
    </row>
    <row r="145" spans="1:20" ht="14.25" customHeight="1" x14ac:dyDescent="0.3">
      <c r="A145" s="45" t="s">
        <v>262</v>
      </c>
      <c r="B145" s="46">
        <v>1405.07</v>
      </c>
      <c r="D145" s="43"/>
      <c r="E145" s="43"/>
      <c r="G145" s="43"/>
      <c r="H145" s="43"/>
      <c r="J145" s="43"/>
      <c r="K145" s="43"/>
      <c r="M145" s="43"/>
      <c r="N145" s="43"/>
      <c r="P145" s="43"/>
      <c r="Q145" s="43"/>
      <c r="S145" s="43"/>
      <c r="T145" s="43"/>
    </row>
    <row r="146" spans="1:20" ht="14.25" customHeight="1" x14ac:dyDescent="0.3">
      <c r="A146" s="45" t="s">
        <v>263</v>
      </c>
      <c r="B146" s="46">
        <v>1402.91</v>
      </c>
      <c r="D146" s="43"/>
      <c r="E146" s="43"/>
      <c r="G146" s="43"/>
      <c r="H146" s="43"/>
      <c r="J146" s="43"/>
      <c r="K146" s="43"/>
      <c r="M146" s="43"/>
      <c r="N146" s="43"/>
      <c r="P146" s="43"/>
      <c r="Q146" s="43"/>
      <c r="S146" s="43"/>
      <c r="T146" s="43"/>
    </row>
    <row r="147" spans="1:20" ht="14.25" customHeight="1" x14ac:dyDescent="0.3">
      <c r="A147" s="45"/>
      <c r="B147" s="43"/>
      <c r="D147" s="43"/>
      <c r="E147" s="43"/>
      <c r="G147" s="43"/>
      <c r="H147" s="43"/>
      <c r="J147" s="43"/>
      <c r="K147" s="43"/>
      <c r="M147" s="43"/>
      <c r="N147" s="43"/>
      <c r="P147" s="43"/>
      <c r="Q147" s="43"/>
      <c r="S147" s="43"/>
      <c r="T147" s="43"/>
    </row>
    <row r="148" spans="1:20" ht="14.25" customHeight="1" x14ac:dyDescent="0.3">
      <c r="A148" s="45"/>
      <c r="B148" s="46"/>
      <c r="D148" s="43"/>
      <c r="E148" s="43"/>
      <c r="G148" s="43"/>
      <c r="H148" s="43"/>
      <c r="J148" s="43"/>
      <c r="K148" s="43"/>
      <c r="M148" s="43"/>
      <c r="N148" s="43"/>
      <c r="P148" s="43"/>
      <c r="Q148" s="43"/>
      <c r="S148" s="43"/>
      <c r="T148" s="43"/>
    </row>
    <row r="149" spans="1:20" ht="14.25" customHeight="1" x14ac:dyDescent="0.3">
      <c r="A149" s="45" t="s">
        <v>58</v>
      </c>
      <c r="B149" s="46">
        <f>B154*B168</f>
        <v>673.35</v>
      </c>
      <c r="D149" s="43"/>
      <c r="E149" s="43"/>
      <c r="G149" s="43"/>
      <c r="H149" s="43"/>
      <c r="J149" s="43"/>
      <c r="K149" s="43"/>
      <c r="M149" s="43"/>
      <c r="N149" s="43"/>
      <c r="P149" s="43"/>
      <c r="Q149" s="43"/>
      <c r="S149" s="43"/>
      <c r="T149" s="43"/>
    </row>
    <row r="150" spans="1:20" ht="14.25" customHeight="1" x14ac:dyDescent="0.3">
      <c r="A150" s="45" t="s">
        <v>59</v>
      </c>
      <c r="B150" s="46">
        <f>B154*B169</f>
        <v>138.69</v>
      </c>
      <c r="D150" s="43"/>
      <c r="E150" s="43"/>
      <c r="G150" s="43"/>
      <c r="H150" s="43"/>
      <c r="J150" s="43"/>
      <c r="K150" s="43"/>
      <c r="M150" s="43"/>
      <c r="N150" s="43"/>
      <c r="P150" s="43"/>
      <c r="Q150" s="43"/>
      <c r="S150" s="43"/>
      <c r="T150" s="43"/>
    </row>
    <row r="151" spans="1:20" ht="14.25" customHeight="1" x14ac:dyDescent="0.3">
      <c r="A151" s="47" t="s">
        <v>254</v>
      </c>
      <c r="B151" s="90">
        <f>SUM(B123:B150)</f>
        <v>322062.61000000004</v>
      </c>
      <c r="D151" s="47" t="s">
        <v>254</v>
      </c>
      <c r="E151" s="87">
        <f>SUBTOTAL(109,E123:E150)</f>
        <v>57908.649999999994</v>
      </c>
      <c r="G151" s="47" t="s">
        <v>254</v>
      </c>
      <c r="H151" s="87">
        <f>SUBTOTAL(109,H123:H150)</f>
        <v>1053.04</v>
      </c>
      <c r="J151" s="47" t="s">
        <v>254</v>
      </c>
      <c r="K151" s="87">
        <f>SUBTOTAL(109,K123:K150)</f>
        <v>55945.19</v>
      </c>
      <c r="M151" s="47" t="s">
        <v>254</v>
      </c>
      <c r="N151" s="87">
        <f>SUBTOTAL(109,N123:N150)</f>
        <v>182.76</v>
      </c>
      <c r="P151" s="43"/>
      <c r="Q151" s="43">
        <f>SUBTOTAL(109,Q123:Q150)</f>
        <v>15559.420000000002</v>
      </c>
      <c r="S151" s="43"/>
      <c r="T151" s="43">
        <f>SUBTOTAL(109,T123:T150)</f>
        <v>11611.78</v>
      </c>
    </row>
    <row r="152" spans="1:20" x14ac:dyDescent="0.3">
      <c r="A152" s="54"/>
      <c r="B152" s="55"/>
      <c r="D152" s="55"/>
      <c r="E152" s="55"/>
      <c r="G152" s="55"/>
      <c r="H152" s="55"/>
      <c r="J152" s="55"/>
      <c r="K152" s="55"/>
      <c r="M152" s="55"/>
      <c r="N152" s="55"/>
      <c r="P152" s="55"/>
      <c r="Q152" s="55"/>
      <c r="S152" s="55"/>
      <c r="T152" s="55"/>
    </row>
    <row r="153" spans="1:20" x14ac:dyDescent="0.3">
      <c r="A153" s="53"/>
      <c r="B153" s="56"/>
      <c r="D153" s="56"/>
      <c r="E153" s="56"/>
      <c r="G153" s="56"/>
      <c r="H153" s="56"/>
      <c r="J153" s="56"/>
      <c r="K153" s="56"/>
      <c r="M153" s="56"/>
      <c r="N153" s="56"/>
      <c r="P153" s="56"/>
      <c r="Q153" s="56"/>
      <c r="S153" s="56"/>
      <c r="T153" s="56"/>
    </row>
    <row r="154" spans="1:20" ht="14.25" customHeight="1" x14ac:dyDescent="0.3">
      <c r="A154" s="49" t="s">
        <v>266</v>
      </c>
      <c r="B154" s="138">
        <v>67</v>
      </c>
      <c r="D154" s="49" t="s">
        <v>266</v>
      </c>
      <c r="E154" s="138">
        <v>14</v>
      </c>
      <c r="G154" s="49" t="s">
        <v>266</v>
      </c>
      <c r="H154" s="61">
        <v>1</v>
      </c>
      <c r="J154" s="49" t="s">
        <v>266</v>
      </c>
      <c r="K154" s="138">
        <v>12</v>
      </c>
      <c r="M154" s="49" t="s">
        <v>266</v>
      </c>
      <c r="N154" s="61">
        <v>1</v>
      </c>
      <c r="P154" s="49" t="s">
        <v>266</v>
      </c>
      <c r="Q154" s="138">
        <v>5</v>
      </c>
      <c r="S154" s="49" t="s">
        <v>266</v>
      </c>
      <c r="T154" s="138">
        <v>2</v>
      </c>
    </row>
    <row r="155" spans="1:20" ht="14.25" customHeight="1" x14ac:dyDescent="0.3">
      <c r="A155" s="49" t="s">
        <v>267</v>
      </c>
      <c r="B155" s="43"/>
      <c r="D155" s="49" t="s">
        <v>267</v>
      </c>
      <c r="E155" s="43"/>
      <c r="G155" s="49" t="s">
        <v>267</v>
      </c>
      <c r="H155" s="43"/>
      <c r="J155" s="49" t="s">
        <v>267</v>
      </c>
      <c r="K155" s="43"/>
      <c r="M155" s="49" t="s">
        <v>267</v>
      </c>
      <c r="N155" s="43"/>
      <c r="P155" s="49" t="s">
        <v>267</v>
      </c>
      <c r="Q155" s="43"/>
      <c r="S155" s="49" t="s">
        <v>267</v>
      </c>
      <c r="T155" s="43"/>
    </row>
    <row r="156" spans="1:20" ht="14.25" customHeight="1" x14ac:dyDescent="0.3">
      <c r="A156" s="49" t="s">
        <v>268</v>
      </c>
      <c r="B156" s="61">
        <v>1138</v>
      </c>
      <c r="D156" s="49" t="s">
        <v>268</v>
      </c>
      <c r="E156" s="61">
        <v>137</v>
      </c>
      <c r="G156" s="49" t="s">
        <v>268</v>
      </c>
      <c r="H156" s="61">
        <v>40</v>
      </c>
      <c r="J156" s="49" t="s">
        <v>268</v>
      </c>
      <c r="K156" s="61">
        <v>78</v>
      </c>
      <c r="M156" s="49" t="s">
        <v>268</v>
      </c>
      <c r="N156" s="61">
        <v>26</v>
      </c>
      <c r="P156" s="49" t="s">
        <v>268</v>
      </c>
      <c r="Q156" s="61">
        <v>42</v>
      </c>
      <c r="S156" s="49" t="s">
        <v>268</v>
      </c>
      <c r="T156" s="43">
        <v>25</v>
      </c>
    </row>
    <row r="157" spans="1:20" ht="14.25" customHeight="1" x14ac:dyDescent="0.3">
      <c r="A157" s="49" t="s">
        <v>269</v>
      </c>
      <c r="B157" s="43">
        <v>18</v>
      </c>
      <c r="D157" s="49" t="s">
        <v>269</v>
      </c>
      <c r="E157" s="43">
        <v>4</v>
      </c>
      <c r="G157" s="49" t="s">
        <v>269</v>
      </c>
      <c r="H157" s="43"/>
      <c r="J157" s="49" t="s">
        <v>269</v>
      </c>
      <c r="K157" s="43">
        <v>2</v>
      </c>
      <c r="M157" s="49" t="s">
        <v>269</v>
      </c>
      <c r="N157" s="43"/>
      <c r="P157" s="49" t="s">
        <v>269</v>
      </c>
      <c r="Q157" s="43"/>
      <c r="S157" s="49" t="s">
        <v>269</v>
      </c>
      <c r="T157" s="43"/>
    </row>
    <row r="158" spans="1:20" x14ac:dyDescent="0.3">
      <c r="A158" s="43"/>
      <c r="B158" s="43"/>
      <c r="D158" s="43"/>
      <c r="E158" s="43"/>
      <c r="G158" s="43"/>
      <c r="H158" s="43"/>
      <c r="J158" s="43"/>
      <c r="K158" s="43"/>
      <c r="M158" s="43"/>
      <c r="N158" s="43"/>
      <c r="P158" s="43"/>
      <c r="Q158" s="43"/>
      <c r="S158" s="43"/>
      <c r="T158" s="43"/>
    </row>
    <row r="159" spans="1:20" ht="14.25" customHeight="1" x14ac:dyDescent="0.3">
      <c r="A159" s="49" t="s">
        <v>270</v>
      </c>
      <c r="B159" s="87">
        <v>94587.45</v>
      </c>
      <c r="D159" s="49" t="s">
        <v>270</v>
      </c>
      <c r="E159" s="87">
        <v>11142.14</v>
      </c>
      <c r="G159" s="49" t="s">
        <v>270</v>
      </c>
      <c r="H159" s="87">
        <v>4285.58</v>
      </c>
      <c r="J159" s="49" t="s">
        <v>270</v>
      </c>
      <c r="K159" s="91">
        <v>7338.18</v>
      </c>
      <c r="M159" s="49" t="s">
        <v>270</v>
      </c>
      <c r="N159" s="87">
        <v>2307.4</v>
      </c>
      <c r="P159" s="49" t="s">
        <v>270</v>
      </c>
      <c r="Q159" s="87">
        <v>2931.3</v>
      </c>
      <c r="S159" s="49" t="s">
        <v>270</v>
      </c>
      <c r="T159" s="87">
        <v>2382.58</v>
      </c>
    </row>
    <row r="160" spans="1:20" ht="14.25" customHeight="1" x14ac:dyDescent="0.3">
      <c r="A160" s="49" t="s">
        <v>271</v>
      </c>
      <c r="B160" s="92">
        <v>240.1</v>
      </c>
      <c r="D160" s="49" t="s">
        <v>271</v>
      </c>
      <c r="E160" s="92">
        <v>20</v>
      </c>
      <c r="G160" s="49" t="s">
        <v>271</v>
      </c>
      <c r="H160" s="43"/>
      <c r="J160" s="49" t="s">
        <v>271</v>
      </c>
      <c r="K160" s="92">
        <v>20</v>
      </c>
      <c r="M160" s="49" t="s">
        <v>271</v>
      </c>
      <c r="N160" s="43"/>
      <c r="P160" s="49" t="s">
        <v>271</v>
      </c>
      <c r="Q160" s="43"/>
      <c r="S160" s="49" t="s">
        <v>271</v>
      </c>
      <c r="T160" s="43"/>
    </row>
    <row r="161" spans="1:20" ht="14.25" customHeight="1" x14ac:dyDescent="0.3">
      <c r="A161" s="49" t="s">
        <v>272</v>
      </c>
      <c r="B161" s="50">
        <f>SUM(B159:B160)</f>
        <v>94827.55</v>
      </c>
      <c r="D161" s="43"/>
      <c r="E161" s="50">
        <f>SUM(E159:E160)</f>
        <v>11162.14</v>
      </c>
      <c r="G161" s="43"/>
      <c r="H161" s="50">
        <f>SUM(H159:H160)</f>
        <v>4285.58</v>
      </c>
      <c r="J161" s="43"/>
      <c r="K161" s="50">
        <f>SUM(K159:K160)</f>
        <v>7358.18</v>
      </c>
      <c r="M161" s="43"/>
      <c r="N161" s="50">
        <f>SUM(N159:N160)</f>
        <v>2307.4</v>
      </c>
      <c r="P161" s="43"/>
      <c r="Q161" s="50">
        <f>SUM(Q159:Q160)</f>
        <v>2931.3</v>
      </c>
      <c r="S161" s="43"/>
      <c r="T161" s="50">
        <f>SUM(T159:T160)</f>
        <v>2382.58</v>
      </c>
    </row>
    <row r="162" spans="1:20" x14ac:dyDescent="0.3">
      <c r="A162" s="52"/>
      <c r="B162" s="57"/>
      <c r="D162" s="43"/>
      <c r="E162" s="43"/>
      <c r="G162" s="43"/>
      <c r="H162" s="43"/>
      <c r="J162" s="43"/>
      <c r="K162" s="43"/>
      <c r="M162" s="43"/>
      <c r="N162" s="43"/>
      <c r="P162" s="43"/>
      <c r="Q162" s="43"/>
      <c r="S162" s="43"/>
      <c r="T162" s="43"/>
    </row>
    <row r="163" spans="1:20" ht="14.25" customHeight="1" x14ac:dyDescent="0.3">
      <c r="A163" s="49" t="s">
        <v>273</v>
      </c>
      <c r="B163" s="93">
        <f>IFERROR(B151/SUM(B156:B157),"")</f>
        <v>278.60087370242218</v>
      </c>
      <c r="D163" s="49" t="s">
        <v>273</v>
      </c>
      <c r="E163" s="93">
        <f>IFERROR(E151/SUM(E156:E157),"")</f>
        <v>410.69964539007088</v>
      </c>
      <c r="G163" s="49" t="s">
        <v>273</v>
      </c>
      <c r="H163" s="93">
        <f>IFERROR(H151/SUM(H156:H157),"")</f>
        <v>26.326000000000001</v>
      </c>
      <c r="J163" s="49" t="s">
        <v>273</v>
      </c>
      <c r="K163" s="93">
        <f>IFERROR(K151/SUM(K156:K157),"")</f>
        <v>699.31487500000003</v>
      </c>
      <c r="M163" s="49" t="s">
        <v>273</v>
      </c>
      <c r="N163" s="93">
        <f>IFERROR(N151/SUM(N156:N157),"")</f>
        <v>7.0292307692307689</v>
      </c>
      <c r="P163" s="49" t="s">
        <v>273</v>
      </c>
      <c r="Q163" s="50">
        <f>IFERROR(Q151/SUM(Q156:Q157),"")</f>
        <v>370.46238095238101</v>
      </c>
      <c r="S163" s="49" t="s">
        <v>273</v>
      </c>
      <c r="T163" s="50">
        <f>IFERROR(T151/SUM(T156:T157),"")</f>
        <v>464.47120000000001</v>
      </c>
    </row>
    <row r="165" spans="1:20" ht="14.25" customHeight="1" x14ac:dyDescent="0.3">
      <c r="A165" s="51" t="s">
        <v>26</v>
      </c>
      <c r="B165" s="94">
        <v>28.31</v>
      </c>
    </row>
    <row r="166" spans="1:20" ht="14.25" customHeight="1" x14ac:dyDescent="0.3">
      <c r="A166" s="49" t="s">
        <v>14</v>
      </c>
      <c r="B166" s="87">
        <v>47.79</v>
      </c>
    </row>
    <row r="167" spans="1:20" ht="14.25" customHeight="1" x14ac:dyDescent="0.3">
      <c r="A167" s="49" t="s">
        <v>274</v>
      </c>
      <c r="B167" s="87">
        <v>64.540000000000006</v>
      </c>
    </row>
    <row r="168" spans="1:20" ht="14.25" customHeight="1" x14ac:dyDescent="0.3">
      <c r="A168" s="49" t="s">
        <v>275</v>
      </c>
      <c r="B168" s="87">
        <v>10.050000000000001</v>
      </c>
    </row>
    <row r="169" spans="1:20" ht="14.25" customHeight="1" x14ac:dyDescent="0.3">
      <c r="A169" s="49" t="s">
        <v>276</v>
      </c>
      <c r="B169" s="87">
        <v>2.0699999999999998</v>
      </c>
    </row>
    <row r="170" spans="1:20" x14ac:dyDescent="0.3">
      <c r="A170" s="49" t="s">
        <v>282</v>
      </c>
      <c r="B170" s="87">
        <v>30</v>
      </c>
    </row>
    <row r="171" spans="1:20" x14ac:dyDescent="0.3">
      <c r="A171" s="32"/>
      <c r="B171" s="91"/>
    </row>
    <row r="172" spans="1:20" ht="14.25" customHeight="1" x14ac:dyDescent="0.3">
      <c r="A172" s="30" t="s">
        <v>277</v>
      </c>
    </row>
    <row r="174" spans="1:20" ht="14.25" customHeight="1" x14ac:dyDescent="0.3">
      <c r="A174" s="30" t="s">
        <v>278</v>
      </c>
    </row>
    <row r="178" spans="1:20" ht="15.6" customHeight="1" x14ac:dyDescent="0.3">
      <c r="A178" s="10" t="s">
        <v>285</v>
      </c>
    </row>
    <row r="179" spans="1:20" ht="15.6" customHeight="1" x14ac:dyDescent="0.3"/>
    <row r="180" spans="1:20" x14ac:dyDescent="0.3">
      <c r="A180" s="4" t="s">
        <v>32</v>
      </c>
      <c r="D180" s="4" t="s">
        <v>33</v>
      </c>
      <c r="G180" s="4" t="s">
        <v>34</v>
      </c>
      <c r="J180" s="4" t="s">
        <v>35</v>
      </c>
      <c r="M180" s="4" t="s">
        <v>220</v>
      </c>
      <c r="P180" s="4" t="s">
        <v>221</v>
      </c>
      <c r="S180" s="4" t="s">
        <v>38</v>
      </c>
    </row>
    <row r="181" spans="1:20" x14ac:dyDescent="0.3">
      <c r="A181" s="72" t="s">
        <v>222</v>
      </c>
      <c r="B181" s="72" t="s">
        <v>223</v>
      </c>
      <c r="D181" s="72" t="s">
        <v>222</v>
      </c>
      <c r="E181" s="72" t="s">
        <v>223</v>
      </c>
      <c r="G181" s="72" t="s">
        <v>222</v>
      </c>
      <c r="H181" s="72" t="s">
        <v>223</v>
      </c>
      <c r="J181" s="72" t="s">
        <v>222</v>
      </c>
      <c r="K181" s="72" t="s">
        <v>223</v>
      </c>
      <c r="M181" s="72" t="s">
        <v>222</v>
      </c>
      <c r="N181" s="72" t="s">
        <v>223</v>
      </c>
      <c r="P181" s="72" t="s">
        <v>222</v>
      </c>
      <c r="Q181" s="72" t="s">
        <v>223</v>
      </c>
      <c r="S181" s="72" t="s">
        <v>222</v>
      </c>
      <c r="T181" s="72" t="s">
        <v>223</v>
      </c>
    </row>
    <row r="182" spans="1:20" x14ac:dyDescent="0.3">
      <c r="A182" s="30" t="s">
        <v>224</v>
      </c>
      <c r="D182" s="30" t="s">
        <v>224</v>
      </c>
      <c r="G182" s="30" t="s">
        <v>224</v>
      </c>
      <c r="J182" s="30" t="s">
        <v>224</v>
      </c>
      <c r="M182" s="30" t="s">
        <v>224</v>
      </c>
      <c r="P182" s="30" t="s">
        <v>224</v>
      </c>
      <c r="S182" s="30" t="s">
        <v>224</v>
      </c>
    </row>
    <row r="183" spans="1:20" x14ac:dyDescent="0.3">
      <c r="A183" s="30" t="s">
        <v>60</v>
      </c>
      <c r="B183" s="139">
        <v>9739.16</v>
      </c>
      <c r="D183" s="30" t="s">
        <v>60</v>
      </c>
      <c r="E183" s="139">
        <v>5746.25</v>
      </c>
      <c r="G183" s="30" t="s">
        <v>60</v>
      </c>
      <c r="H183" s="95"/>
      <c r="J183" s="30" t="s">
        <v>60</v>
      </c>
      <c r="K183" s="139">
        <v>1287.95</v>
      </c>
      <c r="M183" s="30" t="s">
        <v>60</v>
      </c>
      <c r="P183" s="30" t="s">
        <v>60</v>
      </c>
      <c r="S183" s="30" t="s">
        <v>60</v>
      </c>
    </row>
    <row r="184" spans="1:20" x14ac:dyDescent="0.3">
      <c r="A184" s="30" t="s">
        <v>133</v>
      </c>
      <c r="D184" s="30" t="s">
        <v>226</v>
      </c>
      <c r="G184" s="30" t="s">
        <v>226</v>
      </c>
      <c r="J184" s="30" t="s">
        <v>133</v>
      </c>
      <c r="M184" s="30" t="s">
        <v>133</v>
      </c>
      <c r="P184" s="30" t="s">
        <v>133</v>
      </c>
      <c r="S184" s="30" t="s">
        <v>133</v>
      </c>
    </row>
    <row r="185" spans="1:20" x14ac:dyDescent="0.3">
      <c r="A185" s="30" t="s">
        <v>226</v>
      </c>
      <c r="D185" s="30" t="s">
        <v>227</v>
      </c>
      <c r="E185" s="91">
        <v>50</v>
      </c>
      <c r="G185" s="30" t="s">
        <v>286</v>
      </c>
      <c r="H185" s="91">
        <v>30</v>
      </c>
      <c r="J185" s="30" t="s">
        <v>229</v>
      </c>
      <c r="M185" s="30" t="s">
        <v>226</v>
      </c>
      <c r="P185" s="30" t="s">
        <v>226</v>
      </c>
      <c r="S185" s="30" t="s">
        <v>226</v>
      </c>
    </row>
    <row r="186" spans="1:20" x14ac:dyDescent="0.3">
      <c r="A186" s="30" t="s">
        <v>230</v>
      </c>
      <c r="D186" s="30" t="s">
        <v>231</v>
      </c>
      <c r="E186" s="139">
        <v>32377.78</v>
      </c>
      <c r="G186" s="30" t="s">
        <v>231</v>
      </c>
      <c r="H186" s="139">
        <v>7142.23</v>
      </c>
      <c r="J186" s="30" t="s">
        <v>231</v>
      </c>
      <c r="K186" s="139">
        <v>40478.870000000003</v>
      </c>
      <c r="M186" s="30" t="s">
        <v>232</v>
      </c>
      <c r="P186" s="30" t="s">
        <v>232</v>
      </c>
      <c r="S186" s="30" t="s">
        <v>227</v>
      </c>
    </row>
    <row r="187" spans="1:20" x14ac:dyDescent="0.3">
      <c r="A187" s="30" t="s">
        <v>231</v>
      </c>
      <c r="B187" s="139">
        <v>230940.82</v>
      </c>
      <c r="D187" s="30" t="s">
        <v>89</v>
      </c>
      <c r="G187" s="30" t="s">
        <v>233</v>
      </c>
      <c r="H187" s="95"/>
      <c r="J187" s="30" t="s">
        <v>233</v>
      </c>
      <c r="K187" s="140">
        <v>1854</v>
      </c>
      <c r="M187" s="30" t="s">
        <v>231</v>
      </c>
      <c r="N187" s="95"/>
      <c r="P187" s="30" t="s">
        <v>231</v>
      </c>
      <c r="Q187" s="139">
        <v>12642.93</v>
      </c>
      <c r="S187" s="30" t="s">
        <v>231</v>
      </c>
      <c r="T187" s="95"/>
    </row>
    <row r="188" spans="1:20" x14ac:dyDescent="0.3">
      <c r="A188" s="30" t="s">
        <v>233</v>
      </c>
      <c r="B188" s="140">
        <v>6027</v>
      </c>
      <c r="D188" s="30" t="s">
        <v>234</v>
      </c>
      <c r="E188" s="91">
        <f>E210*B225</f>
        <v>270</v>
      </c>
      <c r="G188" s="30" t="s">
        <v>234</v>
      </c>
      <c r="H188" s="91">
        <f>H210*B225</f>
        <v>60</v>
      </c>
      <c r="J188" s="30" t="s">
        <v>235</v>
      </c>
      <c r="M188" s="30" t="s">
        <v>233</v>
      </c>
      <c r="N188" s="95"/>
      <c r="P188" s="30" t="s">
        <v>233</v>
      </c>
      <c r="S188" s="30" t="s">
        <v>233</v>
      </c>
    </row>
    <row r="189" spans="1:20" x14ac:dyDescent="0.3">
      <c r="A189" s="30" t="s">
        <v>234</v>
      </c>
      <c r="B189" s="91">
        <f>B210*B225</f>
        <v>2160</v>
      </c>
      <c r="D189" s="30" t="s">
        <v>236</v>
      </c>
      <c r="E189" s="96">
        <f>E210*B220</f>
        <v>234</v>
      </c>
      <c r="G189" s="30" t="s">
        <v>236</v>
      </c>
      <c r="H189" s="73">
        <f>H210*B220</f>
        <v>52</v>
      </c>
      <c r="J189" s="30" t="s">
        <v>234</v>
      </c>
      <c r="K189" s="91">
        <f>K210*B225</f>
        <v>420</v>
      </c>
      <c r="M189" s="30" t="s">
        <v>234</v>
      </c>
      <c r="N189" s="91">
        <f>N210*B225</f>
        <v>0</v>
      </c>
      <c r="P189" s="30" t="s">
        <v>234</v>
      </c>
      <c r="Q189" s="91">
        <f>Q210*B225</f>
        <v>150</v>
      </c>
      <c r="S189" s="30" t="s">
        <v>234</v>
      </c>
      <c r="T189" s="91">
        <f>T210*B225</f>
        <v>0</v>
      </c>
    </row>
    <row r="190" spans="1:20" x14ac:dyDescent="0.3">
      <c r="A190" s="30" t="s">
        <v>236</v>
      </c>
      <c r="B190" s="73">
        <f>B210*B220</f>
        <v>1872</v>
      </c>
      <c r="D190" s="30" t="s">
        <v>237</v>
      </c>
      <c r="E190" s="96">
        <f>E210*B221</f>
        <v>384.93</v>
      </c>
      <c r="G190" s="30" t="s">
        <v>237</v>
      </c>
      <c r="H190" s="73">
        <f>H210*B221</f>
        <v>85.54</v>
      </c>
      <c r="J190" s="30" t="s">
        <v>236</v>
      </c>
      <c r="K190" s="73">
        <f>K210*B220</f>
        <v>364</v>
      </c>
      <c r="M190" s="30" t="s">
        <v>236</v>
      </c>
      <c r="N190" s="73">
        <f>N210*B220</f>
        <v>0</v>
      </c>
      <c r="P190" s="30" t="s">
        <v>236</v>
      </c>
      <c r="Q190" s="73">
        <f>Q210*B220</f>
        <v>130</v>
      </c>
      <c r="S190" s="30" t="s">
        <v>236</v>
      </c>
      <c r="T190" s="73">
        <f>T210*B220</f>
        <v>0</v>
      </c>
    </row>
    <row r="191" spans="1:20" x14ac:dyDescent="0.3">
      <c r="A191" s="30" t="s">
        <v>237</v>
      </c>
      <c r="B191" s="73">
        <f>B210*B221</f>
        <v>3079.44</v>
      </c>
      <c r="D191" s="30" t="s">
        <v>238</v>
      </c>
      <c r="E191" s="96">
        <f>E210*B222</f>
        <v>573.75</v>
      </c>
      <c r="G191" s="30" t="s">
        <v>238</v>
      </c>
      <c r="H191" s="73">
        <f>H210*B222</f>
        <v>127.5</v>
      </c>
      <c r="J191" s="30" t="s">
        <v>237</v>
      </c>
      <c r="K191" s="73">
        <f>K210*B221</f>
        <v>598.78000000000009</v>
      </c>
      <c r="M191" s="30" t="s">
        <v>237</v>
      </c>
      <c r="N191" s="73">
        <f>N210*B221</f>
        <v>0</v>
      </c>
      <c r="P191" s="30" t="s">
        <v>237</v>
      </c>
      <c r="Q191" s="73">
        <f>Q210*B221</f>
        <v>213.85000000000002</v>
      </c>
      <c r="S191" s="30" t="s">
        <v>237</v>
      </c>
      <c r="T191" s="73">
        <f>T210*B221</f>
        <v>0</v>
      </c>
    </row>
    <row r="192" spans="1:20" x14ac:dyDescent="0.3">
      <c r="A192" s="30" t="s">
        <v>238</v>
      </c>
      <c r="B192" s="73">
        <f>B210*B222</f>
        <v>4590</v>
      </c>
      <c r="D192" s="30" t="s">
        <v>239</v>
      </c>
      <c r="E192" s="95">
        <v>151.6</v>
      </c>
      <c r="G192" s="30" t="s">
        <v>239</v>
      </c>
      <c r="J192" s="30" t="s">
        <v>238</v>
      </c>
      <c r="K192" s="73">
        <f>K210*B222</f>
        <v>892.5</v>
      </c>
      <c r="M192" s="30" t="s">
        <v>238</v>
      </c>
      <c r="N192" s="73">
        <f>N210*B222</f>
        <v>0</v>
      </c>
      <c r="P192" s="30" t="s">
        <v>238</v>
      </c>
      <c r="Q192" s="73">
        <f>Q210*B222</f>
        <v>318.75</v>
      </c>
      <c r="S192" s="30" t="s">
        <v>238</v>
      </c>
      <c r="T192" s="73">
        <f>T210*B222</f>
        <v>0</v>
      </c>
    </row>
    <row r="193" spans="1:20" x14ac:dyDescent="0.3">
      <c r="A193" s="30" t="s">
        <v>239</v>
      </c>
      <c r="B193" s="155">
        <v>809.6</v>
      </c>
      <c r="D193" s="30" t="s">
        <v>240</v>
      </c>
      <c r="E193" s="95"/>
      <c r="G193" s="30" t="s">
        <v>241</v>
      </c>
      <c r="J193" s="30" t="s">
        <v>239</v>
      </c>
      <c r="K193" s="95"/>
      <c r="M193" s="30" t="s">
        <v>242</v>
      </c>
      <c r="P193" s="30" t="s">
        <v>239</v>
      </c>
      <c r="S193" s="30" t="s">
        <v>239</v>
      </c>
    </row>
    <row r="194" spans="1:20" x14ac:dyDescent="0.3">
      <c r="A194" s="30" t="s">
        <v>240</v>
      </c>
      <c r="B194" s="155">
        <v>1553.08</v>
      </c>
      <c r="D194" s="30" t="s">
        <v>242</v>
      </c>
      <c r="G194" s="30" t="s">
        <v>240</v>
      </c>
      <c r="H194" s="95"/>
      <c r="J194" s="30" t="s">
        <v>241</v>
      </c>
      <c r="M194" s="30" t="s">
        <v>240</v>
      </c>
      <c r="P194" s="30" t="s">
        <v>240</v>
      </c>
      <c r="Q194" s="95"/>
      <c r="S194" s="30" t="s">
        <v>240</v>
      </c>
    </row>
    <row r="195" spans="1:20" x14ac:dyDescent="0.3">
      <c r="A195" s="30" t="s">
        <v>242</v>
      </c>
      <c r="D195" s="30" t="s">
        <v>243</v>
      </c>
      <c r="E195" s="95"/>
      <c r="G195" s="30" t="s">
        <v>243</v>
      </c>
      <c r="H195" s="95"/>
      <c r="J195" s="30" t="s">
        <v>240</v>
      </c>
      <c r="K195" s="95"/>
      <c r="M195" s="30" t="s">
        <v>243</v>
      </c>
      <c r="N195" s="95"/>
      <c r="P195" s="30" t="s">
        <v>242</v>
      </c>
      <c r="S195" s="30" t="s">
        <v>243</v>
      </c>
    </row>
    <row r="196" spans="1:20" x14ac:dyDescent="0.3">
      <c r="A196" s="30" t="s">
        <v>243</v>
      </c>
      <c r="B196" s="155">
        <v>450.22</v>
      </c>
      <c r="G196" s="30" t="s">
        <v>252</v>
      </c>
      <c r="J196" s="30" t="s">
        <v>243</v>
      </c>
      <c r="K196" s="95"/>
      <c r="M196" s="30" t="s">
        <v>58</v>
      </c>
      <c r="N196" s="73">
        <f>N210*B223</f>
        <v>0</v>
      </c>
      <c r="P196" s="30" t="s">
        <v>243</v>
      </c>
      <c r="Q196" s="95"/>
      <c r="S196" s="30" t="s">
        <v>246</v>
      </c>
    </row>
    <row r="197" spans="1:20" x14ac:dyDescent="0.3">
      <c r="A197" s="30" t="s">
        <v>247</v>
      </c>
      <c r="B197" s="97">
        <v>13809.64</v>
      </c>
      <c r="D197" s="30" t="s">
        <v>287</v>
      </c>
      <c r="E197" s="73">
        <v>2242.1799999999998</v>
      </c>
      <c r="G197" s="30" t="s">
        <v>58</v>
      </c>
      <c r="H197" s="73">
        <f>H210*B223</f>
        <v>19.7</v>
      </c>
      <c r="J197" s="30" t="s">
        <v>288</v>
      </c>
      <c r="K197" s="73">
        <v>1775.53</v>
      </c>
      <c r="M197" s="30" t="s">
        <v>59</v>
      </c>
      <c r="N197" s="73">
        <f>N210*B224</f>
        <v>0</v>
      </c>
      <c r="P197" s="30" t="s">
        <v>58</v>
      </c>
      <c r="Q197" s="73">
        <f>Q210*B223</f>
        <v>49.25</v>
      </c>
      <c r="S197" s="30" t="s">
        <v>250</v>
      </c>
    </row>
    <row r="198" spans="1:20" x14ac:dyDescent="0.3">
      <c r="A198" s="30" t="s">
        <v>251</v>
      </c>
      <c r="B198" s="73">
        <v>1259.19</v>
      </c>
      <c r="D198" s="30" t="s">
        <v>58</v>
      </c>
      <c r="E198" s="73">
        <f>E210*B223</f>
        <v>88.649999999999991</v>
      </c>
      <c r="G198" s="30" t="s">
        <v>59</v>
      </c>
      <c r="H198" s="73">
        <f>H210*B224</f>
        <v>4.08</v>
      </c>
      <c r="J198" s="30" t="s">
        <v>253</v>
      </c>
      <c r="K198" s="155">
        <v>866.8</v>
      </c>
      <c r="P198" s="30" t="s">
        <v>59</v>
      </c>
      <c r="Q198" s="73">
        <f>Q210*B224</f>
        <v>10.199999999999999</v>
      </c>
      <c r="S198" s="30" t="s">
        <v>58</v>
      </c>
      <c r="T198" s="73">
        <f>T210*B223</f>
        <v>0</v>
      </c>
    </row>
    <row r="199" spans="1:20" x14ac:dyDescent="0.3">
      <c r="A199" s="30" t="s">
        <v>255</v>
      </c>
      <c r="B199" s="155">
        <v>1260.75</v>
      </c>
      <c r="D199" s="30" t="s">
        <v>59</v>
      </c>
      <c r="E199" s="73">
        <f>E210*B224</f>
        <v>18.36</v>
      </c>
      <c r="J199" s="30" t="s">
        <v>256</v>
      </c>
      <c r="K199" s="155">
        <v>1004.77</v>
      </c>
      <c r="S199" s="30" t="s">
        <v>59</v>
      </c>
      <c r="T199" s="73">
        <f>T210*B224</f>
        <v>0</v>
      </c>
    </row>
    <row r="200" spans="1:20" x14ac:dyDescent="0.3">
      <c r="A200" s="30" t="s">
        <v>257</v>
      </c>
      <c r="B200" s="155">
        <v>1081.1400000000001</v>
      </c>
      <c r="J200" s="30" t="s">
        <v>58</v>
      </c>
      <c r="K200" s="73">
        <f>K210*B223</f>
        <v>137.9</v>
      </c>
    </row>
    <row r="201" spans="1:20" x14ac:dyDescent="0.3">
      <c r="A201" s="30" t="s">
        <v>258</v>
      </c>
      <c r="B201" s="155">
        <v>242.69</v>
      </c>
      <c r="J201" s="30" t="s">
        <v>59</v>
      </c>
      <c r="K201" s="73">
        <f>K210*B224</f>
        <v>28.560000000000002</v>
      </c>
    </row>
    <row r="202" spans="1:20" x14ac:dyDescent="0.3">
      <c r="A202" s="30" t="s">
        <v>259</v>
      </c>
      <c r="B202" s="155">
        <v>1677.71</v>
      </c>
      <c r="J202" s="30" t="s">
        <v>260</v>
      </c>
      <c r="K202" s="155">
        <v>530.69000000000005</v>
      </c>
    </row>
    <row r="203" spans="1:20" x14ac:dyDescent="0.3">
      <c r="A203" s="30" t="s">
        <v>261</v>
      </c>
      <c r="B203" s="155">
        <v>128.11000000000001</v>
      </c>
    </row>
    <row r="204" spans="1:20" x14ac:dyDescent="0.3">
      <c r="A204" s="30" t="s">
        <v>263</v>
      </c>
      <c r="B204" s="155">
        <v>353.05</v>
      </c>
    </row>
    <row r="205" spans="1:20" x14ac:dyDescent="0.3">
      <c r="A205" s="30" t="s">
        <v>58</v>
      </c>
      <c r="B205" s="73">
        <f>B210*B223</f>
        <v>709.19999999999993</v>
      </c>
    </row>
    <row r="206" spans="1:20" x14ac:dyDescent="0.3">
      <c r="A206" s="30" t="s">
        <v>59</v>
      </c>
      <c r="B206" s="73">
        <f>B210*B224</f>
        <v>146.88</v>
      </c>
    </row>
    <row r="207" spans="1:20" x14ac:dyDescent="0.3">
      <c r="A207" s="74" t="s">
        <v>254</v>
      </c>
      <c r="B207" s="98">
        <f>SUM(B182:B206)</f>
        <v>281889.68000000005</v>
      </c>
      <c r="D207" s="74" t="s">
        <v>254</v>
      </c>
      <c r="E207" s="91">
        <f>SUBTOTAL(109,E182:E206)</f>
        <v>42137.5</v>
      </c>
      <c r="G207" s="74" t="s">
        <v>254</v>
      </c>
      <c r="H207" s="91">
        <f>SUBTOTAL(109,H182:H206)</f>
        <v>7521.0499999999993</v>
      </c>
      <c r="J207" s="74" t="s">
        <v>254</v>
      </c>
      <c r="K207" s="91">
        <f>SUBTOTAL(109,K182:K206)</f>
        <v>50240.35</v>
      </c>
      <c r="M207" s="74" t="s">
        <v>254</v>
      </c>
      <c r="N207" s="91">
        <f>SUBTOTAL(109,N182:N206)</f>
        <v>0</v>
      </c>
      <c r="P207" s="74" t="s">
        <v>254</v>
      </c>
      <c r="Q207">
        <f>SUBTOTAL(109,Q182:Q206)</f>
        <v>13514.980000000001</v>
      </c>
      <c r="S207" s="74" t="s">
        <v>254</v>
      </c>
      <c r="T207">
        <f>SUBTOTAL(109,T182:T206)</f>
        <v>0</v>
      </c>
    </row>
    <row r="210" spans="1:20" x14ac:dyDescent="0.3">
      <c r="A210" s="78" t="s">
        <v>266</v>
      </c>
      <c r="B210" s="141">
        <v>72</v>
      </c>
      <c r="D210" s="78" t="s">
        <v>266</v>
      </c>
      <c r="E210" s="141">
        <v>9</v>
      </c>
      <c r="G210" s="78" t="s">
        <v>266</v>
      </c>
      <c r="H210" s="141">
        <v>2</v>
      </c>
      <c r="J210" s="78" t="s">
        <v>266</v>
      </c>
      <c r="K210" s="141">
        <v>14</v>
      </c>
      <c r="M210" s="78" t="s">
        <v>266</v>
      </c>
      <c r="N210" s="82"/>
      <c r="P210" s="78" t="s">
        <v>266</v>
      </c>
      <c r="Q210" s="141">
        <v>5</v>
      </c>
      <c r="S210" s="78" t="s">
        <v>266</v>
      </c>
      <c r="T210" s="82"/>
    </row>
    <row r="211" spans="1:20" x14ac:dyDescent="0.3">
      <c r="A211" s="79" t="s">
        <v>268</v>
      </c>
      <c r="B211" s="142">
        <v>1264</v>
      </c>
      <c r="D211" s="79" t="s">
        <v>268</v>
      </c>
      <c r="E211" s="142">
        <v>158</v>
      </c>
      <c r="G211" s="79" t="s">
        <v>268</v>
      </c>
      <c r="H211" s="142">
        <v>26</v>
      </c>
      <c r="J211" s="79" t="s">
        <v>268</v>
      </c>
      <c r="K211" s="142">
        <v>66</v>
      </c>
      <c r="M211" s="79" t="s">
        <v>268</v>
      </c>
      <c r="N211" s="142">
        <v>25</v>
      </c>
      <c r="P211" s="79" t="s">
        <v>268</v>
      </c>
      <c r="Q211" s="142">
        <v>26</v>
      </c>
      <c r="S211" s="79" t="s">
        <v>268</v>
      </c>
      <c r="T211" s="80"/>
    </row>
    <row r="212" spans="1:20" x14ac:dyDescent="0.3">
      <c r="A212" s="81" t="s">
        <v>269</v>
      </c>
      <c r="B212" s="125">
        <v>7</v>
      </c>
      <c r="D212" s="81" t="s">
        <v>269</v>
      </c>
      <c r="E212" s="125">
        <v>4</v>
      </c>
      <c r="G212" s="81" t="s">
        <v>269</v>
      </c>
      <c r="H212" s="83"/>
      <c r="J212" s="81" t="s">
        <v>269</v>
      </c>
      <c r="K212" s="125">
        <v>1</v>
      </c>
      <c r="M212" s="81" t="s">
        <v>269</v>
      </c>
      <c r="N212" s="125">
        <v>1</v>
      </c>
      <c r="P212" s="81" t="s">
        <v>269</v>
      </c>
      <c r="Q212" s="83"/>
      <c r="S212" s="81" t="s">
        <v>269</v>
      </c>
      <c r="T212" s="83"/>
    </row>
    <row r="214" spans="1:20" x14ac:dyDescent="0.3">
      <c r="A214" s="32" t="s">
        <v>270</v>
      </c>
      <c r="B214" s="95">
        <v>106216.55</v>
      </c>
      <c r="D214" s="32" t="s">
        <v>270</v>
      </c>
      <c r="E214" s="95">
        <v>12889.57</v>
      </c>
      <c r="G214" s="32" t="s">
        <v>270</v>
      </c>
      <c r="H214" s="95">
        <v>2647.59</v>
      </c>
      <c r="J214" s="32" t="s">
        <v>270</v>
      </c>
      <c r="K214" s="95">
        <v>6359.19</v>
      </c>
      <c r="M214" s="32" t="s">
        <v>270</v>
      </c>
      <c r="N214" s="95">
        <v>2177.6999999999998</v>
      </c>
      <c r="P214" s="32" t="s">
        <v>270</v>
      </c>
      <c r="Q214" s="95">
        <v>2706.64</v>
      </c>
      <c r="S214" s="32" t="s">
        <v>270</v>
      </c>
      <c r="T214" s="91"/>
    </row>
    <row r="215" spans="1:20" x14ac:dyDescent="0.3">
      <c r="A215" s="32" t="s">
        <v>271</v>
      </c>
      <c r="B215" s="126">
        <v>164.99</v>
      </c>
      <c r="D215" s="32" t="s">
        <v>271</v>
      </c>
      <c r="E215" s="126">
        <v>90.1</v>
      </c>
      <c r="G215" s="32" t="s">
        <v>271</v>
      </c>
      <c r="J215" s="32" t="s">
        <v>271</v>
      </c>
      <c r="K215" s="126">
        <v>14.99</v>
      </c>
      <c r="M215" s="32" t="s">
        <v>271</v>
      </c>
      <c r="N215" s="63">
        <v>39.97</v>
      </c>
      <c r="P215" s="32" t="s">
        <v>271</v>
      </c>
      <c r="S215" s="32" t="s">
        <v>271</v>
      </c>
    </row>
    <row r="216" spans="1:20" x14ac:dyDescent="0.3">
      <c r="A216" s="32" t="s">
        <v>272</v>
      </c>
      <c r="B216" s="77">
        <f>SUM(B214:B215)</f>
        <v>106381.54000000001</v>
      </c>
      <c r="E216" s="77">
        <f>SUM(E214:E215)</f>
        <v>12979.67</v>
      </c>
      <c r="H216" s="77">
        <f>SUM(H214:H215)</f>
        <v>2647.59</v>
      </c>
      <c r="K216" s="77">
        <f>SUM(K214:K215)</f>
        <v>6374.1799999999994</v>
      </c>
      <c r="N216" s="77">
        <f>SUM(N214:N215)</f>
        <v>2217.6699999999996</v>
      </c>
      <c r="Q216" s="77">
        <f>SUM(Q214:Q215)</f>
        <v>2706.64</v>
      </c>
      <c r="T216" s="33">
        <f>SUM(T214:T215)</f>
        <v>0</v>
      </c>
    </row>
    <row r="218" spans="1:20" x14ac:dyDescent="0.3">
      <c r="A218" s="84" t="s">
        <v>273</v>
      </c>
      <c r="B218" s="99">
        <f>IFERROR(B207/SUM(B211:B212),"")</f>
        <v>221.78574350904805</v>
      </c>
      <c r="D218" s="84" t="s">
        <v>273</v>
      </c>
      <c r="E218" s="99">
        <f>IFERROR(E207/SUM(E211:E212),"")</f>
        <v>260.10802469135803</v>
      </c>
      <c r="G218" s="84" t="s">
        <v>273</v>
      </c>
      <c r="H218" s="99">
        <f>IFERROR(H207/SUM(H211:H212),"")</f>
        <v>289.27115384615382</v>
      </c>
      <c r="J218" s="84" t="s">
        <v>273</v>
      </c>
      <c r="K218" s="99">
        <f>IFERROR(K207/SUM(K211:K212),"")</f>
        <v>749.85597014925372</v>
      </c>
      <c r="M218" s="84" t="s">
        <v>273</v>
      </c>
      <c r="N218" s="99">
        <f>IFERROR(N207/SUM(N211:N212),"")</f>
        <v>0</v>
      </c>
      <c r="P218" s="84" t="s">
        <v>273</v>
      </c>
      <c r="Q218" s="85">
        <f>IFERROR(Q207/SUM(Q211:Q212),"")</f>
        <v>519.80692307692311</v>
      </c>
      <c r="S218" s="84" t="s">
        <v>273</v>
      </c>
      <c r="T218" s="85" t="str">
        <f>IFERROR(T207/SUM(T211:T212),"")</f>
        <v/>
      </c>
    </row>
    <row r="220" spans="1:20" x14ac:dyDescent="0.3">
      <c r="A220" s="32" t="s">
        <v>26</v>
      </c>
      <c r="B220" s="91">
        <v>26</v>
      </c>
    </row>
    <row r="221" spans="1:20" x14ac:dyDescent="0.3">
      <c r="A221" s="32" t="s">
        <v>14</v>
      </c>
      <c r="B221" s="91">
        <v>42.77</v>
      </c>
    </row>
    <row r="222" spans="1:20" x14ac:dyDescent="0.3">
      <c r="A222" s="32" t="s">
        <v>274</v>
      </c>
      <c r="B222" s="91">
        <v>63.75</v>
      </c>
    </row>
    <row r="223" spans="1:20" x14ac:dyDescent="0.3">
      <c r="A223" s="32" t="s">
        <v>275</v>
      </c>
      <c r="B223" s="91">
        <v>9.85</v>
      </c>
    </row>
    <row r="224" spans="1:20" x14ac:dyDescent="0.3">
      <c r="A224" s="32" t="s">
        <v>276</v>
      </c>
      <c r="B224" s="91">
        <v>2.04</v>
      </c>
    </row>
    <row r="225" spans="1:2" x14ac:dyDescent="0.3">
      <c r="A225" s="32" t="s">
        <v>282</v>
      </c>
      <c r="B225" s="91">
        <v>30</v>
      </c>
    </row>
    <row r="227" spans="1:2" x14ac:dyDescent="0.3">
      <c r="A227" s="30" t="s">
        <v>277</v>
      </c>
    </row>
    <row r="228" spans="1:2" x14ac:dyDescent="0.3">
      <c r="A228" s="32" t="s">
        <v>289</v>
      </c>
    </row>
    <row r="237" spans="1:2" ht="15.6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28"/>
  <sheetViews>
    <sheetView tabSelected="1" zoomScale="90" zoomScaleNormal="90" workbookViewId="0">
      <pane ySplit="1" topLeftCell="A866" activePane="bottomLeft" state="frozen"/>
      <selection pane="bottomLeft" activeCell="H893" sqref="H893"/>
    </sheetView>
  </sheetViews>
  <sheetFormatPr defaultColWidth="8.6640625" defaultRowHeight="14.4" x14ac:dyDescent="0.3"/>
  <cols>
    <col min="1" max="1" width="12" customWidth="1"/>
    <col min="2" max="2" width="48.33203125" customWidth="1"/>
    <col min="3" max="3" width="15.6640625" bestFit="1" customWidth="1"/>
    <col min="4" max="4" width="13" style="100" customWidth="1"/>
    <col min="5" max="5" width="15.6640625" customWidth="1"/>
    <col min="6" max="6" width="11.88671875" style="35" customWidth="1"/>
    <col min="7" max="7" width="13.5546875" style="91" customWidth="1"/>
    <col min="8" max="8" width="14.33203125" style="101" customWidth="1"/>
    <col min="9" max="9" width="63.6640625" customWidth="1"/>
    <col min="11" max="11" width="24" customWidth="1"/>
    <col min="12" max="12" width="16" customWidth="1"/>
  </cols>
  <sheetData>
    <row r="1" spans="1:12" s="154" customFormat="1" ht="36" customHeight="1" x14ac:dyDescent="0.3">
      <c r="A1" s="146" t="s">
        <v>42</v>
      </c>
      <c r="B1" s="146" t="s">
        <v>290</v>
      </c>
      <c r="C1" s="146" t="s">
        <v>291</v>
      </c>
      <c r="D1" s="147" t="s">
        <v>292</v>
      </c>
      <c r="E1" s="146" t="s">
        <v>293</v>
      </c>
      <c r="F1" s="148" t="s">
        <v>294</v>
      </c>
      <c r="G1" s="149" t="s">
        <v>295</v>
      </c>
      <c r="H1" s="150" t="s">
        <v>296</v>
      </c>
      <c r="I1" s="146" t="s">
        <v>297</v>
      </c>
      <c r="J1" s="151"/>
      <c r="K1" s="152"/>
      <c r="L1" s="153"/>
    </row>
    <row r="2" spans="1:12" hidden="1" x14ac:dyDescent="0.3">
      <c r="A2" s="5" t="s">
        <v>3</v>
      </c>
      <c r="B2" s="5" t="s">
        <v>298</v>
      </c>
      <c r="C2" s="5" t="s">
        <v>299</v>
      </c>
      <c r="D2" s="102">
        <v>46113</v>
      </c>
      <c r="E2" s="5" t="s">
        <v>33</v>
      </c>
      <c r="F2" s="5">
        <v>3</v>
      </c>
      <c r="G2" s="103">
        <v>300.37</v>
      </c>
      <c r="H2" s="6">
        <f t="shared" ref="H2:H65" si="0">IF(OR(F2="",G2=""),"",F2*G2)</f>
        <v>901.11</v>
      </c>
      <c r="I2" s="5" t="s">
        <v>300</v>
      </c>
      <c r="J2" s="39"/>
      <c r="K2" s="39"/>
      <c r="L2" s="39"/>
    </row>
    <row r="3" spans="1:12" hidden="1" x14ac:dyDescent="0.3">
      <c r="A3" s="5" t="s">
        <v>3</v>
      </c>
      <c r="B3" s="5" t="s">
        <v>301</v>
      </c>
      <c r="C3" s="5" t="s">
        <v>302</v>
      </c>
      <c r="D3" s="102">
        <v>46113</v>
      </c>
      <c r="E3" s="5" t="s">
        <v>33</v>
      </c>
      <c r="F3" s="5">
        <v>0</v>
      </c>
      <c r="G3" s="6">
        <v>0</v>
      </c>
      <c r="H3" s="6">
        <f t="shared" si="0"/>
        <v>0</v>
      </c>
      <c r="I3" s="5" t="s">
        <v>303</v>
      </c>
      <c r="J3" s="39"/>
      <c r="K3" s="39"/>
      <c r="L3" s="39"/>
    </row>
    <row r="4" spans="1:12" hidden="1" x14ac:dyDescent="0.3">
      <c r="A4" s="5" t="s">
        <v>3</v>
      </c>
      <c r="B4" s="5" t="s">
        <v>304</v>
      </c>
      <c r="C4" s="5" t="s">
        <v>305</v>
      </c>
      <c r="D4" s="102">
        <v>46113</v>
      </c>
      <c r="E4" s="5" t="s">
        <v>306</v>
      </c>
      <c r="F4" s="5">
        <v>13402</v>
      </c>
      <c r="G4" s="6">
        <v>0.1870984004141362</v>
      </c>
      <c r="H4" s="6">
        <f t="shared" si="0"/>
        <v>2507.4927623502531</v>
      </c>
      <c r="I4" s="5" t="s">
        <v>307</v>
      </c>
      <c r="J4" s="39"/>
      <c r="K4" s="39"/>
      <c r="L4" s="39"/>
    </row>
    <row r="5" spans="1:12" hidden="1" x14ac:dyDescent="0.3">
      <c r="A5" s="5" t="s">
        <v>3</v>
      </c>
      <c r="B5" s="5" t="s">
        <v>308</v>
      </c>
      <c r="C5" s="5" t="s">
        <v>309</v>
      </c>
      <c r="D5" s="102">
        <v>46113</v>
      </c>
      <c r="E5" s="5" t="s">
        <v>306</v>
      </c>
      <c r="F5" s="5">
        <v>2</v>
      </c>
      <c r="G5" s="103">
        <v>50</v>
      </c>
      <c r="H5" s="6">
        <f t="shared" si="0"/>
        <v>100</v>
      </c>
      <c r="I5" s="5" t="s">
        <v>310</v>
      </c>
      <c r="J5" s="39"/>
      <c r="K5" s="39"/>
      <c r="L5" s="39"/>
    </row>
    <row r="6" spans="1:12" hidden="1" x14ac:dyDescent="0.3">
      <c r="A6" s="5" t="s">
        <v>3</v>
      </c>
      <c r="B6" s="5" t="s">
        <v>311</v>
      </c>
      <c r="C6" s="5" t="s">
        <v>299</v>
      </c>
      <c r="D6" s="102">
        <v>46113</v>
      </c>
      <c r="E6" s="5" t="s">
        <v>312</v>
      </c>
      <c r="F6" s="65">
        <v>0</v>
      </c>
      <c r="G6" s="37">
        <v>0</v>
      </c>
      <c r="H6" s="6">
        <f t="shared" si="0"/>
        <v>0</v>
      </c>
      <c r="I6" s="5" t="s">
        <v>313</v>
      </c>
      <c r="J6" s="39"/>
      <c r="K6" s="39"/>
      <c r="L6" s="39"/>
    </row>
    <row r="7" spans="1:12" hidden="1" x14ac:dyDescent="0.3">
      <c r="A7" s="5" t="s">
        <v>3</v>
      </c>
      <c r="B7" s="5" t="s">
        <v>314</v>
      </c>
      <c r="C7" s="5" t="s">
        <v>315</v>
      </c>
      <c r="D7" s="102">
        <v>46113</v>
      </c>
      <c r="E7" s="5" t="s">
        <v>312</v>
      </c>
      <c r="F7" s="5">
        <v>0</v>
      </c>
      <c r="G7" s="6">
        <v>0</v>
      </c>
      <c r="H7" s="6">
        <f t="shared" si="0"/>
        <v>0</v>
      </c>
      <c r="I7" s="5" t="s">
        <v>316</v>
      </c>
      <c r="J7" s="39"/>
      <c r="K7" s="39"/>
      <c r="L7" s="39"/>
    </row>
    <row r="8" spans="1:12" hidden="1" x14ac:dyDescent="0.3">
      <c r="A8" s="5" t="s">
        <v>3</v>
      </c>
      <c r="B8" s="5" t="s">
        <v>317</v>
      </c>
      <c r="C8" s="5" t="s">
        <v>318</v>
      </c>
      <c r="D8" s="102">
        <v>46113</v>
      </c>
      <c r="E8" s="5" t="s">
        <v>319</v>
      </c>
      <c r="F8" s="5">
        <v>-1</v>
      </c>
      <c r="G8" s="103">
        <v>238.88</v>
      </c>
      <c r="H8" s="6">
        <f t="shared" si="0"/>
        <v>-238.88</v>
      </c>
      <c r="I8" s="5" t="s">
        <v>320</v>
      </c>
      <c r="J8" s="39"/>
      <c r="K8" s="39"/>
      <c r="L8" s="39"/>
    </row>
    <row r="9" spans="1:12" hidden="1" x14ac:dyDescent="0.3">
      <c r="A9" s="5" t="s">
        <v>3</v>
      </c>
      <c r="B9" s="5" t="s">
        <v>321</v>
      </c>
      <c r="C9" s="5" t="s">
        <v>26</v>
      </c>
      <c r="D9" s="102">
        <v>46113</v>
      </c>
      <c r="E9" s="5" t="s">
        <v>322</v>
      </c>
      <c r="F9" s="5">
        <v>0</v>
      </c>
      <c r="G9" s="6">
        <v>0</v>
      </c>
      <c r="H9" s="6">
        <f t="shared" si="0"/>
        <v>0</v>
      </c>
      <c r="I9" s="5" t="s">
        <v>323</v>
      </c>
      <c r="J9" s="39"/>
      <c r="K9" s="39"/>
      <c r="L9" s="39"/>
    </row>
    <row r="10" spans="1:12" hidden="1" x14ac:dyDescent="0.3">
      <c r="A10" s="5" t="s">
        <v>3</v>
      </c>
      <c r="B10" s="5" t="s">
        <v>324</v>
      </c>
      <c r="C10" s="5" t="s">
        <v>299</v>
      </c>
      <c r="D10" s="102">
        <v>46113</v>
      </c>
      <c r="E10" s="5" t="s">
        <v>325</v>
      </c>
      <c r="F10" s="5">
        <v>2</v>
      </c>
      <c r="G10" s="103">
        <v>338.53</v>
      </c>
      <c r="H10" s="6">
        <f t="shared" si="0"/>
        <v>677.06</v>
      </c>
      <c r="I10" s="5" t="s">
        <v>326</v>
      </c>
      <c r="J10" s="39"/>
      <c r="K10" s="39"/>
      <c r="L10" s="39"/>
    </row>
    <row r="11" spans="1:12" hidden="1" x14ac:dyDescent="0.3">
      <c r="A11" s="18" t="s">
        <v>3</v>
      </c>
      <c r="B11" s="18" t="s">
        <v>327</v>
      </c>
      <c r="C11" s="18" t="s">
        <v>23</v>
      </c>
      <c r="D11" s="104">
        <v>46113</v>
      </c>
      <c r="E11" s="40" t="s">
        <v>328</v>
      </c>
      <c r="F11" s="127">
        <v>1</v>
      </c>
      <c r="G11" s="110">
        <v>404.4</v>
      </c>
      <c r="H11" s="6">
        <f t="shared" si="0"/>
        <v>404.4</v>
      </c>
      <c r="I11" s="18" t="s">
        <v>329</v>
      </c>
      <c r="J11" s="39"/>
      <c r="K11" s="39"/>
      <c r="L11" s="39"/>
    </row>
    <row r="12" spans="1:12" hidden="1" x14ac:dyDescent="0.3">
      <c r="A12" s="5" t="s">
        <v>3</v>
      </c>
      <c r="B12" s="5" t="s">
        <v>330</v>
      </c>
      <c r="C12" s="5" t="s">
        <v>299</v>
      </c>
      <c r="D12" s="102">
        <v>46114</v>
      </c>
      <c r="E12" s="5" t="s">
        <v>33</v>
      </c>
      <c r="F12" s="5">
        <v>0</v>
      </c>
      <c r="G12" s="37">
        <v>0</v>
      </c>
      <c r="H12" s="6">
        <f t="shared" si="0"/>
        <v>0</v>
      </c>
      <c r="I12" s="5" t="s">
        <v>268</v>
      </c>
      <c r="J12" s="39"/>
      <c r="K12" s="39"/>
      <c r="L12" s="39"/>
    </row>
    <row r="13" spans="1:12" hidden="1" x14ac:dyDescent="0.3">
      <c r="A13" s="5" t="s">
        <v>3</v>
      </c>
      <c r="B13" s="5" t="s">
        <v>331</v>
      </c>
      <c r="C13" s="5" t="s">
        <v>302</v>
      </c>
      <c r="D13" s="102">
        <v>46114</v>
      </c>
      <c r="E13" s="5" t="s">
        <v>33</v>
      </c>
      <c r="F13" s="5">
        <v>0</v>
      </c>
      <c r="G13" s="6">
        <v>0</v>
      </c>
      <c r="H13" s="6">
        <f t="shared" si="0"/>
        <v>0</v>
      </c>
      <c r="I13" s="5" t="s">
        <v>332</v>
      </c>
      <c r="J13" s="39"/>
      <c r="K13" s="39"/>
      <c r="L13" s="39"/>
    </row>
    <row r="14" spans="1:12" hidden="1" x14ac:dyDescent="0.3">
      <c r="A14" s="5" t="s">
        <v>3</v>
      </c>
      <c r="B14" s="5" t="s">
        <v>24</v>
      </c>
      <c r="C14" s="5" t="s">
        <v>333</v>
      </c>
      <c r="D14" s="102">
        <v>46114</v>
      </c>
      <c r="E14" s="5" t="s">
        <v>306</v>
      </c>
      <c r="F14" s="5">
        <v>13402</v>
      </c>
      <c r="G14" s="6">
        <v>0.20871322137043699</v>
      </c>
      <c r="H14" s="6">
        <f t="shared" si="0"/>
        <v>2797.1745928065966</v>
      </c>
      <c r="I14" s="5" t="s">
        <v>307</v>
      </c>
      <c r="J14" s="39"/>
      <c r="K14" s="39"/>
      <c r="L14" s="39"/>
    </row>
    <row r="15" spans="1:12" hidden="1" x14ac:dyDescent="0.3">
      <c r="A15" s="5" t="s">
        <v>3</v>
      </c>
      <c r="B15" s="5" t="s">
        <v>334</v>
      </c>
      <c r="C15" s="5" t="s">
        <v>315</v>
      </c>
      <c r="D15" s="102">
        <v>46114</v>
      </c>
      <c r="E15" s="5" t="s">
        <v>312</v>
      </c>
      <c r="F15" s="5">
        <v>1</v>
      </c>
      <c r="G15" s="103">
        <v>64.680000000000007</v>
      </c>
      <c r="H15" s="6">
        <f t="shared" si="0"/>
        <v>64.680000000000007</v>
      </c>
      <c r="I15" s="5" t="s">
        <v>335</v>
      </c>
      <c r="J15" s="39"/>
      <c r="K15" s="39"/>
      <c r="L15" s="39"/>
    </row>
    <row r="16" spans="1:12" hidden="1" x14ac:dyDescent="0.3">
      <c r="A16" s="5" t="s">
        <v>3</v>
      </c>
      <c r="B16" s="5" t="s">
        <v>308</v>
      </c>
      <c r="C16" s="5" t="s">
        <v>309</v>
      </c>
      <c r="D16" s="102">
        <v>46114</v>
      </c>
      <c r="E16" s="5" t="s">
        <v>312</v>
      </c>
      <c r="F16" s="5">
        <v>1</v>
      </c>
      <c r="G16" s="103">
        <v>10</v>
      </c>
      <c r="H16" s="6">
        <f t="shared" si="0"/>
        <v>10</v>
      </c>
      <c r="I16" s="5" t="s">
        <v>310</v>
      </c>
      <c r="J16" s="39"/>
      <c r="K16" s="39"/>
      <c r="L16" s="39"/>
    </row>
    <row r="17" spans="1:12" hidden="1" x14ac:dyDescent="0.3">
      <c r="A17" s="5" t="s">
        <v>3</v>
      </c>
      <c r="B17" s="5" t="s">
        <v>298</v>
      </c>
      <c r="C17" s="5" t="s">
        <v>299</v>
      </c>
      <c r="D17" s="102">
        <v>46114</v>
      </c>
      <c r="E17" s="5" t="s">
        <v>325</v>
      </c>
      <c r="F17" s="5">
        <v>2</v>
      </c>
      <c r="G17" s="103">
        <v>400.26</v>
      </c>
      <c r="H17" s="6">
        <f t="shared" si="0"/>
        <v>800.52</v>
      </c>
      <c r="I17" s="5" t="s">
        <v>336</v>
      </c>
      <c r="J17" s="39"/>
      <c r="K17" s="39"/>
      <c r="L17" s="39"/>
    </row>
    <row r="18" spans="1:12" hidden="1" x14ac:dyDescent="0.3">
      <c r="A18" s="5" t="s">
        <v>3</v>
      </c>
      <c r="B18" s="5" t="s">
        <v>337</v>
      </c>
      <c r="C18" s="5" t="s">
        <v>318</v>
      </c>
      <c r="D18" s="102">
        <v>46114</v>
      </c>
      <c r="E18" s="5" t="s">
        <v>325</v>
      </c>
      <c r="F18" s="5">
        <v>1</v>
      </c>
      <c r="G18" s="103">
        <v>25.5</v>
      </c>
      <c r="H18" s="6">
        <f t="shared" si="0"/>
        <v>25.5</v>
      </c>
      <c r="I18" s="5" t="s">
        <v>338</v>
      </c>
      <c r="J18" s="39"/>
      <c r="K18" s="39"/>
      <c r="L18" s="39"/>
    </row>
    <row r="19" spans="1:12" hidden="1" x14ac:dyDescent="0.3">
      <c r="A19" s="5" t="s">
        <v>3</v>
      </c>
      <c r="B19" s="5" t="s">
        <v>339</v>
      </c>
      <c r="C19" s="5" t="s">
        <v>26</v>
      </c>
      <c r="D19" s="102">
        <v>46114</v>
      </c>
      <c r="E19" s="5" t="s">
        <v>325</v>
      </c>
      <c r="F19" s="5">
        <v>1</v>
      </c>
      <c r="G19" s="103">
        <v>348.7</v>
      </c>
      <c r="H19" s="6">
        <f t="shared" si="0"/>
        <v>348.7</v>
      </c>
      <c r="I19" s="5" t="s">
        <v>340</v>
      </c>
      <c r="J19" s="39"/>
      <c r="K19" s="39"/>
      <c r="L19" s="39"/>
    </row>
    <row r="20" spans="1:12" hidden="1" x14ac:dyDescent="0.3">
      <c r="A20" s="5" t="s">
        <v>3</v>
      </c>
      <c r="B20" s="5" t="s">
        <v>341</v>
      </c>
      <c r="C20" s="5" t="s">
        <v>342</v>
      </c>
      <c r="D20" s="102">
        <v>46115</v>
      </c>
      <c r="E20" s="5" t="s">
        <v>33</v>
      </c>
      <c r="F20" s="5">
        <v>1</v>
      </c>
      <c r="G20" s="103">
        <v>32732.52</v>
      </c>
      <c r="H20" s="6">
        <f t="shared" si="0"/>
        <v>32732.52</v>
      </c>
      <c r="I20" s="5" t="s">
        <v>343</v>
      </c>
      <c r="J20" s="39"/>
      <c r="K20" s="39"/>
      <c r="L20" s="39"/>
    </row>
    <row r="21" spans="1:12" hidden="1" x14ac:dyDescent="0.3">
      <c r="A21" s="5" t="s">
        <v>3</v>
      </c>
      <c r="B21" s="5" t="s">
        <v>344</v>
      </c>
      <c r="C21" s="5" t="s">
        <v>299</v>
      </c>
      <c r="D21" s="102">
        <v>46115</v>
      </c>
      <c r="E21" s="5" t="s">
        <v>33</v>
      </c>
      <c r="F21" s="65">
        <v>0</v>
      </c>
      <c r="G21" s="37">
        <v>0</v>
      </c>
      <c r="H21" s="6">
        <f t="shared" si="0"/>
        <v>0</v>
      </c>
      <c r="I21" s="5" t="s">
        <v>313</v>
      </c>
      <c r="J21" s="39"/>
      <c r="K21" s="39"/>
      <c r="L21" s="39"/>
    </row>
    <row r="22" spans="1:12" hidden="1" x14ac:dyDescent="0.3">
      <c r="A22" s="5" t="s">
        <v>3</v>
      </c>
      <c r="B22" s="5" t="s">
        <v>345</v>
      </c>
      <c r="C22" s="5" t="s">
        <v>302</v>
      </c>
      <c r="D22" s="102">
        <v>46115</v>
      </c>
      <c r="E22" s="5" t="s">
        <v>33</v>
      </c>
      <c r="F22" s="5">
        <v>0</v>
      </c>
      <c r="G22" s="6">
        <v>0</v>
      </c>
      <c r="H22" s="6">
        <f t="shared" si="0"/>
        <v>0</v>
      </c>
      <c r="I22" s="5" t="s">
        <v>346</v>
      </c>
      <c r="J22" s="39"/>
      <c r="K22" s="39"/>
      <c r="L22" s="39"/>
    </row>
    <row r="23" spans="1:12" hidden="1" x14ac:dyDescent="0.3">
      <c r="A23" s="5" t="s">
        <v>3</v>
      </c>
      <c r="B23" s="5" t="s">
        <v>347</v>
      </c>
      <c r="C23" s="5" t="s">
        <v>315</v>
      </c>
      <c r="D23" s="102">
        <v>46115</v>
      </c>
      <c r="E23" s="5" t="s">
        <v>312</v>
      </c>
      <c r="F23" s="5">
        <v>-1</v>
      </c>
      <c r="G23" s="103">
        <v>2120.7199999999998</v>
      </c>
      <c r="H23" s="6">
        <f t="shared" si="0"/>
        <v>-2120.7199999999998</v>
      </c>
      <c r="I23" s="5" t="s">
        <v>348</v>
      </c>
      <c r="J23" s="39"/>
      <c r="K23" s="39"/>
      <c r="L23" s="39"/>
    </row>
    <row r="24" spans="1:12" hidden="1" x14ac:dyDescent="0.3">
      <c r="A24" s="5" t="s">
        <v>3</v>
      </c>
      <c r="B24" s="5" t="s">
        <v>349</v>
      </c>
      <c r="C24" s="5" t="s">
        <v>299</v>
      </c>
      <c r="D24" s="102">
        <v>46115</v>
      </c>
      <c r="E24" s="5" t="s">
        <v>319</v>
      </c>
      <c r="F24" s="5">
        <v>666</v>
      </c>
      <c r="G24" s="6">
        <v>1.86</v>
      </c>
      <c r="H24" s="6">
        <f t="shared" si="0"/>
        <v>1238.76</v>
      </c>
      <c r="I24" s="5" t="s">
        <v>350</v>
      </c>
      <c r="J24" s="39"/>
      <c r="K24" s="39"/>
      <c r="L24" s="39"/>
    </row>
    <row r="25" spans="1:12" hidden="1" x14ac:dyDescent="0.3">
      <c r="A25" s="5" t="s">
        <v>3</v>
      </c>
      <c r="B25" s="5" t="s">
        <v>308</v>
      </c>
      <c r="C25" s="5" t="s">
        <v>309</v>
      </c>
      <c r="D25" s="102">
        <v>46115</v>
      </c>
      <c r="E25" s="5" t="s">
        <v>319</v>
      </c>
      <c r="F25" s="5">
        <v>1</v>
      </c>
      <c r="G25" s="103">
        <v>10</v>
      </c>
      <c r="H25" s="6">
        <f t="shared" si="0"/>
        <v>10</v>
      </c>
      <c r="I25" s="5" t="s">
        <v>310</v>
      </c>
      <c r="J25" s="39"/>
      <c r="K25" s="39"/>
      <c r="L25" s="39"/>
    </row>
    <row r="26" spans="1:12" hidden="1" x14ac:dyDescent="0.3">
      <c r="A26" s="5" t="s">
        <v>3</v>
      </c>
      <c r="B26" s="5" t="s">
        <v>351</v>
      </c>
      <c r="C26" s="5" t="s">
        <v>299</v>
      </c>
      <c r="D26" s="102">
        <v>46115</v>
      </c>
      <c r="E26" s="5" t="s">
        <v>325</v>
      </c>
      <c r="F26" s="65">
        <v>0</v>
      </c>
      <c r="G26" s="37">
        <v>0</v>
      </c>
      <c r="H26" s="6">
        <f t="shared" si="0"/>
        <v>0</v>
      </c>
      <c r="I26" s="5" t="s">
        <v>268</v>
      </c>
      <c r="J26" s="39"/>
      <c r="K26" s="39"/>
      <c r="L26" s="39"/>
    </row>
    <row r="27" spans="1:12" hidden="1" x14ac:dyDescent="0.3">
      <c r="A27" s="5" t="s">
        <v>3</v>
      </c>
      <c r="B27" s="5" t="s">
        <v>352</v>
      </c>
      <c r="C27" s="5" t="s">
        <v>318</v>
      </c>
      <c r="D27" s="102">
        <v>46115</v>
      </c>
      <c r="E27" s="5" t="s">
        <v>325</v>
      </c>
      <c r="F27" s="5">
        <v>1</v>
      </c>
      <c r="G27" s="103">
        <v>67.33</v>
      </c>
      <c r="H27" s="6">
        <f t="shared" si="0"/>
        <v>67.33</v>
      </c>
      <c r="I27" s="5" t="s">
        <v>353</v>
      </c>
      <c r="J27" s="39"/>
      <c r="K27" s="39"/>
      <c r="L27" s="39"/>
    </row>
    <row r="28" spans="1:12" hidden="1" x14ac:dyDescent="0.3">
      <c r="A28" s="5" t="s">
        <v>3</v>
      </c>
      <c r="B28" s="5" t="s">
        <v>321</v>
      </c>
      <c r="C28" s="5" t="s">
        <v>26</v>
      </c>
      <c r="D28" s="102">
        <v>46115</v>
      </c>
      <c r="E28" s="5" t="s">
        <v>325</v>
      </c>
      <c r="F28" s="5">
        <v>1</v>
      </c>
      <c r="G28" s="103">
        <v>204</v>
      </c>
      <c r="H28" s="6">
        <f t="shared" si="0"/>
        <v>204</v>
      </c>
      <c r="I28" s="5" t="s">
        <v>323</v>
      </c>
      <c r="J28" s="39"/>
      <c r="K28" s="39"/>
      <c r="L28" s="39"/>
    </row>
    <row r="29" spans="1:12" hidden="1" x14ac:dyDescent="0.3">
      <c r="A29" s="5" t="s">
        <v>3</v>
      </c>
      <c r="B29" s="5" t="s">
        <v>354</v>
      </c>
      <c r="C29" s="5" t="s">
        <v>299</v>
      </c>
      <c r="D29" s="102">
        <v>46116</v>
      </c>
      <c r="E29" s="5" t="s">
        <v>33</v>
      </c>
      <c r="F29" s="65">
        <v>0</v>
      </c>
      <c r="G29" s="37">
        <v>0</v>
      </c>
      <c r="H29" s="6">
        <f t="shared" si="0"/>
        <v>0</v>
      </c>
      <c r="I29" s="5" t="s">
        <v>313</v>
      </c>
      <c r="J29" s="39"/>
      <c r="K29" s="39"/>
      <c r="L29" s="39"/>
    </row>
    <row r="30" spans="1:12" hidden="1" x14ac:dyDescent="0.3">
      <c r="A30" s="5" t="s">
        <v>3</v>
      </c>
      <c r="B30" s="5" t="s">
        <v>355</v>
      </c>
      <c r="C30" s="5" t="s">
        <v>274</v>
      </c>
      <c r="D30" s="102">
        <v>46116</v>
      </c>
      <c r="E30" s="5" t="s">
        <v>33</v>
      </c>
      <c r="F30" s="5">
        <v>0</v>
      </c>
      <c r="G30" s="6">
        <v>0</v>
      </c>
      <c r="H30" s="6">
        <f t="shared" si="0"/>
        <v>0</v>
      </c>
      <c r="I30" s="5" t="s">
        <v>356</v>
      </c>
      <c r="J30" s="39"/>
      <c r="K30" s="39"/>
      <c r="L30" s="39"/>
    </row>
    <row r="31" spans="1:12" hidden="1" x14ac:dyDescent="0.3">
      <c r="A31" s="5" t="s">
        <v>3</v>
      </c>
      <c r="B31" s="5" t="s">
        <v>301</v>
      </c>
      <c r="C31" s="5" t="s">
        <v>302</v>
      </c>
      <c r="D31" s="102">
        <v>46116</v>
      </c>
      <c r="E31" s="5" t="s">
        <v>306</v>
      </c>
      <c r="F31" s="5">
        <v>1</v>
      </c>
      <c r="G31" s="103">
        <v>1112.18</v>
      </c>
      <c r="H31" s="6">
        <f t="shared" si="0"/>
        <v>1112.18</v>
      </c>
      <c r="I31" s="5" t="s">
        <v>303</v>
      </c>
      <c r="J31" s="39"/>
      <c r="K31" s="39"/>
      <c r="L31" s="39"/>
    </row>
    <row r="32" spans="1:12" hidden="1" x14ac:dyDescent="0.3">
      <c r="A32" s="5" t="s">
        <v>3</v>
      </c>
      <c r="B32" s="5" t="s">
        <v>341</v>
      </c>
      <c r="C32" s="5" t="s">
        <v>342</v>
      </c>
      <c r="D32" s="102">
        <v>46116</v>
      </c>
      <c r="E32" s="5" t="s">
        <v>312</v>
      </c>
      <c r="F32" s="5">
        <v>1</v>
      </c>
      <c r="G32" s="103">
        <v>18628.73</v>
      </c>
      <c r="H32" s="6">
        <f t="shared" si="0"/>
        <v>18628.73</v>
      </c>
      <c r="I32" s="5" t="s">
        <v>343</v>
      </c>
      <c r="J32" s="39"/>
      <c r="K32" s="39"/>
      <c r="L32" s="39"/>
    </row>
    <row r="33" spans="1:12" hidden="1" x14ac:dyDescent="0.3">
      <c r="A33" s="5" t="s">
        <v>3</v>
      </c>
      <c r="B33" s="5" t="s">
        <v>357</v>
      </c>
      <c r="C33" s="5" t="s">
        <v>315</v>
      </c>
      <c r="D33" s="102">
        <v>46116</v>
      </c>
      <c r="E33" s="5" t="s">
        <v>312</v>
      </c>
      <c r="F33" s="5">
        <v>1</v>
      </c>
      <c r="G33" s="103">
        <v>310.32</v>
      </c>
      <c r="H33" s="6">
        <f t="shared" si="0"/>
        <v>310.32</v>
      </c>
      <c r="I33" s="5" t="s">
        <v>358</v>
      </c>
      <c r="J33" s="39"/>
      <c r="K33" s="39"/>
      <c r="L33" s="39"/>
    </row>
    <row r="34" spans="1:12" hidden="1" x14ac:dyDescent="0.3">
      <c r="A34" s="5" t="s">
        <v>3</v>
      </c>
      <c r="B34" s="5" t="s">
        <v>359</v>
      </c>
      <c r="C34" s="5" t="s">
        <v>299</v>
      </c>
      <c r="D34" s="102">
        <v>46116</v>
      </c>
      <c r="E34" s="5" t="s">
        <v>319</v>
      </c>
      <c r="F34" s="5">
        <v>4</v>
      </c>
      <c r="G34" s="103">
        <v>383.56</v>
      </c>
      <c r="H34" s="6">
        <f t="shared" si="0"/>
        <v>1534.24</v>
      </c>
      <c r="I34" s="5" t="s">
        <v>360</v>
      </c>
      <c r="J34" s="39"/>
      <c r="K34" s="39"/>
      <c r="L34" s="39"/>
    </row>
    <row r="35" spans="1:12" hidden="1" x14ac:dyDescent="0.3">
      <c r="A35" s="5" t="s">
        <v>3</v>
      </c>
      <c r="B35" s="5" t="s">
        <v>308</v>
      </c>
      <c r="C35" s="5" t="s">
        <v>309</v>
      </c>
      <c r="D35" s="102">
        <v>46116</v>
      </c>
      <c r="E35" s="5" t="s">
        <v>319</v>
      </c>
      <c r="F35" s="5">
        <v>5</v>
      </c>
      <c r="G35" s="103">
        <v>50</v>
      </c>
      <c r="H35" s="6">
        <f t="shared" si="0"/>
        <v>250</v>
      </c>
      <c r="I35" s="5" t="s">
        <v>310</v>
      </c>
      <c r="J35" s="39"/>
      <c r="K35" s="39"/>
      <c r="L35" s="39"/>
    </row>
    <row r="36" spans="1:12" hidden="1" x14ac:dyDescent="0.3">
      <c r="A36" s="5" t="s">
        <v>3</v>
      </c>
      <c r="B36" s="5" t="s">
        <v>361</v>
      </c>
      <c r="C36" s="5" t="s">
        <v>299</v>
      </c>
      <c r="D36" s="102">
        <v>46116</v>
      </c>
      <c r="E36" s="5" t="s">
        <v>325</v>
      </c>
      <c r="F36" s="5">
        <v>4</v>
      </c>
      <c r="G36" s="37"/>
      <c r="H36" s="6" t="str">
        <f t="shared" si="0"/>
        <v/>
      </c>
      <c r="I36" s="5" t="s">
        <v>313</v>
      </c>
      <c r="J36" s="39"/>
      <c r="K36" s="39"/>
      <c r="L36" s="39"/>
    </row>
    <row r="37" spans="1:12" hidden="1" x14ac:dyDescent="0.3">
      <c r="A37" s="5" t="s">
        <v>3</v>
      </c>
      <c r="B37" s="5" t="s">
        <v>352</v>
      </c>
      <c r="C37" s="5" t="s">
        <v>318</v>
      </c>
      <c r="D37" s="102">
        <v>46116</v>
      </c>
      <c r="E37" s="5" t="s">
        <v>325</v>
      </c>
      <c r="F37" s="5">
        <v>-1</v>
      </c>
      <c r="G37" s="6">
        <v>510</v>
      </c>
      <c r="H37" s="6">
        <f t="shared" si="0"/>
        <v>-510</v>
      </c>
      <c r="I37" s="5" t="s">
        <v>320</v>
      </c>
      <c r="J37" s="39"/>
      <c r="K37" s="39"/>
      <c r="L37" s="39"/>
    </row>
    <row r="38" spans="1:12" hidden="1" x14ac:dyDescent="0.3">
      <c r="A38" s="5" t="s">
        <v>3</v>
      </c>
      <c r="B38" s="5" t="s">
        <v>362</v>
      </c>
      <c r="C38" s="5" t="s">
        <v>299</v>
      </c>
      <c r="D38" s="102">
        <v>46117</v>
      </c>
      <c r="E38" s="5" t="s">
        <v>33</v>
      </c>
      <c r="F38" s="65">
        <v>0</v>
      </c>
      <c r="G38" s="37">
        <v>0</v>
      </c>
      <c r="H38" s="6">
        <f t="shared" si="0"/>
        <v>0</v>
      </c>
      <c r="I38" s="5" t="s">
        <v>313</v>
      </c>
      <c r="J38" s="39"/>
      <c r="K38" s="39"/>
      <c r="L38" s="39"/>
    </row>
    <row r="39" spans="1:12" hidden="1" x14ac:dyDescent="0.3">
      <c r="A39" s="5" t="s">
        <v>3</v>
      </c>
      <c r="B39" s="5" t="s">
        <v>363</v>
      </c>
      <c r="C39" s="5" t="s">
        <v>364</v>
      </c>
      <c r="D39" s="102">
        <v>46117</v>
      </c>
      <c r="E39" s="5" t="s">
        <v>33</v>
      </c>
      <c r="F39" s="5">
        <v>1</v>
      </c>
      <c r="G39" s="6">
        <v>7780.43</v>
      </c>
      <c r="H39" s="6">
        <f t="shared" si="0"/>
        <v>7780.43</v>
      </c>
      <c r="I39" s="5" t="s">
        <v>365</v>
      </c>
      <c r="J39" s="39"/>
      <c r="K39" s="39"/>
      <c r="L39" s="39"/>
    </row>
    <row r="40" spans="1:12" hidden="1" x14ac:dyDescent="0.3">
      <c r="A40" s="5" t="s">
        <v>3</v>
      </c>
      <c r="B40" s="5" t="s">
        <v>355</v>
      </c>
      <c r="C40" s="5" t="s">
        <v>274</v>
      </c>
      <c r="D40" s="102">
        <v>46117</v>
      </c>
      <c r="E40" s="5" t="s">
        <v>33</v>
      </c>
      <c r="F40" s="5">
        <v>1</v>
      </c>
      <c r="G40" s="6">
        <v>13006.38</v>
      </c>
      <c r="H40" s="6">
        <f t="shared" si="0"/>
        <v>13006.38</v>
      </c>
      <c r="I40" s="5" t="s">
        <v>366</v>
      </c>
      <c r="J40" s="39"/>
      <c r="K40" s="39"/>
      <c r="L40" s="39"/>
    </row>
    <row r="41" spans="1:12" hidden="1" x14ac:dyDescent="0.3">
      <c r="A41" s="5" t="s">
        <v>3</v>
      </c>
      <c r="B41" s="5" t="s">
        <v>367</v>
      </c>
      <c r="C41" s="5" t="s">
        <v>302</v>
      </c>
      <c r="D41" s="102">
        <v>46117</v>
      </c>
      <c r="E41" s="5" t="s">
        <v>312</v>
      </c>
      <c r="F41" s="5">
        <v>3</v>
      </c>
      <c r="G41" s="6">
        <v>20</v>
      </c>
      <c r="H41" s="6">
        <f t="shared" si="0"/>
        <v>60</v>
      </c>
      <c r="I41" s="5" t="s">
        <v>368</v>
      </c>
      <c r="J41" s="39"/>
      <c r="K41" s="39"/>
      <c r="L41" s="39"/>
    </row>
    <row r="42" spans="1:12" hidden="1" x14ac:dyDescent="0.3">
      <c r="A42" s="5" t="s">
        <v>3</v>
      </c>
      <c r="B42" s="5" t="s">
        <v>369</v>
      </c>
      <c r="C42" s="5" t="s">
        <v>315</v>
      </c>
      <c r="D42" s="102">
        <v>46117</v>
      </c>
      <c r="E42" s="5" t="s">
        <v>312</v>
      </c>
      <c r="F42" s="5">
        <v>-1</v>
      </c>
      <c r="G42" s="6">
        <v>4279.74</v>
      </c>
      <c r="H42" s="6">
        <f t="shared" si="0"/>
        <v>-4279.74</v>
      </c>
      <c r="I42" s="5" t="s">
        <v>358</v>
      </c>
      <c r="J42" s="39"/>
      <c r="K42" s="39"/>
      <c r="L42" s="39"/>
    </row>
    <row r="43" spans="1:12" hidden="1" x14ac:dyDescent="0.3">
      <c r="A43" s="5" t="s">
        <v>3</v>
      </c>
      <c r="B43" s="5" t="s">
        <v>341</v>
      </c>
      <c r="C43" s="5" t="s">
        <v>342</v>
      </c>
      <c r="D43" s="102">
        <v>46117</v>
      </c>
      <c r="E43" s="5" t="s">
        <v>319</v>
      </c>
      <c r="F43" s="5">
        <v>1</v>
      </c>
      <c r="G43" s="6">
        <v>36742.58</v>
      </c>
      <c r="H43" s="6">
        <f t="shared" si="0"/>
        <v>36742.58</v>
      </c>
      <c r="I43" s="5" t="s">
        <v>343</v>
      </c>
      <c r="J43" s="39"/>
      <c r="K43" s="39"/>
      <c r="L43" s="39"/>
    </row>
    <row r="44" spans="1:12" hidden="1" x14ac:dyDescent="0.3">
      <c r="A44" s="5" t="s">
        <v>3</v>
      </c>
      <c r="B44" s="5" t="s">
        <v>324</v>
      </c>
      <c r="C44" s="5" t="s">
        <v>299</v>
      </c>
      <c r="D44" s="102">
        <v>46117</v>
      </c>
      <c r="E44" s="5" t="s">
        <v>319</v>
      </c>
      <c r="F44" s="5">
        <v>4</v>
      </c>
      <c r="G44" s="6">
        <v>338.53</v>
      </c>
      <c r="H44" s="6">
        <f t="shared" si="0"/>
        <v>1354.12</v>
      </c>
      <c r="I44" s="5" t="s">
        <v>370</v>
      </c>
      <c r="J44" s="39"/>
      <c r="K44" s="39"/>
      <c r="L44" s="39"/>
    </row>
    <row r="45" spans="1:12" hidden="1" x14ac:dyDescent="0.3">
      <c r="A45" s="5" t="s">
        <v>3</v>
      </c>
      <c r="B45" s="5" t="s">
        <v>308</v>
      </c>
      <c r="C45" s="5" t="s">
        <v>309</v>
      </c>
      <c r="D45" s="102">
        <v>46117</v>
      </c>
      <c r="E45" s="5" t="s">
        <v>371</v>
      </c>
      <c r="F45" s="5">
        <v>2</v>
      </c>
      <c r="G45" s="6">
        <v>50</v>
      </c>
      <c r="H45" s="6">
        <f t="shared" si="0"/>
        <v>100</v>
      </c>
      <c r="I45" s="5" t="s">
        <v>310</v>
      </c>
      <c r="J45" s="39"/>
      <c r="K45" s="39"/>
      <c r="L45" s="39"/>
    </row>
    <row r="46" spans="1:12" hidden="1" x14ac:dyDescent="0.3">
      <c r="A46" s="5" t="s">
        <v>3</v>
      </c>
      <c r="B46" s="5" t="s">
        <v>372</v>
      </c>
      <c r="C46" s="5" t="s">
        <v>299</v>
      </c>
      <c r="D46" s="102">
        <v>46117</v>
      </c>
      <c r="E46" s="5" t="s">
        <v>325</v>
      </c>
      <c r="F46" s="65">
        <v>0</v>
      </c>
      <c r="G46" s="37">
        <v>0</v>
      </c>
      <c r="H46" s="6">
        <f t="shared" si="0"/>
        <v>0</v>
      </c>
      <c r="I46" s="5" t="s">
        <v>313</v>
      </c>
      <c r="J46" s="39"/>
      <c r="K46" s="39"/>
      <c r="L46" s="39"/>
    </row>
    <row r="47" spans="1:12" hidden="1" x14ac:dyDescent="0.3">
      <c r="A47" s="5" t="s">
        <v>3</v>
      </c>
      <c r="B47" s="5" t="s">
        <v>373</v>
      </c>
      <c r="C47" s="5" t="s">
        <v>299</v>
      </c>
      <c r="D47" s="102">
        <v>46118</v>
      </c>
      <c r="E47" s="5" t="s">
        <v>33</v>
      </c>
      <c r="F47" s="65">
        <v>0</v>
      </c>
      <c r="G47" s="37">
        <v>0</v>
      </c>
      <c r="H47" s="6">
        <f t="shared" si="0"/>
        <v>0</v>
      </c>
      <c r="I47" s="5" t="s">
        <v>313</v>
      </c>
      <c r="J47" s="39"/>
      <c r="K47" s="39"/>
      <c r="L47" s="39"/>
    </row>
    <row r="48" spans="1:12" hidden="1" x14ac:dyDescent="0.3">
      <c r="A48" s="5" t="s">
        <v>3</v>
      </c>
      <c r="B48" s="5" t="s">
        <v>363</v>
      </c>
      <c r="C48" s="5" t="s">
        <v>364</v>
      </c>
      <c r="D48" s="102">
        <v>46118</v>
      </c>
      <c r="E48" s="5" t="s">
        <v>306</v>
      </c>
      <c r="F48" s="5">
        <v>1</v>
      </c>
      <c r="G48" s="6">
        <v>2777.71</v>
      </c>
      <c r="H48" s="6">
        <f t="shared" si="0"/>
        <v>2777.71</v>
      </c>
      <c r="I48" s="5" t="s">
        <v>374</v>
      </c>
      <c r="J48" s="39"/>
      <c r="K48" s="39"/>
      <c r="L48" s="39"/>
    </row>
    <row r="49" spans="1:12" hidden="1" x14ac:dyDescent="0.3">
      <c r="A49" s="5" t="s">
        <v>3</v>
      </c>
      <c r="B49" s="5" t="s">
        <v>355</v>
      </c>
      <c r="C49" s="5" t="s">
        <v>274</v>
      </c>
      <c r="D49" s="102">
        <v>46118</v>
      </c>
      <c r="E49" s="5" t="s">
        <v>306</v>
      </c>
      <c r="F49" s="5">
        <v>0</v>
      </c>
      <c r="G49" s="6">
        <v>0</v>
      </c>
      <c r="H49" s="6">
        <f t="shared" si="0"/>
        <v>0</v>
      </c>
      <c r="I49" s="5" t="s">
        <v>366</v>
      </c>
      <c r="J49" s="39"/>
      <c r="K49" s="39"/>
      <c r="L49" s="39"/>
    </row>
    <row r="50" spans="1:12" hidden="1" x14ac:dyDescent="0.3">
      <c r="A50" s="5" t="s">
        <v>3</v>
      </c>
      <c r="B50" s="5" t="s">
        <v>301</v>
      </c>
      <c r="C50" s="5" t="s">
        <v>302</v>
      </c>
      <c r="D50" s="102">
        <v>46118</v>
      </c>
      <c r="E50" s="5" t="s">
        <v>312</v>
      </c>
      <c r="F50" s="5">
        <v>1</v>
      </c>
      <c r="G50" s="6">
        <v>387.64</v>
      </c>
      <c r="H50" s="6">
        <f t="shared" si="0"/>
        <v>387.64</v>
      </c>
      <c r="I50" s="5" t="s">
        <v>303</v>
      </c>
      <c r="J50" s="39"/>
      <c r="K50" s="39"/>
      <c r="L50" s="39"/>
    </row>
    <row r="51" spans="1:12" hidden="1" x14ac:dyDescent="0.3">
      <c r="A51" s="5" t="s">
        <v>3</v>
      </c>
      <c r="B51" s="5" t="s">
        <v>375</v>
      </c>
      <c r="C51" s="5" t="s">
        <v>315</v>
      </c>
      <c r="D51" s="102">
        <v>46118</v>
      </c>
      <c r="E51" s="5" t="s">
        <v>312</v>
      </c>
      <c r="F51" s="5">
        <v>1</v>
      </c>
      <c r="G51" s="6">
        <v>1612.93</v>
      </c>
      <c r="H51" s="6">
        <f t="shared" si="0"/>
        <v>1612.93</v>
      </c>
      <c r="I51" s="5" t="s">
        <v>376</v>
      </c>
      <c r="J51" s="39"/>
      <c r="K51" s="39"/>
      <c r="L51" s="39"/>
    </row>
    <row r="52" spans="1:12" hidden="1" x14ac:dyDescent="0.3">
      <c r="A52" s="5" t="s">
        <v>3</v>
      </c>
      <c r="B52" s="5" t="s">
        <v>298</v>
      </c>
      <c r="C52" s="5" t="s">
        <v>299</v>
      </c>
      <c r="D52" s="102">
        <v>46118</v>
      </c>
      <c r="E52" s="5" t="s">
        <v>319</v>
      </c>
      <c r="F52" s="5">
        <v>2</v>
      </c>
      <c r="G52" s="6">
        <v>400.26</v>
      </c>
      <c r="H52" s="6">
        <f t="shared" si="0"/>
        <v>800.52</v>
      </c>
      <c r="I52" s="5" t="s">
        <v>377</v>
      </c>
      <c r="J52" s="39"/>
      <c r="K52" s="39"/>
      <c r="L52" s="39"/>
    </row>
    <row r="53" spans="1:12" hidden="1" x14ac:dyDescent="0.3">
      <c r="A53" s="5" t="s">
        <v>3</v>
      </c>
      <c r="B53" s="5" t="s">
        <v>341</v>
      </c>
      <c r="C53" s="5" t="s">
        <v>342</v>
      </c>
      <c r="D53" s="102">
        <v>46118</v>
      </c>
      <c r="E53" s="5" t="s">
        <v>371</v>
      </c>
      <c r="F53" s="5">
        <v>1</v>
      </c>
      <c r="G53" s="6">
        <v>80014.399999999994</v>
      </c>
      <c r="H53" s="6">
        <f t="shared" si="0"/>
        <v>80014.399999999994</v>
      </c>
      <c r="I53" s="5" t="s">
        <v>343</v>
      </c>
      <c r="J53" s="39"/>
      <c r="K53" s="39"/>
      <c r="L53" s="39"/>
    </row>
    <row r="54" spans="1:12" hidden="1" x14ac:dyDescent="0.3">
      <c r="A54" s="5" t="s">
        <v>3</v>
      </c>
      <c r="B54" s="5" t="s">
        <v>308</v>
      </c>
      <c r="C54" s="5" t="s">
        <v>309</v>
      </c>
      <c r="D54" s="102">
        <v>46118</v>
      </c>
      <c r="E54" s="5" t="s">
        <v>322</v>
      </c>
      <c r="F54" s="5">
        <v>1</v>
      </c>
      <c r="G54" s="6">
        <v>50</v>
      </c>
      <c r="H54" s="6">
        <f t="shared" si="0"/>
        <v>50</v>
      </c>
      <c r="I54" s="5" t="s">
        <v>310</v>
      </c>
      <c r="J54" s="39"/>
      <c r="K54" s="39"/>
      <c r="L54" s="39"/>
    </row>
    <row r="55" spans="1:12" hidden="1" x14ac:dyDescent="0.3">
      <c r="A55" s="5" t="s">
        <v>3</v>
      </c>
      <c r="B55" s="5" t="s">
        <v>378</v>
      </c>
      <c r="C55" s="5" t="s">
        <v>299</v>
      </c>
      <c r="D55" s="102">
        <v>46118</v>
      </c>
      <c r="E55" s="5" t="s">
        <v>325</v>
      </c>
      <c r="F55" s="65">
        <v>0</v>
      </c>
      <c r="G55" s="37">
        <v>0</v>
      </c>
      <c r="H55" s="6">
        <f t="shared" si="0"/>
        <v>0</v>
      </c>
      <c r="I55" s="5" t="s">
        <v>313</v>
      </c>
      <c r="J55" s="39"/>
      <c r="K55" s="39"/>
      <c r="L55" s="39"/>
    </row>
    <row r="56" spans="1:12" hidden="1" x14ac:dyDescent="0.3">
      <c r="A56" s="5" t="s">
        <v>3</v>
      </c>
      <c r="B56" s="5" t="s">
        <v>379</v>
      </c>
      <c r="C56" s="5" t="s">
        <v>274</v>
      </c>
      <c r="D56" s="102">
        <v>46119</v>
      </c>
      <c r="E56" s="5" t="s">
        <v>306</v>
      </c>
      <c r="F56" s="5">
        <v>0</v>
      </c>
      <c r="G56" s="6">
        <v>0</v>
      </c>
      <c r="H56" s="6">
        <f t="shared" si="0"/>
        <v>0</v>
      </c>
      <c r="I56" s="5" t="s">
        <v>380</v>
      </c>
      <c r="J56" s="39"/>
      <c r="K56" s="39"/>
      <c r="L56" s="39"/>
    </row>
    <row r="57" spans="1:12" hidden="1" x14ac:dyDescent="0.3">
      <c r="A57" s="5" t="s">
        <v>3</v>
      </c>
      <c r="B57" s="5" t="s">
        <v>345</v>
      </c>
      <c r="C57" s="5" t="s">
        <v>302</v>
      </c>
      <c r="D57" s="102">
        <v>46119</v>
      </c>
      <c r="E57" s="5" t="s">
        <v>312</v>
      </c>
      <c r="F57" s="5">
        <v>0</v>
      </c>
      <c r="G57" s="6">
        <v>0</v>
      </c>
      <c r="H57" s="6">
        <f t="shared" si="0"/>
        <v>0</v>
      </c>
      <c r="I57" s="5" t="s">
        <v>346</v>
      </c>
      <c r="J57" s="39"/>
      <c r="K57" s="39"/>
      <c r="L57" s="39"/>
    </row>
    <row r="58" spans="1:12" hidden="1" x14ac:dyDescent="0.3">
      <c r="A58" s="5" t="s">
        <v>3</v>
      </c>
      <c r="B58" s="5" t="s">
        <v>363</v>
      </c>
      <c r="C58" s="5" t="s">
        <v>364</v>
      </c>
      <c r="D58" s="102">
        <v>46119</v>
      </c>
      <c r="E58" s="5" t="s">
        <v>312</v>
      </c>
      <c r="F58" s="5">
        <v>0</v>
      </c>
      <c r="G58" s="6">
        <v>0</v>
      </c>
      <c r="H58" s="6">
        <f t="shared" si="0"/>
        <v>0</v>
      </c>
      <c r="I58" s="5" t="s">
        <v>381</v>
      </c>
      <c r="J58" s="39"/>
      <c r="K58" s="39"/>
      <c r="L58" s="39"/>
    </row>
    <row r="59" spans="1:12" hidden="1" x14ac:dyDescent="0.3">
      <c r="A59" s="5" t="s">
        <v>3</v>
      </c>
      <c r="B59" s="5" t="s">
        <v>382</v>
      </c>
      <c r="C59" s="5" t="s">
        <v>299</v>
      </c>
      <c r="D59" s="102">
        <v>46119</v>
      </c>
      <c r="E59" s="5" t="s">
        <v>319</v>
      </c>
      <c r="F59" s="5">
        <v>1</v>
      </c>
      <c r="G59" s="6">
        <v>588.98</v>
      </c>
      <c r="H59" s="6">
        <f t="shared" si="0"/>
        <v>588.98</v>
      </c>
      <c r="I59" s="5" t="s">
        <v>383</v>
      </c>
      <c r="J59" s="39"/>
      <c r="K59" s="39"/>
      <c r="L59" s="39"/>
    </row>
    <row r="60" spans="1:12" hidden="1" x14ac:dyDescent="0.3">
      <c r="A60" s="5" t="s">
        <v>3</v>
      </c>
      <c r="B60" s="5" t="s">
        <v>384</v>
      </c>
      <c r="C60" s="5" t="s">
        <v>315</v>
      </c>
      <c r="D60" s="102">
        <v>46119</v>
      </c>
      <c r="E60" s="5" t="s">
        <v>319</v>
      </c>
      <c r="F60" s="5">
        <v>0</v>
      </c>
      <c r="G60" s="6">
        <v>0</v>
      </c>
      <c r="H60" s="6">
        <f t="shared" si="0"/>
        <v>0</v>
      </c>
      <c r="I60" s="5" t="s">
        <v>316</v>
      </c>
      <c r="J60" s="39"/>
      <c r="K60" s="39"/>
      <c r="L60" s="39"/>
    </row>
    <row r="61" spans="1:12" hidden="1" x14ac:dyDescent="0.3">
      <c r="A61" s="5" t="s">
        <v>3</v>
      </c>
      <c r="B61" s="5" t="s">
        <v>341</v>
      </c>
      <c r="C61" s="5" t="s">
        <v>342</v>
      </c>
      <c r="D61" s="102">
        <v>46119</v>
      </c>
      <c r="E61" s="5" t="s">
        <v>322</v>
      </c>
      <c r="F61" s="5">
        <v>1</v>
      </c>
      <c r="G61" s="6">
        <v>24090.35</v>
      </c>
      <c r="H61" s="6">
        <f t="shared" si="0"/>
        <v>24090.35</v>
      </c>
      <c r="I61" s="5" t="s">
        <v>343</v>
      </c>
      <c r="J61" s="39"/>
      <c r="K61" s="39"/>
      <c r="L61" s="39"/>
    </row>
    <row r="62" spans="1:12" hidden="1" x14ac:dyDescent="0.3">
      <c r="A62" s="5" t="s">
        <v>3</v>
      </c>
      <c r="B62" s="5" t="s">
        <v>385</v>
      </c>
      <c r="C62" s="5" t="s">
        <v>299</v>
      </c>
      <c r="D62" s="102">
        <v>46119</v>
      </c>
      <c r="E62" s="5" t="s">
        <v>325</v>
      </c>
      <c r="F62" s="5">
        <v>-15</v>
      </c>
      <c r="G62" s="6"/>
      <c r="H62" s="6" t="str">
        <f t="shared" si="0"/>
        <v/>
      </c>
      <c r="I62" s="5" t="s">
        <v>313</v>
      </c>
      <c r="J62" s="39"/>
      <c r="K62" s="39"/>
      <c r="L62" s="39"/>
    </row>
    <row r="63" spans="1:12" hidden="1" x14ac:dyDescent="0.3">
      <c r="A63" s="5" t="s">
        <v>3</v>
      </c>
      <c r="B63" s="5" t="s">
        <v>308</v>
      </c>
      <c r="C63" s="5" t="s">
        <v>309</v>
      </c>
      <c r="D63" s="102">
        <v>46119</v>
      </c>
      <c r="E63" s="5" t="s">
        <v>325</v>
      </c>
      <c r="F63" s="5">
        <v>1</v>
      </c>
      <c r="G63" s="6">
        <v>90</v>
      </c>
      <c r="H63" s="6">
        <f t="shared" si="0"/>
        <v>90</v>
      </c>
      <c r="I63" s="5" t="s">
        <v>310</v>
      </c>
      <c r="J63" s="39"/>
      <c r="K63" s="39"/>
      <c r="L63" s="39"/>
    </row>
    <row r="64" spans="1:12" hidden="1" x14ac:dyDescent="0.3">
      <c r="A64" s="5" t="s">
        <v>3</v>
      </c>
      <c r="B64" s="5" t="s">
        <v>382</v>
      </c>
      <c r="C64" s="5" t="s">
        <v>299</v>
      </c>
      <c r="D64" s="102">
        <v>46120</v>
      </c>
      <c r="E64" s="5" t="s">
        <v>33</v>
      </c>
      <c r="F64" s="5">
        <v>-1</v>
      </c>
      <c r="G64" s="6">
        <v>812.42</v>
      </c>
      <c r="H64" s="6">
        <f t="shared" si="0"/>
        <v>-812.42</v>
      </c>
      <c r="I64" s="5" t="s">
        <v>386</v>
      </c>
      <c r="J64" s="39"/>
      <c r="K64" s="39"/>
      <c r="L64" s="39"/>
    </row>
    <row r="65" spans="1:12" hidden="1" x14ac:dyDescent="0.3">
      <c r="A65" s="5" t="s">
        <v>3</v>
      </c>
      <c r="B65" s="5" t="s">
        <v>387</v>
      </c>
      <c r="C65" s="5" t="s">
        <v>11</v>
      </c>
      <c r="D65" s="102">
        <v>46120</v>
      </c>
      <c r="E65" s="5" t="s">
        <v>33</v>
      </c>
      <c r="F65" s="5">
        <v>6280</v>
      </c>
      <c r="G65" s="6">
        <v>0.1786245450232691</v>
      </c>
      <c r="H65" s="6">
        <f t="shared" si="0"/>
        <v>1121.7621427461299</v>
      </c>
      <c r="I65" s="5" t="s">
        <v>307</v>
      </c>
      <c r="J65" s="39"/>
      <c r="K65" s="39"/>
      <c r="L65" s="39"/>
    </row>
    <row r="66" spans="1:12" hidden="1" x14ac:dyDescent="0.3">
      <c r="A66" s="5" t="s">
        <v>3</v>
      </c>
      <c r="B66" s="5" t="s">
        <v>388</v>
      </c>
      <c r="C66" s="5" t="s">
        <v>274</v>
      </c>
      <c r="D66" s="102">
        <v>46120</v>
      </c>
      <c r="E66" s="5" t="s">
        <v>306</v>
      </c>
      <c r="F66" s="5">
        <v>0</v>
      </c>
      <c r="G66" s="6">
        <v>0</v>
      </c>
      <c r="H66" s="6">
        <f t="shared" ref="H66:H129" si="1">IF(OR(F66="",G66=""),"",F66*G66)</f>
        <v>0</v>
      </c>
      <c r="I66" s="5" t="s">
        <v>389</v>
      </c>
      <c r="J66" s="39"/>
      <c r="K66" s="39"/>
      <c r="L66" s="39"/>
    </row>
    <row r="67" spans="1:12" hidden="1" x14ac:dyDescent="0.3">
      <c r="A67" s="5" t="s">
        <v>3</v>
      </c>
      <c r="B67" s="5" t="s">
        <v>382</v>
      </c>
      <c r="C67" s="5" t="s">
        <v>299</v>
      </c>
      <c r="D67" s="102">
        <v>46120</v>
      </c>
      <c r="E67" s="5" t="s">
        <v>319</v>
      </c>
      <c r="F67" s="5">
        <v>149</v>
      </c>
      <c r="G67" s="6">
        <v>20.059999999999999</v>
      </c>
      <c r="H67" s="6">
        <f t="shared" si="1"/>
        <v>2988.9399999999996</v>
      </c>
      <c r="I67" s="5" t="s">
        <v>390</v>
      </c>
      <c r="J67" s="39"/>
      <c r="K67" s="39"/>
      <c r="L67" s="39"/>
    </row>
    <row r="68" spans="1:12" hidden="1" x14ac:dyDescent="0.3">
      <c r="A68" s="5" t="s">
        <v>3</v>
      </c>
      <c r="B68" s="5" t="s">
        <v>331</v>
      </c>
      <c r="C68" s="5" t="s">
        <v>302</v>
      </c>
      <c r="D68" s="102">
        <v>46120</v>
      </c>
      <c r="E68" s="5" t="s">
        <v>391</v>
      </c>
      <c r="F68" s="5">
        <v>0</v>
      </c>
      <c r="G68" s="6">
        <v>0</v>
      </c>
      <c r="H68" s="6">
        <f t="shared" si="1"/>
        <v>0</v>
      </c>
      <c r="I68" s="5" t="s">
        <v>392</v>
      </c>
      <c r="J68" s="39"/>
      <c r="K68" s="39"/>
      <c r="L68" s="39"/>
    </row>
    <row r="69" spans="1:12" hidden="1" x14ac:dyDescent="0.3">
      <c r="A69" s="5" t="s">
        <v>3</v>
      </c>
      <c r="B69" s="5" t="s">
        <v>393</v>
      </c>
      <c r="C69" s="5" t="s">
        <v>315</v>
      </c>
      <c r="D69" s="102">
        <v>46120</v>
      </c>
      <c r="E69" s="5" t="s">
        <v>319</v>
      </c>
      <c r="F69" s="5">
        <v>0</v>
      </c>
      <c r="G69" s="6">
        <v>0</v>
      </c>
      <c r="H69" s="6">
        <f t="shared" si="1"/>
        <v>0</v>
      </c>
      <c r="I69" s="5" t="s">
        <v>394</v>
      </c>
      <c r="J69" s="39"/>
      <c r="K69" s="39"/>
      <c r="L69" s="39"/>
    </row>
    <row r="70" spans="1:12" hidden="1" x14ac:dyDescent="0.3">
      <c r="A70" s="5" t="s">
        <v>3</v>
      </c>
      <c r="B70" s="5" t="s">
        <v>363</v>
      </c>
      <c r="C70" s="5" t="s">
        <v>364</v>
      </c>
      <c r="D70" s="102">
        <v>46120</v>
      </c>
      <c r="E70" s="5" t="s">
        <v>319</v>
      </c>
      <c r="F70" s="5">
        <v>1</v>
      </c>
      <c r="G70" s="6">
        <v>4438.18</v>
      </c>
      <c r="H70" s="6">
        <f t="shared" si="1"/>
        <v>4438.18</v>
      </c>
      <c r="I70" s="5" t="s">
        <v>395</v>
      </c>
      <c r="J70" s="39"/>
      <c r="K70" s="39"/>
      <c r="L70" s="39"/>
    </row>
    <row r="71" spans="1:12" hidden="1" x14ac:dyDescent="0.3">
      <c r="A71" s="5" t="s">
        <v>3</v>
      </c>
      <c r="B71" s="5" t="s">
        <v>341</v>
      </c>
      <c r="C71" s="5" t="s">
        <v>342</v>
      </c>
      <c r="D71" s="102">
        <v>46120</v>
      </c>
      <c r="E71" s="5" t="s">
        <v>325</v>
      </c>
      <c r="F71" s="5">
        <v>1</v>
      </c>
      <c r="G71" s="6">
        <v>29402.21</v>
      </c>
      <c r="H71" s="6">
        <f t="shared" si="1"/>
        <v>29402.21</v>
      </c>
      <c r="I71" s="5" t="s">
        <v>343</v>
      </c>
      <c r="J71" s="39"/>
      <c r="K71" s="39"/>
      <c r="L71" s="39"/>
    </row>
    <row r="72" spans="1:12" hidden="1" x14ac:dyDescent="0.3">
      <c r="A72" s="5" t="s">
        <v>3</v>
      </c>
      <c r="B72" s="5" t="s">
        <v>308</v>
      </c>
      <c r="C72" s="5" t="s">
        <v>309</v>
      </c>
      <c r="D72" s="102">
        <v>46120</v>
      </c>
      <c r="E72" s="5" t="s">
        <v>325</v>
      </c>
      <c r="F72" s="5">
        <v>2</v>
      </c>
      <c r="G72" s="6">
        <v>10</v>
      </c>
      <c r="H72" s="6">
        <f t="shared" si="1"/>
        <v>20</v>
      </c>
      <c r="I72" s="5" t="s">
        <v>310</v>
      </c>
      <c r="J72" s="39"/>
      <c r="K72" s="39"/>
      <c r="L72" s="39"/>
    </row>
    <row r="73" spans="1:12" hidden="1" x14ac:dyDescent="0.3">
      <c r="A73" s="5" t="s">
        <v>3</v>
      </c>
      <c r="B73" s="5" t="s">
        <v>396</v>
      </c>
      <c r="C73" s="5" t="s">
        <v>397</v>
      </c>
      <c r="D73" s="102">
        <v>46121</v>
      </c>
      <c r="E73" s="5" t="s">
        <v>33</v>
      </c>
      <c r="F73" s="5">
        <v>0</v>
      </c>
      <c r="G73" s="6">
        <v>0</v>
      </c>
      <c r="H73" s="6">
        <f t="shared" si="1"/>
        <v>0</v>
      </c>
      <c r="I73" s="5" t="s">
        <v>398</v>
      </c>
      <c r="J73" s="39"/>
      <c r="K73" s="39"/>
      <c r="L73" s="39"/>
    </row>
    <row r="74" spans="1:12" hidden="1" x14ac:dyDescent="0.3">
      <c r="A74" s="5" t="s">
        <v>3</v>
      </c>
      <c r="B74" s="5" t="s">
        <v>382</v>
      </c>
      <c r="C74" s="5" t="s">
        <v>299</v>
      </c>
      <c r="D74" s="102">
        <v>46121</v>
      </c>
      <c r="E74" s="5" t="s">
        <v>33</v>
      </c>
      <c r="F74" s="5">
        <v>-1</v>
      </c>
      <c r="G74" s="6">
        <v>4015.98</v>
      </c>
      <c r="H74" s="6">
        <f t="shared" si="1"/>
        <v>-4015.98</v>
      </c>
      <c r="I74" s="5" t="s">
        <v>399</v>
      </c>
      <c r="J74" s="39"/>
      <c r="K74" s="39"/>
      <c r="L74" s="39"/>
    </row>
    <row r="75" spans="1:12" hidden="1" x14ac:dyDescent="0.3">
      <c r="A75" s="5" t="s">
        <v>3</v>
      </c>
      <c r="B75" s="5" t="s">
        <v>387</v>
      </c>
      <c r="C75" s="5" t="s">
        <v>11</v>
      </c>
      <c r="D75" s="102">
        <v>46121</v>
      </c>
      <c r="E75" s="5" t="s">
        <v>306</v>
      </c>
      <c r="F75" s="5">
        <v>13402</v>
      </c>
      <c r="G75" s="6">
        <v>0.1786245450232691</v>
      </c>
      <c r="H75" s="6">
        <f t="shared" si="1"/>
        <v>2393.9261524018525</v>
      </c>
      <c r="I75" s="5" t="s">
        <v>307</v>
      </c>
      <c r="J75" s="39"/>
      <c r="K75" s="39"/>
      <c r="L75" s="39"/>
    </row>
    <row r="76" spans="1:12" hidden="1" x14ac:dyDescent="0.3">
      <c r="A76" s="5" t="s">
        <v>3</v>
      </c>
      <c r="B76" s="5" t="s">
        <v>400</v>
      </c>
      <c r="C76" s="5" t="s">
        <v>274</v>
      </c>
      <c r="D76" s="102">
        <v>46121</v>
      </c>
      <c r="E76" s="5" t="s">
        <v>306</v>
      </c>
      <c r="F76" s="5">
        <v>0</v>
      </c>
      <c r="G76" s="6">
        <v>0</v>
      </c>
      <c r="H76" s="6">
        <f t="shared" si="1"/>
        <v>0</v>
      </c>
      <c r="I76" s="5" t="s">
        <v>401</v>
      </c>
      <c r="J76" s="39"/>
      <c r="K76" s="39"/>
      <c r="L76" s="39"/>
    </row>
    <row r="77" spans="1:12" hidden="1" x14ac:dyDescent="0.3">
      <c r="A77" s="5" t="s">
        <v>3</v>
      </c>
      <c r="B77" s="5" t="s">
        <v>402</v>
      </c>
      <c r="C77" s="5" t="s">
        <v>299</v>
      </c>
      <c r="D77" s="102">
        <v>46121</v>
      </c>
      <c r="E77" s="5" t="s">
        <v>319</v>
      </c>
      <c r="F77" s="5">
        <v>2</v>
      </c>
      <c r="G77" s="37"/>
      <c r="H77" s="6" t="str">
        <f t="shared" si="1"/>
        <v/>
      </c>
      <c r="I77" s="5" t="s">
        <v>313</v>
      </c>
      <c r="J77" s="39"/>
      <c r="K77" s="39"/>
      <c r="L77" s="39"/>
    </row>
    <row r="78" spans="1:12" hidden="1" x14ac:dyDescent="0.3">
      <c r="A78" s="5" t="s">
        <v>3</v>
      </c>
      <c r="B78" s="5" t="s">
        <v>403</v>
      </c>
      <c r="C78" s="5" t="s">
        <v>302</v>
      </c>
      <c r="D78" s="102">
        <v>46121</v>
      </c>
      <c r="E78" s="5" t="s">
        <v>319</v>
      </c>
      <c r="F78" s="5">
        <v>0</v>
      </c>
      <c r="G78" s="6">
        <v>0</v>
      </c>
      <c r="H78" s="6">
        <f t="shared" si="1"/>
        <v>0</v>
      </c>
      <c r="I78" s="5" t="s">
        <v>404</v>
      </c>
      <c r="J78" s="39"/>
      <c r="K78" s="39"/>
      <c r="L78" s="39"/>
    </row>
    <row r="79" spans="1:12" hidden="1" x14ac:dyDescent="0.3">
      <c r="A79" s="5" t="s">
        <v>3</v>
      </c>
      <c r="B79" s="5" t="s">
        <v>405</v>
      </c>
      <c r="C79" s="5" t="s">
        <v>315</v>
      </c>
      <c r="D79" s="102">
        <v>46121</v>
      </c>
      <c r="E79" s="5" t="s">
        <v>371</v>
      </c>
      <c r="F79" s="5">
        <v>0</v>
      </c>
      <c r="G79" s="6">
        <v>0</v>
      </c>
      <c r="H79" s="6">
        <f t="shared" si="1"/>
        <v>0</v>
      </c>
      <c r="I79" s="5" t="s">
        <v>406</v>
      </c>
      <c r="J79" s="39"/>
      <c r="K79" s="39"/>
      <c r="L79" s="39"/>
    </row>
    <row r="80" spans="1:12" hidden="1" x14ac:dyDescent="0.3">
      <c r="A80" s="5" t="s">
        <v>3</v>
      </c>
      <c r="B80" s="5" t="s">
        <v>363</v>
      </c>
      <c r="C80" s="5" t="s">
        <v>364</v>
      </c>
      <c r="D80" s="102">
        <v>46121</v>
      </c>
      <c r="E80" s="5" t="s">
        <v>371</v>
      </c>
      <c r="F80" s="5">
        <v>1</v>
      </c>
      <c r="G80" s="6">
        <v>5054.07</v>
      </c>
      <c r="H80" s="6">
        <f t="shared" si="1"/>
        <v>5054.07</v>
      </c>
      <c r="I80" s="5" t="s">
        <v>407</v>
      </c>
      <c r="J80" s="39"/>
      <c r="K80" s="39"/>
      <c r="L80" s="39"/>
    </row>
    <row r="81" spans="1:12" hidden="1" x14ac:dyDescent="0.3">
      <c r="A81" s="5" t="s">
        <v>3</v>
      </c>
      <c r="B81" s="5" t="s">
        <v>308</v>
      </c>
      <c r="C81" s="5" t="s">
        <v>309</v>
      </c>
      <c r="D81" s="102">
        <v>46121</v>
      </c>
      <c r="E81" s="5" t="s">
        <v>325</v>
      </c>
      <c r="F81" s="5">
        <v>3</v>
      </c>
      <c r="G81" s="6">
        <v>50</v>
      </c>
      <c r="H81" s="6">
        <f t="shared" si="1"/>
        <v>150</v>
      </c>
      <c r="I81" s="5" t="s">
        <v>310</v>
      </c>
      <c r="J81" s="39"/>
      <c r="K81" s="39"/>
      <c r="L81" s="39"/>
    </row>
    <row r="82" spans="1:12" hidden="1" x14ac:dyDescent="0.3">
      <c r="A82" s="5" t="s">
        <v>3</v>
      </c>
      <c r="B82" s="5" t="s">
        <v>408</v>
      </c>
      <c r="C82" s="5" t="s">
        <v>397</v>
      </c>
      <c r="D82" s="102">
        <v>46122</v>
      </c>
      <c r="E82" s="5" t="s">
        <v>33</v>
      </c>
      <c r="F82" s="5">
        <v>16</v>
      </c>
      <c r="G82" s="6">
        <v>2.85</v>
      </c>
      <c r="H82" s="6">
        <f t="shared" si="1"/>
        <v>45.6</v>
      </c>
      <c r="I82" s="5" t="s">
        <v>409</v>
      </c>
      <c r="J82" s="39"/>
      <c r="K82" s="39"/>
      <c r="L82" s="39"/>
    </row>
    <row r="83" spans="1:12" hidden="1" x14ac:dyDescent="0.3">
      <c r="A83" s="5" t="s">
        <v>3</v>
      </c>
      <c r="B83" s="5" t="s">
        <v>337</v>
      </c>
      <c r="C83" s="5" t="s">
        <v>299</v>
      </c>
      <c r="D83" s="102">
        <v>46122</v>
      </c>
      <c r="E83" s="5" t="s">
        <v>306</v>
      </c>
      <c r="F83" s="5">
        <v>1</v>
      </c>
      <c r="G83" s="6">
        <v>33.5</v>
      </c>
      <c r="H83" s="6">
        <f t="shared" si="1"/>
        <v>33.5</v>
      </c>
      <c r="I83" s="5" t="s">
        <v>410</v>
      </c>
      <c r="J83" s="39"/>
      <c r="K83" s="39"/>
      <c r="L83" s="39"/>
    </row>
    <row r="84" spans="1:12" hidden="1" x14ac:dyDescent="0.3">
      <c r="A84" s="5" t="s">
        <v>3</v>
      </c>
      <c r="B84" s="5" t="s">
        <v>411</v>
      </c>
      <c r="C84" s="5" t="s">
        <v>12</v>
      </c>
      <c r="D84" s="102">
        <v>46122</v>
      </c>
      <c r="E84" s="5" t="s">
        <v>306</v>
      </c>
      <c r="F84" s="5">
        <v>1</v>
      </c>
      <c r="G84" s="6">
        <v>80</v>
      </c>
      <c r="H84" s="6">
        <f t="shared" si="1"/>
        <v>80</v>
      </c>
      <c r="I84" s="5" t="s">
        <v>412</v>
      </c>
      <c r="J84" s="39"/>
      <c r="K84" s="39"/>
      <c r="L84" s="39"/>
    </row>
    <row r="85" spans="1:12" hidden="1" x14ac:dyDescent="0.3">
      <c r="A85" s="5" t="s">
        <v>3</v>
      </c>
      <c r="B85" s="5" t="s">
        <v>387</v>
      </c>
      <c r="C85" s="5" t="s">
        <v>11</v>
      </c>
      <c r="D85" s="102">
        <v>46122</v>
      </c>
      <c r="E85" s="5" t="s">
        <v>312</v>
      </c>
      <c r="F85" s="5">
        <v>3650</v>
      </c>
      <c r="G85" s="6">
        <v>0.1786245450232691</v>
      </c>
      <c r="H85" s="6">
        <f t="shared" si="1"/>
        <v>651.97958933493226</v>
      </c>
      <c r="I85" s="5" t="s">
        <v>307</v>
      </c>
      <c r="J85" s="39"/>
      <c r="K85" s="39"/>
      <c r="L85" s="39"/>
    </row>
    <row r="86" spans="1:12" hidden="1" x14ac:dyDescent="0.3">
      <c r="A86" s="5" t="s">
        <v>3</v>
      </c>
      <c r="B86" s="5" t="s">
        <v>355</v>
      </c>
      <c r="C86" s="5" t="s">
        <v>274</v>
      </c>
      <c r="D86" s="102">
        <v>46122</v>
      </c>
      <c r="E86" s="5" t="s">
        <v>312</v>
      </c>
      <c r="F86" s="5">
        <v>0</v>
      </c>
      <c r="G86" s="6">
        <v>0</v>
      </c>
      <c r="H86" s="6">
        <f t="shared" si="1"/>
        <v>0</v>
      </c>
      <c r="I86" s="5" t="s">
        <v>356</v>
      </c>
      <c r="J86" s="39"/>
      <c r="K86" s="39"/>
      <c r="L86" s="39"/>
    </row>
    <row r="87" spans="1:12" hidden="1" x14ac:dyDescent="0.3">
      <c r="A87" s="5" t="s">
        <v>3</v>
      </c>
      <c r="B87" s="5" t="s">
        <v>413</v>
      </c>
      <c r="C87" s="5" t="s">
        <v>299</v>
      </c>
      <c r="D87" s="102">
        <v>46122</v>
      </c>
      <c r="E87" s="5" t="s">
        <v>319</v>
      </c>
      <c r="F87" s="65">
        <v>0</v>
      </c>
      <c r="G87" s="37">
        <v>0</v>
      </c>
      <c r="H87" s="6">
        <f t="shared" si="1"/>
        <v>0</v>
      </c>
      <c r="I87" s="5" t="s">
        <v>313</v>
      </c>
      <c r="J87" s="39"/>
      <c r="K87" s="39"/>
      <c r="L87" s="39"/>
    </row>
    <row r="88" spans="1:12" hidden="1" x14ac:dyDescent="0.3">
      <c r="A88" s="5" t="s">
        <v>3</v>
      </c>
      <c r="B88" s="5" t="s">
        <v>414</v>
      </c>
      <c r="C88" s="5" t="s">
        <v>302</v>
      </c>
      <c r="D88" s="102">
        <v>46122</v>
      </c>
      <c r="E88" s="5" t="s">
        <v>391</v>
      </c>
      <c r="F88" s="5">
        <v>0</v>
      </c>
      <c r="G88" s="6">
        <v>0</v>
      </c>
      <c r="H88" s="6">
        <f t="shared" si="1"/>
        <v>0</v>
      </c>
      <c r="I88" s="5" t="s">
        <v>346</v>
      </c>
      <c r="J88" s="39"/>
      <c r="K88" s="39"/>
      <c r="L88" s="39"/>
    </row>
    <row r="89" spans="1:12" hidden="1" x14ac:dyDescent="0.3">
      <c r="A89" s="5" t="s">
        <v>3</v>
      </c>
      <c r="B89" s="5" t="s">
        <v>415</v>
      </c>
      <c r="C89" s="5" t="s">
        <v>315</v>
      </c>
      <c r="D89" s="102">
        <v>46122</v>
      </c>
      <c r="E89" s="5" t="s">
        <v>371</v>
      </c>
      <c r="F89" s="5">
        <v>0</v>
      </c>
      <c r="G89" s="6">
        <v>0</v>
      </c>
      <c r="H89" s="6">
        <f t="shared" si="1"/>
        <v>0</v>
      </c>
      <c r="I89" s="5" t="s">
        <v>416</v>
      </c>
      <c r="J89" s="39"/>
      <c r="K89" s="39"/>
      <c r="L89" s="39"/>
    </row>
    <row r="90" spans="1:12" hidden="1" x14ac:dyDescent="0.3">
      <c r="A90" s="5" t="s">
        <v>3</v>
      </c>
      <c r="B90" s="5" t="s">
        <v>363</v>
      </c>
      <c r="C90" s="5" t="s">
        <v>364</v>
      </c>
      <c r="D90" s="102">
        <v>46122</v>
      </c>
      <c r="E90" s="5" t="s">
        <v>322</v>
      </c>
      <c r="F90" s="5">
        <v>0</v>
      </c>
      <c r="G90" s="6">
        <v>0</v>
      </c>
      <c r="H90" s="6">
        <f t="shared" si="1"/>
        <v>0</v>
      </c>
      <c r="I90" s="5" t="s">
        <v>417</v>
      </c>
      <c r="J90" s="39"/>
      <c r="K90" s="39"/>
      <c r="L90" s="39"/>
    </row>
    <row r="91" spans="1:12" hidden="1" x14ac:dyDescent="0.3">
      <c r="A91" s="5" t="s">
        <v>3</v>
      </c>
      <c r="B91" s="5" t="s">
        <v>418</v>
      </c>
      <c r="C91" s="5" t="s">
        <v>397</v>
      </c>
      <c r="D91" s="102">
        <v>46123</v>
      </c>
      <c r="E91" s="5" t="s">
        <v>306</v>
      </c>
      <c r="F91" s="5">
        <v>0</v>
      </c>
      <c r="G91" s="6">
        <v>0</v>
      </c>
      <c r="H91" s="6">
        <f t="shared" si="1"/>
        <v>0</v>
      </c>
      <c r="I91" s="5" t="s">
        <v>419</v>
      </c>
      <c r="J91" s="39"/>
      <c r="K91" s="39"/>
      <c r="L91" s="39"/>
    </row>
    <row r="92" spans="1:12" hidden="1" x14ac:dyDescent="0.3">
      <c r="A92" s="5" t="s">
        <v>3</v>
      </c>
      <c r="B92" s="5" t="s">
        <v>337</v>
      </c>
      <c r="C92" s="5" t="s">
        <v>299</v>
      </c>
      <c r="D92" s="102">
        <v>46123</v>
      </c>
      <c r="E92" s="5" t="s">
        <v>306</v>
      </c>
      <c r="F92" s="5">
        <v>1</v>
      </c>
      <c r="G92" s="6">
        <v>22</v>
      </c>
      <c r="H92" s="6">
        <f t="shared" si="1"/>
        <v>22</v>
      </c>
      <c r="I92" s="5" t="s">
        <v>420</v>
      </c>
      <c r="J92" s="39"/>
      <c r="K92" s="39"/>
      <c r="L92" s="39"/>
    </row>
    <row r="93" spans="1:12" hidden="1" x14ac:dyDescent="0.3">
      <c r="A93" s="5" t="s">
        <v>3</v>
      </c>
      <c r="B93" s="5" t="s">
        <v>355</v>
      </c>
      <c r="C93" s="5" t="s">
        <v>274</v>
      </c>
      <c r="D93" s="102">
        <v>46123</v>
      </c>
      <c r="E93" s="5" t="s">
        <v>312</v>
      </c>
      <c r="F93" s="5">
        <v>1</v>
      </c>
      <c r="G93" s="6">
        <v>1234.54</v>
      </c>
      <c r="H93" s="6">
        <f t="shared" si="1"/>
        <v>1234.54</v>
      </c>
      <c r="I93" s="5" t="s">
        <v>421</v>
      </c>
      <c r="J93" s="39"/>
      <c r="K93" s="39"/>
      <c r="L93" s="39"/>
    </row>
    <row r="94" spans="1:12" hidden="1" x14ac:dyDescent="0.3">
      <c r="A94" s="5" t="s">
        <v>3</v>
      </c>
      <c r="B94" s="5" t="s">
        <v>422</v>
      </c>
      <c r="C94" s="5" t="s">
        <v>299</v>
      </c>
      <c r="D94" s="102">
        <v>46123</v>
      </c>
      <c r="E94" s="5" t="s">
        <v>319</v>
      </c>
      <c r="F94" s="65">
        <v>0</v>
      </c>
      <c r="G94" s="37">
        <v>0</v>
      </c>
      <c r="H94" s="6">
        <f t="shared" si="1"/>
        <v>0</v>
      </c>
      <c r="I94" s="5" t="s">
        <v>313</v>
      </c>
      <c r="J94" s="39"/>
      <c r="K94" s="39"/>
      <c r="L94" s="39"/>
    </row>
    <row r="95" spans="1:12" hidden="1" x14ac:dyDescent="0.3">
      <c r="A95" s="5" t="s">
        <v>3</v>
      </c>
      <c r="B95" s="5" t="s">
        <v>387</v>
      </c>
      <c r="C95" s="5" t="s">
        <v>11</v>
      </c>
      <c r="D95" s="102">
        <v>46123</v>
      </c>
      <c r="E95" s="5" t="s">
        <v>319</v>
      </c>
      <c r="F95" s="5">
        <v>6396</v>
      </c>
      <c r="G95" s="6">
        <v>0.1786245450232691</v>
      </c>
      <c r="H95" s="6">
        <f t="shared" si="1"/>
        <v>1142.4825899688292</v>
      </c>
      <c r="I95" s="5" t="s">
        <v>307</v>
      </c>
      <c r="J95" s="39"/>
      <c r="K95" s="39"/>
      <c r="L95" s="39"/>
    </row>
    <row r="96" spans="1:12" hidden="1" x14ac:dyDescent="0.3">
      <c r="A96" s="5" t="s">
        <v>3</v>
      </c>
      <c r="B96" s="5" t="s">
        <v>367</v>
      </c>
      <c r="C96" s="5" t="s">
        <v>302</v>
      </c>
      <c r="D96" s="102">
        <v>46123</v>
      </c>
      <c r="E96" s="5" t="s">
        <v>319</v>
      </c>
      <c r="F96" s="5">
        <v>13</v>
      </c>
      <c r="G96" s="6">
        <v>20</v>
      </c>
      <c r="H96" s="6">
        <f t="shared" si="1"/>
        <v>260</v>
      </c>
      <c r="I96" s="5" t="s">
        <v>368</v>
      </c>
      <c r="J96" s="39"/>
      <c r="K96" s="39"/>
      <c r="L96" s="39"/>
    </row>
    <row r="97" spans="1:12" hidden="1" x14ac:dyDescent="0.3">
      <c r="A97" s="5" t="s">
        <v>3</v>
      </c>
      <c r="B97" s="5" t="s">
        <v>423</v>
      </c>
      <c r="C97" s="5" t="s">
        <v>315</v>
      </c>
      <c r="D97" s="102">
        <v>46123</v>
      </c>
      <c r="E97" s="5" t="s">
        <v>371</v>
      </c>
      <c r="F97" s="5">
        <v>0</v>
      </c>
      <c r="G97" s="6">
        <v>0</v>
      </c>
      <c r="H97" s="6">
        <f t="shared" si="1"/>
        <v>0</v>
      </c>
      <c r="I97" s="5" t="s">
        <v>424</v>
      </c>
      <c r="J97" s="39"/>
      <c r="K97" s="39"/>
      <c r="L97" s="39"/>
    </row>
    <row r="98" spans="1:12" hidden="1" x14ac:dyDescent="0.3">
      <c r="A98" s="5" t="s">
        <v>3</v>
      </c>
      <c r="B98" s="5" t="s">
        <v>363</v>
      </c>
      <c r="C98" s="5" t="s">
        <v>364</v>
      </c>
      <c r="D98" s="102">
        <v>46123</v>
      </c>
      <c r="E98" s="5" t="s">
        <v>325</v>
      </c>
      <c r="F98" s="5">
        <v>1</v>
      </c>
      <c r="G98" s="6">
        <v>1379.96</v>
      </c>
      <c r="H98" s="6">
        <f t="shared" si="1"/>
        <v>1379.96</v>
      </c>
      <c r="I98" s="5" t="s">
        <v>425</v>
      </c>
      <c r="J98" s="39"/>
      <c r="K98" s="39"/>
      <c r="L98" s="39"/>
    </row>
    <row r="99" spans="1:12" hidden="1" x14ac:dyDescent="0.3">
      <c r="A99" s="5" t="s">
        <v>3</v>
      </c>
      <c r="B99" s="5" t="s">
        <v>327</v>
      </c>
      <c r="C99" s="5" t="s">
        <v>23</v>
      </c>
      <c r="D99" s="102">
        <v>46124</v>
      </c>
      <c r="E99" s="40" t="s">
        <v>328</v>
      </c>
      <c r="F99" s="5">
        <v>139</v>
      </c>
      <c r="G99" s="6">
        <v>124.1</v>
      </c>
      <c r="H99" s="6">
        <f t="shared" si="1"/>
        <v>17249.899999999998</v>
      </c>
      <c r="I99" s="5" t="s">
        <v>426</v>
      </c>
      <c r="J99" s="39"/>
      <c r="K99" s="39"/>
      <c r="L99" s="39"/>
    </row>
    <row r="100" spans="1:12" hidden="1" x14ac:dyDescent="0.3">
      <c r="A100" s="5" t="s">
        <v>3</v>
      </c>
      <c r="B100" s="5" t="s">
        <v>396</v>
      </c>
      <c r="C100" s="5" t="s">
        <v>397</v>
      </c>
      <c r="D100" s="102">
        <v>46124</v>
      </c>
      <c r="E100" s="5" t="s">
        <v>306</v>
      </c>
      <c r="F100" s="5">
        <v>0</v>
      </c>
      <c r="G100" s="6">
        <v>0</v>
      </c>
      <c r="H100" s="6">
        <f t="shared" si="1"/>
        <v>0</v>
      </c>
      <c r="I100" s="5" t="s">
        <v>427</v>
      </c>
      <c r="J100" s="39"/>
      <c r="K100" s="39"/>
      <c r="L100" s="39"/>
    </row>
    <row r="101" spans="1:12" hidden="1" x14ac:dyDescent="0.3">
      <c r="A101" s="5" t="s">
        <v>3</v>
      </c>
      <c r="B101" s="5" t="s">
        <v>349</v>
      </c>
      <c r="C101" s="5" t="s">
        <v>299</v>
      </c>
      <c r="D101" s="102">
        <v>46124</v>
      </c>
      <c r="E101" s="5" t="s">
        <v>306</v>
      </c>
      <c r="F101" s="5">
        <v>328</v>
      </c>
      <c r="G101" s="6">
        <v>1.86</v>
      </c>
      <c r="H101" s="6">
        <f t="shared" si="1"/>
        <v>610.08000000000004</v>
      </c>
      <c r="I101" s="5" t="s">
        <v>350</v>
      </c>
      <c r="J101" s="39"/>
      <c r="K101" s="39"/>
      <c r="L101" s="39"/>
    </row>
    <row r="102" spans="1:12" hidden="1" x14ac:dyDescent="0.3">
      <c r="A102" s="5" t="s">
        <v>3</v>
      </c>
      <c r="B102" s="5" t="s">
        <v>428</v>
      </c>
      <c r="C102" s="5" t="s">
        <v>274</v>
      </c>
      <c r="D102" s="102">
        <v>46124</v>
      </c>
      <c r="E102" s="5" t="s">
        <v>312</v>
      </c>
      <c r="F102" s="5">
        <v>0</v>
      </c>
      <c r="G102" s="6">
        <v>0</v>
      </c>
      <c r="H102" s="6">
        <f t="shared" si="1"/>
        <v>0</v>
      </c>
      <c r="I102" s="5" t="s">
        <v>380</v>
      </c>
      <c r="J102" s="39"/>
      <c r="K102" s="39"/>
      <c r="L102" s="39"/>
    </row>
    <row r="103" spans="1:12" hidden="1" x14ac:dyDescent="0.3">
      <c r="A103" s="5" t="s">
        <v>3</v>
      </c>
      <c r="B103" s="5" t="s">
        <v>429</v>
      </c>
      <c r="C103" s="5" t="s">
        <v>299</v>
      </c>
      <c r="D103" s="102">
        <v>46124</v>
      </c>
      <c r="E103" s="5" t="s">
        <v>319</v>
      </c>
      <c r="F103" s="127">
        <v>2</v>
      </c>
      <c r="G103" s="37">
        <v>0</v>
      </c>
      <c r="H103" s="6">
        <f t="shared" si="1"/>
        <v>0</v>
      </c>
      <c r="I103" s="5" t="s">
        <v>313</v>
      </c>
      <c r="J103" s="39"/>
      <c r="K103" s="39"/>
      <c r="L103" s="39"/>
    </row>
    <row r="104" spans="1:12" hidden="1" x14ac:dyDescent="0.3">
      <c r="A104" s="5" t="s">
        <v>3</v>
      </c>
      <c r="B104" s="5" t="s">
        <v>301</v>
      </c>
      <c r="C104" s="5" t="s">
        <v>302</v>
      </c>
      <c r="D104" s="102">
        <v>46124</v>
      </c>
      <c r="E104" s="5" t="s">
        <v>319</v>
      </c>
      <c r="F104" s="5">
        <v>0</v>
      </c>
      <c r="G104" s="6">
        <v>0</v>
      </c>
      <c r="H104" s="6">
        <f t="shared" si="1"/>
        <v>0</v>
      </c>
      <c r="I104" s="5" t="s">
        <v>303</v>
      </c>
      <c r="J104" s="39"/>
      <c r="K104" s="39"/>
      <c r="L104" s="39"/>
    </row>
    <row r="105" spans="1:12" hidden="1" x14ac:dyDescent="0.3">
      <c r="A105" s="5" t="s">
        <v>3</v>
      </c>
      <c r="B105" s="5" t="s">
        <v>387</v>
      </c>
      <c r="C105" s="5" t="s">
        <v>11</v>
      </c>
      <c r="D105" s="102">
        <v>46124</v>
      </c>
      <c r="E105" s="5" t="s">
        <v>371</v>
      </c>
      <c r="F105" s="5">
        <v>14331</v>
      </c>
      <c r="G105" s="6">
        <v>0.1786245450232691</v>
      </c>
      <c r="H105" s="6">
        <f t="shared" si="1"/>
        <v>2559.8683547284695</v>
      </c>
      <c r="I105" s="5" t="s">
        <v>307</v>
      </c>
      <c r="J105" s="39"/>
      <c r="K105" s="39"/>
      <c r="L105" s="39"/>
    </row>
    <row r="106" spans="1:12" hidden="1" x14ac:dyDescent="0.3">
      <c r="A106" s="5" t="s">
        <v>3</v>
      </c>
      <c r="B106" s="5" t="s">
        <v>430</v>
      </c>
      <c r="C106" s="5" t="s">
        <v>315</v>
      </c>
      <c r="D106" s="102">
        <v>46124</v>
      </c>
      <c r="E106" s="5" t="s">
        <v>371</v>
      </c>
      <c r="F106" s="5">
        <v>0</v>
      </c>
      <c r="G106" s="6">
        <v>0</v>
      </c>
      <c r="H106" s="6">
        <f t="shared" si="1"/>
        <v>0</v>
      </c>
      <c r="I106" s="5" t="s">
        <v>431</v>
      </c>
      <c r="J106" s="39"/>
      <c r="K106" s="39"/>
      <c r="L106" s="39"/>
    </row>
    <row r="107" spans="1:12" hidden="1" x14ac:dyDescent="0.3">
      <c r="A107" s="5" t="s">
        <v>3</v>
      </c>
      <c r="B107" s="5" t="s">
        <v>327</v>
      </c>
      <c r="C107" s="5" t="s">
        <v>23</v>
      </c>
      <c r="D107" s="102">
        <v>46125</v>
      </c>
      <c r="E107" s="5" t="s">
        <v>33</v>
      </c>
      <c r="F107" s="5">
        <v>3</v>
      </c>
      <c r="G107" s="6">
        <v>143.82</v>
      </c>
      <c r="H107" s="6">
        <f t="shared" si="1"/>
        <v>431.46</v>
      </c>
      <c r="I107" s="5" t="s">
        <v>426</v>
      </c>
      <c r="J107" s="39"/>
      <c r="K107" s="39"/>
      <c r="L107" s="39"/>
    </row>
    <row r="108" spans="1:12" hidden="1" x14ac:dyDescent="0.3">
      <c r="A108" s="5" t="s">
        <v>3</v>
      </c>
      <c r="B108" s="5" t="s">
        <v>359</v>
      </c>
      <c r="C108" s="5" t="s">
        <v>299</v>
      </c>
      <c r="D108" s="102">
        <v>46125</v>
      </c>
      <c r="E108" s="5" t="s">
        <v>306</v>
      </c>
      <c r="F108" s="5">
        <v>5</v>
      </c>
      <c r="G108" s="6">
        <v>383.56</v>
      </c>
      <c r="H108" s="6">
        <f t="shared" si="1"/>
        <v>1917.8</v>
      </c>
      <c r="I108" s="5" t="s">
        <v>432</v>
      </c>
      <c r="J108" s="39"/>
      <c r="K108" s="39"/>
      <c r="L108" s="39"/>
    </row>
    <row r="109" spans="1:12" hidden="1" x14ac:dyDescent="0.3">
      <c r="A109" s="5" t="s">
        <v>3</v>
      </c>
      <c r="B109" s="5" t="s">
        <v>396</v>
      </c>
      <c r="C109" s="5" t="s">
        <v>397</v>
      </c>
      <c r="D109" s="102">
        <v>46125</v>
      </c>
      <c r="E109" s="5" t="s">
        <v>312</v>
      </c>
      <c r="F109" s="5">
        <v>0</v>
      </c>
      <c r="G109" s="6">
        <v>0</v>
      </c>
      <c r="H109" s="6">
        <f t="shared" si="1"/>
        <v>0</v>
      </c>
      <c r="I109" s="5" t="s">
        <v>427</v>
      </c>
      <c r="J109" s="39"/>
      <c r="K109" s="39"/>
      <c r="L109" s="39"/>
    </row>
    <row r="110" spans="1:12" hidden="1" x14ac:dyDescent="0.3">
      <c r="A110" s="5" t="s">
        <v>3</v>
      </c>
      <c r="B110" s="5" t="s">
        <v>433</v>
      </c>
      <c r="C110" s="5" t="s">
        <v>274</v>
      </c>
      <c r="D110" s="102">
        <v>46125</v>
      </c>
      <c r="E110" s="5" t="s">
        <v>312</v>
      </c>
      <c r="F110" s="5">
        <v>0</v>
      </c>
      <c r="G110" s="6">
        <v>0</v>
      </c>
      <c r="H110" s="6">
        <f t="shared" si="1"/>
        <v>0</v>
      </c>
      <c r="I110" s="5" t="s">
        <v>401</v>
      </c>
      <c r="J110" s="39"/>
      <c r="K110" s="39"/>
      <c r="L110" s="39"/>
    </row>
    <row r="111" spans="1:12" hidden="1" x14ac:dyDescent="0.3">
      <c r="A111" s="5" t="s">
        <v>3</v>
      </c>
      <c r="B111" s="5" t="s">
        <v>345</v>
      </c>
      <c r="C111" s="5" t="s">
        <v>302</v>
      </c>
      <c r="D111" s="102">
        <v>46125</v>
      </c>
      <c r="E111" s="5" t="s">
        <v>319</v>
      </c>
      <c r="F111" s="5">
        <v>0</v>
      </c>
      <c r="G111" s="6">
        <v>0</v>
      </c>
      <c r="H111" s="6">
        <f t="shared" si="1"/>
        <v>0</v>
      </c>
      <c r="I111" s="5" t="s">
        <v>346</v>
      </c>
      <c r="J111" s="39"/>
      <c r="K111" s="39"/>
      <c r="L111" s="39"/>
    </row>
    <row r="112" spans="1:12" hidden="1" x14ac:dyDescent="0.3">
      <c r="A112" s="5" t="s">
        <v>3</v>
      </c>
      <c r="B112" s="5" t="s">
        <v>349</v>
      </c>
      <c r="C112" s="5" t="s">
        <v>299</v>
      </c>
      <c r="D112" s="102">
        <v>46125</v>
      </c>
      <c r="E112" s="5" t="s">
        <v>371</v>
      </c>
      <c r="F112" s="5">
        <v>537</v>
      </c>
      <c r="G112" s="6">
        <v>1.86</v>
      </c>
      <c r="H112" s="6">
        <f t="shared" si="1"/>
        <v>998.82</v>
      </c>
      <c r="I112" s="5" t="s">
        <v>350</v>
      </c>
      <c r="J112" s="39"/>
      <c r="K112" s="39"/>
      <c r="L112" s="39"/>
    </row>
    <row r="113" spans="1:12" hidden="1" x14ac:dyDescent="0.3">
      <c r="A113" s="5" t="s">
        <v>3</v>
      </c>
      <c r="B113" s="5" t="s">
        <v>387</v>
      </c>
      <c r="C113" s="5" t="s">
        <v>11</v>
      </c>
      <c r="D113" s="102">
        <v>46125</v>
      </c>
      <c r="E113" s="5" t="s">
        <v>322</v>
      </c>
      <c r="F113" s="5">
        <v>4730</v>
      </c>
      <c r="G113" s="6">
        <v>0.1786245450232691</v>
      </c>
      <c r="H113" s="6">
        <f t="shared" si="1"/>
        <v>844.89409796006282</v>
      </c>
      <c r="I113" s="5" t="s">
        <v>307</v>
      </c>
      <c r="J113" s="39"/>
      <c r="K113" s="39"/>
      <c r="L113" s="39"/>
    </row>
    <row r="114" spans="1:12" hidden="1" x14ac:dyDescent="0.3">
      <c r="A114" s="5" t="s">
        <v>3</v>
      </c>
      <c r="B114" s="5" t="s">
        <v>434</v>
      </c>
      <c r="C114" s="5" t="s">
        <v>315</v>
      </c>
      <c r="D114" s="102">
        <v>46125</v>
      </c>
      <c r="E114" s="5" t="s">
        <v>322</v>
      </c>
      <c r="F114" s="5">
        <v>0</v>
      </c>
      <c r="G114" s="6">
        <v>0</v>
      </c>
      <c r="H114" s="6">
        <f t="shared" si="1"/>
        <v>0</v>
      </c>
      <c r="I114" s="5" t="s">
        <v>316</v>
      </c>
      <c r="J114" s="39"/>
      <c r="K114" s="39"/>
      <c r="L114" s="39"/>
    </row>
    <row r="115" spans="1:12" hidden="1" x14ac:dyDescent="0.3">
      <c r="A115" s="5" t="s">
        <v>3</v>
      </c>
      <c r="B115" s="5" t="s">
        <v>324</v>
      </c>
      <c r="C115" s="5" t="s">
        <v>299</v>
      </c>
      <c r="D115" s="102">
        <v>46126</v>
      </c>
      <c r="E115" s="5" t="s">
        <v>306</v>
      </c>
      <c r="F115" s="5">
        <v>1</v>
      </c>
      <c r="G115" s="6">
        <v>338.53</v>
      </c>
      <c r="H115" s="6">
        <f t="shared" si="1"/>
        <v>338.53</v>
      </c>
      <c r="I115" s="5" t="s">
        <v>435</v>
      </c>
      <c r="J115" s="39"/>
      <c r="K115" s="39"/>
      <c r="L115" s="39"/>
    </row>
    <row r="116" spans="1:12" hidden="1" x14ac:dyDescent="0.3">
      <c r="A116" s="5" t="s">
        <v>3</v>
      </c>
      <c r="B116" s="5" t="s">
        <v>327</v>
      </c>
      <c r="C116" s="5" t="s">
        <v>23</v>
      </c>
      <c r="D116" s="102">
        <v>46126</v>
      </c>
      <c r="E116" s="5" t="s">
        <v>306</v>
      </c>
      <c r="F116" s="5">
        <v>12</v>
      </c>
      <c r="G116" s="6">
        <v>133.21</v>
      </c>
      <c r="H116" s="6">
        <f t="shared" si="1"/>
        <v>1598.52</v>
      </c>
      <c r="I116" s="5" t="s">
        <v>426</v>
      </c>
      <c r="J116" s="39"/>
      <c r="K116" s="39"/>
      <c r="L116" s="39"/>
    </row>
    <row r="117" spans="1:12" hidden="1" x14ac:dyDescent="0.3">
      <c r="A117" s="5" t="s">
        <v>3</v>
      </c>
      <c r="B117" s="5" t="s">
        <v>408</v>
      </c>
      <c r="C117" s="5" t="s">
        <v>397</v>
      </c>
      <c r="D117" s="102">
        <v>46126</v>
      </c>
      <c r="E117" s="5" t="s">
        <v>312</v>
      </c>
      <c r="F117" s="5">
        <v>10</v>
      </c>
      <c r="G117" s="6">
        <v>2.85</v>
      </c>
      <c r="H117" s="6">
        <f t="shared" si="1"/>
        <v>28.5</v>
      </c>
      <c r="I117" s="5" t="s">
        <v>409</v>
      </c>
      <c r="J117" s="39"/>
      <c r="K117" s="39"/>
      <c r="L117" s="39"/>
    </row>
    <row r="118" spans="1:12" hidden="1" x14ac:dyDescent="0.3">
      <c r="A118" s="5" t="s">
        <v>3</v>
      </c>
      <c r="B118" s="5" t="s">
        <v>355</v>
      </c>
      <c r="C118" s="5" t="s">
        <v>274</v>
      </c>
      <c r="D118" s="102">
        <v>46126</v>
      </c>
      <c r="E118" s="5" t="s">
        <v>319</v>
      </c>
      <c r="F118" s="5">
        <v>-1</v>
      </c>
      <c r="G118" s="6">
        <v>1580.87</v>
      </c>
      <c r="H118" s="6">
        <f t="shared" si="1"/>
        <v>-1580.87</v>
      </c>
      <c r="I118" s="5" t="s">
        <v>356</v>
      </c>
      <c r="J118" s="39"/>
      <c r="K118" s="39"/>
      <c r="L118" s="39"/>
    </row>
    <row r="119" spans="1:12" hidden="1" x14ac:dyDescent="0.3">
      <c r="A119" s="5" t="s">
        <v>3</v>
      </c>
      <c r="B119" s="5" t="s">
        <v>359</v>
      </c>
      <c r="C119" s="5" t="s">
        <v>299</v>
      </c>
      <c r="D119" s="102">
        <v>46126</v>
      </c>
      <c r="E119" s="5" t="s">
        <v>371</v>
      </c>
      <c r="F119" s="5">
        <v>1</v>
      </c>
      <c r="G119" s="6">
        <v>383.56</v>
      </c>
      <c r="H119" s="6">
        <f t="shared" si="1"/>
        <v>383.56</v>
      </c>
      <c r="I119" s="5" t="s">
        <v>436</v>
      </c>
      <c r="J119" s="39"/>
      <c r="K119" s="39"/>
      <c r="L119" s="39"/>
    </row>
    <row r="120" spans="1:12" hidden="1" x14ac:dyDescent="0.3">
      <c r="A120" s="5" t="s">
        <v>3</v>
      </c>
      <c r="B120" s="5" t="s">
        <v>367</v>
      </c>
      <c r="C120" s="5" t="s">
        <v>302</v>
      </c>
      <c r="D120" s="102">
        <v>46126</v>
      </c>
      <c r="E120" s="5" t="s">
        <v>371</v>
      </c>
      <c r="F120" s="5">
        <v>19</v>
      </c>
      <c r="G120" s="6">
        <v>20</v>
      </c>
      <c r="H120" s="6">
        <f t="shared" si="1"/>
        <v>380</v>
      </c>
      <c r="I120" s="5" t="s">
        <v>368</v>
      </c>
      <c r="J120" s="39"/>
      <c r="K120" s="39"/>
      <c r="L120" s="39"/>
    </row>
    <row r="121" spans="1:12" hidden="1" x14ac:dyDescent="0.3">
      <c r="A121" s="5" t="s">
        <v>3</v>
      </c>
      <c r="B121" s="5" t="s">
        <v>423</v>
      </c>
      <c r="C121" s="5" t="s">
        <v>315</v>
      </c>
      <c r="D121" s="102">
        <v>46126</v>
      </c>
      <c r="E121" s="5" t="s">
        <v>322</v>
      </c>
      <c r="F121" s="5">
        <v>0</v>
      </c>
      <c r="G121" s="6">
        <v>0</v>
      </c>
      <c r="H121" s="6">
        <f t="shared" si="1"/>
        <v>0</v>
      </c>
      <c r="I121" s="5" t="s">
        <v>316</v>
      </c>
      <c r="J121" s="39"/>
      <c r="K121" s="39"/>
      <c r="L121" s="39"/>
    </row>
    <row r="122" spans="1:12" hidden="1" x14ac:dyDescent="0.3">
      <c r="A122" s="5" t="s">
        <v>3</v>
      </c>
      <c r="B122" s="5" t="s">
        <v>387</v>
      </c>
      <c r="C122" s="5" t="s">
        <v>11</v>
      </c>
      <c r="D122" s="102">
        <v>46126</v>
      </c>
      <c r="E122" s="5" t="s">
        <v>325</v>
      </c>
      <c r="F122" s="5">
        <v>4782</v>
      </c>
      <c r="G122" s="6">
        <v>0.1786245450232691</v>
      </c>
      <c r="H122" s="6">
        <f t="shared" si="1"/>
        <v>854.18257430127289</v>
      </c>
      <c r="I122" s="5" t="s">
        <v>307</v>
      </c>
      <c r="J122" s="39"/>
      <c r="K122" s="39"/>
      <c r="L122" s="39"/>
    </row>
    <row r="123" spans="1:12" hidden="1" x14ac:dyDescent="0.3">
      <c r="A123" s="5" t="s">
        <v>3</v>
      </c>
      <c r="B123" s="5" t="s">
        <v>298</v>
      </c>
      <c r="C123" s="5" t="s">
        <v>299</v>
      </c>
      <c r="D123" s="102">
        <v>46127</v>
      </c>
      <c r="E123" s="5" t="s">
        <v>306</v>
      </c>
      <c r="F123" s="5">
        <v>1</v>
      </c>
      <c r="G123" s="6">
        <v>400.26</v>
      </c>
      <c r="H123" s="6">
        <f t="shared" si="1"/>
        <v>400.26</v>
      </c>
      <c r="I123" s="5" t="s">
        <v>437</v>
      </c>
      <c r="J123" s="39"/>
      <c r="K123" s="39"/>
      <c r="L123" s="39"/>
    </row>
    <row r="124" spans="1:12" hidden="1" x14ac:dyDescent="0.3">
      <c r="A124" s="5" t="s">
        <v>3</v>
      </c>
      <c r="B124" s="5" t="s">
        <v>438</v>
      </c>
      <c r="C124" s="5" t="s">
        <v>13</v>
      </c>
      <c r="D124" s="102">
        <v>46127</v>
      </c>
      <c r="E124" s="5" t="s">
        <v>306</v>
      </c>
      <c r="F124" s="5">
        <v>13402</v>
      </c>
      <c r="G124" s="6">
        <v>8.7142439691267323E-2</v>
      </c>
      <c r="H124" s="6">
        <f t="shared" si="1"/>
        <v>1167.8829767423647</v>
      </c>
      <c r="I124" s="5" t="s">
        <v>307</v>
      </c>
      <c r="J124" s="39"/>
      <c r="K124" s="39"/>
      <c r="L124" s="39"/>
    </row>
    <row r="125" spans="1:12" hidden="1" x14ac:dyDescent="0.3">
      <c r="A125" s="5" t="s">
        <v>3</v>
      </c>
      <c r="B125" s="5" t="s">
        <v>327</v>
      </c>
      <c r="C125" s="5" t="s">
        <v>23</v>
      </c>
      <c r="D125" s="102">
        <v>46127</v>
      </c>
      <c r="E125" s="5" t="s">
        <v>312</v>
      </c>
      <c r="F125" s="5">
        <v>15</v>
      </c>
      <c r="G125" s="6">
        <v>151.02000000000001</v>
      </c>
      <c r="H125" s="6">
        <f t="shared" si="1"/>
        <v>2265.3000000000002</v>
      </c>
      <c r="I125" s="5" t="s">
        <v>426</v>
      </c>
      <c r="J125" s="39"/>
      <c r="K125" s="39"/>
      <c r="L125" s="39"/>
    </row>
    <row r="126" spans="1:12" hidden="1" x14ac:dyDescent="0.3">
      <c r="A126" s="5" t="s">
        <v>3</v>
      </c>
      <c r="B126" s="5" t="s">
        <v>396</v>
      </c>
      <c r="C126" s="5" t="s">
        <v>397</v>
      </c>
      <c r="D126" s="102">
        <v>46127</v>
      </c>
      <c r="E126" s="5" t="s">
        <v>319</v>
      </c>
      <c r="F126" s="5">
        <v>0</v>
      </c>
      <c r="G126" s="6">
        <v>0</v>
      </c>
      <c r="H126" s="6">
        <f t="shared" si="1"/>
        <v>0</v>
      </c>
      <c r="I126" s="5" t="s">
        <v>398</v>
      </c>
      <c r="J126" s="39"/>
      <c r="K126" s="39"/>
      <c r="L126" s="39"/>
    </row>
    <row r="127" spans="1:12" hidden="1" x14ac:dyDescent="0.3">
      <c r="A127" s="5" t="s">
        <v>3</v>
      </c>
      <c r="B127" s="5" t="s">
        <v>355</v>
      </c>
      <c r="C127" s="5" t="s">
        <v>274</v>
      </c>
      <c r="D127" s="102">
        <v>46127</v>
      </c>
      <c r="E127" s="5" t="s">
        <v>319</v>
      </c>
      <c r="F127" s="5">
        <v>1</v>
      </c>
      <c r="G127" s="6">
        <v>577</v>
      </c>
      <c r="H127" s="6">
        <f t="shared" si="1"/>
        <v>577</v>
      </c>
      <c r="I127" s="5" t="s">
        <v>366</v>
      </c>
      <c r="J127" s="39"/>
      <c r="K127" s="39"/>
      <c r="L127" s="39"/>
    </row>
    <row r="128" spans="1:12" hidden="1" x14ac:dyDescent="0.3">
      <c r="A128" s="5" t="s">
        <v>3</v>
      </c>
      <c r="B128" s="5" t="s">
        <v>324</v>
      </c>
      <c r="C128" s="5" t="s">
        <v>299</v>
      </c>
      <c r="D128" s="102">
        <v>46127</v>
      </c>
      <c r="E128" s="5" t="s">
        <v>371</v>
      </c>
      <c r="F128" s="5">
        <v>4</v>
      </c>
      <c r="G128" s="6">
        <v>338.53</v>
      </c>
      <c r="H128" s="6">
        <f t="shared" si="1"/>
        <v>1354.12</v>
      </c>
      <c r="I128" s="5" t="s">
        <v>439</v>
      </c>
      <c r="J128" s="39"/>
      <c r="K128" s="39"/>
      <c r="L128" s="39"/>
    </row>
    <row r="129" spans="1:12" hidden="1" x14ac:dyDescent="0.3">
      <c r="A129" s="5" t="s">
        <v>3</v>
      </c>
      <c r="B129" s="5" t="s">
        <v>301</v>
      </c>
      <c r="C129" s="5" t="s">
        <v>302</v>
      </c>
      <c r="D129" s="102">
        <v>46127</v>
      </c>
      <c r="E129" s="5" t="s">
        <v>371</v>
      </c>
      <c r="F129" s="5">
        <v>1</v>
      </c>
      <c r="G129" s="6">
        <v>1092.02</v>
      </c>
      <c r="H129" s="6">
        <f t="shared" si="1"/>
        <v>1092.02</v>
      </c>
      <c r="I129" s="5" t="s">
        <v>303</v>
      </c>
      <c r="J129" s="39"/>
      <c r="K129" s="39"/>
      <c r="L129" s="39"/>
    </row>
    <row r="130" spans="1:12" hidden="1" x14ac:dyDescent="0.3">
      <c r="A130" s="5" t="s">
        <v>3</v>
      </c>
      <c r="B130" s="5" t="s">
        <v>440</v>
      </c>
      <c r="C130" s="5" t="s">
        <v>315</v>
      </c>
      <c r="D130" s="102">
        <v>46127</v>
      </c>
      <c r="E130" s="5" t="s">
        <v>322</v>
      </c>
      <c r="F130" s="5">
        <v>0</v>
      </c>
      <c r="G130" s="6">
        <v>0</v>
      </c>
      <c r="H130" s="6">
        <f t="shared" ref="H130:H193" si="2">IF(OR(F130="",G130=""),"",F130*G130)</f>
        <v>0</v>
      </c>
      <c r="I130" s="5" t="s">
        <v>394</v>
      </c>
      <c r="J130" s="39"/>
      <c r="K130" s="39"/>
      <c r="L130" s="39"/>
    </row>
    <row r="131" spans="1:12" hidden="1" x14ac:dyDescent="0.3">
      <c r="A131" s="5" t="s">
        <v>3</v>
      </c>
      <c r="B131" s="5" t="s">
        <v>441</v>
      </c>
      <c r="C131" s="5" t="s">
        <v>442</v>
      </c>
      <c r="D131" s="102">
        <v>46128</v>
      </c>
      <c r="E131" s="5" t="s">
        <v>33</v>
      </c>
      <c r="F131" s="5">
        <v>1</v>
      </c>
      <c r="G131" s="37">
        <v>9145.68</v>
      </c>
      <c r="H131" s="6">
        <f t="shared" si="2"/>
        <v>9145.68</v>
      </c>
      <c r="I131" s="5" t="s">
        <v>443</v>
      </c>
      <c r="J131" s="39"/>
      <c r="K131" s="39"/>
      <c r="L131" s="39"/>
    </row>
    <row r="132" spans="1:12" hidden="1" x14ac:dyDescent="0.3">
      <c r="A132" s="5" t="s">
        <v>3</v>
      </c>
      <c r="B132" s="5" t="s">
        <v>382</v>
      </c>
      <c r="C132" s="5" t="s">
        <v>299</v>
      </c>
      <c r="D132" s="102">
        <v>46128</v>
      </c>
      <c r="E132" s="5" t="s">
        <v>306</v>
      </c>
      <c r="F132" s="5">
        <v>1</v>
      </c>
      <c r="G132" s="6">
        <v>268.13</v>
      </c>
      <c r="H132" s="6">
        <f t="shared" si="2"/>
        <v>268.13</v>
      </c>
      <c r="I132" s="5" t="s">
        <v>444</v>
      </c>
      <c r="J132" s="39"/>
      <c r="K132" s="39"/>
      <c r="L132" s="39"/>
    </row>
    <row r="133" spans="1:12" hidden="1" x14ac:dyDescent="0.3">
      <c r="A133" s="5" t="s">
        <v>3</v>
      </c>
      <c r="B133" s="5" t="s">
        <v>408</v>
      </c>
      <c r="C133" s="5" t="s">
        <v>397</v>
      </c>
      <c r="D133" s="102">
        <v>46128</v>
      </c>
      <c r="E133" s="5" t="s">
        <v>319</v>
      </c>
      <c r="F133" s="5">
        <v>0</v>
      </c>
      <c r="G133" s="6">
        <v>0</v>
      </c>
      <c r="H133" s="6">
        <f t="shared" si="2"/>
        <v>0</v>
      </c>
      <c r="I133" s="5" t="s">
        <v>445</v>
      </c>
      <c r="J133" s="39"/>
      <c r="K133" s="39"/>
      <c r="L133" s="39"/>
    </row>
    <row r="134" spans="1:12" hidden="1" x14ac:dyDescent="0.3">
      <c r="A134" s="5" t="s">
        <v>3</v>
      </c>
      <c r="B134" s="5" t="s">
        <v>327</v>
      </c>
      <c r="C134" s="5" t="s">
        <v>23</v>
      </c>
      <c r="D134" s="102">
        <v>46128</v>
      </c>
      <c r="E134" s="5" t="s">
        <v>319</v>
      </c>
      <c r="F134" s="5">
        <v>20</v>
      </c>
      <c r="G134" s="6">
        <v>151.91999999999999</v>
      </c>
      <c r="H134" s="6">
        <f t="shared" si="2"/>
        <v>3038.3999999999996</v>
      </c>
      <c r="I134" s="5" t="s">
        <v>426</v>
      </c>
      <c r="J134" s="39"/>
      <c r="K134" s="39"/>
      <c r="L134" s="39"/>
    </row>
    <row r="135" spans="1:12" hidden="1" x14ac:dyDescent="0.3">
      <c r="A135" s="5" t="s">
        <v>3</v>
      </c>
      <c r="B135" s="5" t="s">
        <v>446</v>
      </c>
      <c r="C135" s="5" t="s">
        <v>274</v>
      </c>
      <c r="D135" s="102">
        <v>46128</v>
      </c>
      <c r="E135" s="5" t="s">
        <v>319</v>
      </c>
      <c r="F135" s="5">
        <v>0</v>
      </c>
      <c r="G135" s="6">
        <v>0</v>
      </c>
      <c r="H135" s="6">
        <f t="shared" si="2"/>
        <v>0</v>
      </c>
      <c r="I135" s="5" t="s">
        <v>380</v>
      </c>
      <c r="J135" s="39"/>
      <c r="K135" s="39"/>
      <c r="L135" s="39"/>
    </row>
    <row r="136" spans="1:12" hidden="1" x14ac:dyDescent="0.3">
      <c r="A136" s="5" t="s">
        <v>3</v>
      </c>
      <c r="B136" s="5" t="s">
        <v>298</v>
      </c>
      <c r="C136" s="5" t="s">
        <v>299</v>
      </c>
      <c r="D136" s="102">
        <v>46128</v>
      </c>
      <c r="E136" s="5" t="s">
        <v>371</v>
      </c>
      <c r="F136" s="5">
        <v>1</v>
      </c>
      <c r="G136" s="6">
        <v>400.26</v>
      </c>
      <c r="H136" s="6">
        <f t="shared" si="2"/>
        <v>400.26</v>
      </c>
      <c r="I136" s="5" t="s">
        <v>447</v>
      </c>
      <c r="J136" s="39"/>
      <c r="K136" s="39"/>
      <c r="L136" s="39"/>
    </row>
    <row r="137" spans="1:12" hidden="1" x14ac:dyDescent="0.3">
      <c r="A137" s="5" t="s">
        <v>3</v>
      </c>
      <c r="B137" s="5" t="s">
        <v>448</v>
      </c>
      <c r="C137" s="5" t="s">
        <v>299</v>
      </c>
      <c r="D137" s="102">
        <v>46128</v>
      </c>
      <c r="E137" s="5" t="s">
        <v>371</v>
      </c>
      <c r="F137" s="5">
        <v>1</v>
      </c>
      <c r="G137" s="6">
        <v>434.14</v>
      </c>
      <c r="H137" s="6">
        <f t="shared" si="2"/>
        <v>434.14</v>
      </c>
      <c r="I137" s="5" t="s">
        <v>449</v>
      </c>
      <c r="J137" s="39"/>
      <c r="K137" s="39"/>
      <c r="L137" s="39"/>
    </row>
    <row r="138" spans="1:12" hidden="1" x14ac:dyDescent="0.3">
      <c r="A138" s="5" t="s">
        <v>3</v>
      </c>
      <c r="B138" s="5" t="s">
        <v>450</v>
      </c>
      <c r="C138" s="5" t="s">
        <v>302</v>
      </c>
      <c r="D138" s="102">
        <v>46128</v>
      </c>
      <c r="E138" s="5" t="s">
        <v>371</v>
      </c>
      <c r="F138" s="5">
        <v>1</v>
      </c>
      <c r="G138" s="6">
        <v>1326.53</v>
      </c>
      <c r="H138" s="6">
        <f t="shared" si="2"/>
        <v>1326.53</v>
      </c>
      <c r="I138" s="5" t="s">
        <v>346</v>
      </c>
      <c r="J138" s="39"/>
      <c r="K138" s="39"/>
      <c r="L138" s="39"/>
    </row>
    <row r="139" spans="1:12" hidden="1" x14ac:dyDescent="0.3">
      <c r="A139" s="5" t="s">
        <v>3</v>
      </c>
      <c r="B139" s="5" t="s">
        <v>430</v>
      </c>
      <c r="C139" s="5" t="s">
        <v>315</v>
      </c>
      <c r="D139" s="102">
        <v>46128</v>
      </c>
      <c r="E139" s="5" t="s">
        <v>322</v>
      </c>
      <c r="F139" s="5">
        <v>0</v>
      </c>
      <c r="G139" s="6">
        <v>0</v>
      </c>
      <c r="H139" s="6">
        <f t="shared" si="2"/>
        <v>0</v>
      </c>
      <c r="I139" s="5" t="s">
        <v>451</v>
      </c>
      <c r="J139" s="39"/>
      <c r="K139" s="39"/>
      <c r="L139" s="39"/>
    </row>
    <row r="140" spans="1:12" hidden="1" x14ac:dyDescent="0.3">
      <c r="A140" s="5" t="s">
        <v>3</v>
      </c>
      <c r="B140" s="5" t="s">
        <v>382</v>
      </c>
      <c r="C140" s="5" t="s">
        <v>299</v>
      </c>
      <c r="D140" s="102">
        <v>46129</v>
      </c>
      <c r="E140" s="5" t="s">
        <v>306</v>
      </c>
      <c r="F140" s="5">
        <v>52</v>
      </c>
      <c r="G140" s="6">
        <v>20.059999999999999</v>
      </c>
      <c r="H140" s="6">
        <f t="shared" si="2"/>
        <v>1043.1199999999999</v>
      </c>
      <c r="I140" s="5" t="s">
        <v>452</v>
      </c>
      <c r="J140" s="39"/>
      <c r="K140" s="39"/>
      <c r="L140" s="39"/>
    </row>
    <row r="141" spans="1:12" hidden="1" x14ac:dyDescent="0.3">
      <c r="A141" s="5" t="s">
        <v>3</v>
      </c>
      <c r="B141" s="5" t="s">
        <v>441</v>
      </c>
      <c r="C141" s="5" t="s">
        <v>442</v>
      </c>
      <c r="D141" s="102">
        <v>46129</v>
      </c>
      <c r="E141" s="5" t="s">
        <v>312</v>
      </c>
      <c r="F141" s="5">
        <v>1</v>
      </c>
      <c r="G141" s="6">
        <v>3372.11</v>
      </c>
      <c r="H141" s="6">
        <f t="shared" si="2"/>
        <v>3372.11</v>
      </c>
      <c r="I141" s="5" t="s">
        <v>443</v>
      </c>
      <c r="J141" s="39"/>
      <c r="K141" s="39"/>
      <c r="L141" s="39"/>
    </row>
    <row r="142" spans="1:12" hidden="1" x14ac:dyDescent="0.3">
      <c r="A142" s="5" t="s">
        <v>3</v>
      </c>
      <c r="B142" s="5" t="s">
        <v>453</v>
      </c>
      <c r="C142" s="5" t="s">
        <v>274</v>
      </c>
      <c r="D142" s="102">
        <v>46129</v>
      </c>
      <c r="E142" s="5" t="s">
        <v>319</v>
      </c>
      <c r="F142" s="5">
        <v>0</v>
      </c>
      <c r="G142" s="6">
        <v>0</v>
      </c>
      <c r="H142" s="6">
        <f t="shared" si="2"/>
        <v>0</v>
      </c>
      <c r="I142" s="5" t="s">
        <v>380</v>
      </c>
      <c r="J142" s="39"/>
      <c r="K142" s="39"/>
      <c r="L142" s="39"/>
    </row>
    <row r="143" spans="1:12" hidden="1" x14ac:dyDescent="0.3">
      <c r="A143" s="5" t="s">
        <v>3</v>
      </c>
      <c r="B143" s="5" t="s">
        <v>396</v>
      </c>
      <c r="C143" s="5" t="s">
        <v>397</v>
      </c>
      <c r="D143" s="102">
        <v>46129</v>
      </c>
      <c r="E143" s="5" t="s">
        <v>371</v>
      </c>
      <c r="F143" s="5">
        <v>0</v>
      </c>
      <c r="G143" s="6">
        <v>0</v>
      </c>
      <c r="H143" s="6">
        <f t="shared" si="2"/>
        <v>0</v>
      </c>
      <c r="I143" s="5" t="s">
        <v>454</v>
      </c>
      <c r="J143" s="39"/>
      <c r="K143" s="39"/>
      <c r="L143" s="39"/>
    </row>
    <row r="144" spans="1:12" hidden="1" x14ac:dyDescent="0.3">
      <c r="A144" s="5" t="s">
        <v>3</v>
      </c>
      <c r="B144" s="5" t="s">
        <v>448</v>
      </c>
      <c r="C144" s="5" t="s">
        <v>299</v>
      </c>
      <c r="D144" s="102">
        <v>46129</v>
      </c>
      <c r="E144" s="5" t="s">
        <v>371</v>
      </c>
      <c r="F144" s="5">
        <v>9</v>
      </c>
      <c r="G144" s="6">
        <v>9.6999999999999993</v>
      </c>
      <c r="H144" s="6">
        <f t="shared" si="2"/>
        <v>87.3</v>
      </c>
      <c r="I144" s="5" t="s">
        <v>452</v>
      </c>
      <c r="J144" s="39"/>
      <c r="K144" s="39"/>
      <c r="L144" s="39"/>
    </row>
    <row r="145" spans="1:12" hidden="1" x14ac:dyDescent="0.3">
      <c r="A145" s="5" t="s">
        <v>3</v>
      </c>
      <c r="B145" s="5" t="s">
        <v>327</v>
      </c>
      <c r="C145" s="5" t="s">
        <v>23</v>
      </c>
      <c r="D145" s="102">
        <v>46129</v>
      </c>
      <c r="E145" s="5" t="s">
        <v>371</v>
      </c>
      <c r="F145" s="5">
        <v>10</v>
      </c>
      <c r="G145" s="6">
        <v>151.02000000000001</v>
      </c>
      <c r="H145" s="6">
        <f t="shared" si="2"/>
        <v>1510.2</v>
      </c>
      <c r="I145" s="5" t="s">
        <v>426</v>
      </c>
      <c r="J145" s="39"/>
      <c r="K145" s="39"/>
      <c r="L145" s="39"/>
    </row>
    <row r="146" spans="1:12" hidden="1" x14ac:dyDescent="0.3">
      <c r="A146" s="5" t="s">
        <v>3</v>
      </c>
      <c r="B146" s="5" t="s">
        <v>414</v>
      </c>
      <c r="C146" s="5" t="s">
        <v>302</v>
      </c>
      <c r="D146" s="102">
        <v>46129</v>
      </c>
      <c r="E146" s="5" t="s">
        <v>322</v>
      </c>
      <c r="F146" s="5">
        <v>0</v>
      </c>
      <c r="G146" s="6">
        <v>0</v>
      </c>
      <c r="H146" s="6">
        <f t="shared" si="2"/>
        <v>0</v>
      </c>
      <c r="I146" s="5" t="s">
        <v>455</v>
      </c>
      <c r="J146" s="39"/>
      <c r="K146" s="39"/>
      <c r="L146" s="39"/>
    </row>
    <row r="147" spans="1:12" hidden="1" x14ac:dyDescent="0.3">
      <c r="A147" s="5" t="s">
        <v>3</v>
      </c>
      <c r="B147" s="5" t="s">
        <v>456</v>
      </c>
      <c r="C147" s="5" t="s">
        <v>315</v>
      </c>
      <c r="D147" s="102">
        <v>46129</v>
      </c>
      <c r="E147" s="5" t="s">
        <v>325</v>
      </c>
      <c r="F147" s="5">
        <v>4782</v>
      </c>
      <c r="G147" s="6">
        <v>0.31</v>
      </c>
      <c r="H147" s="6">
        <f t="shared" si="2"/>
        <v>1482.42</v>
      </c>
      <c r="I147" s="5" t="s">
        <v>307</v>
      </c>
      <c r="J147" s="39"/>
      <c r="K147" s="39"/>
      <c r="L147" s="39"/>
    </row>
    <row r="148" spans="1:12" hidden="1" x14ac:dyDescent="0.3">
      <c r="A148" s="5" t="s">
        <v>3</v>
      </c>
      <c r="B148" s="5" t="s">
        <v>361</v>
      </c>
      <c r="C148" s="5" t="s">
        <v>299</v>
      </c>
      <c r="D148" s="102">
        <v>46130</v>
      </c>
      <c r="E148" s="5" t="s">
        <v>306</v>
      </c>
      <c r="F148" s="5">
        <v>1</v>
      </c>
      <c r="G148" s="37"/>
      <c r="H148" s="6" t="str">
        <f t="shared" si="2"/>
        <v/>
      </c>
      <c r="I148" s="5" t="s">
        <v>313</v>
      </c>
      <c r="J148" s="39"/>
      <c r="K148" s="39"/>
      <c r="L148" s="39"/>
    </row>
    <row r="149" spans="1:12" hidden="1" x14ac:dyDescent="0.3">
      <c r="A149" s="5" t="s">
        <v>3</v>
      </c>
      <c r="B149" s="5" t="s">
        <v>457</v>
      </c>
      <c r="C149" s="5" t="s">
        <v>274</v>
      </c>
      <c r="D149" s="102">
        <v>46130</v>
      </c>
      <c r="E149" s="5" t="s">
        <v>319</v>
      </c>
      <c r="F149" s="5">
        <v>0</v>
      </c>
      <c r="G149" s="6">
        <v>0</v>
      </c>
      <c r="H149" s="6">
        <f t="shared" si="2"/>
        <v>0</v>
      </c>
      <c r="I149" s="5" t="s">
        <v>401</v>
      </c>
      <c r="J149" s="39"/>
      <c r="K149" s="39"/>
      <c r="L149" s="39"/>
    </row>
    <row r="150" spans="1:12" hidden="1" x14ac:dyDescent="0.3">
      <c r="A150" s="5" t="s">
        <v>3</v>
      </c>
      <c r="B150" s="5" t="s">
        <v>408</v>
      </c>
      <c r="C150" s="5" t="s">
        <v>397</v>
      </c>
      <c r="D150" s="102">
        <v>46130</v>
      </c>
      <c r="E150" s="5" t="s">
        <v>371</v>
      </c>
      <c r="F150" s="5">
        <v>20</v>
      </c>
      <c r="G150" s="6">
        <v>2.85</v>
      </c>
      <c r="H150" s="6">
        <f t="shared" si="2"/>
        <v>57</v>
      </c>
      <c r="I150" s="5" t="s">
        <v>409</v>
      </c>
      <c r="J150" s="39"/>
      <c r="K150" s="39"/>
      <c r="L150" s="39"/>
    </row>
    <row r="151" spans="1:12" hidden="1" x14ac:dyDescent="0.3">
      <c r="A151" s="5" t="s">
        <v>3</v>
      </c>
      <c r="B151" s="5" t="s">
        <v>458</v>
      </c>
      <c r="C151" s="5" t="s">
        <v>299</v>
      </c>
      <c r="D151" s="102">
        <v>46130</v>
      </c>
      <c r="E151" s="5" t="s">
        <v>371</v>
      </c>
      <c r="F151" s="65">
        <v>0</v>
      </c>
      <c r="G151" s="37">
        <v>0</v>
      </c>
      <c r="H151" s="6">
        <f t="shared" si="2"/>
        <v>0</v>
      </c>
      <c r="I151" s="5" t="s">
        <v>313</v>
      </c>
      <c r="J151" s="39"/>
      <c r="K151" s="39"/>
      <c r="L151" s="39"/>
    </row>
    <row r="152" spans="1:12" hidden="1" x14ac:dyDescent="0.3">
      <c r="A152" s="5" t="s">
        <v>3</v>
      </c>
      <c r="B152" s="5" t="s">
        <v>441</v>
      </c>
      <c r="C152" s="5" t="s">
        <v>442</v>
      </c>
      <c r="D152" s="102">
        <v>46130</v>
      </c>
      <c r="E152" s="5" t="s">
        <v>322</v>
      </c>
      <c r="F152" s="5">
        <v>1</v>
      </c>
      <c r="G152" s="6">
        <v>15695.77</v>
      </c>
      <c r="H152" s="6">
        <f t="shared" si="2"/>
        <v>15695.77</v>
      </c>
      <c r="I152" s="5" t="s">
        <v>443</v>
      </c>
      <c r="J152" s="39"/>
      <c r="K152" s="39"/>
      <c r="L152" s="39"/>
    </row>
    <row r="153" spans="1:12" hidden="1" x14ac:dyDescent="0.3">
      <c r="A153" s="5" t="s">
        <v>3</v>
      </c>
      <c r="B153" s="5" t="s">
        <v>367</v>
      </c>
      <c r="C153" s="5" t="s">
        <v>302</v>
      </c>
      <c r="D153" s="102">
        <v>46130</v>
      </c>
      <c r="E153" s="5" t="s">
        <v>322</v>
      </c>
      <c r="F153" s="5">
        <v>4</v>
      </c>
      <c r="G153" s="6">
        <v>20</v>
      </c>
      <c r="H153" s="6">
        <f t="shared" si="2"/>
        <v>80</v>
      </c>
      <c r="I153" s="5" t="s">
        <v>368</v>
      </c>
      <c r="J153" s="39"/>
      <c r="K153" s="39"/>
      <c r="L153" s="39"/>
    </row>
    <row r="154" spans="1:12" hidden="1" x14ac:dyDescent="0.3">
      <c r="A154" s="5" t="s">
        <v>3</v>
      </c>
      <c r="B154" s="5" t="s">
        <v>327</v>
      </c>
      <c r="C154" s="5" t="s">
        <v>23</v>
      </c>
      <c r="D154" s="102">
        <v>46130</v>
      </c>
      <c r="E154" s="5" t="s">
        <v>322</v>
      </c>
      <c r="F154" s="5">
        <v>1</v>
      </c>
      <c r="G154" s="6">
        <v>143.82</v>
      </c>
      <c r="H154" s="6">
        <f t="shared" si="2"/>
        <v>143.82</v>
      </c>
      <c r="I154" s="5" t="s">
        <v>426</v>
      </c>
      <c r="J154" s="39"/>
      <c r="K154" s="39"/>
      <c r="L154" s="39"/>
    </row>
    <row r="155" spans="1:12" hidden="1" x14ac:dyDescent="0.3">
      <c r="A155" s="5" t="s">
        <v>3</v>
      </c>
      <c r="B155" s="5" t="s">
        <v>459</v>
      </c>
      <c r="C155" s="5" t="s">
        <v>315</v>
      </c>
      <c r="D155" s="102">
        <v>46130</v>
      </c>
      <c r="E155" s="5" t="s">
        <v>325</v>
      </c>
      <c r="F155" s="5">
        <v>1</v>
      </c>
      <c r="G155" s="6">
        <v>2480.38</v>
      </c>
      <c r="H155" s="6">
        <f t="shared" si="2"/>
        <v>2480.38</v>
      </c>
      <c r="I155" s="5" t="s">
        <v>460</v>
      </c>
      <c r="J155" s="39"/>
      <c r="K155" s="39"/>
      <c r="L155" s="39"/>
    </row>
    <row r="156" spans="1:12" hidden="1" x14ac:dyDescent="0.3">
      <c r="A156" s="5" t="s">
        <v>3</v>
      </c>
      <c r="B156" s="5" t="s">
        <v>461</v>
      </c>
      <c r="C156" s="5" t="s">
        <v>299</v>
      </c>
      <c r="D156" s="102">
        <v>46131</v>
      </c>
      <c r="E156" s="5" t="s">
        <v>306</v>
      </c>
      <c r="F156" s="65">
        <v>0</v>
      </c>
      <c r="G156" s="37">
        <v>0</v>
      </c>
      <c r="H156" s="6">
        <f t="shared" si="2"/>
        <v>0</v>
      </c>
      <c r="I156" s="5" t="s">
        <v>313</v>
      </c>
      <c r="J156" s="39"/>
      <c r="K156" s="39"/>
      <c r="L156" s="39"/>
    </row>
    <row r="157" spans="1:12" hidden="1" x14ac:dyDescent="0.3">
      <c r="A157" s="5" t="s">
        <v>3</v>
      </c>
      <c r="B157" s="5" t="s">
        <v>462</v>
      </c>
      <c r="C157" s="5" t="s">
        <v>274</v>
      </c>
      <c r="D157" s="102">
        <v>46131</v>
      </c>
      <c r="E157" s="5" t="s">
        <v>319</v>
      </c>
      <c r="F157" s="5">
        <v>0</v>
      </c>
      <c r="G157" s="6">
        <v>0</v>
      </c>
      <c r="H157" s="6">
        <f t="shared" si="2"/>
        <v>0</v>
      </c>
      <c r="I157" s="5" t="s">
        <v>401</v>
      </c>
      <c r="J157" s="39"/>
      <c r="K157" s="39"/>
      <c r="L157" s="39"/>
    </row>
    <row r="158" spans="1:12" hidden="1" x14ac:dyDescent="0.3">
      <c r="A158" s="5" t="s">
        <v>3</v>
      </c>
      <c r="B158" s="5" t="s">
        <v>361</v>
      </c>
      <c r="C158" s="5" t="s">
        <v>299</v>
      </c>
      <c r="D158" s="102">
        <v>46131</v>
      </c>
      <c r="E158" s="5" t="s">
        <v>371</v>
      </c>
      <c r="F158" s="5">
        <v>15</v>
      </c>
      <c r="G158" s="37"/>
      <c r="H158" s="6" t="str">
        <f t="shared" si="2"/>
        <v/>
      </c>
      <c r="I158" s="5" t="s">
        <v>313</v>
      </c>
      <c r="J158" s="39"/>
      <c r="K158" s="39"/>
      <c r="L158" s="39"/>
    </row>
    <row r="159" spans="1:12" hidden="1" x14ac:dyDescent="0.3">
      <c r="A159" s="5" t="s">
        <v>3</v>
      </c>
      <c r="B159" s="5" t="s">
        <v>396</v>
      </c>
      <c r="C159" s="5" t="s">
        <v>397</v>
      </c>
      <c r="D159" s="102">
        <v>46131</v>
      </c>
      <c r="E159" s="5" t="s">
        <v>322</v>
      </c>
      <c r="F159" s="5">
        <v>0</v>
      </c>
      <c r="G159" s="6">
        <v>0</v>
      </c>
      <c r="H159" s="6">
        <f t="shared" si="2"/>
        <v>0</v>
      </c>
      <c r="I159" s="5" t="s">
        <v>427</v>
      </c>
      <c r="J159" s="39"/>
      <c r="K159" s="39"/>
      <c r="L159" s="39"/>
    </row>
    <row r="160" spans="1:12" hidden="1" x14ac:dyDescent="0.3">
      <c r="A160" s="5" t="s">
        <v>3</v>
      </c>
      <c r="B160" s="5" t="s">
        <v>301</v>
      </c>
      <c r="C160" s="5" t="s">
        <v>302</v>
      </c>
      <c r="D160" s="102">
        <v>46131</v>
      </c>
      <c r="E160" s="5" t="s">
        <v>322</v>
      </c>
      <c r="F160" s="5">
        <v>0</v>
      </c>
      <c r="G160" s="6">
        <v>0</v>
      </c>
      <c r="H160" s="6">
        <f t="shared" si="2"/>
        <v>0</v>
      </c>
      <c r="I160" s="5" t="s">
        <v>303</v>
      </c>
      <c r="J160" s="39"/>
      <c r="K160" s="39"/>
      <c r="L160" s="39"/>
    </row>
    <row r="161" spans="1:12" hidden="1" x14ac:dyDescent="0.3">
      <c r="A161" s="5" t="s">
        <v>3</v>
      </c>
      <c r="B161" s="5" t="s">
        <v>463</v>
      </c>
      <c r="C161" s="5" t="s">
        <v>442</v>
      </c>
      <c r="D161" s="102">
        <v>46131</v>
      </c>
      <c r="E161" s="5" t="s">
        <v>325</v>
      </c>
      <c r="F161" s="5">
        <v>0</v>
      </c>
      <c r="G161" s="6">
        <v>0</v>
      </c>
      <c r="H161" s="6">
        <f t="shared" si="2"/>
        <v>0</v>
      </c>
      <c r="I161" s="5" t="s">
        <v>464</v>
      </c>
      <c r="J161" s="39"/>
      <c r="K161" s="39"/>
      <c r="L161" s="39"/>
    </row>
    <row r="162" spans="1:12" hidden="1" x14ac:dyDescent="0.3">
      <c r="A162" s="5" t="s">
        <v>3</v>
      </c>
      <c r="B162" s="5" t="s">
        <v>465</v>
      </c>
      <c r="C162" s="5" t="s">
        <v>315</v>
      </c>
      <c r="D162" s="102">
        <v>46131</v>
      </c>
      <c r="E162" s="5" t="s">
        <v>325</v>
      </c>
      <c r="F162" s="5">
        <v>0</v>
      </c>
      <c r="G162" s="6">
        <v>0</v>
      </c>
      <c r="H162" s="6">
        <f t="shared" si="2"/>
        <v>0</v>
      </c>
      <c r="I162" s="5" t="s">
        <v>460</v>
      </c>
      <c r="J162" s="39"/>
      <c r="K162" s="39"/>
      <c r="L162" s="39"/>
    </row>
    <row r="163" spans="1:12" hidden="1" x14ac:dyDescent="0.3">
      <c r="A163" s="5" t="s">
        <v>3</v>
      </c>
      <c r="B163" s="5" t="s">
        <v>327</v>
      </c>
      <c r="C163" s="5" t="s">
        <v>23</v>
      </c>
      <c r="D163" s="102">
        <v>46131</v>
      </c>
      <c r="E163" s="5" t="s">
        <v>325</v>
      </c>
      <c r="F163" s="5">
        <v>9</v>
      </c>
      <c r="G163" s="6">
        <v>123.18</v>
      </c>
      <c r="H163" s="6">
        <f t="shared" si="2"/>
        <v>1108.6200000000001</v>
      </c>
      <c r="I163" s="5" t="s">
        <v>426</v>
      </c>
      <c r="J163" s="39"/>
      <c r="K163" s="39"/>
      <c r="L163" s="39"/>
    </row>
    <row r="164" spans="1:12" hidden="1" x14ac:dyDescent="0.3">
      <c r="A164" s="5" t="s">
        <v>3</v>
      </c>
      <c r="B164" s="5" t="s">
        <v>466</v>
      </c>
      <c r="C164" s="5" t="s">
        <v>18</v>
      </c>
      <c r="D164" s="102">
        <v>46132</v>
      </c>
      <c r="E164" s="5" t="s">
        <v>33</v>
      </c>
      <c r="F164" s="5">
        <v>1</v>
      </c>
      <c r="G164" s="6">
        <v>1128</v>
      </c>
      <c r="H164" s="6">
        <f t="shared" si="2"/>
        <v>1128</v>
      </c>
      <c r="I164" s="5" t="s">
        <v>467</v>
      </c>
      <c r="J164" s="39"/>
      <c r="K164" s="39"/>
      <c r="L164" s="39"/>
    </row>
    <row r="165" spans="1:12" hidden="1" x14ac:dyDescent="0.3">
      <c r="A165" s="5" t="s">
        <v>3</v>
      </c>
      <c r="B165" s="5" t="s">
        <v>468</v>
      </c>
      <c r="C165" s="5" t="s">
        <v>299</v>
      </c>
      <c r="D165" s="102">
        <v>46132</v>
      </c>
      <c r="E165" s="5" t="s">
        <v>306</v>
      </c>
      <c r="F165" s="127">
        <v>1</v>
      </c>
      <c r="G165" s="37">
        <v>0</v>
      </c>
      <c r="H165" s="6">
        <f t="shared" si="2"/>
        <v>0</v>
      </c>
      <c r="I165" s="5" t="s">
        <v>313</v>
      </c>
      <c r="J165" s="39"/>
      <c r="K165" s="39"/>
      <c r="L165" s="39"/>
    </row>
    <row r="166" spans="1:12" hidden="1" x14ac:dyDescent="0.3">
      <c r="A166" s="5" t="s">
        <v>3</v>
      </c>
      <c r="B166" s="5" t="s">
        <v>469</v>
      </c>
      <c r="C166" s="5" t="s">
        <v>25</v>
      </c>
      <c r="D166" s="102">
        <v>46132</v>
      </c>
      <c r="E166" s="5" t="s">
        <v>306</v>
      </c>
      <c r="F166" s="5">
        <v>13402</v>
      </c>
      <c r="G166" s="6">
        <v>2.2145965052997112</v>
      </c>
      <c r="H166" s="6">
        <f t="shared" si="2"/>
        <v>29680.022364026729</v>
      </c>
      <c r="I166" s="5" t="s">
        <v>470</v>
      </c>
      <c r="J166" s="39"/>
      <c r="K166" s="39"/>
      <c r="L166" s="39"/>
    </row>
    <row r="167" spans="1:12" hidden="1" x14ac:dyDescent="0.3">
      <c r="A167" s="5" t="s">
        <v>3</v>
      </c>
      <c r="B167" s="5" t="s">
        <v>471</v>
      </c>
      <c r="C167" s="5" t="s">
        <v>299</v>
      </c>
      <c r="D167" s="102">
        <v>46132</v>
      </c>
      <c r="E167" s="5" t="s">
        <v>371</v>
      </c>
      <c r="F167" s="5">
        <v>0</v>
      </c>
      <c r="G167" s="37">
        <v>0</v>
      </c>
      <c r="H167" s="6">
        <f t="shared" si="2"/>
        <v>0</v>
      </c>
      <c r="I167" s="5" t="s">
        <v>313</v>
      </c>
      <c r="J167" s="39"/>
      <c r="K167" s="39"/>
      <c r="L167" s="39"/>
    </row>
    <row r="168" spans="1:12" hidden="1" x14ac:dyDescent="0.3">
      <c r="A168" s="5" t="s">
        <v>3</v>
      </c>
      <c r="B168" s="5" t="s">
        <v>355</v>
      </c>
      <c r="C168" s="5" t="s">
        <v>274</v>
      </c>
      <c r="D168" s="102">
        <v>46132</v>
      </c>
      <c r="E168" s="5" t="s">
        <v>371</v>
      </c>
      <c r="F168" s="5">
        <v>-1</v>
      </c>
      <c r="G168" s="6">
        <v>1333.53</v>
      </c>
      <c r="H168" s="6">
        <f t="shared" si="2"/>
        <v>-1333.53</v>
      </c>
      <c r="I168" s="5" t="s">
        <v>356</v>
      </c>
      <c r="J168" s="39"/>
      <c r="K168" s="39"/>
      <c r="L168" s="39"/>
    </row>
    <row r="169" spans="1:12" hidden="1" x14ac:dyDescent="0.3">
      <c r="A169" s="5" t="s">
        <v>3</v>
      </c>
      <c r="B169" s="5" t="s">
        <v>396</v>
      </c>
      <c r="C169" s="5" t="s">
        <v>397</v>
      </c>
      <c r="D169" s="102">
        <v>46132</v>
      </c>
      <c r="E169" s="5" t="s">
        <v>322</v>
      </c>
      <c r="F169" s="5">
        <v>0</v>
      </c>
      <c r="G169" s="6">
        <v>0</v>
      </c>
      <c r="H169" s="6">
        <f t="shared" si="2"/>
        <v>0</v>
      </c>
      <c r="I169" s="5" t="s">
        <v>472</v>
      </c>
      <c r="J169" s="39"/>
      <c r="K169" s="39"/>
      <c r="L169" s="39"/>
    </row>
    <row r="170" spans="1:12" hidden="1" x14ac:dyDescent="0.3">
      <c r="A170" s="5" t="s">
        <v>3</v>
      </c>
      <c r="B170" s="5" t="s">
        <v>450</v>
      </c>
      <c r="C170" s="5" t="s">
        <v>302</v>
      </c>
      <c r="D170" s="102">
        <v>46132</v>
      </c>
      <c r="E170" s="5" t="s">
        <v>322</v>
      </c>
      <c r="F170" s="5">
        <v>1</v>
      </c>
      <c r="G170" s="6">
        <v>366.53</v>
      </c>
      <c r="H170" s="6">
        <f t="shared" si="2"/>
        <v>366.53</v>
      </c>
      <c r="I170" s="5" t="s">
        <v>346</v>
      </c>
      <c r="J170" s="39"/>
      <c r="K170" s="39"/>
      <c r="L170" s="39"/>
    </row>
    <row r="171" spans="1:12" hidden="1" x14ac:dyDescent="0.3">
      <c r="A171" s="5" t="s">
        <v>3</v>
      </c>
      <c r="B171" s="5" t="s">
        <v>473</v>
      </c>
      <c r="C171" s="5" t="s">
        <v>315</v>
      </c>
      <c r="D171" s="102">
        <v>46132</v>
      </c>
      <c r="E171" s="5" t="s">
        <v>325</v>
      </c>
      <c r="F171" s="5">
        <v>1</v>
      </c>
      <c r="G171" s="6">
        <v>13877.08</v>
      </c>
      <c r="H171" s="6">
        <f t="shared" si="2"/>
        <v>13877.08</v>
      </c>
      <c r="I171" s="5" t="s">
        <v>451</v>
      </c>
      <c r="J171" s="39"/>
      <c r="K171" s="39"/>
      <c r="L171" s="39"/>
    </row>
    <row r="172" spans="1:12" hidden="1" x14ac:dyDescent="0.3">
      <c r="A172" s="5" t="s">
        <v>3</v>
      </c>
      <c r="B172" s="5" t="s">
        <v>339</v>
      </c>
      <c r="C172" s="5" t="s">
        <v>26</v>
      </c>
      <c r="D172" s="102">
        <v>46133</v>
      </c>
      <c r="E172" s="5" t="s">
        <v>33</v>
      </c>
      <c r="F172" s="5">
        <v>1</v>
      </c>
      <c r="G172" s="6">
        <v>419.64</v>
      </c>
      <c r="H172" s="6">
        <f t="shared" si="2"/>
        <v>419.64</v>
      </c>
      <c r="I172" s="5" t="s">
        <v>474</v>
      </c>
      <c r="J172" s="39"/>
      <c r="K172" s="39"/>
      <c r="L172" s="39"/>
    </row>
    <row r="173" spans="1:12" hidden="1" x14ac:dyDescent="0.3">
      <c r="A173" s="5" t="s">
        <v>3</v>
      </c>
      <c r="B173" s="5" t="s">
        <v>475</v>
      </c>
      <c r="C173" s="5" t="s">
        <v>299</v>
      </c>
      <c r="D173" s="102">
        <v>46133</v>
      </c>
      <c r="E173" s="5" t="s">
        <v>306</v>
      </c>
      <c r="F173" s="65">
        <v>0</v>
      </c>
      <c r="G173" s="37">
        <v>0</v>
      </c>
      <c r="H173" s="6">
        <f t="shared" si="2"/>
        <v>0</v>
      </c>
      <c r="I173" s="5" t="s">
        <v>313</v>
      </c>
      <c r="J173" s="39"/>
      <c r="K173" s="39"/>
      <c r="L173" s="39"/>
    </row>
    <row r="174" spans="1:12" hidden="1" x14ac:dyDescent="0.3">
      <c r="A174" s="5" t="s">
        <v>3</v>
      </c>
      <c r="B174" s="5" t="s">
        <v>466</v>
      </c>
      <c r="C174" s="5" t="s">
        <v>18</v>
      </c>
      <c r="D174" s="102">
        <v>46133</v>
      </c>
      <c r="E174" s="5" t="s">
        <v>306</v>
      </c>
      <c r="F174" s="5">
        <v>1</v>
      </c>
      <c r="G174" s="59">
        <v>676.8</v>
      </c>
      <c r="H174" s="6">
        <f t="shared" si="2"/>
        <v>676.8</v>
      </c>
      <c r="I174" s="5" t="s">
        <v>467</v>
      </c>
      <c r="J174" s="39"/>
      <c r="K174" s="39"/>
      <c r="L174" s="39"/>
    </row>
    <row r="175" spans="1:12" hidden="1" x14ac:dyDescent="0.3">
      <c r="A175" s="5" t="s">
        <v>3</v>
      </c>
      <c r="B175" s="5" t="s">
        <v>476</v>
      </c>
      <c r="C175" s="5" t="s">
        <v>299</v>
      </c>
      <c r="D175" s="102">
        <v>46133</v>
      </c>
      <c r="E175" s="5" t="s">
        <v>371</v>
      </c>
      <c r="F175" s="65">
        <v>0</v>
      </c>
      <c r="G175" s="37">
        <v>0</v>
      </c>
      <c r="H175" s="6">
        <f t="shared" si="2"/>
        <v>0</v>
      </c>
      <c r="I175" s="5" t="s">
        <v>313</v>
      </c>
      <c r="J175" s="39"/>
      <c r="K175" s="39"/>
      <c r="L175" s="39"/>
    </row>
    <row r="176" spans="1:12" hidden="1" x14ac:dyDescent="0.3">
      <c r="A176" s="5" t="s">
        <v>3</v>
      </c>
      <c r="B176" s="5" t="s">
        <v>355</v>
      </c>
      <c r="C176" s="5" t="s">
        <v>274</v>
      </c>
      <c r="D176" s="102">
        <v>46133</v>
      </c>
      <c r="E176" s="5" t="s">
        <v>371</v>
      </c>
      <c r="F176" s="5">
        <v>1</v>
      </c>
      <c r="G176" s="6">
        <v>3555.83</v>
      </c>
      <c r="H176" s="6">
        <f t="shared" si="2"/>
        <v>3555.83</v>
      </c>
      <c r="I176" s="5" t="s">
        <v>366</v>
      </c>
      <c r="J176" s="39"/>
      <c r="K176" s="39"/>
      <c r="L176" s="39"/>
    </row>
    <row r="177" spans="1:12" hidden="1" x14ac:dyDescent="0.3">
      <c r="A177" s="5" t="s">
        <v>3</v>
      </c>
      <c r="B177" s="5" t="s">
        <v>331</v>
      </c>
      <c r="C177" s="5" t="s">
        <v>302</v>
      </c>
      <c r="D177" s="102">
        <v>46133</v>
      </c>
      <c r="E177" s="5" t="s">
        <v>325</v>
      </c>
      <c r="F177" s="5">
        <v>0</v>
      </c>
      <c r="G177" s="6">
        <v>0</v>
      </c>
      <c r="H177" s="6">
        <f t="shared" si="2"/>
        <v>0</v>
      </c>
      <c r="I177" s="5" t="s">
        <v>477</v>
      </c>
      <c r="J177" s="39"/>
      <c r="K177" s="39"/>
      <c r="L177" s="39"/>
    </row>
    <row r="178" spans="1:12" hidden="1" x14ac:dyDescent="0.3">
      <c r="A178" s="5" t="s">
        <v>3</v>
      </c>
      <c r="B178" s="5" t="s">
        <v>478</v>
      </c>
      <c r="C178" s="5" t="s">
        <v>315</v>
      </c>
      <c r="D178" s="102">
        <v>46133</v>
      </c>
      <c r="E178" s="5" t="s">
        <v>325</v>
      </c>
      <c r="F178" s="5">
        <v>0</v>
      </c>
      <c r="G178" s="6">
        <v>0</v>
      </c>
      <c r="H178" s="6">
        <f t="shared" si="2"/>
        <v>0</v>
      </c>
      <c r="I178" s="5" t="s">
        <v>394</v>
      </c>
      <c r="J178" s="39"/>
      <c r="K178" s="39"/>
      <c r="L178" s="39"/>
    </row>
    <row r="179" spans="1:12" hidden="1" x14ac:dyDescent="0.3">
      <c r="A179" s="5" t="s">
        <v>3</v>
      </c>
      <c r="B179" s="5" t="s">
        <v>321</v>
      </c>
      <c r="C179" s="5" t="s">
        <v>26</v>
      </c>
      <c r="D179" s="102">
        <v>46134</v>
      </c>
      <c r="E179" s="5" t="s">
        <v>33</v>
      </c>
      <c r="F179" s="5">
        <v>1</v>
      </c>
      <c r="G179" s="6">
        <v>209</v>
      </c>
      <c r="H179" s="6">
        <f t="shared" si="2"/>
        <v>209</v>
      </c>
      <c r="I179" s="5" t="s">
        <v>323</v>
      </c>
      <c r="J179" s="39"/>
      <c r="K179" s="39"/>
      <c r="L179" s="39"/>
    </row>
    <row r="180" spans="1:12" hidden="1" x14ac:dyDescent="0.3">
      <c r="A180" s="5" t="s">
        <v>3</v>
      </c>
      <c r="B180" s="5" t="s">
        <v>479</v>
      </c>
      <c r="C180" s="5" t="s">
        <v>299</v>
      </c>
      <c r="D180" s="102">
        <v>46134</v>
      </c>
      <c r="E180" s="5" t="s">
        <v>306</v>
      </c>
      <c r="F180" s="65">
        <v>0</v>
      </c>
      <c r="G180" s="37">
        <v>0</v>
      </c>
      <c r="H180" s="6">
        <f t="shared" si="2"/>
        <v>0</v>
      </c>
      <c r="I180" s="5" t="s">
        <v>268</v>
      </c>
      <c r="J180" s="39"/>
      <c r="K180" s="39"/>
      <c r="L180" s="39"/>
    </row>
    <row r="181" spans="1:12" hidden="1" x14ac:dyDescent="0.3">
      <c r="A181" s="5" t="s">
        <v>3</v>
      </c>
      <c r="B181" s="5" t="s">
        <v>480</v>
      </c>
      <c r="C181" s="5" t="s">
        <v>318</v>
      </c>
      <c r="D181" s="102">
        <v>46134</v>
      </c>
      <c r="E181" s="5" t="s">
        <v>306</v>
      </c>
      <c r="F181" s="5">
        <v>1</v>
      </c>
      <c r="G181" s="6">
        <v>333.1</v>
      </c>
      <c r="H181" s="6">
        <f t="shared" si="2"/>
        <v>333.1</v>
      </c>
      <c r="I181" s="5" t="s">
        <v>481</v>
      </c>
      <c r="J181" s="39"/>
      <c r="K181" s="39"/>
      <c r="L181" s="39"/>
    </row>
    <row r="182" spans="1:12" hidden="1" x14ac:dyDescent="0.3">
      <c r="A182" s="5" t="s">
        <v>3</v>
      </c>
      <c r="B182" s="5" t="s">
        <v>466</v>
      </c>
      <c r="C182" s="5" t="s">
        <v>18</v>
      </c>
      <c r="D182" s="102">
        <v>46134</v>
      </c>
      <c r="E182" s="5" t="s">
        <v>312</v>
      </c>
      <c r="F182" s="5">
        <v>1</v>
      </c>
      <c r="G182" s="6">
        <v>676.8</v>
      </c>
      <c r="H182" s="6">
        <f t="shared" si="2"/>
        <v>676.8</v>
      </c>
      <c r="I182" s="5" t="s">
        <v>467</v>
      </c>
      <c r="J182" s="39"/>
      <c r="K182" s="39"/>
      <c r="L182" s="39"/>
    </row>
    <row r="183" spans="1:12" hidden="1" x14ac:dyDescent="0.3">
      <c r="A183" s="5" t="s">
        <v>3</v>
      </c>
      <c r="B183" s="5" t="s">
        <v>453</v>
      </c>
      <c r="C183" s="5" t="s">
        <v>274</v>
      </c>
      <c r="D183" s="102">
        <v>46134</v>
      </c>
      <c r="E183" s="5" t="s">
        <v>371</v>
      </c>
      <c r="F183" s="5">
        <v>0</v>
      </c>
      <c r="G183" s="6">
        <v>0</v>
      </c>
      <c r="H183" s="6">
        <f t="shared" si="2"/>
        <v>0</v>
      </c>
      <c r="I183" s="5" t="s">
        <v>401</v>
      </c>
      <c r="J183" s="39"/>
      <c r="K183" s="39"/>
      <c r="L183" s="39"/>
    </row>
    <row r="184" spans="1:12" hidden="1" x14ac:dyDescent="0.3">
      <c r="A184" s="5" t="s">
        <v>3</v>
      </c>
      <c r="B184" s="5" t="s">
        <v>349</v>
      </c>
      <c r="C184" s="5" t="s">
        <v>299</v>
      </c>
      <c r="D184" s="102">
        <v>46134</v>
      </c>
      <c r="E184" s="5" t="s">
        <v>322</v>
      </c>
      <c r="F184" s="5">
        <v>163</v>
      </c>
      <c r="G184" s="6">
        <v>1.86</v>
      </c>
      <c r="H184" s="6">
        <f t="shared" si="2"/>
        <v>303.18</v>
      </c>
      <c r="I184" s="5" t="s">
        <v>350</v>
      </c>
      <c r="J184" s="39"/>
      <c r="K184" s="39"/>
      <c r="L184" s="39"/>
    </row>
    <row r="185" spans="1:12" hidden="1" x14ac:dyDescent="0.3">
      <c r="A185" s="5" t="s">
        <v>3</v>
      </c>
      <c r="B185" s="5" t="s">
        <v>367</v>
      </c>
      <c r="C185" s="5" t="s">
        <v>302</v>
      </c>
      <c r="D185" s="102">
        <v>46134</v>
      </c>
      <c r="E185" s="5" t="s">
        <v>325</v>
      </c>
      <c r="F185" s="5">
        <v>8</v>
      </c>
      <c r="G185" s="6">
        <v>20</v>
      </c>
      <c r="H185" s="6">
        <f t="shared" si="2"/>
        <v>160</v>
      </c>
      <c r="I185" s="5" t="s">
        <v>368</v>
      </c>
      <c r="J185" s="39"/>
      <c r="K185" s="39"/>
      <c r="L185" s="39"/>
    </row>
    <row r="186" spans="1:12" hidden="1" x14ac:dyDescent="0.3">
      <c r="A186" s="5" t="s">
        <v>3</v>
      </c>
      <c r="B186" s="5" t="s">
        <v>482</v>
      </c>
      <c r="C186" s="5" t="s">
        <v>299</v>
      </c>
      <c r="D186" s="102">
        <v>46135</v>
      </c>
      <c r="E186" s="5" t="s">
        <v>306</v>
      </c>
      <c r="F186" s="65">
        <v>0</v>
      </c>
      <c r="G186" s="37">
        <v>0</v>
      </c>
      <c r="H186" s="6">
        <f t="shared" si="2"/>
        <v>0</v>
      </c>
      <c r="I186" s="5" t="s">
        <v>268</v>
      </c>
      <c r="J186" s="39"/>
      <c r="K186" s="39"/>
      <c r="L186" s="39"/>
    </row>
    <row r="187" spans="1:12" hidden="1" x14ac:dyDescent="0.3">
      <c r="A187" s="5" t="s">
        <v>3</v>
      </c>
      <c r="B187" s="5" t="s">
        <v>317</v>
      </c>
      <c r="C187" s="5" t="s">
        <v>318</v>
      </c>
      <c r="D187" s="102">
        <v>46135</v>
      </c>
      <c r="E187" s="5" t="s">
        <v>306</v>
      </c>
      <c r="F187" s="5">
        <v>1</v>
      </c>
      <c r="G187" s="6">
        <v>238.88</v>
      </c>
      <c r="H187" s="6">
        <f t="shared" si="2"/>
        <v>238.88</v>
      </c>
      <c r="I187" s="5" t="s">
        <v>320</v>
      </c>
      <c r="J187" s="39"/>
      <c r="K187" s="39"/>
      <c r="L187" s="39"/>
    </row>
    <row r="188" spans="1:12" hidden="1" x14ac:dyDescent="0.3">
      <c r="A188" s="5" t="s">
        <v>3</v>
      </c>
      <c r="B188" s="5" t="s">
        <v>321</v>
      </c>
      <c r="C188" s="5" t="s">
        <v>26</v>
      </c>
      <c r="D188" s="102">
        <v>46135</v>
      </c>
      <c r="E188" s="5" t="s">
        <v>306</v>
      </c>
      <c r="F188" s="5">
        <v>0</v>
      </c>
      <c r="G188" s="6">
        <v>0</v>
      </c>
      <c r="H188" s="6">
        <f t="shared" si="2"/>
        <v>0</v>
      </c>
      <c r="I188" s="5" t="s">
        <v>323</v>
      </c>
      <c r="J188" s="39"/>
      <c r="K188" s="39"/>
      <c r="L188" s="39"/>
    </row>
    <row r="189" spans="1:12" hidden="1" x14ac:dyDescent="0.3">
      <c r="A189" s="5" t="s">
        <v>3</v>
      </c>
      <c r="B189" s="5" t="s">
        <v>483</v>
      </c>
      <c r="C189" s="5" t="s">
        <v>484</v>
      </c>
      <c r="D189" s="102">
        <v>46135</v>
      </c>
      <c r="E189" s="5" t="s">
        <v>312</v>
      </c>
      <c r="F189" s="5">
        <v>3650</v>
      </c>
      <c r="G189" s="6">
        <v>0.45770244691830109</v>
      </c>
      <c r="H189" s="6">
        <f t="shared" si="2"/>
        <v>1670.6139312517989</v>
      </c>
      <c r="I189" s="5" t="s">
        <v>307</v>
      </c>
      <c r="J189" s="39"/>
      <c r="K189" s="39"/>
      <c r="L189" s="39"/>
    </row>
    <row r="190" spans="1:12" hidden="1" x14ac:dyDescent="0.3">
      <c r="A190" s="5" t="s">
        <v>3</v>
      </c>
      <c r="B190" s="5" t="s">
        <v>466</v>
      </c>
      <c r="C190" s="5" t="s">
        <v>18</v>
      </c>
      <c r="D190" s="102">
        <v>46135</v>
      </c>
      <c r="E190" s="5" t="s">
        <v>319</v>
      </c>
      <c r="F190" s="127">
        <v>1</v>
      </c>
      <c r="G190" s="59">
        <v>676.8</v>
      </c>
      <c r="H190" s="6">
        <f t="shared" si="2"/>
        <v>676.8</v>
      </c>
      <c r="I190" s="5" t="s">
        <v>485</v>
      </c>
      <c r="J190" s="39"/>
      <c r="K190" s="39"/>
      <c r="L190" s="39"/>
    </row>
    <row r="191" spans="1:12" hidden="1" x14ac:dyDescent="0.3">
      <c r="A191" s="5" t="s">
        <v>3</v>
      </c>
      <c r="B191" s="5" t="s">
        <v>462</v>
      </c>
      <c r="C191" s="5" t="s">
        <v>274</v>
      </c>
      <c r="D191" s="102">
        <v>46135</v>
      </c>
      <c r="E191" s="5" t="s">
        <v>371</v>
      </c>
      <c r="F191" s="5">
        <v>0</v>
      </c>
      <c r="G191" s="6">
        <v>0</v>
      </c>
      <c r="H191" s="6">
        <f t="shared" si="2"/>
        <v>0</v>
      </c>
      <c r="I191" s="5" t="s">
        <v>401</v>
      </c>
      <c r="J191" s="39"/>
      <c r="K191" s="39"/>
      <c r="L191" s="39"/>
    </row>
    <row r="192" spans="1:12" hidden="1" x14ac:dyDescent="0.3">
      <c r="A192" s="5" t="s">
        <v>3</v>
      </c>
      <c r="B192" s="5" t="s">
        <v>359</v>
      </c>
      <c r="C192" s="5" t="s">
        <v>299</v>
      </c>
      <c r="D192" s="102">
        <v>46135</v>
      </c>
      <c r="E192" s="5" t="s">
        <v>322</v>
      </c>
      <c r="F192" s="5">
        <v>1</v>
      </c>
      <c r="G192" s="6">
        <v>383.56</v>
      </c>
      <c r="H192" s="6">
        <f t="shared" si="2"/>
        <v>383.56</v>
      </c>
      <c r="I192" s="5" t="s">
        <v>486</v>
      </c>
      <c r="J192" s="39"/>
      <c r="K192" s="39"/>
      <c r="L192" s="39"/>
    </row>
    <row r="193" spans="1:12" hidden="1" x14ac:dyDescent="0.3">
      <c r="A193" s="5" t="s">
        <v>3</v>
      </c>
      <c r="B193" s="5" t="s">
        <v>301</v>
      </c>
      <c r="C193" s="5" t="s">
        <v>302</v>
      </c>
      <c r="D193" s="102">
        <v>46135</v>
      </c>
      <c r="E193" s="5" t="s">
        <v>325</v>
      </c>
      <c r="F193" s="5">
        <v>1</v>
      </c>
      <c r="G193" s="6">
        <v>643.20000000000005</v>
      </c>
      <c r="H193" s="6">
        <f t="shared" si="2"/>
        <v>643.20000000000005</v>
      </c>
      <c r="I193" s="5" t="s">
        <v>303</v>
      </c>
      <c r="J193" s="39"/>
      <c r="K193" s="39"/>
      <c r="L193" s="39"/>
    </row>
    <row r="194" spans="1:12" hidden="1" x14ac:dyDescent="0.3">
      <c r="A194" s="5" t="s">
        <v>3</v>
      </c>
      <c r="B194" s="5" t="s">
        <v>487</v>
      </c>
      <c r="C194" s="5" t="s">
        <v>318</v>
      </c>
      <c r="D194" s="102">
        <v>46136</v>
      </c>
      <c r="E194" s="5" t="s">
        <v>306</v>
      </c>
      <c r="F194" s="5">
        <v>1</v>
      </c>
      <c r="G194" s="6">
        <v>609.16999999999996</v>
      </c>
      <c r="H194" s="6">
        <f t="shared" ref="H194:H257" si="3">IF(OR(F194="",G194=""),"",F194*G194)</f>
        <v>609.16999999999996</v>
      </c>
      <c r="I194" s="5" t="s">
        <v>320</v>
      </c>
      <c r="J194" s="39"/>
      <c r="K194" s="39"/>
      <c r="L194" s="39"/>
    </row>
    <row r="195" spans="1:12" hidden="1" x14ac:dyDescent="0.3">
      <c r="A195" s="5" t="s">
        <v>3</v>
      </c>
      <c r="B195" s="5" t="s">
        <v>349</v>
      </c>
      <c r="C195" s="5" t="s">
        <v>299</v>
      </c>
      <c r="D195" s="102">
        <v>46136</v>
      </c>
      <c r="E195" s="5" t="s">
        <v>312</v>
      </c>
      <c r="F195" s="5">
        <v>236</v>
      </c>
      <c r="G195" s="6">
        <v>1.86</v>
      </c>
      <c r="H195" s="6">
        <f t="shared" si="3"/>
        <v>438.96000000000004</v>
      </c>
      <c r="I195" s="5" t="s">
        <v>350</v>
      </c>
      <c r="J195" s="39"/>
      <c r="K195" s="39"/>
      <c r="L195" s="39"/>
    </row>
    <row r="196" spans="1:12" hidden="1" x14ac:dyDescent="0.3">
      <c r="A196" s="5" t="s">
        <v>3</v>
      </c>
      <c r="B196" s="5" t="s">
        <v>483</v>
      </c>
      <c r="C196" s="5" t="s">
        <v>484</v>
      </c>
      <c r="D196" s="102">
        <v>46136</v>
      </c>
      <c r="E196" s="5" t="s">
        <v>319</v>
      </c>
      <c r="F196" s="5">
        <v>6396</v>
      </c>
      <c r="G196" s="6">
        <v>0.45770244691830109</v>
      </c>
      <c r="H196" s="6">
        <f t="shared" si="3"/>
        <v>2927.464850489454</v>
      </c>
      <c r="I196" s="5" t="s">
        <v>307</v>
      </c>
      <c r="J196" s="39"/>
      <c r="K196" s="39"/>
      <c r="L196" s="39"/>
    </row>
    <row r="197" spans="1:12" hidden="1" x14ac:dyDescent="0.3">
      <c r="A197" s="5" t="s">
        <v>3</v>
      </c>
      <c r="B197" s="5" t="s">
        <v>466</v>
      </c>
      <c r="C197" s="5" t="s">
        <v>18</v>
      </c>
      <c r="D197" s="102">
        <v>46136</v>
      </c>
      <c r="E197" s="5" t="s">
        <v>319</v>
      </c>
      <c r="F197" s="5">
        <v>1</v>
      </c>
      <c r="G197" s="6">
        <v>338.4</v>
      </c>
      <c r="H197" s="6">
        <f t="shared" si="3"/>
        <v>338.4</v>
      </c>
      <c r="I197" s="5" t="s">
        <v>467</v>
      </c>
      <c r="J197" s="39"/>
      <c r="K197" s="39"/>
      <c r="L197" s="39"/>
    </row>
    <row r="198" spans="1:12" hidden="1" x14ac:dyDescent="0.3">
      <c r="A198" s="5" t="s">
        <v>3</v>
      </c>
      <c r="B198" s="5" t="s">
        <v>321</v>
      </c>
      <c r="C198" s="5" t="s">
        <v>26</v>
      </c>
      <c r="D198" s="102">
        <v>46136</v>
      </c>
      <c r="E198" s="5" t="s">
        <v>391</v>
      </c>
      <c r="F198" s="5">
        <v>1</v>
      </c>
      <c r="G198" s="6">
        <v>280</v>
      </c>
      <c r="H198" s="6">
        <f t="shared" si="3"/>
        <v>280</v>
      </c>
      <c r="I198" s="5" t="s">
        <v>323</v>
      </c>
      <c r="J198" s="39"/>
      <c r="K198" s="39"/>
      <c r="L198" s="39"/>
    </row>
    <row r="199" spans="1:12" hidden="1" x14ac:dyDescent="0.3">
      <c r="A199" s="5" t="s">
        <v>3</v>
      </c>
      <c r="B199" s="5" t="s">
        <v>339</v>
      </c>
      <c r="C199" s="5" t="s">
        <v>26</v>
      </c>
      <c r="D199" s="102">
        <v>46136</v>
      </c>
      <c r="E199" s="5" t="s">
        <v>371</v>
      </c>
      <c r="F199" s="5">
        <v>1</v>
      </c>
      <c r="G199" s="6">
        <v>668.79</v>
      </c>
      <c r="H199" s="6">
        <f t="shared" si="3"/>
        <v>668.79</v>
      </c>
      <c r="I199" s="5" t="s">
        <v>474</v>
      </c>
      <c r="J199" s="39"/>
      <c r="K199" s="39"/>
      <c r="L199" s="39"/>
    </row>
    <row r="200" spans="1:12" hidden="1" x14ac:dyDescent="0.3">
      <c r="A200" s="5" t="s">
        <v>3</v>
      </c>
      <c r="B200" s="5" t="s">
        <v>324</v>
      </c>
      <c r="C200" s="5" t="s">
        <v>299</v>
      </c>
      <c r="D200" s="102">
        <v>46136</v>
      </c>
      <c r="E200" s="5" t="s">
        <v>322</v>
      </c>
      <c r="F200" s="5">
        <v>0</v>
      </c>
      <c r="G200" s="6">
        <v>0</v>
      </c>
      <c r="H200" s="6">
        <f t="shared" si="3"/>
        <v>0</v>
      </c>
      <c r="I200" s="5" t="s">
        <v>488</v>
      </c>
      <c r="J200" s="39"/>
      <c r="K200" s="39"/>
      <c r="L200" s="39"/>
    </row>
    <row r="201" spans="1:12" hidden="1" x14ac:dyDescent="0.3">
      <c r="A201" s="5" t="s">
        <v>3</v>
      </c>
      <c r="B201" s="5" t="s">
        <v>355</v>
      </c>
      <c r="C201" s="5" t="s">
        <v>274</v>
      </c>
      <c r="D201" s="102">
        <v>46136</v>
      </c>
      <c r="E201" s="5" t="s">
        <v>322</v>
      </c>
      <c r="F201" s="5">
        <v>1</v>
      </c>
      <c r="G201" s="6">
        <v>1957.68</v>
      </c>
      <c r="H201" s="6">
        <f t="shared" si="3"/>
        <v>1957.68</v>
      </c>
      <c r="I201" s="5" t="s">
        <v>366</v>
      </c>
      <c r="J201" s="39"/>
      <c r="K201" s="39"/>
      <c r="L201" s="39"/>
    </row>
    <row r="202" spans="1:12" hidden="1" x14ac:dyDescent="0.3">
      <c r="A202" s="5" t="s">
        <v>3</v>
      </c>
      <c r="B202" s="5" t="s">
        <v>345</v>
      </c>
      <c r="C202" s="5" t="s">
        <v>302</v>
      </c>
      <c r="D202" s="102">
        <v>46136</v>
      </c>
      <c r="E202" s="5" t="s">
        <v>325</v>
      </c>
      <c r="F202" s="5">
        <v>1</v>
      </c>
      <c r="G202" s="6">
        <v>664.27</v>
      </c>
      <c r="H202" s="6">
        <f t="shared" si="3"/>
        <v>664.27</v>
      </c>
      <c r="I202" s="5" t="s">
        <v>346</v>
      </c>
      <c r="J202" s="39"/>
      <c r="K202" s="39"/>
      <c r="L202" s="39"/>
    </row>
    <row r="203" spans="1:12" hidden="1" x14ac:dyDescent="0.3">
      <c r="A203" s="5" t="s">
        <v>3</v>
      </c>
      <c r="B203" s="5" t="s">
        <v>489</v>
      </c>
      <c r="C203" s="5" t="s">
        <v>315</v>
      </c>
      <c r="D203" s="102">
        <v>46137</v>
      </c>
      <c r="E203" s="5" t="s">
        <v>33</v>
      </c>
      <c r="F203" s="5">
        <v>0</v>
      </c>
      <c r="G203" s="6">
        <v>0</v>
      </c>
      <c r="H203" s="6">
        <f t="shared" si="3"/>
        <v>0</v>
      </c>
      <c r="I203" s="5" t="s">
        <v>490</v>
      </c>
      <c r="J203" s="39"/>
      <c r="K203" s="39"/>
      <c r="L203" s="39"/>
    </row>
    <row r="204" spans="1:12" hidden="1" x14ac:dyDescent="0.3">
      <c r="A204" s="5" t="s">
        <v>3</v>
      </c>
      <c r="B204" s="5" t="s">
        <v>352</v>
      </c>
      <c r="C204" s="5" t="s">
        <v>318</v>
      </c>
      <c r="D204" s="102">
        <v>46137</v>
      </c>
      <c r="E204" s="5" t="s">
        <v>306</v>
      </c>
      <c r="F204" s="5">
        <v>1</v>
      </c>
      <c r="G204" s="6">
        <v>510</v>
      </c>
      <c r="H204" s="6">
        <f t="shared" si="3"/>
        <v>510</v>
      </c>
      <c r="I204" s="5" t="s">
        <v>320</v>
      </c>
      <c r="J204" s="39"/>
      <c r="K204" s="39"/>
      <c r="L204" s="39"/>
    </row>
    <row r="205" spans="1:12" hidden="1" x14ac:dyDescent="0.3">
      <c r="A205" s="5" t="s">
        <v>3</v>
      </c>
      <c r="B205" s="5" t="s">
        <v>359</v>
      </c>
      <c r="C205" s="5" t="s">
        <v>299</v>
      </c>
      <c r="D205" s="102">
        <v>46137</v>
      </c>
      <c r="E205" s="5" t="s">
        <v>312</v>
      </c>
      <c r="F205" s="5">
        <v>0</v>
      </c>
      <c r="G205" s="6">
        <v>0</v>
      </c>
      <c r="H205" s="6">
        <f t="shared" si="3"/>
        <v>0</v>
      </c>
      <c r="I205" s="5" t="s">
        <v>491</v>
      </c>
      <c r="J205" s="39"/>
      <c r="K205" s="39"/>
      <c r="L205" s="39"/>
    </row>
    <row r="206" spans="1:12" hidden="1" x14ac:dyDescent="0.3">
      <c r="A206" s="5" t="s">
        <v>3</v>
      </c>
      <c r="B206" s="5" t="s">
        <v>483</v>
      </c>
      <c r="C206" s="5" t="s">
        <v>484</v>
      </c>
      <c r="D206" s="102">
        <v>46137</v>
      </c>
      <c r="E206" s="5" t="s">
        <v>371</v>
      </c>
      <c r="F206" s="5">
        <v>14331</v>
      </c>
      <c r="G206" s="6">
        <v>0.45770244691830109</v>
      </c>
      <c r="H206" s="6">
        <f t="shared" si="3"/>
        <v>6559.3337667861733</v>
      </c>
      <c r="I206" s="5" t="s">
        <v>307</v>
      </c>
      <c r="J206" s="39"/>
      <c r="K206" s="39"/>
      <c r="L206" s="39"/>
    </row>
    <row r="207" spans="1:12" hidden="1" x14ac:dyDescent="0.3">
      <c r="A207" s="5" t="s">
        <v>3</v>
      </c>
      <c r="B207" s="5" t="s">
        <v>466</v>
      </c>
      <c r="C207" s="5" t="s">
        <v>18</v>
      </c>
      <c r="D207" s="102">
        <v>46137</v>
      </c>
      <c r="E207" s="5" t="s">
        <v>371</v>
      </c>
      <c r="F207" s="127">
        <v>1</v>
      </c>
      <c r="G207" s="59">
        <v>676.8</v>
      </c>
      <c r="H207" s="6">
        <f t="shared" si="3"/>
        <v>676.8</v>
      </c>
      <c r="I207" s="5" t="s">
        <v>492</v>
      </c>
      <c r="J207" s="39"/>
      <c r="K207" s="39"/>
      <c r="L207" s="39"/>
    </row>
    <row r="208" spans="1:12" hidden="1" x14ac:dyDescent="0.3">
      <c r="A208" s="5" t="s">
        <v>3</v>
      </c>
      <c r="B208" s="5" t="s">
        <v>321</v>
      </c>
      <c r="C208" s="5" t="s">
        <v>26</v>
      </c>
      <c r="D208" s="102">
        <v>46137</v>
      </c>
      <c r="E208" s="5" t="s">
        <v>371</v>
      </c>
      <c r="F208" s="5">
        <v>1</v>
      </c>
      <c r="G208" s="6">
        <v>492</v>
      </c>
      <c r="H208" s="6">
        <f t="shared" si="3"/>
        <v>492</v>
      </c>
      <c r="I208" s="5" t="s">
        <v>323</v>
      </c>
      <c r="J208" s="39"/>
      <c r="K208" s="39"/>
      <c r="L208" s="39"/>
    </row>
    <row r="209" spans="1:12" hidden="1" x14ac:dyDescent="0.3">
      <c r="A209" s="5" t="s">
        <v>3</v>
      </c>
      <c r="B209" s="5" t="s">
        <v>298</v>
      </c>
      <c r="C209" s="5" t="s">
        <v>299</v>
      </c>
      <c r="D209" s="102">
        <v>46137</v>
      </c>
      <c r="E209" s="5" t="s">
        <v>322</v>
      </c>
      <c r="F209" s="5">
        <v>1</v>
      </c>
      <c r="G209" s="6">
        <v>400.26</v>
      </c>
      <c r="H209" s="6">
        <f t="shared" si="3"/>
        <v>400.26</v>
      </c>
      <c r="I209" s="5" t="s">
        <v>491</v>
      </c>
      <c r="J209" s="39"/>
      <c r="K209" s="39"/>
      <c r="L209" s="39"/>
    </row>
    <row r="210" spans="1:12" hidden="1" x14ac:dyDescent="0.3">
      <c r="A210" s="5" t="s">
        <v>3</v>
      </c>
      <c r="B210" s="5" t="s">
        <v>448</v>
      </c>
      <c r="C210" s="5" t="s">
        <v>299</v>
      </c>
      <c r="D210" s="102">
        <v>46137</v>
      </c>
      <c r="E210" s="5" t="s">
        <v>322</v>
      </c>
      <c r="F210" s="5">
        <v>1</v>
      </c>
      <c r="G210" s="6">
        <v>867</v>
      </c>
      <c r="H210" s="6">
        <f t="shared" si="3"/>
        <v>867</v>
      </c>
      <c r="I210" s="5" t="s">
        <v>493</v>
      </c>
      <c r="J210" s="39"/>
      <c r="K210" s="39"/>
      <c r="L210" s="39"/>
    </row>
    <row r="211" spans="1:12" hidden="1" x14ac:dyDescent="0.3">
      <c r="A211" s="5" t="s">
        <v>3</v>
      </c>
      <c r="B211" s="5" t="s">
        <v>355</v>
      </c>
      <c r="C211" s="5" t="s">
        <v>274</v>
      </c>
      <c r="D211" s="102">
        <v>46137</v>
      </c>
      <c r="E211" s="5" t="s">
        <v>322</v>
      </c>
      <c r="F211" s="5">
        <v>0</v>
      </c>
      <c r="G211" s="6">
        <v>0</v>
      </c>
      <c r="H211" s="6">
        <f t="shared" si="3"/>
        <v>0</v>
      </c>
      <c r="I211" s="5" t="s">
        <v>356</v>
      </c>
      <c r="J211" s="39"/>
      <c r="K211" s="39"/>
      <c r="L211" s="39"/>
    </row>
    <row r="212" spans="1:12" hidden="1" x14ac:dyDescent="0.3">
      <c r="A212" s="5" t="s">
        <v>3</v>
      </c>
      <c r="B212" s="5" t="s">
        <v>494</v>
      </c>
      <c r="C212" s="5" t="s">
        <v>315</v>
      </c>
      <c r="D212" s="102">
        <v>46138</v>
      </c>
      <c r="E212" s="5" t="s">
        <v>33</v>
      </c>
      <c r="F212" s="5">
        <v>0</v>
      </c>
      <c r="G212" s="6">
        <v>0</v>
      </c>
      <c r="H212" s="6">
        <f t="shared" si="3"/>
        <v>0</v>
      </c>
      <c r="I212" s="5" t="s">
        <v>495</v>
      </c>
      <c r="J212" s="39"/>
      <c r="K212" s="39"/>
      <c r="L212" s="39"/>
    </row>
    <row r="213" spans="1:12" hidden="1" x14ac:dyDescent="0.3">
      <c r="A213" s="5" t="s">
        <v>3</v>
      </c>
      <c r="B213" s="5" t="s">
        <v>496</v>
      </c>
      <c r="C213" s="5" t="s">
        <v>318</v>
      </c>
      <c r="D213" s="102">
        <v>46138</v>
      </c>
      <c r="E213" s="5" t="s">
        <v>306</v>
      </c>
      <c r="F213" s="5">
        <v>1</v>
      </c>
      <c r="G213" s="6">
        <v>1833.24</v>
      </c>
      <c r="H213" s="6">
        <f t="shared" si="3"/>
        <v>1833.24</v>
      </c>
      <c r="I213" s="5" t="s">
        <v>320</v>
      </c>
      <c r="J213" s="39"/>
      <c r="K213" s="39"/>
      <c r="L213" s="39"/>
    </row>
    <row r="214" spans="1:12" hidden="1" x14ac:dyDescent="0.3">
      <c r="A214" s="5" t="s">
        <v>3</v>
      </c>
      <c r="B214" s="5" t="s">
        <v>339</v>
      </c>
      <c r="C214" s="5" t="s">
        <v>26</v>
      </c>
      <c r="D214" s="102">
        <v>46138</v>
      </c>
      <c r="E214" s="5" t="s">
        <v>306</v>
      </c>
      <c r="F214" s="5">
        <v>0</v>
      </c>
      <c r="G214" s="6">
        <v>0</v>
      </c>
      <c r="H214" s="6">
        <f t="shared" si="3"/>
        <v>0</v>
      </c>
      <c r="I214" s="5" t="s">
        <v>474</v>
      </c>
      <c r="J214" s="39"/>
      <c r="K214" s="39"/>
      <c r="L214" s="39"/>
    </row>
    <row r="215" spans="1:12" hidden="1" x14ac:dyDescent="0.3">
      <c r="A215" s="5" t="s">
        <v>3</v>
      </c>
      <c r="B215" s="5" t="s">
        <v>324</v>
      </c>
      <c r="C215" s="5" t="s">
        <v>299</v>
      </c>
      <c r="D215" s="102">
        <v>46138</v>
      </c>
      <c r="E215" s="5" t="s">
        <v>312</v>
      </c>
      <c r="F215" s="5">
        <v>2</v>
      </c>
      <c r="G215" s="6">
        <v>338.53</v>
      </c>
      <c r="H215" s="6">
        <f t="shared" si="3"/>
        <v>677.06</v>
      </c>
      <c r="I215" s="5" t="s">
        <v>491</v>
      </c>
      <c r="J215" s="39"/>
      <c r="K215" s="39"/>
      <c r="L215" s="39"/>
    </row>
    <row r="216" spans="1:12" hidden="1" x14ac:dyDescent="0.3">
      <c r="A216" s="5" t="s">
        <v>3</v>
      </c>
      <c r="B216" s="5" t="s">
        <v>466</v>
      </c>
      <c r="C216" s="5" t="s">
        <v>18</v>
      </c>
      <c r="D216" s="102">
        <v>46138</v>
      </c>
      <c r="E216" s="5" t="s">
        <v>371</v>
      </c>
      <c r="F216" s="5">
        <v>1</v>
      </c>
      <c r="G216" s="6">
        <v>2387.6</v>
      </c>
      <c r="H216" s="6">
        <f t="shared" si="3"/>
        <v>2387.6</v>
      </c>
      <c r="I216" s="5" t="s">
        <v>467</v>
      </c>
      <c r="J216" s="39"/>
      <c r="K216" s="39"/>
      <c r="L216" s="39"/>
    </row>
    <row r="217" spans="1:12" hidden="1" x14ac:dyDescent="0.3">
      <c r="A217" s="5" t="s">
        <v>3</v>
      </c>
      <c r="B217" s="5" t="s">
        <v>448</v>
      </c>
      <c r="C217" s="5" t="s">
        <v>299</v>
      </c>
      <c r="D217" s="102">
        <v>46138</v>
      </c>
      <c r="E217" s="5" t="s">
        <v>322</v>
      </c>
      <c r="F217" s="5">
        <v>21</v>
      </c>
      <c r="G217" s="6">
        <v>9.6999999999999993</v>
      </c>
      <c r="H217" s="6">
        <f t="shared" si="3"/>
        <v>203.7</v>
      </c>
      <c r="I217" s="5" t="s">
        <v>452</v>
      </c>
      <c r="J217" s="39"/>
      <c r="K217" s="39"/>
      <c r="L217" s="39"/>
    </row>
    <row r="218" spans="1:12" hidden="1" x14ac:dyDescent="0.3">
      <c r="A218" s="5" t="s">
        <v>3</v>
      </c>
      <c r="B218" s="5" t="s">
        <v>483</v>
      </c>
      <c r="C218" s="5" t="s">
        <v>484</v>
      </c>
      <c r="D218" s="102">
        <v>46138</v>
      </c>
      <c r="E218" s="5" t="s">
        <v>325</v>
      </c>
      <c r="F218" s="5">
        <v>4782</v>
      </c>
      <c r="G218" s="6">
        <v>0.45770244691830109</v>
      </c>
      <c r="H218" s="6">
        <f t="shared" si="3"/>
        <v>2188.733101163316</v>
      </c>
      <c r="I218" s="5" t="s">
        <v>307</v>
      </c>
      <c r="J218" s="39"/>
      <c r="K218" s="39"/>
      <c r="L218" s="39"/>
    </row>
    <row r="219" spans="1:12" hidden="1" x14ac:dyDescent="0.3">
      <c r="A219" s="5" t="s">
        <v>3</v>
      </c>
      <c r="B219" s="5" t="s">
        <v>355</v>
      </c>
      <c r="C219" s="5" t="s">
        <v>274</v>
      </c>
      <c r="D219" s="102">
        <v>46138</v>
      </c>
      <c r="E219" s="5" t="s">
        <v>325</v>
      </c>
      <c r="F219" s="5">
        <v>1</v>
      </c>
      <c r="G219" s="6">
        <v>3624.23</v>
      </c>
      <c r="H219" s="6">
        <f t="shared" si="3"/>
        <v>3624.23</v>
      </c>
      <c r="I219" s="5" t="s">
        <v>366</v>
      </c>
      <c r="J219" s="39"/>
      <c r="K219" s="39"/>
      <c r="L219" s="39"/>
    </row>
    <row r="220" spans="1:12" hidden="1" x14ac:dyDescent="0.3">
      <c r="A220" s="5" t="s">
        <v>3</v>
      </c>
      <c r="B220" s="5" t="s">
        <v>349</v>
      </c>
      <c r="C220" s="5" t="s">
        <v>299</v>
      </c>
      <c r="D220" s="102">
        <v>46139</v>
      </c>
      <c r="E220" s="40" t="s">
        <v>328</v>
      </c>
      <c r="F220" s="5">
        <v>6246</v>
      </c>
      <c r="G220" s="6">
        <v>1.86</v>
      </c>
      <c r="H220" s="6">
        <f t="shared" si="3"/>
        <v>11617.560000000001</v>
      </c>
      <c r="I220" s="5" t="s">
        <v>350</v>
      </c>
      <c r="J220" s="39"/>
      <c r="K220" s="39"/>
      <c r="L220" s="39"/>
    </row>
    <row r="221" spans="1:12" hidden="1" x14ac:dyDescent="0.3">
      <c r="A221" s="5" t="s">
        <v>3</v>
      </c>
      <c r="B221" s="5" t="s">
        <v>497</v>
      </c>
      <c r="C221" s="5" t="s">
        <v>315</v>
      </c>
      <c r="D221" s="102">
        <v>46139</v>
      </c>
      <c r="E221" s="5" t="s">
        <v>33</v>
      </c>
      <c r="F221" s="5">
        <v>0</v>
      </c>
      <c r="G221" s="6">
        <v>0</v>
      </c>
      <c r="H221" s="6">
        <f t="shared" si="3"/>
        <v>0</v>
      </c>
      <c r="I221" s="5" t="s">
        <v>406</v>
      </c>
      <c r="J221" s="39"/>
      <c r="K221" s="39"/>
      <c r="L221" s="39"/>
    </row>
    <row r="222" spans="1:12" hidden="1" x14ac:dyDescent="0.3">
      <c r="A222" s="5" t="s">
        <v>3</v>
      </c>
      <c r="B222" s="5" t="s">
        <v>498</v>
      </c>
      <c r="C222" s="5" t="s">
        <v>318</v>
      </c>
      <c r="D222" s="102">
        <v>46139</v>
      </c>
      <c r="E222" s="5" t="s">
        <v>306</v>
      </c>
      <c r="F222" s="5">
        <v>1</v>
      </c>
      <c r="G222" s="6">
        <v>2973.2</v>
      </c>
      <c r="H222" s="6">
        <f t="shared" si="3"/>
        <v>2973.2</v>
      </c>
      <c r="I222" s="5" t="s">
        <v>320</v>
      </c>
      <c r="J222" s="39"/>
      <c r="K222" s="39"/>
      <c r="L222" s="39"/>
    </row>
    <row r="223" spans="1:12" hidden="1" x14ac:dyDescent="0.3">
      <c r="A223" s="5" t="s">
        <v>3</v>
      </c>
      <c r="B223" s="5" t="s">
        <v>321</v>
      </c>
      <c r="C223" s="5" t="s">
        <v>26</v>
      </c>
      <c r="D223" s="102">
        <v>46139</v>
      </c>
      <c r="E223" s="5" t="s">
        <v>306</v>
      </c>
      <c r="F223" s="5">
        <v>0</v>
      </c>
      <c r="G223" s="6">
        <v>0</v>
      </c>
      <c r="H223" s="6">
        <f t="shared" si="3"/>
        <v>0</v>
      </c>
      <c r="I223" s="5" t="s">
        <v>323</v>
      </c>
      <c r="J223" s="39"/>
      <c r="K223" s="39"/>
      <c r="L223" s="39"/>
    </row>
    <row r="224" spans="1:12" hidden="1" x14ac:dyDescent="0.3">
      <c r="A224" s="5" t="s">
        <v>3</v>
      </c>
      <c r="B224" s="5" t="s">
        <v>298</v>
      </c>
      <c r="C224" s="5" t="s">
        <v>299</v>
      </c>
      <c r="D224" s="102">
        <v>46139</v>
      </c>
      <c r="E224" s="5" t="s">
        <v>312</v>
      </c>
      <c r="F224" s="5">
        <v>1</v>
      </c>
      <c r="G224" s="6">
        <v>300.37</v>
      </c>
      <c r="H224" s="6">
        <f t="shared" si="3"/>
        <v>300.37</v>
      </c>
      <c r="I224" s="5" t="s">
        <v>499</v>
      </c>
      <c r="J224" s="39"/>
      <c r="K224" s="39"/>
      <c r="L224" s="39"/>
    </row>
    <row r="225" spans="1:12" hidden="1" x14ac:dyDescent="0.3">
      <c r="A225" s="5" t="s">
        <v>3</v>
      </c>
      <c r="B225" s="5" t="s">
        <v>361</v>
      </c>
      <c r="C225" s="5" t="s">
        <v>299</v>
      </c>
      <c r="D225" s="102">
        <v>46139</v>
      </c>
      <c r="E225" s="5" t="s">
        <v>322</v>
      </c>
      <c r="F225" s="65">
        <v>0</v>
      </c>
      <c r="G225" s="37">
        <v>0</v>
      </c>
      <c r="H225" s="6">
        <f t="shared" si="3"/>
        <v>0</v>
      </c>
      <c r="I225" s="5" t="s">
        <v>313</v>
      </c>
      <c r="J225" s="39"/>
      <c r="K225" s="39"/>
      <c r="L225" s="39"/>
    </row>
    <row r="226" spans="1:12" hidden="1" x14ac:dyDescent="0.3">
      <c r="A226" s="5" t="s">
        <v>3</v>
      </c>
      <c r="B226" s="5" t="s">
        <v>466</v>
      </c>
      <c r="C226" s="5" t="s">
        <v>18</v>
      </c>
      <c r="D226" s="102">
        <v>46139</v>
      </c>
      <c r="E226" s="5" t="s">
        <v>322</v>
      </c>
      <c r="F226" s="5">
        <v>1</v>
      </c>
      <c r="G226" s="6">
        <v>676.8</v>
      </c>
      <c r="H226" s="6">
        <f t="shared" si="3"/>
        <v>676.8</v>
      </c>
      <c r="I226" s="5" t="s">
        <v>467</v>
      </c>
      <c r="J226" s="39"/>
      <c r="K226" s="39"/>
      <c r="L226" s="39"/>
    </row>
    <row r="227" spans="1:12" hidden="1" x14ac:dyDescent="0.3">
      <c r="A227" s="5" t="s">
        <v>3</v>
      </c>
      <c r="B227" s="5" t="s">
        <v>355</v>
      </c>
      <c r="C227" s="5" t="s">
        <v>274</v>
      </c>
      <c r="D227" s="102">
        <v>46139</v>
      </c>
      <c r="E227" s="5" t="s">
        <v>325</v>
      </c>
      <c r="F227" s="5">
        <v>-1</v>
      </c>
      <c r="G227" s="6">
        <v>494.68</v>
      </c>
      <c r="H227" s="6">
        <f t="shared" si="3"/>
        <v>-494.68</v>
      </c>
      <c r="I227" s="5" t="s">
        <v>356</v>
      </c>
      <c r="J227" s="39"/>
      <c r="K227" s="39"/>
      <c r="L227" s="39"/>
    </row>
    <row r="228" spans="1:12" hidden="1" x14ac:dyDescent="0.3">
      <c r="A228" s="5" t="s">
        <v>3</v>
      </c>
      <c r="B228" s="5" t="s">
        <v>349</v>
      </c>
      <c r="C228" s="5" t="s">
        <v>299</v>
      </c>
      <c r="D228" s="102">
        <v>46140</v>
      </c>
      <c r="E228" s="5" t="s">
        <v>33</v>
      </c>
      <c r="F228" s="5">
        <v>296</v>
      </c>
      <c r="G228" s="6">
        <v>1.86</v>
      </c>
      <c r="H228" s="6">
        <f t="shared" si="3"/>
        <v>550.56000000000006</v>
      </c>
      <c r="I228" s="5" t="s">
        <v>350</v>
      </c>
      <c r="J228" s="39"/>
      <c r="K228" s="39"/>
      <c r="L228" s="39"/>
    </row>
    <row r="229" spans="1:12" hidden="1" x14ac:dyDescent="0.3">
      <c r="A229" s="5" t="s">
        <v>3</v>
      </c>
      <c r="B229" s="5" t="s">
        <v>500</v>
      </c>
      <c r="C229" s="5" t="s">
        <v>315</v>
      </c>
      <c r="D229" s="102">
        <v>46140</v>
      </c>
      <c r="E229" s="5" t="s">
        <v>33</v>
      </c>
      <c r="F229" s="5">
        <v>0</v>
      </c>
      <c r="G229" s="6">
        <v>0</v>
      </c>
      <c r="H229" s="6">
        <f t="shared" si="3"/>
        <v>0</v>
      </c>
      <c r="I229" s="5" t="s">
        <v>416</v>
      </c>
      <c r="J229" s="39"/>
      <c r="K229" s="39"/>
      <c r="L229" s="39"/>
    </row>
    <row r="230" spans="1:12" hidden="1" x14ac:dyDescent="0.3">
      <c r="A230" s="5" t="s">
        <v>3</v>
      </c>
      <c r="B230" s="5" t="s">
        <v>501</v>
      </c>
      <c r="C230" s="5" t="s">
        <v>318</v>
      </c>
      <c r="D230" s="102">
        <v>46140</v>
      </c>
      <c r="E230" s="5" t="s">
        <v>306</v>
      </c>
      <c r="F230" s="5">
        <v>1</v>
      </c>
      <c r="G230" s="6">
        <v>7615.46</v>
      </c>
      <c r="H230" s="6">
        <f t="shared" si="3"/>
        <v>7615.46</v>
      </c>
      <c r="I230" s="5" t="s">
        <v>320</v>
      </c>
      <c r="J230" s="39"/>
      <c r="K230" s="39"/>
      <c r="L230" s="39"/>
    </row>
    <row r="231" spans="1:12" hidden="1" x14ac:dyDescent="0.3">
      <c r="A231" s="5" t="s">
        <v>3</v>
      </c>
      <c r="B231" s="5" t="s">
        <v>361</v>
      </c>
      <c r="C231" s="5" t="s">
        <v>299</v>
      </c>
      <c r="D231" s="102">
        <v>46140</v>
      </c>
      <c r="E231" s="5" t="s">
        <v>312</v>
      </c>
      <c r="F231" s="5">
        <v>1</v>
      </c>
      <c r="G231" s="37"/>
      <c r="H231" s="6" t="str">
        <f t="shared" si="3"/>
        <v/>
      </c>
      <c r="I231" s="5" t="s">
        <v>313</v>
      </c>
      <c r="J231" s="39"/>
      <c r="K231" s="39"/>
      <c r="L231" s="39"/>
    </row>
    <row r="232" spans="1:12" hidden="1" x14ac:dyDescent="0.3">
      <c r="A232" s="5" t="s">
        <v>3</v>
      </c>
      <c r="B232" s="5" t="s">
        <v>321</v>
      </c>
      <c r="C232" s="5" t="s">
        <v>26</v>
      </c>
      <c r="D232" s="102">
        <v>46140</v>
      </c>
      <c r="E232" s="5" t="s">
        <v>312</v>
      </c>
      <c r="F232" s="5">
        <v>0</v>
      </c>
      <c r="G232" s="6">
        <v>0</v>
      </c>
      <c r="H232" s="6">
        <f t="shared" si="3"/>
        <v>0</v>
      </c>
      <c r="I232" s="5" t="s">
        <v>323</v>
      </c>
      <c r="J232" s="39"/>
      <c r="K232" s="39"/>
      <c r="L232" s="39"/>
    </row>
    <row r="233" spans="1:12" hidden="1" x14ac:dyDescent="0.3">
      <c r="A233" s="5" t="s">
        <v>3</v>
      </c>
      <c r="B233" s="5" t="s">
        <v>502</v>
      </c>
      <c r="C233" s="5" t="s">
        <v>299</v>
      </c>
      <c r="D233" s="102">
        <v>46140</v>
      </c>
      <c r="E233" s="5" t="s">
        <v>322</v>
      </c>
      <c r="F233" s="65">
        <v>0</v>
      </c>
      <c r="G233" s="37">
        <v>0</v>
      </c>
      <c r="H233" s="6">
        <f t="shared" si="3"/>
        <v>0</v>
      </c>
      <c r="I233" s="5" t="s">
        <v>268</v>
      </c>
      <c r="J233" s="39"/>
      <c r="K233" s="39"/>
      <c r="L233" s="39"/>
    </row>
    <row r="234" spans="1:12" hidden="1" x14ac:dyDescent="0.3">
      <c r="A234" s="5" t="s">
        <v>3</v>
      </c>
      <c r="B234" s="5" t="s">
        <v>466</v>
      </c>
      <c r="C234" s="5" t="s">
        <v>18</v>
      </c>
      <c r="D234" s="102">
        <v>46140</v>
      </c>
      <c r="E234" s="5" t="s">
        <v>325</v>
      </c>
      <c r="F234" s="5">
        <v>1</v>
      </c>
      <c r="G234" s="6">
        <v>569.64</v>
      </c>
      <c r="H234" s="6">
        <f t="shared" si="3"/>
        <v>569.64</v>
      </c>
      <c r="I234" s="5" t="s">
        <v>467</v>
      </c>
      <c r="J234" s="39"/>
      <c r="K234" s="39"/>
      <c r="L234" s="39"/>
    </row>
    <row r="235" spans="1:12" hidden="1" x14ac:dyDescent="0.3">
      <c r="A235" s="5" t="s">
        <v>3</v>
      </c>
      <c r="B235" s="5" t="s">
        <v>503</v>
      </c>
      <c r="C235" s="5" t="s">
        <v>274</v>
      </c>
      <c r="D235" s="102">
        <v>46140</v>
      </c>
      <c r="E235" s="5" t="s">
        <v>325</v>
      </c>
      <c r="F235" s="5">
        <v>0</v>
      </c>
      <c r="G235" s="6">
        <v>0</v>
      </c>
      <c r="H235" s="6">
        <f t="shared" si="3"/>
        <v>0</v>
      </c>
      <c r="I235" s="5" t="s">
        <v>380</v>
      </c>
      <c r="J235" s="39"/>
      <c r="K235" s="39"/>
      <c r="L235" s="39"/>
    </row>
    <row r="236" spans="1:12" hidden="1" x14ac:dyDescent="0.3">
      <c r="A236" s="5" t="s">
        <v>3</v>
      </c>
      <c r="B236" s="5" t="s">
        <v>359</v>
      </c>
      <c r="C236" s="5" t="s">
        <v>299</v>
      </c>
      <c r="D236" s="102">
        <v>46141</v>
      </c>
      <c r="E236" s="5" t="s">
        <v>33</v>
      </c>
      <c r="F236" s="5">
        <v>2</v>
      </c>
      <c r="G236" s="6">
        <v>383.56</v>
      </c>
      <c r="H236" s="6">
        <f t="shared" si="3"/>
        <v>767.12</v>
      </c>
      <c r="I236" s="5" t="s">
        <v>491</v>
      </c>
      <c r="J236" s="39"/>
      <c r="K236" s="39"/>
      <c r="L236" s="39"/>
    </row>
    <row r="237" spans="1:12" hidden="1" x14ac:dyDescent="0.3">
      <c r="A237" s="5" t="s">
        <v>3</v>
      </c>
      <c r="B237" s="5" t="s">
        <v>403</v>
      </c>
      <c r="C237" s="5" t="s">
        <v>302</v>
      </c>
      <c r="D237" s="102">
        <v>46141</v>
      </c>
      <c r="E237" s="5" t="s">
        <v>33</v>
      </c>
      <c r="F237" s="5">
        <v>0</v>
      </c>
      <c r="G237" s="6">
        <v>0</v>
      </c>
      <c r="H237" s="6">
        <f t="shared" si="3"/>
        <v>0</v>
      </c>
      <c r="I237" s="5" t="s">
        <v>504</v>
      </c>
      <c r="J237" s="39"/>
      <c r="K237" s="39"/>
      <c r="L237" s="39"/>
    </row>
    <row r="238" spans="1:12" hidden="1" x14ac:dyDescent="0.3">
      <c r="A238" s="5" t="s">
        <v>3</v>
      </c>
      <c r="B238" s="5" t="s">
        <v>505</v>
      </c>
      <c r="C238" s="5" t="s">
        <v>315</v>
      </c>
      <c r="D238" s="102">
        <v>46141</v>
      </c>
      <c r="E238" s="5" t="s">
        <v>306</v>
      </c>
      <c r="F238" s="5">
        <v>0</v>
      </c>
      <c r="G238" s="6">
        <v>0</v>
      </c>
      <c r="H238" s="6">
        <f t="shared" si="3"/>
        <v>0</v>
      </c>
      <c r="I238" s="5" t="s">
        <v>431</v>
      </c>
      <c r="J238" s="39"/>
      <c r="K238" s="39"/>
      <c r="L238" s="39"/>
    </row>
    <row r="239" spans="1:12" hidden="1" x14ac:dyDescent="0.3">
      <c r="A239" s="5" t="s">
        <v>3</v>
      </c>
      <c r="B239" s="5" t="s">
        <v>506</v>
      </c>
      <c r="C239" s="5" t="s">
        <v>299</v>
      </c>
      <c r="D239" s="102">
        <v>46141</v>
      </c>
      <c r="E239" s="5" t="s">
        <v>312</v>
      </c>
      <c r="F239" s="127">
        <v>1</v>
      </c>
      <c r="G239" s="37">
        <v>0</v>
      </c>
      <c r="H239" s="6">
        <f t="shared" si="3"/>
        <v>0</v>
      </c>
      <c r="I239" s="5" t="s">
        <v>313</v>
      </c>
      <c r="J239" s="39"/>
      <c r="K239" s="39"/>
      <c r="L239" s="39"/>
    </row>
    <row r="240" spans="1:12" hidden="1" x14ac:dyDescent="0.3">
      <c r="A240" s="5" t="s">
        <v>3</v>
      </c>
      <c r="B240" s="5" t="s">
        <v>339</v>
      </c>
      <c r="C240" s="5" t="s">
        <v>26</v>
      </c>
      <c r="D240" s="102">
        <v>46141</v>
      </c>
      <c r="E240" s="5" t="s">
        <v>312</v>
      </c>
      <c r="F240" s="5">
        <v>0</v>
      </c>
      <c r="G240" s="6">
        <v>0</v>
      </c>
      <c r="H240" s="6">
        <f t="shared" si="3"/>
        <v>0</v>
      </c>
      <c r="I240" s="5" t="s">
        <v>507</v>
      </c>
      <c r="J240" s="39"/>
      <c r="K240" s="39"/>
      <c r="L240" s="39"/>
    </row>
    <row r="241" spans="1:12" hidden="1" x14ac:dyDescent="0.3">
      <c r="A241" s="5" t="s">
        <v>3</v>
      </c>
      <c r="B241" s="5" t="s">
        <v>508</v>
      </c>
      <c r="C241" s="5" t="s">
        <v>318</v>
      </c>
      <c r="D241" s="102">
        <v>46141</v>
      </c>
      <c r="E241" s="5" t="s">
        <v>319</v>
      </c>
      <c r="F241" s="5">
        <v>-1</v>
      </c>
      <c r="G241" s="6">
        <v>837.25</v>
      </c>
      <c r="H241" s="6">
        <f t="shared" si="3"/>
        <v>-837.25</v>
      </c>
      <c r="I241" s="5" t="s">
        <v>509</v>
      </c>
      <c r="J241" s="39"/>
      <c r="K241" s="39"/>
      <c r="L241" s="39"/>
    </row>
    <row r="242" spans="1:12" hidden="1" x14ac:dyDescent="0.3">
      <c r="A242" s="5" t="s">
        <v>3</v>
      </c>
      <c r="B242" s="5" t="s">
        <v>349</v>
      </c>
      <c r="C242" s="5" t="s">
        <v>299</v>
      </c>
      <c r="D242" s="102">
        <v>46141</v>
      </c>
      <c r="E242" s="5" t="s">
        <v>325</v>
      </c>
      <c r="F242" s="5">
        <v>378</v>
      </c>
      <c r="G242" s="6">
        <v>1.86</v>
      </c>
      <c r="H242" s="6">
        <f t="shared" si="3"/>
        <v>703.08</v>
      </c>
      <c r="I242" s="5" t="s">
        <v>350</v>
      </c>
      <c r="J242" s="39"/>
      <c r="K242" s="39"/>
      <c r="L242" s="39"/>
    </row>
    <row r="243" spans="1:12" hidden="1" x14ac:dyDescent="0.3">
      <c r="A243" s="5" t="s">
        <v>3</v>
      </c>
      <c r="B243" s="5" t="s">
        <v>433</v>
      </c>
      <c r="C243" s="5" t="s">
        <v>274</v>
      </c>
      <c r="D243" s="102">
        <v>46141</v>
      </c>
      <c r="E243" s="5" t="s">
        <v>325</v>
      </c>
      <c r="F243" s="5">
        <v>0</v>
      </c>
      <c r="G243" s="6">
        <v>0</v>
      </c>
      <c r="H243" s="6">
        <f t="shared" si="3"/>
        <v>0</v>
      </c>
      <c r="I243" s="5" t="s">
        <v>401</v>
      </c>
      <c r="J243" s="39"/>
      <c r="K243" s="39"/>
      <c r="L243" s="39"/>
    </row>
    <row r="244" spans="1:12" hidden="1" x14ac:dyDescent="0.3">
      <c r="A244" s="5" t="s">
        <v>3</v>
      </c>
      <c r="B244" s="5" t="s">
        <v>324</v>
      </c>
      <c r="C244" s="5" t="s">
        <v>299</v>
      </c>
      <c r="D244" s="102">
        <v>46142</v>
      </c>
      <c r="E244" s="5" t="s">
        <v>33</v>
      </c>
      <c r="F244" s="5">
        <v>0</v>
      </c>
      <c r="G244" s="6">
        <v>0</v>
      </c>
      <c r="H244" s="6">
        <f t="shared" si="3"/>
        <v>0</v>
      </c>
      <c r="I244" s="5" t="s">
        <v>510</v>
      </c>
      <c r="J244" s="39"/>
      <c r="K244" s="39"/>
      <c r="L244" s="39"/>
    </row>
    <row r="245" spans="1:12" hidden="1" x14ac:dyDescent="0.3">
      <c r="A245" s="5" t="s">
        <v>3</v>
      </c>
      <c r="B245" s="5" t="s">
        <v>367</v>
      </c>
      <c r="C245" s="5" t="s">
        <v>302</v>
      </c>
      <c r="D245" s="102">
        <v>46142</v>
      </c>
      <c r="E245" s="5" t="s">
        <v>33</v>
      </c>
      <c r="F245" s="5">
        <v>10</v>
      </c>
      <c r="G245" s="6">
        <v>20</v>
      </c>
      <c r="H245" s="6">
        <f t="shared" si="3"/>
        <v>200</v>
      </c>
      <c r="I245" s="5" t="s">
        <v>368</v>
      </c>
      <c r="J245" s="39"/>
      <c r="K245" s="39"/>
      <c r="L245" s="39"/>
    </row>
    <row r="246" spans="1:12" hidden="1" x14ac:dyDescent="0.3">
      <c r="A246" s="5" t="s">
        <v>3</v>
      </c>
      <c r="B246" s="5" t="s">
        <v>308</v>
      </c>
      <c r="C246" s="5" t="s">
        <v>309</v>
      </c>
      <c r="D246" s="102">
        <v>46142</v>
      </c>
      <c r="E246" s="5" t="s">
        <v>33</v>
      </c>
      <c r="F246" s="5">
        <v>2</v>
      </c>
      <c r="G246" s="6">
        <v>50</v>
      </c>
      <c r="H246" s="6">
        <f t="shared" si="3"/>
        <v>100</v>
      </c>
      <c r="I246" s="5" t="s">
        <v>310</v>
      </c>
      <c r="J246" s="39"/>
      <c r="K246" s="39"/>
      <c r="L246" s="39"/>
    </row>
    <row r="247" spans="1:12" hidden="1" x14ac:dyDescent="0.3">
      <c r="A247" s="5" t="s">
        <v>3</v>
      </c>
      <c r="B247" s="5" t="s">
        <v>511</v>
      </c>
      <c r="C247" s="5" t="s">
        <v>315</v>
      </c>
      <c r="D247" s="102">
        <v>46142</v>
      </c>
      <c r="E247" s="5" t="s">
        <v>306</v>
      </c>
      <c r="F247" s="5">
        <v>1</v>
      </c>
      <c r="G247" s="6">
        <v>315.66000000000003</v>
      </c>
      <c r="H247" s="6">
        <f t="shared" si="3"/>
        <v>315.66000000000003</v>
      </c>
      <c r="I247" s="5" t="s">
        <v>460</v>
      </c>
      <c r="J247" s="39"/>
      <c r="K247" s="39"/>
      <c r="L247" s="39"/>
    </row>
    <row r="248" spans="1:12" hidden="1" x14ac:dyDescent="0.3">
      <c r="A248" s="5" t="s">
        <v>3</v>
      </c>
      <c r="B248" s="5" t="s">
        <v>512</v>
      </c>
      <c r="C248" s="5" t="s">
        <v>299</v>
      </c>
      <c r="D248" s="102">
        <v>46142</v>
      </c>
      <c r="E248" s="5" t="s">
        <v>312</v>
      </c>
      <c r="F248" s="65">
        <v>0</v>
      </c>
      <c r="G248" s="37">
        <v>0</v>
      </c>
      <c r="H248" s="6">
        <f t="shared" si="3"/>
        <v>0</v>
      </c>
      <c r="I248" s="5" t="s">
        <v>313</v>
      </c>
      <c r="J248" s="39"/>
      <c r="K248" s="39"/>
      <c r="L248" s="39"/>
    </row>
    <row r="249" spans="1:12" hidden="1" x14ac:dyDescent="0.3">
      <c r="A249" s="5" t="s">
        <v>3</v>
      </c>
      <c r="B249" s="5" t="s">
        <v>317</v>
      </c>
      <c r="C249" s="5" t="s">
        <v>318</v>
      </c>
      <c r="D249" s="102">
        <v>46142</v>
      </c>
      <c r="E249" s="5" t="s">
        <v>319</v>
      </c>
      <c r="F249" s="5">
        <v>1</v>
      </c>
      <c r="G249" s="6">
        <v>34.83</v>
      </c>
      <c r="H249" s="6">
        <f t="shared" si="3"/>
        <v>34.83</v>
      </c>
      <c r="I249" s="5" t="s">
        <v>513</v>
      </c>
      <c r="J249" s="39"/>
      <c r="K249" s="39"/>
      <c r="L249" s="39"/>
    </row>
    <row r="250" spans="1:12" hidden="1" x14ac:dyDescent="0.3">
      <c r="A250" s="5" t="s">
        <v>3</v>
      </c>
      <c r="B250" s="5" t="s">
        <v>321</v>
      </c>
      <c r="C250" s="5" t="s">
        <v>26</v>
      </c>
      <c r="D250" s="102">
        <v>46142</v>
      </c>
      <c r="E250" s="5" t="s">
        <v>319</v>
      </c>
      <c r="F250" s="5">
        <v>0</v>
      </c>
      <c r="G250" s="6">
        <v>0</v>
      </c>
      <c r="H250" s="6">
        <f t="shared" si="3"/>
        <v>0</v>
      </c>
      <c r="I250" s="5" t="s">
        <v>323</v>
      </c>
      <c r="J250" s="39"/>
      <c r="K250" s="39"/>
      <c r="L250" s="39"/>
    </row>
    <row r="251" spans="1:12" hidden="1" x14ac:dyDescent="0.3">
      <c r="A251" s="5" t="s">
        <v>3</v>
      </c>
      <c r="B251" s="5" t="s">
        <v>359</v>
      </c>
      <c r="C251" s="5" t="s">
        <v>299</v>
      </c>
      <c r="D251" s="102">
        <v>46142</v>
      </c>
      <c r="E251" s="5" t="s">
        <v>325</v>
      </c>
      <c r="F251" s="5">
        <v>1</v>
      </c>
      <c r="G251" s="6">
        <v>383.56</v>
      </c>
      <c r="H251" s="6">
        <f t="shared" si="3"/>
        <v>383.56</v>
      </c>
      <c r="I251" s="5" t="s">
        <v>514</v>
      </c>
      <c r="J251" s="39"/>
      <c r="K251" s="39"/>
      <c r="L251" s="39"/>
    </row>
    <row r="252" spans="1:12" hidden="1" x14ac:dyDescent="0.3">
      <c r="A252" s="5" t="s">
        <v>5</v>
      </c>
      <c r="B252" s="5" t="s">
        <v>349</v>
      </c>
      <c r="C252" s="5" t="s">
        <v>299</v>
      </c>
      <c r="D252" s="102">
        <v>46143</v>
      </c>
      <c r="E252" s="40" t="s">
        <v>328</v>
      </c>
      <c r="F252" s="34">
        <v>4995</v>
      </c>
      <c r="G252" s="103">
        <v>1.86</v>
      </c>
      <c r="H252" s="6">
        <f t="shared" si="3"/>
        <v>9290.7000000000007</v>
      </c>
      <c r="I252" s="5" t="s">
        <v>515</v>
      </c>
      <c r="J252" s="39"/>
      <c r="K252" s="39"/>
      <c r="L252" s="39"/>
    </row>
    <row r="253" spans="1:12" hidden="1" x14ac:dyDescent="0.3">
      <c r="A253" s="5" t="s">
        <v>5</v>
      </c>
      <c r="B253" s="5" t="s">
        <v>327</v>
      </c>
      <c r="C253" s="5" t="s">
        <v>23</v>
      </c>
      <c r="D253" s="102">
        <v>46143</v>
      </c>
      <c r="E253" s="40" t="s">
        <v>328</v>
      </c>
      <c r="F253" s="34">
        <v>119</v>
      </c>
      <c r="G253" s="103">
        <v>122.31</v>
      </c>
      <c r="H253" s="6">
        <f t="shared" si="3"/>
        <v>14554.89</v>
      </c>
      <c r="I253" s="5" t="s">
        <v>329</v>
      </c>
      <c r="J253" s="39"/>
      <c r="K253" s="39"/>
      <c r="L253" s="39"/>
    </row>
    <row r="254" spans="1:12" hidden="1" x14ac:dyDescent="0.3">
      <c r="A254" s="40" t="s">
        <v>5</v>
      </c>
      <c r="B254" s="40" t="s">
        <v>396</v>
      </c>
      <c r="C254" s="40" t="s">
        <v>397</v>
      </c>
      <c r="D254" s="105">
        <v>46143</v>
      </c>
      <c r="E254" s="40" t="s">
        <v>328</v>
      </c>
      <c r="F254" s="34">
        <v>1</v>
      </c>
      <c r="G254" s="103">
        <v>1391.04</v>
      </c>
      <c r="H254" s="6">
        <f t="shared" si="3"/>
        <v>1391.04</v>
      </c>
      <c r="I254" s="40" t="s">
        <v>516</v>
      </c>
      <c r="J254" s="39"/>
      <c r="K254" s="39"/>
      <c r="L254" s="39"/>
    </row>
    <row r="255" spans="1:12" hidden="1" x14ac:dyDescent="0.3">
      <c r="A255" s="40" t="s">
        <v>5</v>
      </c>
      <c r="B255" s="40" t="s">
        <v>408</v>
      </c>
      <c r="C255" s="40" t="s">
        <v>397</v>
      </c>
      <c r="D255" s="105">
        <v>46143</v>
      </c>
      <c r="E255" s="40" t="s">
        <v>328</v>
      </c>
      <c r="F255" s="34">
        <v>1</v>
      </c>
      <c r="G255" s="103">
        <v>6752.06</v>
      </c>
      <c r="H255" s="6">
        <f t="shared" si="3"/>
        <v>6752.06</v>
      </c>
      <c r="I255" s="40" t="s">
        <v>516</v>
      </c>
      <c r="J255" s="39"/>
      <c r="K255" s="39"/>
      <c r="L255" s="39"/>
    </row>
    <row r="256" spans="1:12" hidden="1" x14ac:dyDescent="0.3">
      <c r="A256" s="5" t="s">
        <v>5</v>
      </c>
      <c r="B256" s="5" t="s">
        <v>341</v>
      </c>
      <c r="C256" s="5" t="s">
        <v>342</v>
      </c>
      <c r="D256" s="102">
        <v>46143</v>
      </c>
      <c r="E256" s="5" t="s">
        <v>33</v>
      </c>
      <c r="F256" s="34">
        <v>1</v>
      </c>
      <c r="G256" s="106">
        <v>32179.26</v>
      </c>
      <c r="H256" s="6">
        <f t="shared" si="3"/>
        <v>32179.26</v>
      </c>
      <c r="I256" s="5" t="s">
        <v>343</v>
      </c>
      <c r="J256" s="39"/>
      <c r="K256" s="39"/>
      <c r="L256" s="39"/>
    </row>
    <row r="257" spans="1:12" hidden="1" x14ac:dyDescent="0.3">
      <c r="A257" s="5" t="s">
        <v>5</v>
      </c>
      <c r="B257" s="5" t="s">
        <v>396</v>
      </c>
      <c r="C257" s="5" t="s">
        <v>397</v>
      </c>
      <c r="D257" s="102">
        <v>46143</v>
      </c>
      <c r="E257" s="5" t="s">
        <v>33</v>
      </c>
      <c r="F257" s="34">
        <v>0</v>
      </c>
      <c r="G257" s="103">
        <v>0</v>
      </c>
      <c r="H257" s="6">
        <f t="shared" si="3"/>
        <v>0</v>
      </c>
      <c r="I257" s="5" t="s">
        <v>398</v>
      </c>
      <c r="J257" s="39"/>
      <c r="K257" s="39"/>
      <c r="L257" s="39"/>
    </row>
    <row r="258" spans="1:12" hidden="1" x14ac:dyDescent="0.3">
      <c r="A258" s="5" t="s">
        <v>5</v>
      </c>
      <c r="B258" s="5" t="s">
        <v>408</v>
      </c>
      <c r="C258" s="5" t="s">
        <v>397</v>
      </c>
      <c r="D258" s="102">
        <v>46143</v>
      </c>
      <c r="E258" s="5" t="s">
        <v>33</v>
      </c>
      <c r="F258" s="34">
        <v>1</v>
      </c>
      <c r="G258" s="106">
        <v>71.25</v>
      </c>
      <c r="H258" s="6">
        <f t="shared" ref="H258:H321" si="4">IF(OR(F258="",G258=""),"",F258*G258)</f>
        <v>71.25</v>
      </c>
      <c r="I258" s="5" t="s">
        <v>516</v>
      </c>
      <c r="J258" s="39"/>
      <c r="K258" s="39"/>
      <c r="L258" s="39"/>
    </row>
    <row r="259" spans="1:12" hidden="1" x14ac:dyDescent="0.3">
      <c r="A259" s="5" t="s">
        <v>5</v>
      </c>
      <c r="B259" s="5" t="s">
        <v>349</v>
      </c>
      <c r="C259" s="5" t="s">
        <v>299</v>
      </c>
      <c r="D259" s="102">
        <v>46143</v>
      </c>
      <c r="E259" s="5" t="s">
        <v>33</v>
      </c>
      <c r="F259" s="34">
        <v>305</v>
      </c>
      <c r="G259" s="106">
        <v>1.86</v>
      </c>
      <c r="H259" s="6">
        <f t="shared" si="4"/>
        <v>567.30000000000007</v>
      </c>
      <c r="I259" s="5" t="s">
        <v>515</v>
      </c>
      <c r="J259" s="39"/>
      <c r="K259" s="39"/>
      <c r="L259" s="39"/>
    </row>
    <row r="260" spans="1:12" hidden="1" x14ac:dyDescent="0.3">
      <c r="A260" s="5" t="s">
        <v>5</v>
      </c>
      <c r="B260" s="5" t="s">
        <v>359</v>
      </c>
      <c r="C260" s="5" t="s">
        <v>299</v>
      </c>
      <c r="D260" s="102">
        <v>46143</v>
      </c>
      <c r="E260" s="5" t="s">
        <v>33</v>
      </c>
      <c r="F260" s="34">
        <v>2</v>
      </c>
      <c r="G260" s="106">
        <v>383.56</v>
      </c>
      <c r="H260" s="6">
        <f t="shared" si="4"/>
        <v>767.12</v>
      </c>
      <c r="I260" s="5" t="s">
        <v>491</v>
      </c>
      <c r="J260" s="39"/>
      <c r="K260" s="39"/>
      <c r="L260" s="39"/>
    </row>
    <row r="261" spans="1:12" hidden="1" x14ac:dyDescent="0.3">
      <c r="A261" s="5" t="s">
        <v>5</v>
      </c>
      <c r="B261" s="5" t="s">
        <v>324</v>
      </c>
      <c r="C261" s="5" t="s">
        <v>299</v>
      </c>
      <c r="D261" s="102">
        <v>46143</v>
      </c>
      <c r="E261" s="5" t="s">
        <v>33</v>
      </c>
      <c r="F261" s="34">
        <v>0</v>
      </c>
      <c r="G261" s="103">
        <v>0</v>
      </c>
      <c r="H261" s="6">
        <f t="shared" si="4"/>
        <v>0</v>
      </c>
      <c r="I261" s="5" t="s">
        <v>510</v>
      </c>
      <c r="J261" s="39"/>
      <c r="K261" s="39"/>
      <c r="L261" s="39"/>
    </row>
    <row r="262" spans="1:12" hidden="1" x14ac:dyDescent="0.3">
      <c r="A262" s="5" t="s">
        <v>5</v>
      </c>
      <c r="B262" s="5" t="s">
        <v>298</v>
      </c>
      <c r="C262" s="5" t="s">
        <v>299</v>
      </c>
      <c r="D262" s="102">
        <v>46143</v>
      </c>
      <c r="E262" s="5" t="s">
        <v>33</v>
      </c>
      <c r="F262" s="34">
        <v>0</v>
      </c>
      <c r="G262" s="103">
        <v>0</v>
      </c>
      <c r="H262" s="6">
        <f t="shared" si="4"/>
        <v>0</v>
      </c>
      <c r="I262" s="5" t="s">
        <v>300</v>
      </c>
      <c r="J262" s="39"/>
      <c r="K262" s="39"/>
      <c r="L262" s="39"/>
    </row>
    <row r="263" spans="1:12" hidden="1" x14ac:dyDescent="0.3">
      <c r="A263" s="5" t="s">
        <v>5</v>
      </c>
      <c r="B263" s="5" t="s">
        <v>382</v>
      </c>
      <c r="C263" s="5" t="s">
        <v>299</v>
      </c>
      <c r="D263" s="102">
        <v>46143</v>
      </c>
      <c r="E263" s="5" t="s">
        <v>33</v>
      </c>
      <c r="F263" s="34">
        <v>-1</v>
      </c>
      <c r="G263" s="106">
        <v>774.2</v>
      </c>
      <c r="H263" s="6">
        <f t="shared" si="4"/>
        <v>-774.2</v>
      </c>
      <c r="I263" s="5" t="s">
        <v>386</v>
      </c>
      <c r="J263" s="39"/>
      <c r="K263" s="39"/>
      <c r="L263" s="39"/>
    </row>
    <row r="264" spans="1:12" hidden="1" x14ac:dyDescent="0.3">
      <c r="A264" s="5" t="s">
        <v>5</v>
      </c>
      <c r="B264" s="5" t="s">
        <v>382</v>
      </c>
      <c r="C264" s="5" t="s">
        <v>299</v>
      </c>
      <c r="D264" s="102">
        <v>46143</v>
      </c>
      <c r="E264" s="5" t="s">
        <v>33</v>
      </c>
      <c r="F264" s="34">
        <v>-1</v>
      </c>
      <c r="G264" s="106">
        <v>4167</v>
      </c>
      <c r="H264" s="6">
        <f t="shared" si="4"/>
        <v>-4167</v>
      </c>
      <c r="I264" s="5" t="s">
        <v>399</v>
      </c>
      <c r="J264" s="39"/>
      <c r="K264" s="39"/>
      <c r="L264" s="39"/>
    </row>
    <row r="265" spans="1:12" hidden="1" x14ac:dyDescent="0.3">
      <c r="A265" s="5" t="s">
        <v>5</v>
      </c>
      <c r="B265" s="5" t="s">
        <v>330</v>
      </c>
      <c r="C265" s="5" t="s">
        <v>299</v>
      </c>
      <c r="D265" s="102">
        <v>46143</v>
      </c>
      <c r="E265" s="5" t="s">
        <v>33</v>
      </c>
      <c r="F265" s="34">
        <v>0</v>
      </c>
      <c r="G265" s="107">
        <v>0</v>
      </c>
      <c r="H265" s="6">
        <f t="shared" si="4"/>
        <v>0</v>
      </c>
      <c r="I265" s="5" t="s">
        <v>268</v>
      </c>
      <c r="J265" s="39"/>
      <c r="K265" s="39"/>
      <c r="L265" s="39"/>
    </row>
    <row r="266" spans="1:12" hidden="1" x14ac:dyDescent="0.3">
      <c r="A266" s="5" t="s">
        <v>5</v>
      </c>
      <c r="B266" s="5" t="s">
        <v>344</v>
      </c>
      <c r="C266" s="5" t="s">
        <v>299</v>
      </c>
      <c r="D266" s="102">
        <v>46143</v>
      </c>
      <c r="E266" s="5" t="s">
        <v>33</v>
      </c>
      <c r="F266" s="66">
        <v>0</v>
      </c>
      <c r="G266" s="107">
        <v>0</v>
      </c>
      <c r="H266" s="6">
        <f t="shared" si="4"/>
        <v>0</v>
      </c>
      <c r="I266" s="5" t="s">
        <v>313</v>
      </c>
      <c r="J266" s="39"/>
      <c r="K266" s="39"/>
      <c r="L266" s="39"/>
    </row>
    <row r="267" spans="1:12" hidden="1" x14ac:dyDescent="0.3">
      <c r="A267" s="5" t="s">
        <v>5</v>
      </c>
      <c r="B267" s="5" t="s">
        <v>354</v>
      </c>
      <c r="C267" s="5" t="s">
        <v>299</v>
      </c>
      <c r="D267" s="102">
        <v>46143</v>
      </c>
      <c r="E267" s="5" t="s">
        <v>33</v>
      </c>
      <c r="F267" s="128">
        <v>3</v>
      </c>
      <c r="G267" s="107">
        <v>0</v>
      </c>
      <c r="H267" s="6">
        <f t="shared" si="4"/>
        <v>0</v>
      </c>
      <c r="I267" s="5" t="s">
        <v>313</v>
      </c>
      <c r="J267" s="39"/>
      <c r="K267" s="39"/>
      <c r="L267" s="39"/>
    </row>
    <row r="268" spans="1:12" hidden="1" x14ac:dyDescent="0.3">
      <c r="A268" s="5" t="s">
        <v>5</v>
      </c>
      <c r="B268" s="5" t="s">
        <v>362</v>
      </c>
      <c r="C268" s="5" t="s">
        <v>299</v>
      </c>
      <c r="D268" s="102">
        <v>46143</v>
      </c>
      <c r="E268" s="5" t="s">
        <v>33</v>
      </c>
      <c r="F268" s="128">
        <v>5</v>
      </c>
      <c r="G268" s="107">
        <v>0</v>
      </c>
      <c r="H268" s="6">
        <f t="shared" si="4"/>
        <v>0</v>
      </c>
      <c r="I268" s="5" t="s">
        <v>313</v>
      </c>
      <c r="J268" s="39"/>
      <c r="K268" s="39"/>
      <c r="L268" s="39"/>
    </row>
    <row r="269" spans="1:12" hidden="1" x14ac:dyDescent="0.3">
      <c r="A269" s="5" t="s">
        <v>5</v>
      </c>
      <c r="B269" s="5" t="s">
        <v>373</v>
      </c>
      <c r="C269" s="5" t="s">
        <v>299</v>
      </c>
      <c r="D269" s="102">
        <v>46143</v>
      </c>
      <c r="E269" s="5" t="s">
        <v>33</v>
      </c>
      <c r="F269" s="66">
        <v>0</v>
      </c>
      <c r="G269" s="107">
        <v>0</v>
      </c>
      <c r="H269" s="6">
        <f t="shared" si="4"/>
        <v>0</v>
      </c>
      <c r="I269" s="5" t="s">
        <v>313</v>
      </c>
      <c r="J269" s="39"/>
      <c r="K269" s="39"/>
      <c r="L269" s="39"/>
    </row>
    <row r="270" spans="1:12" hidden="1" x14ac:dyDescent="0.3">
      <c r="A270" s="5" t="s">
        <v>5</v>
      </c>
      <c r="B270" s="5" t="s">
        <v>387</v>
      </c>
      <c r="C270" s="5" t="s">
        <v>11</v>
      </c>
      <c r="D270" s="102">
        <v>46143</v>
      </c>
      <c r="E270" s="5" t="s">
        <v>33</v>
      </c>
      <c r="F270" s="34">
        <v>6280</v>
      </c>
      <c r="G270" s="106">
        <v>0.21237194312315091</v>
      </c>
      <c r="H270" s="6">
        <f t="shared" si="4"/>
        <v>1333.6958028133877</v>
      </c>
      <c r="I270" s="5" t="s">
        <v>307</v>
      </c>
      <c r="J270" s="39"/>
      <c r="K270" s="39"/>
      <c r="L270" s="39"/>
    </row>
    <row r="271" spans="1:12" hidden="1" x14ac:dyDescent="0.3">
      <c r="A271" s="5" t="s">
        <v>5</v>
      </c>
      <c r="B271" s="5" t="s">
        <v>441</v>
      </c>
      <c r="C271" s="5" t="s">
        <v>442</v>
      </c>
      <c r="D271" s="102">
        <v>46143</v>
      </c>
      <c r="E271" s="5" t="s">
        <v>33</v>
      </c>
      <c r="F271" s="34">
        <v>1</v>
      </c>
      <c r="G271" s="129">
        <v>9145.68</v>
      </c>
      <c r="H271" s="6">
        <f t="shared" si="4"/>
        <v>9145.68</v>
      </c>
      <c r="I271" s="5" t="s">
        <v>443</v>
      </c>
      <c r="J271" s="39"/>
      <c r="K271" s="39"/>
      <c r="L271" s="39"/>
    </row>
    <row r="272" spans="1:12" hidden="1" x14ac:dyDescent="0.3">
      <c r="A272" s="5" t="s">
        <v>5</v>
      </c>
      <c r="B272" s="5" t="s">
        <v>466</v>
      </c>
      <c r="C272" s="5" t="s">
        <v>18</v>
      </c>
      <c r="D272" s="102">
        <v>46143</v>
      </c>
      <c r="E272" s="5" t="s">
        <v>33</v>
      </c>
      <c r="F272" s="128">
        <v>1</v>
      </c>
      <c r="G272" s="110">
        <v>676.8</v>
      </c>
      <c r="H272" s="6">
        <f t="shared" si="4"/>
        <v>676.8</v>
      </c>
      <c r="I272" s="5" t="s">
        <v>467</v>
      </c>
      <c r="J272" s="39"/>
      <c r="K272" s="39"/>
      <c r="L272" s="39"/>
    </row>
    <row r="273" spans="1:12" hidden="1" x14ac:dyDescent="0.3">
      <c r="A273" s="5" t="s">
        <v>5</v>
      </c>
      <c r="B273" s="5" t="s">
        <v>331</v>
      </c>
      <c r="C273" s="5" t="s">
        <v>302</v>
      </c>
      <c r="D273" s="102">
        <v>46143</v>
      </c>
      <c r="E273" s="5" t="s">
        <v>33</v>
      </c>
      <c r="F273" s="34">
        <v>0</v>
      </c>
      <c r="G273" s="103">
        <v>0</v>
      </c>
      <c r="H273" s="6">
        <f t="shared" si="4"/>
        <v>0</v>
      </c>
      <c r="I273" s="5" t="s">
        <v>332</v>
      </c>
      <c r="J273" s="39"/>
      <c r="K273" s="39"/>
      <c r="L273" s="39"/>
    </row>
    <row r="274" spans="1:12" hidden="1" x14ac:dyDescent="0.3">
      <c r="A274" s="5" t="s">
        <v>5</v>
      </c>
      <c r="B274" s="5" t="s">
        <v>403</v>
      </c>
      <c r="C274" s="5" t="s">
        <v>302</v>
      </c>
      <c r="D274" s="102">
        <v>46143</v>
      </c>
      <c r="E274" s="5" t="s">
        <v>33</v>
      </c>
      <c r="F274" s="34">
        <v>0</v>
      </c>
      <c r="G274" s="103">
        <v>0</v>
      </c>
      <c r="H274" s="6">
        <f t="shared" si="4"/>
        <v>0</v>
      </c>
      <c r="I274" s="5" t="s">
        <v>504</v>
      </c>
      <c r="J274" s="39"/>
      <c r="K274" s="39"/>
      <c r="L274" s="39"/>
    </row>
    <row r="275" spans="1:12" hidden="1" x14ac:dyDescent="0.3">
      <c r="A275" s="5" t="s">
        <v>5</v>
      </c>
      <c r="B275" s="5" t="s">
        <v>367</v>
      </c>
      <c r="C275" s="5" t="s">
        <v>302</v>
      </c>
      <c r="D275" s="102">
        <v>46143</v>
      </c>
      <c r="E275" s="5" t="s">
        <v>33</v>
      </c>
      <c r="F275" s="34">
        <v>10</v>
      </c>
      <c r="G275" s="106">
        <v>20</v>
      </c>
      <c r="H275" s="6">
        <f t="shared" si="4"/>
        <v>200</v>
      </c>
      <c r="I275" s="5" t="s">
        <v>368</v>
      </c>
      <c r="J275" s="39"/>
      <c r="K275" s="39"/>
      <c r="L275" s="39"/>
    </row>
    <row r="276" spans="1:12" hidden="1" x14ac:dyDescent="0.3">
      <c r="A276" s="5" t="s">
        <v>5</v>
      </c>
      <c r="B276" s="5" t="s">
        <v>301</v>
      </c>
      <c r="C276" s="5" t="s">
        <v>302</v>
      </c>
      <c r="D276" s="102">
        <v>46143</v>
      </c>
      <c r="E276" s="5" t="s">
        <v>33</v>
      </c>
      <c r="F276" s="128">
        <v>1</v>
      </c>
      <c r="G276" s="110">
        <v>745.21</v>
      </c>
      <c r="H276" s="6">
        <f t="shared" si="4"/>
        <v>745.21</v>
      </c>
      <c r="I276" s="5" t="s">
        <v>303</v>
      </c>
      <c r="J276" s="39"/>
      <c r="K276" s="39"/>
      <c r="L276" s="39"/>
    </row>
    <row r="277" spans="1:12" hidden="1" x14ac:dyDescent="0.3">
      <c r="A277" s="5" t="s">
        <v>5</v>
      </c>
      <c r="B277" s="5" t="s">
        <v>345</v>
      </c>
      <c r="C277" s="5" t="s">
        <v>302</v>
      </c>
      <c r="D277" s="102">
        <v>46143</v>
      </c>
      <c r="E277" s="5" t="s">
        <v>33</v>
      </c>
      <c r="F277" s="34">
        <v>0</v>
      </c>
      <c r="G277" s="103">
        <v>0</v>
      </c>
      <c r="H277" s="6">
        <f t="shared" si="4"/>
        <v>0</v>
      </c>
      <c r="I277" s="5" t="s">
        <v>346</v>
      </c>
      <c r="J277" s="39"/>
      <c r="K277" s="39"/>
      <c r="L277" s="39"/>
    </row>
    <row r="278" spans="1:12" hidden="1" x14ac:dyDescent="0.3">
      <c r="A278" s="5" t="s">
        <v>5</v>
      </c>
      <c r="B278" s="5" t="s">
        <v>489</v>
      </c>
      <c r="C278" s="5" t="s">
        <v>315</v>
      </c>
      <c r="D278" s="102">
        <v>46143</v>
      </c>
      <c r="E278" s="5" t="s">
        <v>33</v>
      </c>
      <c r="F278" s="34">
        <v>0</v>
      </c>
      <c r="G278" s="103">
        <v>0</v>
      </c>
      <c r="H278" s="6">
        <f t="shared" si="4"/>
        <v>0</v>
      </c>
      <c r="I278" s="5" t="s">
        <v>490</v>
      </c>
      <c r="J278" s="39"/>
      <c r="K278" s="39"/>
      <c r="L278" s="39"/>
    </row>
    <row r="279" spans="1:12" hidden="1" x14ac:dyDescent="0.3">
      <c r="A279" s="5" t="s">
        <v>5</v>
      </c>
      <c r="B279" s="5" t="s">
        <v>497</v>
      </c>
      <c r="C279" s="5" t="s">
        <v>315</v>
      </c>
      <c r="D279" s="102">
        <v>46143</v>
      </c>
      <c r="E279" s="5" t="s">
        <v>33</v>
      </c>
      <c r="F279" s="34">
        <v>0</v>
      </c>
      <c r="G279" s="103">
        <v>0</v>
      </c>
      <c r="H279" s="6">
        <f t="shared" si="4"/>
        <v>0</v>
      </c>
      <c r="I279" s="5" t="s">
        <v>406</v>
      </c>
      <c r="J279" s="39"/>
      <c r="K279" s="39"/>
      <c r="L279" s="39"/>
    </row>
    <row r="280" spans="1:12" hidden="1" x14ac:dyDescent="0.3">
      <c r="A280" s="5" t="s">
        <v>5</v>
      </c>
      <c r="B280" s="5" t="s">
        <v>494</v>
      </c>
      <c r="C280" s="5" t="s">
        <v>315</v>
      </c>
      <c r="D280" s="102">
        <v>46143</v>
      </c>
      <c r="E280" s="5" t="s">
        <v>33</v>
      </c>
      <c r="F280" s="34">
        <v>0</v>
      </c>
      <c r="G280" s="103">
        <v>0</v>
      </c>
      <c r="H280" s="6">
        <f t="shared" si="4"/>
        <v>0</v>
      </c>
      <c r="I280" s="5" t="s">
        <v>495</v>
      </c>
      <c r="J280" s="39"/>
      <c r="K280" s="39"/>
      <c r="L280" s="39"/>
    </row>
    <row r="281" spans="1:12" hidden="1" x14ac:dyDescent="0.3">
      <c r="A281" s="5" t="s">
        <v>5</v>
      </c>
      <c r="B281" s="5" t="s">
        <v>500</v>
      </c>
      <c r="C281" s="5" t="s">
        <v>315</v>
      </c>
      <c r="D281" s="102">
        <v>46143</v>
      </c>
      <c r="E281" s="5" t="s">
        <v>33</v>
      </c>
      <c r="F281" s="34">
        <v>0</v>
      </c>
      <c r="G281" s="103">
        <v>0</v>
      </c>
      <c r="H281" s="6">
        <f t="shared" si="4"/>
        <v>0</v>
      </c>
      <c r="I281" s="5" t="s">
        <v>416</v>
      </c>
      <c r="J281" s="39"/>
      <c r="K281" s="39"/>
      <c r="L281" s="39"/>
    </row>
    <row r="282" spans="1:12" hidden="1" x14ac:dyDescent="0.3">
      <c r="A282" s="5" t="s">
        <v>5</v>
      </c>
      <c r="B282" s="5" t="s">
        <v>363</v>
      </c>
      <c r="C282" s="5" t="s">
        <v>364</v>
      </c>
      <c r="D282" s="102">
        <v>46143</v>
      </c>
      <c r="E282" s="5" t="s">
        <v>33</v>
      </c>
      <c r="F282" s="34">
        <v>1</v>
      </c>
      <c r="G282" s="106">
        <v>1583.45</v>
      </c>
      <c r="H282" s="6">
        <f t="shared" si="4"/>
        <v>1583.45</v>
      </c>
      <c r="I282" s="5" t="s">
        <v>517</v>
      </c>
      <c r="J282" s="39"/>
      <c r="K282" s="39"/>
      <c r="L282" s="39"/>
    </row>
    <row r="283" spans="1:12" hidden="1" x14ac:dyDescent="0.3">
      <c r="A283" s="5" t="s">
        <v>5</v>
      </c>
      <c r="B283" s="5" t="s">
        <v>327</v>
      </c>
      <c r="C283" s="5" t="s">
        <v>23</v>
      </c>
      <c r="D283" s="102">
        <v>46143</v>
      </c>
      <c r="E283" s="5" t="s">
        <v>33</v>
      </c>
      <c r="F283" s="34">
        <v>4</v>
      </c>
      <c r="G283" s="106">
        <v>127.35</v>
      </c>
      <c r="H283" s="6">
        <f t="shared" si="4"/>
        <v>509.4</v>
      </c>
      <c r="I283" s="5" t="s">
        <v>329</v>
      </c>
      <c r="J283" s="39"/>
      <c r="K283" s="39"/>
      <c r="L283" s="39"/>
    </row>
    <row r="284" spans="1:12" hidden="1" x14ac:dyDescent="0.3">
      <c r="A284" s="5" t="s">
        <v>5</v>
      </c>
      <c r="B284" s="5" t="s">
        <v>321</v>
      </c>
      <c r="C284" s="5" t="s">
        <v>26</v>
      </c>
      <c r="D284" s="102">
        <v>46143</v>
      </c>
      <c r="E284" s="5" t="s">
        <v>33</v>
      </c>
      <c r="F284" s="34">
        <v>0</v>
      </c>
      <c r="G284" s="103">
        <v>0</v>
      </c>
      <c r="H284" s="6">
        <f t="shared" si="4"/>
        <v>0</v>
      </c>
      <c r="I284" s="5" t="s">
        <v>323</v>
      </c>
      <c r="J284" s="39"/>
      <c r="K284" s="39"/>
      <c r="L284" s="39"/>
    </row>
    <row r="285" spans="1:12" hidden="1" x14ac:dyDescent="0.3">
      <c r="A285" s="5" t="s">
        <v>5</v>
      </c>
      <c r="B285" s="5" t="s">
        <v>339</v>
      </c>
      <c r="C285" s="5" t="s">
        <v>26</v>
      </c>
      <c r="D285" s="102">
        <v>46143</v>
      </c>
      <c r="E285" s="5" t="s">
        <v>33</v>
      </c>
      <c r="F285" s="34">
        <v>0</v>
      </c>
      <c r="G285" s="103">
        <v>0</v>
      </c>
      <c r="H285" s="6">
        <f t="shared" si="4"/>
        <v>0</v>
      </c>
      <c r="I285" s="5" t="s">
        <v>474</v>
      </c>
      <c r="J285" s="39"/>
      <c r="K285" s="39"/>
      <c r="L285" s="39"/>
    </row>
    <row r="286" spans="1:12" hidden="1" x14ac:dyDescent="0.3">
      <c r="A286" s="5" t="s">
        <v>5</v>
      </c>
      <c r="B286" s="5" t="s">
        <v>355</v>
      </c>
      <c r="C286" s="5" t="s">
        <v>27</v>
      </c>
      <c r="D286" s="102">
        <v>46143</v>
      </c>
      <c r="E286" s="5" t="s">
        <v>33</v>
      </c>
      <c r="F286" s="34">
        <v>1</v>
      </c>
      <c r="G286" s="106">
        <v>4343.82</v>
      </c>
      <c r="H286" s="6">
        <f t="shared" si="4"/>
        <v>4343.82</v>
      </c>
      <c r="I286" s="5" t="s">
        <v>518</v>
      </c>
      <c r="J286" s="39"/>
      <c r="K286" s="39"/>
      <c r="L286" s="39"/>
    </row>
    <row r="287" spans="1:12" hidden="1" x14ac:dyDescent="0.3">
      <c r="A287" s="5" t="s">
        <v>5</v>
      </c>
      <c r="B287" s="5" t="s">
        <v>308</v>
      </c>
      <c r="C287" s="5" t="s">
        <v>309</v>
      </c>
      <c r="D287" s="102">
        <v>46143</v>
      </c>
      <c r="E287" s="5" t="s">
        <v>33</v>
      </c>
      <c r="F287" s="34">
        <v>2</v>
      </c>
      <c r="G287" s="106">
        <v>50</v>
      </c>
      <c r="H287" s="6">
        <f t="shared" si="4"/>
        <v>100</v>
      </c>
      <c r="I287" s="5" t="s">
        <v>310</v>
      </c>
      <c r="J287" s="39"/>
      <c r="K287" s="39"/>
      <c r="L287" s="39"/>
    </row>
    <row r="288" spans="1:12" hidden="1" x14ac:dyDescent="0.3">
      <c r="A288" s="5" t="s">
        <v>5</v>
      </c>
      <c r="B288" s="5" t="s">
        <v>304</v>
      </c>
      <c r="C288" s="5" t="s">
        <v>305</v>
      </c>
      <c r="D288" s="102">
        <v>46143</v>
      </c>
      <c r="E288" s="5" t="s">
        <v>306</v>
      </c>
      <c r="F288" s="34">
        <v>13402</v>
      </c>
      <c r="G288" s="103">
        <v>0.36962547890332659</v>
      </c>
      <c r="H288" s="6">
        <f t="shared" si="4"/>
        <v>4953.7206682623828</v>
      </c>
      <c r="I288" s="5" t="s">
        <v>307</v>
      </c>
      <c r="J288" s="39"/>
      <c r="K288" s="39"/>
      <c r="L288" s="39"/>
    </row>
    <row r="289" spans="1:12" hidden="1" x14ac:dyDescent="0.3">
      <c r="A289" s="5" t="s">
        <v>5</v>
      </c>
      <c r="B289" s="5" t="s">
        <v>24</v>
      </c>
      <c r="C289" s="5" t="s">
        <v>333</v>
      </c>
      <c r="D289" s="102">
        <v>46143</v>
      </c>
      <c r="E289" s="5" t="s">
        <v>306</v>
      </c>
      <c r="F289" s="34">
        <v>13402</v>
      </c>
      <c r="G289" s="103">
        <v>0.2131621253765705</v>
      </c>
      <c r="H289" s="6">
        <f t="shared" si="4"/>
        <v>2856.7988042967977</v>
      </c>
      <c r="I289" s="5" t="s">
        <v>307</v>
      </c>
      <c r="J289" s="39"/>
      <c r="K289" s="39"/>
      <c r="L289" s="39"/>
    </row>
    <row r="290" spans="1:12" hidden="1" x14ac:dyDescent="0.3">
      <c r="A290" s="5" t="s">
        <v>5</v>
      </c>
      <c r="B290" s="5" t="s">
        <v>396</v>
      </c>
      <c r="C290" s="5" t="s">
        <v>397</v>
      </c>
      <c r="D290" s="102">
        <v>46143</v>
      </c>
      <c r="E290" s="5" t="s">
        <v>306</v>
      </c>
      <c r="F290" s="34">
        <v>0</v>
      </c>
      <c r="G290" s="103">
        <v>0</v>
      </c>
      <c r="H290" s="6">
        <f t="shared" si="4"/>
        <v>0</v>
      </c>
      <c r="I290" s="5" t="s">
        <v>427</v>
      </c>
      <c r="J290" s="39"/>
      <c r="K290" s="39"/>
      <c r="L290" s="39"/>
    </row>
    <row r="291" spans="1:12" hidden="1" x14ac:dyDescent="0.3">
      <c r="A291" s="5" t="s">
        <v>5</v>
      </c>
      <c r="B291" s="5" t="s">
        <v>418</v>
      </c>
      <c r="C291" s="5" t="s">
        <v>397</v>
      </c>
      <c r="D291" s="102">
        <v>46143</v>
      </c>
      <c r="E291" s="5" t="s">
        <v>306</v>
      </c>
      <c r="F291" s="34">
        <v>0</v>
      </c>
      <c r="G291" s="103">
        <v>0</v>
      </c>
      <c r="H291" s="6">
        <f t="shared" si="4"/>
        <v>0</v>
      </c>
      <c r="I291" s="5" t="s">
        <v>419</v>
      </c>
      <c r="J291" s="39"/>
      <c r="K291" s="39"/>
      <c r="L291" s="39"/>
    </row>
    <row r="292" spans="1:12" hidden="1" x14ac:dyDescent="0.3">
      <c r="A292" s="5" t="s">
        <v>5</v>
      </c>
      <c r="B292" s="5" t="s">
        <v>337</v>
      </c>
      <c r="C292" s="5" t="s">
        <v>299</v>
      </c>
      <c r="D292" s="102">
        <v>46143</v>
      </c>
      <c r="E292" s="5" t="s">
        <v>306</v>
      </c>
      <c r="F292" s="34">
        <v>1</v>
      </c>
      <c r="G292" s="103">
        <v>33.5</v>
      </c>
      <c r="H292" s="6">
        <f t="shared" si="4"/>
        <v>33.5</v>
      </c>
      <c r="I292" s="5" t="s">
        <v>410</v>
      </c>
      <c r="J292" s="39"/>
      <c r="K292" s="39"/>
      <c r="L292" s="39"/>
    </row>
    <row r="293" spans="1:12" hidden="1" x14ac:dyDescent="0.3">
      <c r="A293" s="5" t="s">
        <v>5</v>
      </c>
      <c r="B293" s="5" t="s">
        <v>337</v>
      </c>
      <c r="C293" s="5" t="s">
        <v>299</v>
      </c>
      <c r="D293" s="102">
        <v>46143</v>
      </c>
      <c r="E293" s="5" t="s">
        <v>306</v>
      </c>
      <c r="F293" s="34">
        <v>1</v>
      </c>
      <c r="G293" s="103">
        <v>22</v>
      </c>
      <c r="H293" s="6">
        <f t="shared" si="4"/>
        <v>22</v>
      </c>
      <c r="I293" s="5" t="s">
        <v>420</v>
      </c>
      <c r="J293" s="39"/>
      <c r="K293" s="39"/>
      <c r="L293" s="39"/>
    </row>
    <row r="294" spans="1:12" hidden="1" x14ac:dyDescent="0.3">
      <c r="A294" s="5" t="s">
        <v>5</v>
      </c>
      <c r="B294" s="5" t="s">
        <v>349</v>
      </c>
      <c r="C294" s="5" t="s">
        <v>299</v>
      </c>
      <c r="D294" s="102">
        <v>46143</v>
      </c>
      <c r="E294" s="5" t="s">
        <v>306</v>
      </c>
      <c r="F294" s="34">
        <v>322</v>
      </c>
      <c r="G294" s="103">
        <v>1.86</v>
      </c>
      <c r="H294" s="6">
        <f t="shared" si="4"/>
        <v>598.92000000000007</v>
      </c>
      <c r="I294" s="5" t="s">
        <v>515</v>
      </c>
      <c r="J294" s="39"/>
      <c r="K294" s="39"/>
      <c r="L294" s="39"/>
    </row>
    <row r="295" spans="1:12" hidden="1" x14ac:dyDescent="0.3">
      <c r="A295" s="5" t="s">
        <v>5</v>
      </c>
      <c r="B295" s="5" t="s">
        <v>359</v>
      </c>
      <c r="C295" s="5" t="s">
        <v>299</v>
      </c>
      <c r="D295" s="102">
        <v>46143</v>
      </c>
      <c r="E295" s="5" t="s">
        <v>306</v>
      </c>
      <c r="F295" s="34">
        <v>5</v>
      </c>
      <c r="G295" s="103">
        <v>383.56</v>
      </c>
      <c r="H295" s="6">
        <f t="shared" si="4"/>
        <v>1917.8</v>
      </c>
      <c r="I295" s="5" t="s">
        <v>432</v>
      </c>
      <c r="J295" s="39"/>
      <c r="K295" s="39"/>
      <c r="L295" s="39"/>
    </row>
    <row r="296" spans="1:12" hidden="1" x14ac:dyDescent="0.3">
      <c r="A296" s="5" t="s">
        <v>5</v>
      </c>
      <c r="B296" s="5" t="s">
        <v>324</v>
      </c>
      <c r="C296" s="5" t="s">
        <v>299</v>
      </c>
      <c r="D296" s="102">
        <v>46143</v>
      </c>
      <c r="E296" s="5" t="s">
        <v>306</v>
      </c>
      <c r="F296" s="34">
        <v>1</v>
      </c>
      <c r="G296" s="103">
        <v>338.53</v>
      </c>
      <c r="H296" s="6">
        <f t="shared" si="4"/>
        <v>338.53</v>
      </c>
      <c r="I296" s="5" t="s">
        <v>435</v>
      </c>
      <c r="J296" s="39"/>
      <c r="K296" s="39"/>
      <c r="L296" s="39"/>
    </row>
    <row r="297" spans="1:12" hidden="1" x14ac:dyDescent="0.3">
      <c r="A297" s="5" t="s">
        <v>5</v>
      </c>
      <c r="B297" s="5" t="s">
        <v>298</v>
      </c>
      <c r="C297" s="5" t="s">
        <v>299</v>
      </c>
      <c r="D297" s="102">
        <v>46143</v>
      </c>
      <c r="E297" s="5" t="s">
        <v>306</v>
      </c>
      <c r="F297" s="34">
        <v>1</v>
      </c>
      <c r="G297" s="103">
        <v>400.26</v>
      </c>
      <c r="H297" s="6">
        <f t="shared" si="4"/>
        <v>400.26</v>
      </c>
      <c r="I297" s="5" t="s">
        <v>437</v>
      </c>
      <c r="J297" s="39"/>
      <c r="K297" s="39"/>
      <c r="L297" s="39"/>
    </row>
    <row r="298" spans="1:12" hidden="1" x14ac:dyDescent="0.3">
      <c r="A298" s="5" t="s">
        <v>5</v>
      </c>
      <c r="B298" s="5" t="s">
        <v>382</v>
      </c>
      <c r="C298" s="5" t="s">
        <v>299</v>
      </c>
      <c r="D298" s="102">
        <v>46143</v>
      </c>
      <c r="E298" s="5" t="s">
        <v>306</v>
      </c>
      <c r="F298" s="34">
        <v>1</v>
      </c>
      <c r="G298" s="103">
        <v>324</v>
      </c>
      <c r="H298" s="6">
        <f t="shared" si="4"/>
        <v>324</v>
      </c>
      <c r="I298" s="5" t="s">
        <v>444</v>
      </c>
      <c r="J298" s="39"/>
      <c r="K298" s="39"/>
      <c r="L298" s="39"/>
    </row>
    <row r="299" spans="1:12" hidden="1" x14ac:dyDescent="0.3">
      <c r="A299" s="5" t="s">
        <v>5</v>
      </c>
      <c r="B299" s="5" t="s">
        <v>382</v>
      </c>
      <c r="C299" s="5" t="s">
        <v>299</v>
      </c>
      <c r="D299" s="102">
        <v>46143</v>
      </c>
      <c r="E299" s="5" t="s">
        <v>306</v>
      </c>
      <c r="F299" s="34">
        <v>64</v>
      </c>
      <c r="G299" s="103">
        <v>23.15</v>
      </c>
      <c r="H299" s="6">
        <f t="shared" si="4"/>
        <v>1481.6</v>
      </c>
      <c r="I299" s="5" t="s">
        <v>452</v>
      </c>
      <c r="J299" s="39"/>
      <c r="K299" s="39"/>
      <c r="L299" s="39"/>
    </row>
    <row r="300" spans="1:12" hidden="1" x14ac:dyDescent="0.3">
      <c r="A300" s="5" t="s">
        <v>5</v>
      </c>
      <c r="B300" s="5" t="s">
        <v>361</v>
      </c>
      <c r="C300" s="5" t="s">
        <v>299</v>
      </c>
      <c r="D300" s="102">
        <v>46143</v>
      </c>
      <c r="E300" s="5" t="s">
        <v>306</v>
      </c>
      <c r="F300" s="34">
        <v>1</v>
      </c>
      <c r="G300" s="107"/>
      <c r="H300" s="6" t="str">
        <f t="shared" si="4"/>
        <v/>
      </c>
      <c r="I300" s="5" t="s">
        <v>313</v>
      </c>
      <c r="J300" s="39"/>
      <c r="K300" s="39"/>
      <c r="L300" s="39"/>
    </row>
    <row r="301" spans="1:12" hidden="1" x14ac:dyDescent="0.3">
      <c r="A301" s="5" t="s">
        <v>5</v>
      </c>
      <c r="B301" s="5" t="s">
        <v>475</v>
      </c>
      <c r="C301" s="5" t="s">
        <v>299</v>
      </c>
      <c r="D301" s="102">
        <v>46143</v>
      </c>
      <c r="E301" s="5" t="s">
        <v>306</v>
      </c>
      <c r="F301" s="128">
        <v>3</v>
      </c>
      <c r="G301" s="107">
        <v>0</v>
      </c>
      <c r="H301" s="6">
        <f t="shared" si="4"/>
        <v>0</v>
      </c>
      <c r="I301" s="5" t="s">
        <v>313</v>
      </c>
      <c r="J301" s="39"/>
      <c r="K301" s="39"/>
      <c r="L301" s="39"/>
    </row>
    <row r="302" spans="1:12" hidden="1" x14ac:dyDescent="0.3">
      <c r="A302" s="5" t="s">
        <v>5</v>
      </c>
      <c r="B302" s="5" t="s">
        <v>461</v>
      </c>
      <c r="C302" s="5" t="s">
        <v>299</v>
      </c>
      <c r="D302" s="102">
        <v>46143</v>
      </c>
      <c r="E302" s="5" t="s">
        <v>306</v>
      </c>
      <c r="F302" s="66">
        <v>0</v>
      </c>
      <c r="G302" s="107">
        <v>0</v>
      </c>
      <c r="H302" s="6">
        <f t="shared" si="4"/>
        <v>0</v>
      </c>
      <c r="I302" s="5" t="s">
        <v>313</v>
      </c>
      <c r="J302" s="39"/>
      <c r="K302" s="39"/>
      <c r="L302" s="39"/>
    </row>
    <row r="303" spans="1:12" hidden="1" x14ac:dyDescent="0.3">
      <c r="A303" s="5" t="s">
        <v>5</v>
      </c>
      <c r="B303" s="5" t="s">
        <v>468</v>
      </c>
      <c r="C303" s="5" t="s">
        <v>299</v>
      </c>
      <c r="D303" s="102">
        <v>46143</v>
      </c>
      <c r="E303" s="5" t="s">
        <v>306</v>
      </c>
      <c r="F303" s="128">
        <v>2</v>
      </c>
      <c r="G303" s="107">
        <v>0</v>
      </c>
      <c r="H303" s="6">
        <f t="shared" si="4"/>
        <v>0</v>
      </c>
      <c r="I303" s="5" t="s">
        <v>313</v>
      </c>
      <c r="J303" s="39"/>
      <c r="K303" s="39"/>
      <c r="L303" s="39"/>
    </row>
    <row r="304" spans="1:12" hidden="1" x14ac:dyDescent="0.3">
      <c r="A304" s="5" t="s">
        <v>5</v>
      </c>
      <c r="B304" s="5" t="s">
        <v>482</v>
      </c>
      <c r="C304" s="5" t="s">
        <v>299</v>
      </c>
      <c r="D304" s="102">
        <v>46143</v>
      </c>
      <c r="E304" s="5" t="s">
        <v>306</v>
      </c>
      <c r="F304" s="128">
        <v>5</v>
      </c>
      <c r="G304" s="107">
        <v>0</v>
      </c>
      <c r="H304" s="6">
        <f t="shared" si="4"/>
        <v>0</v>
      </c>
      <c r="I304" s="5" t="s">
        <v>268</v>
      </c>
      <c r="J304" s="39"/>
      <c r="K304" s="39"/>
      <c r="L304" s="39"/>
    </row>
    <row r="305" spans="1:12" hidden="1" x14ac:dyDescent="0.3">
      <c r="A305" s="5" t="s">
        <v>5</v>
      </c>
      <c r="B305" s="5" t="s">
        <v>479</v>
      </c>
      <c r="C305" s="5" t="s">
        <v>299</v>
      </c>
      <c r="D305" s="102">
        <v>46143</v>
      </c>
      <c r="E305" s="5" t="s">
        <v>306</v>
      </c>
      <c r="F305" s="66">
        <v>0</v>
      </c>
      <c r="G305" s="107">
        <v>0</v>
      </c>
      <c r="H305" s="6">
        <f t="shared" si="4"/>
        <v>0</v>
      </c>
      <c r="I305" s="5" t="s">
        <v>268</v>
      </c>
      <c r="J305" s="39"/>
      <c r="K305" s="39"/>
      <c r="L305" s="39"/>
    </row>
    <row r="306" spans="1:12" hidden="1" x14ac:dyDescent="0.3">
      <c r="A306" s="5" t="s">
        <v>5</v>
      </c>
      <c r="B306" s="5" t="s">
        <v>387</v>
      </c>
      <c r="C306" s="5" t="s">
        <v>11</v>
      </c>
      <c r="D306" s="102">
        <v>46143</v>
      </c>
      <c r="E306" s="5" t="s">
        <v>306</v>
      </c>
      <c r="F306" s="34">
        <v>13402</v>
      </c>
      <c r="G306" s="103">
        <v>0.21237194312315091</v>
      </c>
      <c r="H306" s="6">
        <f t="shared" si="4"/>
        <v>2846.2087817364686</v>
      </c>
      <c r="I306" s="5" t="s">
        <v>307</v>
      </c>
      <c r="J306" s="39"/>
      <c r="K306" s="39"/>
      <c r="L306" s="39"/>
    </row>
    <row r="307" spans="1:12" hidden="1" x14ac:dyDescent="0.3">
      <c r="A307" s="5" t="s">
        <v>5</v>
      </c>
      <c r="B307" s="5" t="s">
        <v>411</v>
      </c>
      <c r="C307" s="5" t="s">
        <v>12</v>
      </c>
      <c r="D307" s="102">
        <v>46143</v>
      </c>
      <c r="E307" s="5" t="s">
        <v>306</v>
      </c>
      <c r="F307" s="34">
        <v>0</v>
      </c>
      <c r="G307" s="103">
        <v>0</v>
      </c>
      <c r="H307" s="6">
        <f t="shared" si="4"/>
        <v>0</v>
      </c>
      <c r="I307" s="5" t="s">
        <v>412</v>
      </c>
      <c r="J307" s="39"/>
      <c r="K307" s="39"/>
      <c r="L307" s="39"/>
    </row>
    <row r="308" spans="1:12" hidden="1" x14ac:dyDescent="0.3">
      <c r="A308" s="5" t="s">
        <v>5</v>
      </c>
      <c r="B308" s="5" t="s">
        <v>438</v>
      </c>
      <c r="C308" s="5" t="s">
        <v>13</v>
      </c>
      <c r="D308" s="102">
        <v>46143</v>
      </c>
      <c r="E308" s="5" t="s">
        <v>306</v>
      </c>
      <c r="F308" s="34">
        <v>13402</v>
      </c>
      <c r="G308" s="103">
        <v>0.1082057848660586</v>
      </c>
      <c r="H308" s="6">
        <f t="shared" si="4"/>
        <v>1450.1739287749174</v>
      </c>
      <c r="I308" s="5" t="s">
        <v>307</v>
      </c>
      <c r="J308" s="39"/>
      <c r="K308" s="39"/>
      <c r="L308" s="39"/>
    </row>
    <row r="309" spans="1:12" hidden="1" x14ac:dyDescent="0.3">
      <c r="A309" s="5" t="s">
        <v>5</v>
      </c>
      <c r="B309" s="5" t="s">
        <v>466</v>
      </c>
      <c r="C309" s="5" t="s">
        <v>18</v>
      </c>
      <c r="D309" s="102">
        <v>46143</v>
      </c>
      <c r="E309" s="5" t="s">
        <v>306</v>
      </c>
      <c r="F309" s="128">
        <v>1</v>
      </c>
      <c r="G309" s="110">
        <v>676.8</v>
      </c>
      <c r="H309" s="6">
        <f t="shared" si="4"/>
        <v>676.8</v>
      </c>
      <c r="I309" s="5" t="s">
        <v>467</v>
      </c>
      <c r="J309" s="39"/>
      <c r="K309" s="39"/>
      <c r="L309" s="39"/>
    </row>
    <row r="310" spans="1:12" hidden="1" x14ac:dyDescent="0.3">
      <c r="A310" s="5" t="s">
        <v>5</v>
      </c>
      <c r="B310" s="5" t="s">
        <v>301</v>
      </c>
      <c r="C310" s="5" t="s">
        <v>302</v>
      </c>
      <c r="D310" s="102">
        <v>46143</v>
      </c>
      <c r="E310" s="5" t="s">
        <v>306</v>
      </c>
      <c r="F310" s="34">
        <v>0</v>
      </c>
      <c r="G310" s="103">
        <v>0</v>
      </c>
      <c r="H310" s="6">
        <f t="shared" si="4"/>
        <v>0</v>
      </c>
      <c r="I310" s="5" t="s">
        <v>303</v>
      </c>
      <c r="J310" s="39"/>
      <c r="K310" s="39"/>
      <c r="L310" s="39"/>
    </row>
    <row r="311" spans="1:12" hidden="1" x14ac:dyDescent="0.3">
      <c r="A311" s="5" t="s">
        <v>5</v>
      </c>
      <c r="B311" s="5" t="s">
        <v>505</v>
      </c>
      <c r="C311" s="5" t="s">
        <v>315</v>
      </c>
      <c r="D311" s="102">
        <v>46143</v>
      </c>
      <c r="E311" s="5" t="s">
        <v>306</v>
      </c>
      <c r="F311" s="34">
        <v>1</v>
      </c>
      <c r="G311" s="103">
        <v>345.94</v>
      </c>
      <c r="H311" s="6">
        <f t="shared" si="4"/>
        <v>345.94</v>
      </c>
      <c r="I311" s="5" t="s">
        <v>431</v>
      </c>
      <c r="J311" s="39"/>
      <c r="K311" s="39"/>
      <c r="L311" s="39"/>
    </row>
    <row r="312" spans="1:12" hidden="1" x14ac:dyDescent="0.3">
      <c r="A312" s="5" t="s">
        <v>5</v>
      </c>
      <c r="B312" s="5" t="s">
        <v>511</v>
      </c>
      <c r="C312" s="5" t="s">
        <v>315</v>
      </c>
      <c r="D312" s="102">
        <v>46143</v>
      </c>
      <c r="E312" s="5" t="s">
        <v>306</v>
      </c>
      <c r="F312" s="38">
        <v>1</v>
      </c>
      <c r="G312" s="107">
        <v>315.66000000000003</v>
      </c>
      <c r="H312" s="6">
        <f t="shared" si="4"/>
        <v>315.66000000000003</v>
      </c>
      <c r="I312" s="5" t="s">
        <v>460</v>
      </c>
      <c r="J312" s="39"/>
      <c r="K312" s="39"/>
      <c r="L312" s="39"/>
    </row>
    <row r="313" spans="1:12" hidden="1" x14ac:dyDescent="0.3">
      <c r="A313" s="5" t="s">
        <v>5</v>
      </c>
      <c r="B313" s="5" t="s">
        <v>480</v>
      </c>
      <c r="C313" s="5" t="s">
        <v>318</v>
      </c>
      <c r="D313" s="102">
        <v>46143</v>
      </c>
      <c r="E313" s="5" t="s">
        <v>306</v>
      </c>
      <c r="F313" s="34">
        <v>1</v>
      </c>
      <c r="G313" s="103">
        <v>333.1</v>
      </c>
      <c r="H313" s="6">
        <f t="shared" si="4"/>
        <v>333.1</v>
      </c>
      <c r="I313" s="5" t="s">
        <v>519</v>
      </c>
      <c r="J313" s="39"/>
      <c r="K313" s="39"/>
      <c r="L313" s="39"/>
    </row>
    <row r="314" spans="1:12" hidden="1" x14ac:dyDescent="0.3">
      <c r="A314" s="5" t="s">
        <v>5</v>
      </c>
      <c r="B314" s="5" t="s">
        <v>317</v>
      </c>
      <c r="C314" s="5" t="s">
        <v>318</v>
      </c>
      <c r="D314" s="102">
        <v>46143</v>
      </c>
      <c r="E314" s="5" t="s">
        <v>306</v>
      </c>
      <c r="F314" s="34">
        <v>1</v>
      </c>
      <c r="G314" s="103">
        <v>238.88</v>
      </c>
      <c r="H314" s="6">
        <f t="shared" si="4"/>
        <v>238.88</v>
      </c>
      <c r="I314" s="5" t="s">
        <v>481</v>
      </c>
      <c r="J314" s="39"/>
      <c r="K314" s="39"/>
      <c r="L314" s="39"/>
    </row>
    <row r="315" spans="1:12" hidden="1" x14ac:dyDescent="0.3">
      <c r="A315" s="5" t="s">
        <v>5</v>
      </c>
      <c r="B315" s="5" t="s">
        <v>487</v>
      </c>
      <c r="C315" s="5" t="s">
        <v>318</v>
      </c>
      <c r="D315" s="102">
        <v>46143</v>
      </c>
      <c r="E315" s="5" t="s">
        <v>306</v>
      </c>
      <c r="F315" s="34">
        <v>1</v>
      </c>
      <c r="G315" s="103">
        <v>609.16999999999996</v>
      </c>
      <c r="H315" s="6">
        <f t="shared" si="4"/>
        <v>609.16999999999996</v>
      </c>
      <c r="I315" s="5" t="s">
        <v>481</v>
      </c>
      <c r="J315" s="39"/>
      <c r="K315" s="39"/>
      <c r="L315" s="39"/>
    </row>
    <row r="316" spans="1:12" hidden="1" x14ac:dyDescent="0.3">
      <c r="A316" s="5" t="s">
        <v>5</v>
      </c>
      <c r="B316" s="5" t="s">
        <v>352</v>
      </c>
      <c r="C316" s="5" t="s">
        <v>318</v>
      </c>
      <c r="D316" s="102">
        <v>46143</v>
      </c>
      <c r="E316" s="5" t="s">
        <v>306</v>
      </c>
      <c r="F316" s="34">
        <v>1</v>
      </c>
      <c r="G316" s="103">
        <v>510</v>
      </c>
      <c r="H316" s="6">
        <f t="shared" si="4"/>
        <v>510</v>
      </c>
      <c r="I316" s="5" t="s">
        <v>481</v>
      </c>
      <c r="J316" s="39"/>
      <c r="K316" s="39"/>
      <c r="L316" s="39"/>
    </row>
    <row r="317" spans="1:12" hidden="1" x14ac:dyDescent="0.3">
      <c r="A317" s="5" t="s">
        <v>5</v>
      </c>
      <c r="B317" s="5" t="s">
        <v>496</v>
      </c>
      <c r="C317" s="5" t="s">
        <v>318</v>
      </c>
      <c r="D317" s="102">
        <v>46143</v>
      </c>
      <c r="E317" s="5" t="s">
        <v>306</v>
      </c>
      <c r="F317" s="34">
        <v>1</v>
      </c>
      <c r="G317" s="103">
        <v>1833.24</v>
      </c>
      <c r="H317" s="6">
        <f t="shared" si="4"/>
        <v>1833.24</v>
      </c>
      <c r="I317" s="5" t="s">
        <v>481</v>
      </c>
      <c r="J317" s="39"/>
      <c r="K317" s="39"/>
      <c r="L317" s="39"/>
    </row>
    <row r="318" spans="1:12" hidden="1" x14ac:dyDescent="0.3">
      <c r="A318" s="5" t="s">
        <v>5</v>
      </c>
      <c r="B318" s="5" t="s">
        <v>498</v>
      </c>
      <c r="C318" s="5" t="s">
        <v>318</v>
      </c>
      <c r="D318" s="102">
        <v>46143</v>
      </c>
      <c r="E318" s="5" t="s">
        <v>306</v>
      </c>
      <c r="F318" s="34">
        <v>1</v>
      </c>
      <c r="G318" s="103">
        <v>2973.2</v>
      </c>
      <c r="H318" s="6">
        <f t="shared" si="4"/>
        <v>2973.2</v>
      </c>
      <c r="I318" s="5" t="s">
        <v>481</v>
      </c>
      <c r="J318" s="39"/>
      <c r="K318" s="39"/>
      <c r="L318" s="39"/>
    </row>
    <row r="319" spans="1:12" hidden="1" x14ac:dyDescent="0.3">
      <c r="A319" s="5" t="s">
        <v>5</v>
      </c>
      <c r="B319" s="5" t="s">
        <v>501</v>
      </c>
      <c r="C319" s="5" t="s">
        <v>318</v>
      </c>
      <c r="D319" s="102">
        <v>46143</v>
      </c>
      <c r="E319" s="5" t="s">
        <v>306</v>
      </c>
      <c r="F319" s="34">
        <v>1</v>
      </c>
      <c r="G319" s="103">
        <v>7615.46</v>
      </c>
      <c r="H319" s="6">
        <f t="shared" si="4"/>
        <v>7615.46</v>
      </c>
      <c r="I319" s="5" t="s">
        <v>481</v>
      </c>
      <c r="J319" s="39"/>
      <c r="K319" s="39"/>
      <c r="L319" s="39"/>
    </row>
    <row r="320" spans="1:12" hidden="1" x14ac:dyDescent="0.3">
      <c r="A320" s="5" t="s">
        <v>5</v>
      </c>
      <c r="B320" s="5" t="s">
        <v>363</v>
      </c>
      <c r="C320" s="5" t="s">
        <v>364</v>
      </c>
      <c r="D320" s="102">
        <v>46143</v>
      </c>
      <c r="E320" s="5" t="s">
        <v>306</v>
      </c>
      <c r="F320" s="34">
        <v>1</v>
      </c>
      <c r="G320" s="103">
        <v>1138.52</v>
      </c>
      <c r="H320" s="6">
        <f t="shared" si="4"/>
        <v>1138.52</v>
      </c>
      <c r="I320" s="5" t="s">
        <v>520</v>
      </c>
      <c r="J320" s="39"/>
      <c r="K320" s="39"/>
      <c r="L320" s="39"/>
    </row>
    <row r="321" spans="1:12" hidden="1" x14ac:dyDescent="0.3">
      <c r="A321" s="5" t="s">
        <v>5</v>
      </c>
      <c r="B321" s="5" t="s">
        <v>327</v>
      </c>
      <c r="C321" s="5" t="s">
        <v>23</v>
      </c>
      <c r="D321" s="102">
        <v>46143</v>
      </c>
      <c r="E321" s="5" t="s">
        <v>306</v>
      </c>
      <c r="F321" s="34">
        <v>18</v>
      </c>
      <c r="G321" s="103">
        <v>128.18</v>
      </c>
      <c r="H321" s="6">
        <f t="shared" si="4"/>
        <v>2307.2400000000002</v>
      </c>
      <c r="I321" s="5" t="s">
        <v>329</v>
      </c>
      <c r="J321" s="39"/>
      <c r="K321" s="39"/>
      <c r="L321" s="39"/>
    </row>
    <row r="322" spans="1:12" hidden="1" x14ac:dyDescent="0.3">
      <c r="A322" s="5" t="s">
        <v>5</v>
      </c>
      <c r="B322" s="5" t="s">
        <v>469</v>
      </c>
      <c r="C322" s="5" t="s">
        <v>25</v>
      </c>
      <c r="D322" s="102">
        <v>46143</v>
      </c>
      <c r="E322" s="5" t="s">
        <v>306</v>
      </c>
      <c r="F322" s="34">
        <v>13402</v>
      </c>
      <c r="G322" s="103">
        <v>2.64</v>
      </c>
      <c r="H322" s="6">
        <f t="shared" ref="H322:H385" si="5">IF(OR(F322="",G322=""),"",F322*G322)</f>
        <v>35381.279999999999</v>
      </c>
      <c r="I322" s="5" t="s">
        <v>470</v>
      </c>
      <c r="J322" s="39"/>
      <c r="K322" s="39"/>
      <c r="L322" s="39"/>
    </row>
    <row r="323" spans="1:12" hidden="1" x14ac:dyDescent="0.3">
      <c r="A323" s="5" t="s">
        <v>5</v>
      </c>
      <c r="B323" s="5" t="s">
        <v>321</v>
      </c>
      <c r="C323" s="5" t="s">
        <v>26</v>
      </c>
      <c r="D323" s="102">
        <v>46143</v>
      </c>
      <c r="E323" s="5" t="s">
        <v>306</v>
      </c>
      <c r="F323" s="34">
        <v>0</v>
      </c>
      <c r="G323" s="103">
        <v>0</v>
      </c>
      <c r="H323" s="6">
        <f t="shared" si="5"/>
        <v>0</v>
      </c>
      <c r="I323" s="5" t="s">
        <v>323</v>
      </c>
      <c r="J323" s="39"/>
      <c r="K323" s="39"/>
      <c r="L323" s="39"/>
    </row>
    <row r="324" spans="1:12" hidden="1" x14ac:dyDescent="0.3">
      <c r="A324" s="5" t="s">
        <v>5</v>
      </c>
      <c r="B324" s="5" t="s">
        <v>321</v>
      </c>
      <c r="C324" s="5" t="s">
        <v>26</v>
      </c>
      <c r="D324" s="102">
        <v>46143</v>
      </c>
      <c r="E324" s="5" t="s">
        <v>306</v>
      </c>
      <c r="F324" s="34">
        <v>0</v>
      </c>
      <c r="G324" s="103">
        <v>0</v>
      </c>
      <c r="H324" s="6">
        <f t="shared" si="5"/>
        <v>0</v>
      </c>
      <c r="I324" s="5" t="s">
        <v>323</v>
      </c>
      <c r="J324" s="39"/>
      <c r="K324" s="39"/>
      <c r="L324" s="39"/>
    </row>
    <row r="325" spans="1:12" hidden="1" x14ac:dyDescent="0.3">
      <c r="A325" s="5" t="s">
        <v>5</v>
      </c>
      <c r="B325" s="5" t="s">
        <v>339</v>
      </c>
      <c r="C325" s="5" t="s">
        <v>26</v>
      </c>
      <c r="D325" s="102">
        <v>46143</v>
      </c>
      <c r="E325" s="5" t="s">
        <v>306</v>
      </c>
      <c r="F325" s="34">
        <v>0</v>
      </c>
      <c r="G325" s="103">
        <v>0</v>
      </c>
      <c r="H325" s="6">
        <f t="shared" si="5"/>
        <v>0</v>
      </c>
      <c r="I325" s="5" t="s">
        <v>474</v>
      </c>
      <c r="J325" s="39"/>
      <c r="K325" s="39"/>
      <c r="L325" s="39"/>
    </row>
    <row r="326" spans="1:12" hidden="1" x14ac:dyDescent="0.3">
      <c r="A326" s="5" t="s">
        <v>5</v>
      </c>
      <c r="B326" s="5" t="s">
        <v>355</v>
      </c>
      <c r="C326" s="5" t="s">
        <v>27</v>
      </c>
      <c r="D326" s="102">
        <v>46143</v>
      </c>
      <c r="E326" s="5" t="s">
        <v>306</v>
      </c>
      <c r="F326" s="34">
        <v>1</v>
      </c>
      <c r="G326" s="103">
        <v>4773.1000000000004</v>
      </c>
      <c r="H326" s="6">
        <f t="shared" si="5"/>
        <v>4773.1000000000004</v>
      </c>
      <c r="I326" s="5" t="s">
        <v>518</v>
      </c>
      <c r="J326" s="39"/>
      <c r="K326" s="39"/>
      <c r="L326" s="39"/>
    </row>
    <row r="327" spans="1:12" hidden="1" x14ac:dyDescent="0.3">
      <c r="A327" s="5" t="s">
        <v>5</v>
      </c>
      <c r="B327" s="5" t="s">
        <v>379</v>
      </c>
      <c r="C327" s="5" t="s">
        <v>27</v>
      </c>
      <c r="D327" s="102">
        <v>46143</v>
      </c>
      <c r="E327" s="5" t="s">
        <v>306</v>
      </c>
      <c r="F327" s="34">
        <v>0</v>
      </c>
      <c r="G327" s="103">
        <v>0</v>
      </c>
      <c r="H327" s="6">
        <f t="shared" si="5"/>
        <v>0</v>
      </c>
      <c r="I327" s="5" t="s">
        <v>380</v>
      </c>
      <c r="J327" s="39"/>
      <c r="K327" s="39"/>
      <c r="L327" s="39"/>
    </row>
    <row r="328" spans="1:12" hidden="1" x14ac:dyDescent="0.3">
      <c r="A328" s="5" t="s">
        <v>5</v>
      </c>
      <c r="B328" s="5" t="s">
        <v>388</v>
      </c>
      <c r="C328" s="5" t="s">
        <v>27</v>
      </c>
      <c r="D328" s="102">
        <v>46143</v>
      </c>
      <c r="E328" s="5" t="s">
        <v>306</v>
      </c>
      <c r="F328" s="34">
        <v>0</v>
      </c>
      <c r="G328" s="103">
        <v>0</v>
      </c>
      <c r="H328" s="6">
        <f t="shared" si="5"/>
        <v>0</v>
      </c>
      <c r="I328" s="5" t="s">
        <v>389</v>
      </c>
      <c r="J328" s="39"/>
      <c r="K328" s="39"/>
      <c r="L328" s="39"/>
    </row>
    <row r="329" spans="1:12" hidden="1" x14ac:dyDescent="0.3">
      <c r="A329" s="5" t="s">
        <v>5</v>
      </c>
      <c r="B329" s="5" t="s">
        <v>400</v>
      </c>
      <c r="C329" s="5" t="s">
        <v>27</v>
      </c>
      <c r="D329" s="102">
        <v>46143</v>
      </c>
      <c r="E329" s="5" t="s">
        <v>306</v>
      </c>
      <c r="F329" s="34">
        <v>0</v>
      </c>
      <c r="G329" s="103">
        <v>0</v>
      </c>
      <c r="H329" s="6">
        <f t="shared" si="5"/>
        <v>0</v>
      </c>
      <c r="I329" s="5" t="s">
        <v>401</v>
      </c>
      <c r="J329" s="39"/>
      <c r="K329" s="39"/>
      <c r="L329" s="39"/>
    </row>
    <row r="330" spans="1:12" hidden="1" x14ac:dyDescent="0.3">
      <c r="A330" s="5" t="s">
        <v>5</v>
      </c>
      <c r="B330" s="5" t="s">
        <v>308</v>
      </c>
      <c r="C330" s="5" t="s">
        <v>309</v>
      </c>
      <c r="D330" s="102">
        <v>46143</v>
      </c>
      <c r="E330" s="5" t="s">
        <v>306</v>
      </c>
      <c r="F330" s="34">
        <v>2</v>
      </c>
      <c r="G330" s="103">
        <v>50</v>
      </c>
      <c r="H330" s="6">
        <f t="shared" si="5"/>
        <v>100</v>
      </c>
      <c r="I330" s="5" t="s">
        <v>310</v>
      </c>
      <c r="J330" s="39"/>
      <c r="K330" s="39"/>
      <c r="L330" s="39"/>
    </row>
    <row r="331" spans="1:12" hidden="1" x14ac:dyDescent="0.3">
      <c r="A331" s="40" t="s">
        <v>5</v>
      </c>
      <c r="B331" s="40" t="s">
        <v>408</v>
      </c>
      <c r="C331" s="40" t="s">
        <v>397</v>
      </c>
      <c r="D331" s="105">
        <v>46143</v>
      </c>
      <c r="E331" s="5" t="s">
        <v>371</v>
      </c>
      <c r="F331" s="34">
        <v>1</v>
      </c>
      <c r="G331" s="103">
        <v>114</v>
      </c>
      <c r="H331" s="6">
        <f t="shared" si="5"/>
        <v>114</v>
      </c>
      <c r="I331" s="40" t="s">
        <v>516</v>
      </c>
      <c r="J331" s="39"/>
      <c r="K331" s="39"/>
      <c r="L331" s="39"/>
    </row>
    <row r="332" spans="1:12" hidden="1" x14ac:dyDescent="0.3">
      <c r="A332" s="5" t="s">
        <v>5</v>
      </c>
      <c r="B332" s="5" t="s">
        <v>341</v>
      </c>
      <c r="C332" s="5" t="s">
        <v>342</v>
      </c>
      <c r="D332" s="102">
        <v>46143</v>
      </c>
      <c r="E332" s="5" t="s">
        <v>312</v>
      </c>
      <c r="F332" s="34">
        <v>1</v>
      </c>
      <c r="G332" s="103">
        <v>18442.400000000001</v>
      </c>
      <c r="H332" s="6">
        <f t="shared" si="5"/>
        <v>18442.400000000001</v>
      </c>
      <c r="I332" s="5" t="s">
        <v>343</v>
      </c>
      <c r="J332" s="39"/>
      <c r="K332" s="39"/>
      <c r="L332" s="39"/>
    </row>
    <row r="333" spans="1:12" hidden="1" x14ac:dyDescent="0.3">
      <c r="A333" s="5" t="s">
        <v>5</v>
      </c>
      <c r="B333" s="5" t="s">
        <v>396</v>
      </c>
      <c r="C333" s="5" t="s">
        <v>397</v>
      </c>
      <c r="D333" s="102">
        <v>46143</v>
      </c>
      <c r="E333" s="5" t="s">
        <v>312</v>
      </c>
      <c r="F333" s="34">
        <v>0</v>
      </c>
      <c r="G333" s="103">
        <v>0</v>
      </c>
      <c r="H333" s="6">
        <f t="shared" si="5"/>
        <v>0</v>
      </c>
      <c r="I333" s="5" t="s">
        <v>427</v>
      </c>
      <c r="J333" s="39"/>
      <c r="K333" s="39"/>
      <c r="L333" s="39"/>
    </row>
    <row r="334" spans="1:12" hidden="1" x14ac:dyDescent="0.3">
      <c r="A334" s="5" t="s">
        <v>5</v>
      </c>
      <c r="B334" s="5" t="s">
        <v>408</v>
      </c>
      <c r="C334" s="5" t="s">
        <v>397</v>
      </c>
      <c r="D334" s="102">
        <v>46143</v>
      </c>
      <c r="E334" s="5" t="s">
        <v>312</v>
      </c>
      <c r="F334" s="34">
        <v>1</v>
      </c>
      <c r="G334" s="103">
        <v>38.5</v>
      </c>
      <c r="H334" s="6">
        <f t="shared" si="5"/>
        <v>38.5</v>
      </c>
      <c r="I334" s="5" t="s">
        <v>516</v>
      </c>
      <c r="J334" s="39"/>
      <c r="K334" s="39"/>
      <c r="L334" s="39"/>
    </row>
    <row r="335" spans="1:12" hidden="1" x14ac:dyDescent="0.3">
      <c r="A335" s="5" t="s">
        <v>5</v>
      </c>
      <c r="B335" s="5" t="s">
        <v>483</v>
      </c>
      <c r="C335" s="5" t="s">
        <v>484</v>
      </c>
      <c r="D335" s="102">
        <v>46143</v>
      </c>
      <c r="E335" s="5" t="s">
        <v>312</v>
      </c>
      <c r="F335" s="34">
        <v>3650</v>
      </c>
      <c r="G335" s="103">
        <v>0.52631931104577279</v>
      </c>
      <c r="H335" s="6">
        <f t="shared" si="5"/>
        <v>1921.0654853170706</v>
      </c>
      <c r="I335" s="5" t="s">
        <v>307</v>
      </c>
      <c r="J335" s="39"/>
      <c r="K335" s="39"/>
      <c r="L335" s="39"/>
    </row>
    <row r="336" spans="1:12" hidden="1" x14ac:dyDescent="0.3">
      <c r="A336" s="5" t="s">
        <v>5</v>
      </c>
      <c r="B336" s="5" t="s">
        <v>349</v>
      </c>
      <c r="C336" s="5" t="s">
        <v>299</v>
      </c>
      <c r="D336" s="102">
        <v>46143</v>
      </c>
      <c r="E336" s="5" t="s">
        <v>312</v>
      </c>
      <c r="F336" s="34">
        <v>240</v>
      </c>
      <c r="G336" s="103">
        <v>1.86</v>
      </c>
      <c r="H336" s="6">
        <f t="shared" si="5"/>
        <v>446.40000000000003</v>
      </c>
      <c r="I336" s="5" t="s">
        <v>515</v>
      </c>
      <c r="J336" s="39"/>
      <c r="K336" s="39"/>
      <c r="L336" s="39"/>
    </row>
    <row r="337" spans="1:12" hidden="1" x14ac:dyDescent="0.3">
      <c r="A337" s="5" t="s">
        <v>5</v>
      </c>
      <c r="B337" s="5" t="s">
        <v>359</v>
      </c>
      <c r="C337" s="5" t="s">
        <v>299</v>
      </c>
      <c r="D337" s="102">
        <v>46143</v>
      </c>
      <c r="E337" s="5" t="s">
        <v>312</v>
      </c>
      <c r="F337" s="34">
        <v>0</v>
      </c>
      <c r="G337" s="103">
        <v>0</v>
      </c>
      <c r="H337" s="6">
        <f t="shared" si="5"/>
        <v>0</v>
      </c>
      <c r="I337" s="5" t="s">
        <v>491</v>
      </c>
      <c r="J337" s="39"/>
      <c r="K337" s="39"/>
      <c r="L337" s="39"/>
    </row>
    <row r="338" spans="1:12" hidden="1" x14ac:dyDescent="0.3">
      <c r="A338" s="5" t="s">
        <v>5</v>
      </c>
      <c r="B338" s="5" t="s">
        <v>324</v>
      </c>
      <c r="C338" s="5" t="s">
        <v>299</v>
      </c>
      <c r="D338" s="102">
        <v>46143</v>
      </c>
      <c r="E338" s="5" t="s">
        <v>312</v>
      </c>
      <c r="F338" s="34">
        <v>2</v>
      </c>
      <c r="G338" s="103">
        <v>338.53</v>
      </c>
      <c r="H338" s="6">
        <f t="shared" si="5"/>
        <v>677.06</v>
      </c>
      <c r="I338" s="5" t="s">
        <v>491</v>
      </c>
      <c r="J338" s="39"/>
      <c r="K338" s="39"/>
      <c r="L338" s="39"/>
    </row>
    <row r="339" spans="1:12" hidden="1" x14ac:dyDescent="0.3">
      <c r="A339" s="5" t="s">
        <v>5</v>
      </c>
      <c r="B339" s="5" t="s">
        <v>298</v>
      </c>
      <c r="C339" s="5" t="s">
        <v>299</v>
      </c>
      <c r="D339" s="102">
        <v>46143</v>
      </c>
      <c r="E339" s="5" t="s">
        <v>312</v>
      </c>
      <c r="F339" s="34">
        <v>0</v>
      </c>
      <c r="G339" s="103">
        <v>0</v>
      </c>
      <c r="H339" s="6">
        <f t="shared" si="5"/>
        <v>0</v>
      </c>
      <c r="I339" s="5" t="s">
        <v>499</v>
      </c>
      <c r="J339" s="39"/>
      <c r="K339" s="39"/>
      <c r="L339" s="39"/>
    </row>
    <row r="340" spans="1:12" hidden="1" x14ac:dyDescent="0.3">
      <c r="A340" s="5" t="s">
        <v>5</v>
      </c>
      <c r="B340" s="5" t="s">
        <v>361</v>
      </c>
      <c r="C340" s="5" t="s">
        <v>299</v>
      </c>
      <c r="D340" s="102">
        <v>46143</v>
      </c>
      <c r="E340" s="5" t="s">
        <v>312</v>
      </c>
      <c r="F340" s="34">
        <v>1</v>
      </c>
      <c r="G340" s="107"/>
      <c r="H340" s="6" t="str">
        <f t="shared" si="5"/>
        <v/>
      </c>
      <c r="I340" s="5" t="s">
        <v>313</v>
      </c>
      <c r="J340" s="39"/>
      <c r="K340" s="39"/>
      <c r="L340" s="39"/>
    </row>
    <row r="341" spans="1:12" hidden="1" x14ac:dyDescent="0.3">
      <c r="A341" s="5" t="s">
        <v>5</v>
      </c>
      <c r="B341" s="5" t="s">
        <v>506</v>
      </c>
      <c r="C341" s="5" t="s">
        <v>299</v>
      </c>
      <c r="D341" s="102">
        <v>46143</v>
      </c>
      <c r="E341" s="5" t="s">
        <v>312</v>
      </c>
      <c r="F341" s="128">
        <v>3</v>
      </c>
      <c r="G341" s="107">
        <v>0</v>
      </c>
      <c r="H341" s="6">
        <f t="shared" si="5"/>
        <v>0</v>
      </c>
      <c r="I341" s="5" t="s">
        <v>313</v>
      </c>
      <c r="J341" s="39"/>
      <c r="K341" s="39"/>
      <c r="L341" s="39"/>
    </row>
    <row r="342" spans="1:12" hidden="1" x14ac:dyDescent="0.3">
      <c r="A342" s="5" t="s">
        <v>5</v>
      </c>
      <c r="B342" s="5" t="s">
        <v>512</v>
      </c>
      <c r="C342" s="5" t="s">
        <v>299</v>
      </c>
      <c r="D342" s="102">
        <v>46143</v>
      </c>
      <c r="E342" s="5" t="s">
        <v>312</v>
      </c>
      <c r="F342" s="66">
        <v>0</v>
      </c>
      <c r="G342" s="107">
        <v>0</v>
      </c>
      <c r="H342" s="6">
        <f t="shared" si="5"/>
        <v>0</v>
      </c>
      <c r="I342" s="5" t="s">
        <v>313</v>
      </c>
      <c r="J342" s="39"/>
      <c r="K342" s="39"/>
      <c r="L342" s="39"/>
    </row>
    <row r="343" spans="1:12" hidden="1" x14ac:dyDescent="0.3">
      <c r="A343" s="5" t="s">
        <v>5</v>
      </c>
      <c r="B343" s="5" t="s">
        <v>311</v>
      </c>
      <c r="C343" s="5" t="s">
        <v>299</v>
      </c>
      <c r="D343" s="102">
        <v>46143</v>
      </c>
      <c r="E343" s="5" t="s">
        <v>312</v>
      </c>
      <c r="F343" s="66">
        <v>0</v>
      </c>
      <c r="G343" s="107">
        <v>0</v>
      </c>
      <c r="H343" s="6">
        <f t="shared" si="5"/>
        <v>0</v>
      </c>
      <c r="I343" s="5" t="s">
        <v>313</v>
      </c>
      <c r="J343" s="39"/>
      <c r="K343" s="39"/>
      <c r="L343" s="39"/>
    </row>
    <row r="344" spans="1:12" hidden="1" x14ac:dyDescent="0.3">
      <c r="A344" s="5" t="s">
        <v>5</v>
      </c>
      <c r="B344" s="5" t="s">
        <v>387</v>
      </c>
      <c r="C344" s="5" t="s">
        <v>11</v>
      </c>
      <c r="D344" s="102">
        <v>46143</v>
      </c>
      <c r="E344" s="5" t="s">
        <v>312</v>
      </c>
      <c r="F344" s="34">
        <v>3650</v>
      </c>
      <c r="G344" s="103">
        <v>0.21237194312315091</v>
      </c>
      <c r="H344" s="6">
        <f t="shared" si="5"/>
        <v>775.1575923995008</v>
      </c>
      <c r="I344" s="5" t="s">
        <v>307</v>
      </c>
      <c r="J344" s="39"/>
      <c r="K344" s="39"/>
      <c r="L344" s="39"/>
    </row>
    <row r="345" spans="1:12" hidden="1" x14ac:dyDescent="0.3">
      <c r="A345" s="5" t="s">
        <v>5</v>
      </c>
      <c r="B345" s="5" t="s">
        <v>441</v>
      </c>
      <c r="C345" s="5" t="s">
        <v>442</v>
      </c>
      <c r="D345" s="102">
        <v>46143</v>
      </c>
      <c r="E345" s="5" t="s">
        <v>312</v>
      </c>
      <c r="F345" s="34">
        <v>1</v>
      </c>
      <c r="G345" s="103">
        <v>3372.11</v>
      </c>
      <c r="H345" s="6">
        <f t="shared" si="5"/>
        <v>3372.11</v>
      </c>
      <c r="I345" s="5" t="s">
        <v>443</v>
      </c>
      <c r="J345" s="39"/>
      <c r="K345" s="39"/>
      <c r="L345" s="39"/>
    </row>
    <row r="346" spans="1:12" hidden="1" x14ac:dyDescent="0.3">
      <c r="A346" s="5" t="s">
        <v>5</v>
      </c>
      <c r="B346" s="5" t="s">
        <v>466</v>
      </c>
      <c r="C346" s="5" t="s">
        <v>18</v>
      </c>
      <c r="D346" s="102">
        <v>46143</v>
      </c>
      <c r="E346" s="5" t="s">
        <v>312</v>
      </c>
      <c r="F346" s="128">
        <v>1</v>
      </c>
      <c r="G346" s="110">
        <v>676.8</v>
      </c>
      <c r="H346" s="6">
        <f t="shared" si="5"/>
        <v>676.8</v>
      </c>
      <c r="I346" s="5" t="s">
        <v>467</v>
      </c>
      <c r="J346" s="39"/>
      <c r="K346" s="39"/>
      <c r="L346" s="39"/>
    </row>
    <row r="347" spans="1:12" hidden="1" x14ac:dyDescent="0.3">
      <c r="A347" s="5" t="s">
        <v>5</v>
      </c>
      <c r="B347" s="5" t="s">
        <v>367</v>
      </c>
      <c r="C347" s="5" t="s">
        <v>302</v>
      </c>
      <c r="D347" s="102">
        <v>46143</v>
      </c>
      <c r="E347" s="5" t="s">
        <v>312</v>
      </c>
      <c r="F347" s="34">
        <v>3</v>
      </c>
      <c r="G347" s="103">
        <v>20</v>
      </c>
      <c r="H347" s="6">
        <f t="shared" si="5"/>
        <v>60</v>
      </c>
      <c r="I347" s="5" t="s">
        <v>368</v>
      </c>
      <c r="J347" s="39"/>
      <c r="K347" s="39"/>
      <c r="L347" s="39"/>
    </row>
    <row r="348" spans="1:12" hidden="1" x14ac:dyDescent="0.3">
      <c r="A348" s="5" t="s">
        <v>5</v>
      </c>
      <c r="B348" s="5" t="s">
        <v>301</v>
      </c>
      <c r="C348" s="5" t="s">
        <v>302</v>
      </c>
      <c r="D348" s="102">
        <v>46143</v>
      </c>
      <c r="E348" s="5" t="s">
        <v>312</v>
      </c>
      <c r="F348" s="128">
        <v>1</v>
      </c>
      <c r="G348" s="110">
        <v>373.15</v>
      </c>
      <c r="H348" s="6">
        <f t="shared" si="5"/>
        <v>373.15</v>
      </c>
      <c r="I348" s="5" t="s">
        <v>303</v>
      </c>
      <c r="J348" s="39"/>
      <c r="K348" s="39"/>
      <c r="L348" s="39"/>
    </row>
    <row r="349" spans="1:12" hidden="1" x14ac:dyDescent="0.3">
      <c r="A349" s="5" t="s">
        <v>5</v>
      </c>
      <c r="B349" s="5" t="s">
        <v>345</v>
      </c>
      <c r="C349" s="5" t="s">
        <v>302</v>
      </c>
      <c r="D349" s="102">
        <v>46143</v>
      </c>
      <c r="E349" s="5" t="s">
        <v>312</v>
      </c>
      <c r="F349" s="34">
        <v>0</v>
      </c>
      <c r="G349" s="103">
        <v>0</v>
      </c>
      <c r="H349" s="6">
        <f t="shared" si="5"/>
        <v>0</v>
      </c>
      <c r="I349" s="5" t="s">
        <v>346</v>
      </c>
      <c r="J349" s="39"/>
      <c r="K349" s="39"/>
      <c r="L349" s="39"/>
    </row>
    <row r="350" spans="1:12" hidden="1" x14ac:dyDescent="0.3">
      <c r="A350" s="5" t="s">
        <v>5</v>
      </c>
      <c r="B350" s="5" t="s">
        <v>314</v>
      </c>
      <c r="C350" s="5" t="s">
        <v>315</v>
      </c>
      <c r="D350" s="102">
        <v>46143</v>
      </c>
      <c r="E350" s="5" t="s">
        <v>312</v>
      </c>
      <c r="F350" s="34">
        <v>0</v>
      </c>
      <c r="G350" s="103">
        <v>0</v>
      </c>
      <c r="H350" s="6">
        <f t="shared" si="5"/>
        <v>0</v>
      </c>
      <c r="I350" s="5" t="s">
        <v>316</v>
      </c>
      <c r="J350" s="39"/>
      <c r="K350" s="39"/>
      <c r="L350" s="39"/>
    </row>
    <row r="351" spans="1:12" hidden="1" x14ac:dyDescent="0.3">
      <c r="A351" s="5" t="s">
        <v>5</v>
      </c>
      <c r="B351" s="5" t="s">
        <v>334</v>
      </c>
      <c r="C351" s="5" t="s">
        <v>315</v>
      </c>
      <c r="D351" s="102">
        <v>46143</v>
      </c>
      <c r="E351" s="5" t="s">
        <v>312</v>
      </c>
      <c r="F351" s="34">
        <v>0</v>
      </c>
      <c r="G351" s="103">
        <v>0</v>
      </c>
      <c r="H351" s="6">
        <f t="shared" si="5"/>
        <v>0</v>
      </c>
      <c r="I351" s="5" t="s">
        <v>335</v>
      </c>
      <c r="J351" s="39"/>
      <c r="K351" s="39"/>
      <c r="L351" s="39"/>
    </row>
    <row r="352" spans="1:12" hidden="1" x14ac:dyDescent="0.3">
      <c r="A352" s="5" t="s">
        <v>5</v>
      </c>
      <c r="B352" s="5" t="s">
        <v>347</v>
      </c>
      <c r="C352" s="5" t="s">
        <v>315</v>
      </c>
      <c r="D352" s="102">
        <v>46143</v>
      </c>
      <c r="E352" s="5" t="s">
        <v>312</v>
      </c>
      <c r="F352" s="34">
        <v>0</v>
      </c>
      <c r="G352" s="103">
        <v>0</v>
      </c>
      <c r="H352" s="6">
        <f t="shared" si="5"/>
        <v>0</v>
      </c>
      <c r="I352" s="5" t="s">
        <v>348</v>
      </c>
      <c r="J352" s="39"/>
      <c r="K352" s="39"/>
      <c r="L352" s="39"/>
    </row>
    <row r="353" spans="1:12" hidden="1" x14ac:dyDescent="0.3">
      <c r="A353" s="5" t="s">
        <v>5</v>
      </c>
      <c r="B353" s="5" t="s">
        <v>357</v>
      </c>
      <c r="C353" s="5" t="s">
        <v>315</v>
      </c>
      <c r="D353" s="102">
        <v>46143</v>
      </c>
      <c r="E353" s="5" t="s">
        <v>312</v>
      </c>
      <c r="F353" s="34">
        <v>0</v>
      </c>
      <c r="G353" s="103">
        <v>0</v>
      </c>
      <c r="H353" s="6">
        <f t="shared" si="5"/>
        <v>0</v>
      </c>
      <c r="I353" s="5" t="s">
        <v>358</v>
      </c>
      <c r="J353" s="39"/>
      <c r="K353" s="39"/>
      <c r="L353" s="39"/>
    </row>
    <row r="354" spans="1:12" hidden="1" x14ac:dyDescent="0.3">
      <c r="A354" s="5" t="s">
        <v>5</v>
      </c>
      <c r="B354" s="5" t="s">
        <v>369</v>
      </c>
      <c r="C354" s="5" t="s">
        <v>315</v>
      </c>
      <c r="D354" s="102">
        <v>46143</v>
      </c>
      <c r="E354" s="5" t="s">
        <v>312</v>
      </c>
      <c r="F354" s="34">
        <v>0</v>
      </c>
      <c r="G354" s="103">
        <v>0</v>
      </c>
      <c r="H354" s="6">
        <f t="shared" si="5"/>
        <v>0</v>
      </c>
      <c r="I354" s="5" t="s">
        <v>358</v>
      </c>
      <c r="J354" s="39"/>
      <c r="K354" s="39"/>
      <c r="L354" s="39"/>
    </row>
    <row r="355" spans="1:12" hidden="1" x14ac:dyDescent="0.3">
      <c r="A355" s="5" t="s">
        <v>5</v>
      </c>
      <c r="B355" s="5" t="s">
        <v>375</v>
      </c>
      <c r="C355" s="5" t="s">
        <v>315</v>
      </c>
      <c r="D355" s="102">
        <v>46143</v>
      </c>
      <c r="E355" s="5" t="s">
        <v>312</v>
      </c>
      <c r="F355" s="34">
        <v>1</v>
      </c>
      <c r="G355" s="103">
        <v>2438.04</v>
      </c>
      <c r="H355" s="6">
        <f t="shared" si="5"/>
        <v>2438.04</v>
      </c>
      <c r="I355" s="5" t="s">
        <v>376</v>
      </c>
      <c r="J355" s="39"/>
      <c r="K355" s="39"/>
      <c r="L355" s="39"/>
    </row>
    <row r="356" spans="1:12" hidden="1" x14ac:dyDescent="0.3">
      <c r="A356" s="5" t="s">
        <v>5</v>
      </c>
      <c r="B356" s="5" t="s">
        <v>363</v>
      </c>
      <c r="C356" s="5" t="s">
        <v>364</v>
      </c>
      <c r="D356" s="102">
        <v>46143</v>
      </c>
      <c r="E356" s="5" t="s">
        <v>312</v>
      </c>
      <c r="F356" s="34">
        <v>0</v>
      </c>
      <c r="G356" s="103">
        <v>0</v>
      </c>
      <c r="H356" s="6">
        <f t="shared" si="5"/>
        <v>0</v>
      </c>
      <c r="I356" s="5" t="s">
        <v>381</v>
      </c>
      <c r="J356" s="39"/>
      <c r="K356" s="39"/>
      <c r="L356" s="39"/>
    </row>
    <row r="357" spans="1:12" hidden="1" x14ac:dyDescent="0.3">
      <c r="A357" s="5" t="s">
        <v>5</v>
      </c>
      <c r="B357" s="5" t="s">
        <v>327</v>
      </c>
      <c r="C357" s="5" t="s">
        <v>23</v>
      </c>
      <c r="D357" s="102">
        <v>46143</v>
      </c>
      <c r="E357" s="5" t="s">
        <v>312</v>
      </c>
      <c r="F357" s="34">
        <v>11</v>
      </c>
      <c r="G357" s="103">
        <v>122.58</v>
      </c>
      <c r="H357" s="6">
        <f t="shared" si="5"/>
        <v>1348.3799999999999</v>
      </c>
      <c r="I357" s="5" t="s">
        <v>329</v>
      </c>
      <c r="J357" s="39"/>
      <c r="K357" s="39"/>
      <c r="L357" s="39"/>
    </row>
    <row r="358" spans="1:12" hidden="1" x14ac:dyDescent="0.3">
      <c r="A358" s="5" t="s">
        <v>5</v>
      </c>
      <c r="B358" s="5" t="s">
        <v>321</v>
      </c>
      <c r="C358" s="5" t="s">
        <v>26</v>
      </c>
      <c r="D358" s="102">
        <v>46143</v>
      </c>
      <c r="E358" s="5" t="s">
        <v>312</v>
      </c>
      <c r="F358" s="34">
        <v>0</v>
      </c>
      <c r="G358" s="103">
        <v>0</v>
      </c>
      <c r="H358" s="6">
        <f t="shared" si="5"/>
        <v>0</v>
      </c>
      <c r="I358" s="5" t="s">
        <v>323</v>
      </c>
      <c r="J358" s="39"/>
      <c r="K358" s="39"/>
      <c r="L358" s="39"/>
    </row>
    <row r="359" spans="1:12" hidden="1" x14ac:dyDescent="0.3">
      <c r="A359" s="5" t="s">
        <v>5</v>
      </c>
      <c r="B359" s="5" t="s">
        <v>339</v>
      </c>
      <c r="C359" s="5" t="s">
        <v>26</v>
      </c>
      <c r="D359" s="102">
        <v>46143</v>
      </c>
      <c r="E359" s="5" t="s">
        <v>312</v>
      </c>
      <c r="F359" s="34">
        <v>0</v>
      </c>
      <c r="G359" s="103">
        <v>0</v>
      </c>
      <c r="H359" s="6">
        <f t="shared" si="5"/>
        <v>0</v>
      </c>
      <c r="I359" s="5" t="s">
        <v>507</v>
      </c>
      <c r="J359" s="39"/>
      <c r="K359" s="39"/>
      <c r="L359" s="39"/>
    </row>
    <row r="360" spans="1:12" hidden="1" x14ac:dyDescent="0.3">
      <c r="A360" s="5" t="s">
        <v>5</v>
      </c>
      <c r="B360" s="5" t="s">
        <v>355</v>
      </c>
      <c r="C360" s="5" t="s">
        <v>27</v>
      </c>
      <c r="D360" s="102">
        <v>46143</v>
      </c>
      <c r="E360" s="5" t="s">
        <v>312</v>
      </c>
      <c r="F360" s="34">
        <v>1</v>
      </c>
      <c r="G360" s="103">
        <v>1019.8</v>
      </c>
      <c r="H360" s="6">
        <f t="shared" si="5"/>
        <v>1019.8</v>
      </c>
      <c r="I360" s="5" t="s">
        <v>518</v>
      </c>
      <c r="J360" s="39"/>
      <c r="K360" s="39"/>
      <c r="L360" s="39"/>
    </row>
    <row r="361" spans="1:12" hidden="1" x14ac:dyDescent="0.3">
      <c r="A361" s="5" t="s">
        <v>5</v>
      </c>
      <c r="B361" s="5" t="s">
        <v>355</v>
      </c>
      <c r="C361" s="5" t="s">
        <v>27</v>
      </c>
      <c r="D361" s="102">
        <v>46143</v>
      </c>
      <c r="E361" s="5" t="s">
        <v>312</v>
      </c>
      <c r="F361" s="34">
        <v>0</v>
      </c>
      <c r="G361" s="103">
        <v>0</v>
      </c>
      <c r="H361" s="6">
        <f t="shared" si="5"/>
        <v>0</v>
      </c>
      <c r="I361" s="5" t="s">
        <v>421</v>
      </c>
      <c r="J361" s="39"/>
      <c r="K361" s="39"/>
      <c r="L361" s="39"/>
    </row>
    <row r="362" spans="1:12" hidden="1" x14ac:dyDescent="0.3">
      <c r="A362" s="5" t="s">
        <v>5</v>
      </c>
      <c r="B362" s="5" t="s">
        <v>428</v>
      </c>
      <c r="C362" s="5" t="s">
        <v>27</v>
      </c>
      <c r="D362" s="102">
        <v>46143</v>
      </c>
      <c r="E362" s="5" t="s">
        <v>312</v>
      </c>
      <c r="F362" s="34">
        <v>0</v>
      </c>
      <c r="G362" s="103">
        <v>0</v>
      </c>
      <c r="H362" s="6">
        <f t="shared" si="5"/>
        <v>0</v>
      </c>
      <c r="I362" s="5" t="s">
        <v>380</v>
      </c>
      <c r="J362" s="39"/>
      <c r="K362" s="39"/>
      <c r="L362" s="39"/>
    </row>
    <row r="363" spans="1:12" hidden="1" x14ac:dyDescent="0.3">
      <c r="A363" s="5" t="s">
        <v>5</v>
      </c>
      <c r="B363" s="5" t="s">
        <v>433</v>
      </c>
      <c r="C363" s="5" t="s">
        <v>27</v>
      </c>
      <c r="D363" s="102">
        <v>46143</v>
      </c>
      <c r="E363" s="5" t="s">
        <v>312</v>
      </c>
      <c r="F363" s="34">
        <v>0</v>
      </c>
      <c r="G363" s="103">
        <v>0</v>
      </c>
      <c r="H363" s="6">
        <f t="shared" si="5"/>
        <v>0</v>
      </c>
      <c r="I363" s="5" t="s">
        <v>401</v>
      </c>
      <c r="J363" s="39"/>
      <c r="K363" s="39"/>
      <c r="L363" s="39"/>
    </row>
    <row r="364" spans="1:12" hidden="1" x14ac:dyDescent="0.3">
      <c r="A364" s="5" t="s">
        <v>5</v>
      </c>
      <c r="B364" s="5" t="s">
        <v>308</v>
      </c>
      <c r="C364" s="5" t="s">
        <v>309</v>
      </c>
      <c r="D364" s="102">
        <v>46143</v>
      </c>
      <c r="E364" s="5" t="s">
        <v>312</v>
      </c>
      <c r="F364" s="34">
        <v>1</v>
      </c>
      <c r="G364" s="103">
        <v>10</v>
      </c>
      <c r="H364" s="6">
        <f t="shared" si="5"/>
        <v>10</v>
      </c>
      <c r="I364" s="5" t="s">
        <v>310</v>
      </c>
      <c r="J364" s="39"/>
      <c r="K364" s="39"/>
      <c r="L364" s="39"/>
    </row>
    <row r="365" spans="1:12" hidden="1" x14ac:dyDescent="0.3">
      <c r="A365" s="5" t="s">
        <v>5</v>
      </c>
      <c r="B365" s="5" t="s">
        <v>341</v>
      </c>
      <c r="C365" s="5" t="s">
        <v>342</v>
      </c>
      <c r="D365" s="102">
        <v>46143</v>
      </c>
      <c r="E365" s="5" t="s">
        <v>319</v>
      </c>
      <c r="F365" s="34">
        <v>1</v>
      </c>
      <c r="G365" s="103">
        <v>38121.519999999997</v>
      </c>
      <c r="H365" s="6">
        <f t="shared" si="5"/>
        <v>38121.519999999997</v>
      </c>
      <c r="I365" s="5" t="s">
        <v>343</v>
      </c>
      <c r="J365" s="39"/>
      <c r="K365" s="39"/>
      <c r="L365" s="39"/>
    </row>
    <row r="366" spans="1:12" hidden="1" x14ac:dyDescent="0.3">
      <c r="A366" s="5" t="s">
        <v>5</v>
      </c>
      <c r="B366" s="5" t="s">
        <v>396</v>
      </c>
      <c r="C366" s="5" t="s">
        <v>397</v>
      </c>
      <c r="D366" s="102">
        <v>46143</v>
      </c>
      <c r="E366" s="5" t="s">
        <v>319</v>
      </c>
      <c r="F366" s="34">
        <v>0</v>
      </c>
      <c r="G366" s="103">
        <v>0</v>
      </c>
      <c r="H366" s="6">
        <f t="shared" si="5"/>
        <v>0</v>
      </c>
      <c r="I366" s="5" t="s">
        <v>398</v>
      </c>
      <c r="J366" s="39"/>
      <c r="K366" s="39"/>
      <c r="L366" s="39"/>
    </row>
    <row r="367" spans="1:12" hidden="1" x14ac:dyDescent="0.3">
      <c r="A367" s="5" t="s">
        <v>5</v>
      </c>
      <c r="B367" s="5" t="s">
        <v>408</v>
      </c>
      <c r="C367" s="5" t="s">
        <v>397</v>
      </c>
      <c r="D367" s="102">
        <v>46143</v>
      </c>
      <c r="E367" s="5" t="s">
        <v>319</v>
      </c>
      <c r="F367" s="34">
        <v>0</v>
      </c>
      <c r="G367" s="103">
        <v>0</v>
      </c>
      <c r="H367" s="6">
        <f t="shared" si="5"/>
        <v>0</v>
      </c>
      <c r="I367" s="5" t="s">
        <v>445</v>
      </c>
      <c r="J367" s="39"/>
      <c r="K367" s="39"/>
      <c r="L367" s="39"/>
    </row>
    <row r="368" spans="1:12" hidden="1" x14ac:dyDescent="0.3">
      <c r="A368" s="5" t="s">
        <v>5</v>
      </c>
      <c r="B368" s="5" t="s">
        <v>483</v>
      </c>
      <c r="C368" s="5" t="s">
        <v>484</v>
      </c>
      <c r="D368" s="102">
        <v>46143</v>
      </c>
      <c r="E368" s="5" t="s">
        <v>319</v>
      </c>
      <c r="F368" s="34">
        <v>6396</v>
      </c>
      <c r="G368" s="103">
        <v>0.52631931104577279</v>
      </c>
      <c r="H368" s="6">
        <f t="shared" si="5"/>
        <v>3366.3383134487626</v>
      </c>
      <c r="I368" s="5" t="s">
        <v>307</v>
      </c>
      <c r="J368" s="39"/>
      <c r="K368" s="39"/>
      <c r="L368" s="39"/>
    </row>
    <row r="369" spans="1:12" hidden="1" x14ac:dyDescent="0.3">
      <c r="A369" s="5" t="s">
        <v>5</v>
      </c>
      <c r="B369" s="5" t="s">
        <v>349</v>
      </c>
      <c r="C369" s="5" t="s">
        <v>299</v>
      </c>
      <c r="D369" s="102">
        <v>46143</v>
      </c>
      <c r="E369" s="5" t="s">
        <v>319</v>
      </c>
      <c r="F369" s="34">
        <v>679</v>
      </c>
      <c r="G369" s="103">
        <v>1.86</v>
      </c>
      <c r="H369" s="6">
        <f t="shared" si="5"/>
        <v>1262.94</v>
      </c>
      <c r="I369" s="5" t="s">
        <v>515</v>
      </c>
      <c r="J369" s="39"/>
      <c r="K369" s="39"/>
      <c r="L369" s="39"/>
    </row>
    <row r="370" spans="1:12" hidden="1" x14ac:dyDescent="0.3">
      <c r="A370" s="5" t="s">
        <v>5</v>
      </c>
      <c r="B370" s="5" t="s">
        <v>359</v>
      </c>
      <c r="C370" s="5" t="s">
        <v>299</v>
      </c>
      <c r="D370" s="102">
        <v>46143</v>
      </c>
      <c r="E370" s="5" t="s">
        <v>319</v>
      </c>
      <c r="F370" s="34">
        <v>4</v>
      </c>
      <c r="G370" s="103">
        <v>383.56</v>
      </c>
      <c r="H370" s="6">
        <f t="shared" si="5"/>
        <v>1534.24</v>
      </c>
      <c r="I370" s="5" t="s">
        <v>360</v>
      </c>
      <c r="J370" s="39"/>
      <c r="K370" s="39"/>
      <c r="L370" s="39"/>
    </row>
    <row r="371" spans="1:12" hidden="1" x14ac:dyDescent="0.3">
      <c r="A371" s="5" t="s">
        <v>5</v>
      </c>
      <c r="B371" s="5" t="s">
        <v>324</v>
      </c>
      <c r="C371" s="5" t="s">
        <v>299</v>
      </c>
      <c r="D371" s="102">
        <v>46143</v>
      </c>
      <c r="E371" s="5" t="s">
        <v>319</v>
      </c>
      <c r="F371" s="34">
        <v>4</v>
      </c>
      <c r="G371" s="103">
        <v>338.53</v>
      </c>
      <c r="H371" s="6">
        <f t="shared" si="5"/>
        <v>1354.12</v>
      </c>
      <c r="I371" s="5" t="s">
        <v>370</v>
      </c>
      <c r="J371" s="39"/>
      <c r="K371" s="39"/>
      <c r="L371" s="39"/>
    </row>
    <row r="372" spans="1:12" hidden="1" x14ac:dyDescent="0.3">
      <c r="A372" s="5" t="s">
        <v>5</v>
      </c>
      <c r="B372" s="5" t="s">
        <v>298</v>
      </c>
      <c r="C372" s="5" t="s">
        <v>299</v>
      </c>
      <c r="D372" s="102">
        <v>46143</v>
      </c>
      <c r="E372" s="5" t="s">
        <v>319</v>
      </c>
      <c r="F372" s="34">
        <v>2</v>
      </c>
      <c r="G372" s="103">
        <v>400.26</v>
      </c>
      <c r="H372" s="6">
        <f t="shared" si="5"/>
        <v>800.52</v>
      </c>
      <c r="I372" s="5" t="s">
        <v>377</v>
      </c>
      <c r="J372" s="39"/>
      <c r="K372" s="39"/>
      <c r="L372" s="39"/>
    </row>
    <row r="373" spans="1:12" hidden="1" x14ac:dyDescent="0.3">
      <c r="A373" s="5" t="s">
        <v>5</v>
      </c>
      <c r="B373" s="5" t="s">
        <v>382</v>
      </c>
      <c r="C373" s="5" t="s">
        <v>299</v>
      </c>
      <c r="D373" s="102">
        <v>46143</v>
      </c>
      <c r="E373" s="5" t="s">
        <v>319</v>
      </c>
      <c r="F373" s="34">
        <v>1</v>
      </c>
      <c r="G373" s="103">
        <v>448</v>
      </c>
      <c r="H373" s="6">
        <f t="shared" si="5"/>
        <v>448</v>
      </c>
      <c r="I373" s="5" t="s">
        <v>383</v>
      </c>
      <c r="J373" s="39"/>
      <c r="K373" s="39"/>
      <c r="L373" s="39"/>
    </row>
    <row r="374" spans="1:12" hidden="1" x14ac:dyDescent="0.3">
      <c r="A374" s="5" t="s">
        <v>5</v>
      </c>
      <c r="B374" s="5" t="s">
        <v>382</v>
      </c>
      <c r="C374" s="5" t="s">
        <v>299</v>
      </c>
      <c r="D374" s="102">
        <v>46143</v>
      </c>
      <c r="E374" s="5" t="s">
        <v>319</v>
      </c>
      <c r="F374" s="34">
        <v>116</v>
      </c>
      <c r="G374" s="103">
        <v>23.15</v>
      </c>
      <c r="H374" s="6">
        <f t="shared" si="5"/>
        <v>2685.3999999999996</v>
      </c>
      <c r="I374" s="5" t="s">
        <v>390</v>
      </c>
      <c r="J374" s="39"/>
      <c r="K374" s="39"/>
      <c r="L374" s="39"/>
    </row>
    <row r="375" spans="1:12" hidden="1" x14ac:dyDescent="0.3">
      <c r="A375" s="5" t="s">
        <v>5</v>
      </c>
      <c r="B375" s="5" t="s">
        <v>402</v>
      </c>
      <c r="C375" s="5" t="s">
        <v>299</v>
      </c>
      <c r="D375" s="102">
        <v>46143</v>
      </c>
      <c r="E375" s="5" t="s">
        <v>319</v>
      </c>
      <c r="F375" s="34">
        <v>2</v>
      </c>
      <c r="G375" s="107"/>
      <c r="H375" s="6" t="str">
        <f t="shared" si="5"/>
        <v/>
      </c>
      <c r="I375" s="5" t="s">
        <v>313</v>
      </c>
      <c r="J375" s="39"/>
      <c r="K375" s="39"/>
      <c r="L375" s="39"/>
    </row>
    <row r="376" spans="1:12" hidden="1" x14ac:dyDescent="0.3">
      <c r="A376" s="5" t="s">
        <v>5</v>
      </c>
      <c r="B376" s="5" t="s">
        <v>413</v>
      </c>
      <c r="C376" s="5" t="s">
        <v>299</v>
      </c>
      <c r="D376" s="102">
        <v>46143</v>
      </c>
      <c r="E376" s="5" t="s">
        <v>319</v>
      </c>
      <c r="F376" s="66">
        <v>0</v>
      </c>
      <c r="G376" s="107">
        <v>0</v>
      </c>
      <c r="H376" s="6">
        <f t="shared" si="5"/>
        <v>0</v>
      </c>
      <c r="I376" s="5" t="s">
        <v>313</v>
      </c>
      <c r="J376" s="39"/>
      <c r="K376" s="39"/>
      <c r="L376" s="39"/>
    </row>
    <row r="377" spans="1:12" hidden="1" x14ac:dyDescent="0.3">
      <c r="A377" s="5" t="s">
        <v>5</v>
      </c>
      <c r="B377" s="5" t="s">
        <v>422</v>
      </c>
      <c r="C377" s="5" t="s">
        <v>299</v>
      </c>
      <c r="D377" s="102">
        <v>46143</v>
      </c>
      <c r="E377" s="5" t="s">
        <v>319</v>
      </c>
      <c r="F377" s="66">
        <v>0</v>
      </c>
      <c r="G377" s="107">
        <v>0</v>
      </c>
      <c r="H377" s="6">
        <f t="shared" si="5"/>
        <v>0</v>
      </c>
      <c r="I377" s="5" t="s">
        <v>313</v>
      </c>
      <c r="J377" s="39"/>
      <c r="K377" s="39"/>
      <c r="L377" s="39"/>
    </row>
    <row r="378" spans="1:12" hidden="1" x14ac:dyDescent="0.3">
      <c r="A378" s="5" t="s">
        <v>5</v>
      </c>
      <c r="B378" s="5" t="s">
        <v>429</v>
      </c>
      <c r="C378" s="5" t="s">
        <v>299</v>
      </c>
      <c r="D378" s="102">
        <v>46143</v>
      </c>
      <c r="E378" s="5" t="s">
        <v>319</v>
      </c>
      <c r="F378" s="66">
        <v>0</v>
      </c>
      <c r="G378" s="107">
        <v>0</v>
      </c>
      <c r="H378" s="6">
        <f t="shared" si="5"/>
        <v>0</v>
      </c>
      <c r="I378" s="5" t="s">
        <v>313</v>
      </c>
      <c r="J378" s="39"/>
      <c r="K378" s="39"/>
      <c r="L378" s="39"/>
    </row>
    <row r="379" spans="1:12" hidden="1" x14ac:dyDescent="0.3">
      <c r="A379" s="5" t="s">
        <v>5</v>
      </c>
      <c r="B379" s="5" t="s">
        <v>387</v>
      </c>
      <c r="C379" s="5" t="s">
        <v>11</v>
      </c>
      <c r="D379" s="102">
        <v>46143</v>
      </c>
      <c r="E379" s="5" t="s">
        <v>319</v>
      </c>
      <c r="F379" s="34">
        <v>6396</v>
      </c>
      <c r="G379" s="103">
        <v>0.21237194312315091</v>
      </c>
      <c r="H379" s="6">
        <f t="shared" si="5"/>
        <v>1358.3309482156733</v>
      </c>
      <c r="I379" s="5" t="s">
        <v>307</v>
      </c>
      <c r="J379" s="39"/>
      <c r="K379" s="39"/>
      <c r="L379" s="39"/>
    </row>
    <row r="380" spans="1:12" hidden="1" x14ac:dyDescent="0.3">
      <c r="A380" s="5" t="s">
        <v>5</v>
      </c>
      <c r="B380" s="5" t="s">
        <v>466</v>
      </c>
      <c r="C380" s="5" t="s">
        <v>18</v>
      </c>
      <c r="D380" s="102">
        <v>46143</v>
      </c>
      <c r="E380" s="5" t="s">
        <v>319</v>
      </c>
      <c r="F380" s="128">
        <v>1</v>
      </c>
      <c r="G380" s="110">
        <v>676.8</v>
      </c>
      <c r="H380" s="6">
        <f t="shared" si="5"/>
        <v>676.8</v>
      </c>
      <c r="I380" s="5" t="s">
        <v>485</v>
      </c>
      <c r="J380" s="39"/>
      <c r="K380" s="39"/>
      <c r="L380" s="39"/>
    </row>
    <row r="381" spans="1:12" hidden="1" x14ac:dyDescent="0.3">
      <c r="A381" s="5" t="s">
        <v>5</v>
      </c>
      <c r="B381" s="5" t="s">
        <v>466</v>
      </c>
      <c r="C381" s="5" t="s">
        <v>18</v>
      </c>
      <c r="D381" s="102">
        <v>46143</v>
      </c>
      <c r="E381" s="5" t="s">
        <v>319</v>
      </c>
      <c r="F381" s="128">
        <v>1</v>
      </c>
      <c r="G381" s="110">
        <v>676.8</v>
      </c>
      <c r="H381" s="6">
        <f t="shared" si="5"/>
        <v>676.8</v>
      </c>
      <c r="I381" s="5" t="s">
        <v>467</v>
      </c>
      <c r="J381" s="39"/>
      <c r="K381" s="39"/>
      <c r="L381" s="39"/>
    </row>
    <row r="382" spans="1:12" hidden="1" x14ac:dyDescent="0.3">
      <c r="A382" s="5" t="s">
        <v>5</v>
      </c>
      <c r="B382" s="5" t="s">
        <v>331</v>
      </c>
      <c r="C382" s="5" t="s">
        <v>302</v>
      </c>
      <c r="D382" s="102">
        <v>46143</v>
      </c>
      <c r="E382" s="5" t="s">
        <v>319</v>
      </c>
      <c r="F382" s="34">
        <v>0</v>
      </c>
      <c r="G382" s="103">
        <v>0</v>
      </c>
      <c r="H382" s="6">
        <f t="shared" si="5"/>
        <v>0</v>
      </c>
      <c r="I382" s="5" t="s">
        <v>392</v>
      </c>
      <c r="J382" s="39"/>
      <c r="K382" s="39"/>
      <c r="L382" s="39"/>
    </row>
    <row r="383" spans="1:12" hidden="1" x14ac:dyDescent="0.3">
      <c r="A383" s="5" t="s">
        <v>5</v>
      </c>
      <c r="B383" s="5" t="s">
        <v>403</v>
      </c>
      <c r="C383" s="5" t="s">
        <v>302</v>
      </c>
      <c r="D383" s="102">
        <v>46143</v>
      </c>
      <c r="E383" s="5" t="s">
        <v>319</v>
      </c>
      <c r="F383" s="34">
        <v>0</v>
      </c>
      <c r="G383" s="103">
        <v>0</v>
      </c>
      <c r="H383" s="6">
        <f t="shared" si="5"/>
        <v>0</v>
      </c>
      <c r="I383" s="5" t="s">
        <v>404</v>
      </c>
      <c r="J383" s="39"/>
      <c r="K383" s="39"/>
      <c r="L383" s="39"/>
    </row>
    <row r="384" spans="1:12" hidden="1" x14ac:dyDescent="0.3">
      <c r="A384" s="5" t="s">
        <v>5</v>
      </c>
      <c r="B384" s="5" t="s">
        <v>414</v>
      </c>
      <c r="C384" s="5" t="s">
        <v>302</v>
      </c>
      <c r="D384" s="102">
        <v>46143</v>
      </c>
      <c r="E384" s="5" t="s">
        <v>319</v>
      </c>
      <c r="F384" s="34">
        <v>0</v>
      </c>
      <c r="G384" s="103">
        <v>0</v>
      </c>
      <c r="H384" s="6">
        <f t="shared" si="5"/>
        <v>0</v>
      </c>
      <c r="I384" s="5" t="s">
        <v>346</v>
      </c>
      <c r="J384" s="39"/>
      <c r="K384" s="39"/>
      <c r="L384" s="39"/>
    </row>
    <row r="385" spans="1:12" hidden="1" x14ac:dyDescent="0.3">
      <c r="A385" s="5" t="s">
        <v>5</v>
      </c>
      <c r="B385" s="5" t="s">
        <v>367</v>
      </c>
      <c r="C385" s="5" t="s">
        <v>302</v>
      </c>
      <c r="D385" s="102">
        <v>46143</v>
      </c>
      <c r="E385" s="5" t="s">
        <v>319</v>
      </c>
      <c r="F385" s="34">
        <v>13</v>
      </c>
      <c r="G385" s="103">
        <v>20</v>
      </c>
      <c r="H385" s="6">
        <f t="shared" si="5"/>
        <v>260</v>
      </c>
      <c r="I385" s="5" t="s">
        <v>368</v>
      </c>
      <c r="J385" s="39"/>
      <c r="K385" s="39"/>
      <c r="L385" s="39"/>
    </row>
    <row r="386" spans="1:12" hidden="1" x14ac:dyDescent="0.3">
      <c r="A386" s="5" t="s">
        <v>5</v>
      </c>
      <c r="B386" s="5" t="s">
        <v>301</v>
      </c>
      <c r="C386" s="5" t="s">
        <v>302</v>
      </c>
      <c r="D386" s="102">
        <v>46143</v>
      </c>
      <c r="E386" s="5" t="s">
        <v>319</v>
      </c>
      <c r="F386" s="34">
        <v>0</v>
      </c>
      <c r="G386" s="103">
        <v>0</v>
      </c>
      <c r="H386" s="6">
        <f t="shared" ref="H386:H449" si="6">IF(OR(F386="",G386=""),"",F386*G386)</f>
        <v>0</v>
      </c>
      <c r="I386" s="5" t="s">
        <v>303</v>
      </c>
      <c r="J386" s="39"/>
      <c r="K386" s="39"/>
      <c r="L386" s="39"/>
    </row>
    <row r="387" spans="1:12" hidden="1" x14ac:dyDescent="0.3">
      <c r="A387" s="5" t="s">
        <v>5</v>
      </c>
      <c r="B387" s="5" t="s">
        <v>345</v>
      </c>
      <c r="C387" s="5" t="s">
        <v>302</v>
      </c>
      <c r="D387" s="102">
        <v>46143</v>
      </c>
      <c r="E387" s="5" t="s">
        <v>319</v>
      </c>
      <c r="F387" s="34">
        <v>0</v>
      </c>
      <c r="G387" s="103">
        <v>0</v>
      </c>
      <c r="H387" s="6">
        <f t="shared" si="6"/>
        <v>0</v>
      </c>
      <c r="I387" s="5" t="s">
        <v>346</v>
      </c>
      <c r="J387" s="39"/>
      <c r="K387" s="39"/>
      <c r="L387" s="39"/>
    </row>
    <row r="388" spans="1:12" hidden="1" x14ac:dyDescent="0.3">
      <c r="A388" s="5" t="s">
        <v>5</v>
      </c>
      <c r="B388" s="5" t="s">
        <v>384</v>
      </c>
      <c r="C388" s="5" t="s">
        <v>315</v>
      </c>
      <c r="D388" s="102">
        <v>46143</v>
      </c>
      <c r="E388" s="5" t="s">
        <v>319</v>
      </c>
      <c r="F388" s="34">
        <v>0</v>
      </c>
      <c r="G388" s="103">
        <v>0</v>
      </c>
      <c r="H388" s="6">
        <f t="shared" si="6"/>
        <v>0</v>
      </c>
      <c r="I388" s="5" t="s">
        <v>316</v>
      </c>
      <c r="J388" s="39"/>
      <c r="K388" s="39"/>
      <c r="L388" s="39"/>
    </row>
    <row r="389" spans="1:12" hidden="1" x14ac:dyDescent="0.3">
      <c r="A389" s="5" t="s">
        <v>5</v>
      </c>
      <c r="B389" s="5" t="s">
        <v>393</v>
      </c>
      <c r="C389" s="5" t="s">
        <v>315</v>
      </c>
      <c r="D389" s="102">
        <v>46143</v>
      </c>
      <c r="E389" s="5" t="s">
        <v>319</v>
      </c>
      <c r="F389" s="34">
        <v>0</v>
      </c>
      <c r="G389" s="103">
        <v>0</v>
      </c>
      <c r="H389" s="6">
        <f t="shared" si="6"/>
        <v>0</v>
      </c>
      <c r="I389" s="5" t="s">
        <v>394</v>
      </c>
      <c r="J389" s="39"/>
      <c r="K389" s="39"/>
      <c r="L389" s="39"/>
    </row>
    <row r="390" spans="1:12" hidden="1" x14ac:dyDescent="0.3">
      <c r="A390" s="5" t="s">
        <v>5</v>
      </c>
      <c r="B390" s="5" t="s">
        <v>508</v>
      </c>
      <c r="C390" s="5" t="s">
        <v>318</v>
      </c>
      <c r="D390" s="102">
        <v>46143</v>
      </c>
      <c r="E390" s="5" t="s">
        <v>319</v>
      </c>
      <c r="F390" s="38">
        <v>-1</v>
      </c>
      <c r="G390" s="107">
        <v>837.25</v>
      </c>
      <c r="H390" s="6">
        <f t="shared" si="6"/>
        <v>-837.25</v>
      </c>
      <c r="I390" s="5" t="s">
        <v>509</v>
      </c>
      <c r="J390" s="39"/>
      <c r="K390" s="39"/>
      <c r="L390" s="39"/>
    </row>
    <row r="391" spans="1:12" hidden="1" x14ac:dyDescent="0.3">
      <c r="A391" s="5" t="s">
        <v>5</v>
      </c>
      <c r="B391" s="5" t="s">
        <v>317</v>
      </c>
      <c r="C391" s="5" t="s">
        <v>318</v>
      </c>
      <c r="D391" s="102">
        <v>46143</v>
      </c>
      <c r="E391" s="5" t="s">
        <v>319</v>
      </c>
      <c r="F391" s="38">
        <v>-1</v>
      </c>
      <c r="G391" s="107">
        <v>238.88</v>
      </c>
      <c r="H391" s="6">
        <f t="shared" si="6"/>
        <v>-238.88</v>
      </c>
      <c r="I391" s="5" t="s">
        <v>513</v>
      </c>
      <c r="J391" s="39"/>
      <c r="K391" s="39"/>
      <c r="L391" s="39"/>
    </row>
    <row r="392" spans="1:12" hidden="1" x14ac:dyDescent="0.3">
      <c r="A392" s="5" t="s">
        <v>5</v>
      </c>
      <c r="B392" s="5" t="s">
        <v>317</v>
      </c>
      <c r="C392" s="5" t="s">
        <v>318</v>
      </c>
      <c r="D392" s="102">
        <v>46143</v>
      </c>
      <c r="E392" s="5" t="s">
        <v>319</v>
      </c>
      <c r="F392" s="34">
        <v>-1</v>
      </c>
      <c r="G392" s="103">
        <v>238.88</v>
      </c>
      <c r="H392" s="6">
        <f t="shared" si="6"/>
        <v>-238.88</v>
      </c>
      <c r="I392" s="5" t="s">
        <v>481</v>
      </c>
      <c r="J392" s="39"/>
      <c r="K392" s="39"/>
      <c r="L392" s="39"/>
    </row>
    <row r="393" spans="1:12" hidden="1" x14ac:dyDescent="0.3">
      <c r="A393" s="5" t="s">
        <v>5</v>
      </c>
      <c r="B393" s="5" t="s">
        <v>363</v>
      </c>
      <c r="C393" s="5" t="s">
        <v>364</v>
      </c>
      <c r="D393" s="102">
        <v>46143</v>
      </c>
      <c r="E393" s="5" t="s">
        <v>319</v>
      </c>
      <c r="F393" s="34">
        <v>1</v>
      </c>
      <c r="G393" s="103">
        <v>1989.74</v>
      </c>
      <c r="H393" s="6">
        <f t="shared" si="6"/>
        <v>1989.74</v>
      </c>
      <c r="I393" s="5" t="s">
        <v>521</v>
      </c>
      <c r="J393" s="39"/>
      <c r="K393" s="39"/>
      <c r="L393" s="39"/>
    </row>
    <row r="394" spans="1:12" hidden="1" x14ac:dyDescent="0.3">
      <c r="A394" s="5" t="s">
        <v>5</v>
      </c>
      <c r="B394" s="5" t="s">
        <v>327</v>
      </c>
      <c r="C394" s="5" t="s">
        <v>23</v>
      </c>
      <c r="D394" s="102">
        <v>46143</v>
      </c>
      <c r="E394" s="5" t="s">
        <v>319</v>
      </c>
      <c r="F394" s="34">
        <v>20</v>
      </c>
      <c r="G394" s="103">
        <v>134.1</v>
      </c>
      <c r="H394" s="6">
        <f t="shared" si="6"/>
        <v>2682</v>
      </c>
      <c r="I394" s="5" t="s">
        <v>329</v>
      </c>
      <c r="J394" s="39"/>
      <c r="K394" s="39"/>
      <c r="L394" s="39"/>
    </row>
    <row r="395" spans="1:12" hidden="1" x14ac:dyDescent="0.3">
      <c r="A395" s="5" t="s">
        <v>5</v>
      </c>
      <c r="B395" s="5" t="s">
        <v>321</v>
      </c>
      <c r="C395" s="5" t="s">
        <v>26</v>
      </c>
      <c r="D395" s="102">
        <v>46143</v>
      </c>
      <c r="E395" s="5" t="s">
        <v>391</v>
      </c>
      <c r="F395" s="34">
        <v>0</v>
      </c>
      <c r="G395" s="103">
        <v>0</v>
      </c>
      <c r="H395" s="6">
        <f t="shared" si="6"/>
        <v>0</v>
      </c>
      <c r="I395" s="5" t="s">
        <v>323</v>
      </c>
      <c r="J395" s="39"/>
      <c r="K395" s="39"/>
      <c r="L395" s="39"/>
    </row>
    <row r="396" spans="1:12" hidden="1" x14ac:dyDescent="0.3">
      <c r="A396" s="5" t="s">
        <v>5</v>
      </c>
      <c r="B396" s="5" t="s">
        <v>321</v>
      </c>
      <c r="C396" s="5" t="s">
        <v>26</v>
      </c>
      <c r="D396" s="102">
        <v>46143</v>
      </c>
      <c r="E396" s="5" t="s">
        <v>319</v>
      </c>
      <c r="F396" s="34">
        <v>0</v>
      </c>
      <c r="G396" s="103">
        <v>0</v>
      </c>
      <c r="H396" s="6">
        <f t="shared" si="6"/>
        <v>0</v>
      </c>
      <c r="I396" s="5" t="s">
        <v>323</v>
      </c>
      <c r="J396" s="39"/>
      <c r="K396" s="39"/>
      <c r="L396" s="39"/>
    </row>
    <row r="397" spans="1:12" hidden="1" x14ac:dyDescent="0.3">
      <c r="A397" s="5" t="s">
        <v>5</v>
      </c>
      <c r="B397" s="5" t="s">
        <v>355</v>
      </c>
      <c r="C397" s="5" t="s">
        <v>27</v>
      </c>
      <c r="D397" s="102">
        <v>46143</v>
      </c>
      <c r="E397" s="5" t="s">
        <v>319</v>
      </c>
      <c r="F397" s="34">
        <v>1</v>
      </c>
      <c r="G397" s="103">
        <v>2399.73</v>
      </c>
      <c r="H397" s="6">
        <f t="shared" si="6"/>
        <v>2399.73</v>
      </c>
      <c r="I397" s="5" t="s">
        <v>518</v>
      </c>
      <c r="J397" s="39"/>
      <c r="K397" s="39"/>
      <c r="L397" s="39"/>
    </row>
    <row r="398" spans="1:12" hidden="1" x14ac:dyDescent="0.3">
      <c r="A398" s="5" t="s">
        <v>5</v>
      </c>
      <c r="B398" s="5" t="s">
        <v>446</v>
      </c>
      <c r="C398" s="5" t="s">
        <v>27</v>
      </c>
      <c r="D398" s="102">
        <v>46143</v>
      </c>
      <c r="E398" s="5" t="s">
        <v>319</v>
      </c>
      <c r="F398" s="34">
        <v>0</v>
      </c>
      <c r="G398" s="103">
        <v>0</v>
      </c>
      <c r="H398" s="6">
        <f t="shared" si="6"/>
        <v>0</v>
      </c>
      <c r="I398" s="5" t="s">
        <v>380</v>
      </c>
      <c r="J398" s="39"/>
      <c r="K398" s="39"/>
      <c r="L398" s="39"/>
    </row>
    <row r="399" spans="1:12" hidden="1" x14ac:dyDescent="0.3">
      <c r="A399" s="5" t="s">
        <v>5</v>
      </c>
      <c r="B399" s="5" t="s">
        <v>453</v>
      </c>
      <c r="C399" s="5" t="s">
        <v>27</v>
      </c>
      <c r="D399" s="102">
        <v>46143</v>
      </c>
      <c r="E399" s="5" t="s">
        <v>319</v>
      </c>
      <c r="F399" s="34">
        <v>0</v>
      </c>
      <c r="G399" s="103">
        <v>0</v>
      </c>
      <c r="H399" s="6">
        <f t="shared" si="6"/>
        <v>0</v>
      </c>
      <c r="I399" s="5" t="s">
        <v>380</v>
      </c>
      <c r="J399" s="39"/>
      <c r="K399" s="39"/>
      <c r="L399" s="39"/>
    </row>
    <row r="400" spans="1:12" hidden="1" x14ac:dyDescent="0.3">
      <c r="A400" s="5" t="s">
        <v>5</v>
      </c>
      <c r="B400" s="5" t="s">
        <v>457</v>
      </c>
      <c r="C400" s="5" t="s">
        <v>27</v>
      </c>
      <c r="D400" s="102">
        <v>46143</v>
      </c>
      <c r="E400" s="5" t="s">
        <v>319</v>
      </c>
      <c r="F400" s="34">
        <v>0</v>
      </c>
      <c r="G400" s="103">
        <v>0</v>
      </c>
      <c r="H400" s="6">
        <f t="shared" si="6"/>
        <v>0</v>
      </c>
      <c r="I400" s="5" t="s">
        <v>401</v>
      </c>
      <c r="J400" s="39"/>
      <c r="K400" s="39"/>
      <c r="L400" s="39"/>
    </row>
    <row r="401" spans="1:12" hidden="1" x14ac:dyDescent="0.3">
      <c r="A401" s="5" t="s">
        <v>5</v>
      </c>
      <c r="B401" s="5" t="s">
        <v>462</v>
      </c>
      <c r="C401" s="5" t="s">
        <v>27</v>
      </c>
      <c r="D401" s="102">
        <v>46143</v>
      </c>
      <c r="E401" s="5" t="s">
        <v>319</v>
      </c>
      <c r="F401" s="34">
        <v>0</v>
      </c>
      <c r="G401" s="103">
        <v>0</v>
      </c>
      <c r="H401" s="6">
        <f t="shared" si="6"/>
        <v>0</v>
      </c>
      <c r="I401" s="5" t="s">
        <v>401</v>
      </c>
      <c r="J401" s="39"/>
      <c r="K401" s="39"/>
      <c r="L401" s="39"/>
    </row>
    <row r="402" spans="1:12" hidden="1" x14ac:dyDescent="0.3">
      <c r="A402" s="5" t="s">
        <v>5</v>
      </c>
      <c r="B402" s="5" t="s">
        <v>308</v>
      </c>
      <c r="C402" s="5" t="s">
        <v>309</v>
      </c>
      <c r="D402" s="102">
        <v>46143</v>
      </c>
      <c r="E402" s="5" t="s">
        <v>319</v>
      </c>
      <c r="F402" s="34">
        <v>1</v>
      </c>
      <c r="G402" s="103">
        <v>10</v>
      </c>
      <c r="H402" s="6">
        <f t="shared" si="6"/>
        <v>10</v>
      </c>
      <c r="I402" s="5" t="s">
        <v>310</v>
      </c>
      <c r="J402" s="39"/>
      <c r="K402" s="39"/>
      <c r="L402" s="39"/>
    </row>
    <row r="403" spans="1:12" hidden="1" x14ac:dyDescent="0.3">
      <c r="A403" s="5" t="s">
        <v>5</v>
      </c>
      <c r="B403" s="5" t="s">
        <v>308</v>
      </c>
      <c r="C403" s="5" t="s">
        <v>309</v>
      </c>
      <c r="D403" s="102">
        <v>46143</v>
      </c>
      <c r="E403" s="5" t="s">
        <v>319</v>
      </c>
      <c r="F403" s="34">
        <v>5</v>
      </c>
      <c r="G403" s="103">
        <v>50</v>
      </c>
      <c r="H403" s="6">
        <f t="shared" si="6"/>
        <v>250</v>
      </c>
      <c r="I403" s="5" t="s">
        <v>310</v>
      </c>
      <c r="J403" s="39"/>
      <c r="K403" s="39"/>
      <c r="L403" s="39"/>
    </row>
    <row r="404" spans="1:12" hidden="1" x14ac:dyDescent="0.3">
      <c r="A404" s="5" t="s">
        <v>5</v>
      </c>
      <c r="B404" s="5" t="s">
        <v>341</v>
      </c>
      <c r="C404" s="5" t="s">
        <v>342</v>
      </c>
      <c r="D404" s="102">
        <v>46143</v>
      </c>
      <c r="E404" s="5" t="s">
        <v>371</v>
      </c>
      <c r="F404" s="34">
        <v>1</v>
      </c>
      <c r="G404" s="103">
        <v>81174.19</v>
      </c>
      <c r="H404" s="6">
        <f t="shared" si="6"/>
        <v>81174.19</v>
      </c>
      <c r="I404" s="5" t="s">
        <v>343</v>
      </c>
      <c r="J404" s="39"/>
      <c r="K404" s="39"/>
      <c r="L404" s="39"/>
    </row>
    <row r="405" spans="1:12" hidden="1" x14ac:dyDescent="0.3">
      <c r="A405" s="5" t="s">
        <v>5</v>
      </c>
      <c r="B405" s="5" t="s">
        <v>396</v>
      </c>
      <c r="C405" s="5" t="s">
        <v>397</v>
      </c>
      <c r="D405" s="102">
        <v>46143</v>
      </c>
      <c r="E405" s="5" t="s">
        <v>371</v>
      </c>
      <c r="F405" s="34">
        <v>0</v>
      </c>
      <c r="G405" s="103">
        <v>0</v>
      </c>
      <c r="H405" s="6">
        <f t="shared" si="6"/>
        <v>0</v>
      </c>
      <c r="I405" s="5" t="s">
        <v>454</v>
      </c>
      <c r="J405" s="39"/>
      <c r="K405" s="39"/>
      <c r="L405" s="39"/>
    </row>
    <row r="406" spans="1:12" hidden="1" x14ac:dyDescent="0.3">
      <c r="A406" s="5" t="s">
        <v>5</v>
      </c>
      <c r="B406" s="5" t="s">
        <v>408</v>
      </c>
      <c r="C406" s="5" t="s">
        <v>397</v>
      </c>
      <c r="D406" s="102">
        <v>46143</v>
      </c>
      <c r="E406" s="5" t="s">
        <v>371</v>
      </c>
      <c r="F406" s="34">
        <v>0</v>
      </c>
      <c r="G406" s="103">
        <v>0</v>
      </c>
      <c r="H406" s="6">
        <f t="shared" si="6"/>
        <v>0</v>
      </c>
      <c r="I406" s="5" t="s">
        <v>409</v>
      </c>
      <c r="J406" s="39"/>
      <c r="K406" s="39"/>
      <c r="L406" s="39"/>
    </row>
    <row r="407" spans="1:12" hidden="1" x14ac:dyDescent="0.3">
      <c r="A407" s="5" t="s">
        <v>5</v>
      </c>
      <c r="B407" s="5" t="s">
        <v>483</v>
      </c>
      <c r="C407" s="5" t="s">
        <v>484</v>
      </c>
      <c r="D407" s="102">
        <v>46143</v>
      </c>
      <c r="E407" s="5" t="s">
        <v>371</v>
      </c>
      <c r="F407" s="34">
        <v>14331</v>
      </c>
      <c r="G407" s="103">
        <v>0.52631931104577279</v>
      </c>
      <c r="H407" s="6">
        <f t="shared" si="6"/>
        <v>7542.6820465969695</v>
      </c>
      <c r="I407" s="5" t="s">
        <v>307</v>
      </c>
      <c r="J407" s="39"/>
      <c r="K407" s="39"/>
      <c r="L407" s="39"/>
    </row>
    <row r="408" spans="1:12" hidden="1" x14ac:dyDescent="0.3">
      <c r="A408" s="5" t="s">
        <v>5</v>
      </c>
      <c r="B408" s="5" t="s">
        <v>349</v>
      </c>
      <c r="C408" s="5" t="s">
        <v>299</v>
      </c>
      <c r="D408" s="102">
        <v>46143</v>
      </c>
      <c r="E408" s="5" t="s">
        <v>371</v>
      </c>
      <c r="F408" s="34">
        <v>508</v>
      </c>
      <c r="G408" s="103">
        <v>1.86</v>
      </c>
      <c r="H408" s="6">
        <f t="shared" si="6"/>
        <v>944.88</v>
      </c>
      <c r="I408" s="5" t="s">
        <v>515</v>
      </c>
      <c r="J408" s="39"/>
      <c r="K408" s="39"/>
      <c r="L408" s="39"/>
    </row>
    <row r="409" spans="1:12" hidden="1" x14ac:dyDescent="0.3">
      <c r="A409" s="5" t="s">
        <v>5</v>
      </c>
      <c r="B409" s="5" t="s">
        <v>359</v>
      </c>
      <c r="C409" s="5" t="s">
        <v>299</v>
      </c>
      <c r="D409" s="102">
        <v>46143</v>
      </c>
      <c r="E409" s="5" t="s">
        <v>371</v>
      </c>
      <c r="F409" s="34">
        <v>1</v>
      </c>
      <c r="G409" s="103">
        <v>383.56</v>
      </c>
      <c r="H409" s="6">
        <f t="shared" si="6"/>
        <v>383.56</v>
      </c>
      <c r="I409" s="5" t="s">
        <v>436</v>
      </c>
      <c r="J409" s="39"/>
      <c r="K409" s="39"/>
      <c r="L409" s="39"/>
    </row>
    <row r="410" spans="1:12" hidden="1" x14ac:dyDescent="0.3">
      <c r="A410" s="5" t="s">
        <v>5</v>
      </c>
      <c r="B410" s="5" t="s">
        <v>324</v>
      </c>
      <c r="C410" s="5" t="s">
        <v>299</v>
      </c>
      <c r="D410" s="102">
        <v>46143</v>
      </c>
      <c r="E410" s="5" t="s">
        <v>371</v>
      </c>
      <c r="F410" s="34">
        <v>4</v>
      </c>
      <c r="G410" s="103">
        <v>338.53</v>
      </c>
      <c r="H410" s="6">
        <f t="shared" si="6"/>
        <v>1354.12</v>
      </c>
      <c r="I410" s="5" t="s">
        <v>439</v>
      </c>
      <c r="J410" s="39"/>
      <c r="K410" s="39"/>
      <c r="L410" s="39"/>
    </row>
    <row r="411" spans="1:12" hidden="1" x14ac:dyDescent="0.3">
      <c r="A411" s="5" t="s">
        <v>5</v>
      </c>
      <c r="B411" s="5" t="s">
        <v>298</v>
      </c>
      <c r="C411" s="5" t="s">
        <v>299</v>
      </c>
      <c r="D411" s="102">
        <v>46143</v>
      </c>
      <c r="E411" s="5" t="s">
        <v>371</v>
      </c>
      <c r="F411" s="34">
        <v>1</v>
      </c>
      <c r="G411" s="103">
        <v>400.26</v>
      </c>
      <c r="H411" s="6">
        <f t="shared" si="6"/>
        <v>400.26</v>
      </c>
      <c r="I411" s="5" t="s">
        <v>447</v>
      </c>
      <c r="J411" s="39"/>
      <c r="K411" s="39"/>
      <c r="L411" s="39"/>
    </row>
    <row r="412" spans="1:12" hidden="1" x14ac:dyDescent="0.3">
      <c r="A412" s="5" t="s">
        <v>5</v>
      </c>
      <c r="B412" s="5" t="s">
        <v>448</v>
      </c>
      <c r="C412" s="5" t="s">
        <v>299</v>
      </c>
      <c r="D412" s="102">
        <v>46143</v>
      </c>
      <c r="E412" s="5" t="s">
        <v>371</v>
      </c>
      <c r="F412" s="34">
        <v>1</v>
      </c>
      <c r="G412" s="103">
        <v>443</v>
      </c>
      <c r="H412" s="6">
        <f t="shared" si="6"/>
        <v>443</v>
      </c>
      <c r="I412" s="5" t="s">
        <v>449</v>
      </c>
      <c r="J412" s="39"/>
      <c r="K412" s="39"/>
      <c r="L412" s="39"/>
    </row>
    <row r="413" spans="1:12" hidden="1" x14ac:dyDescent="0.3">
      <c r="A413" s="5" t="s">
        <v>5</v>
      </c>
      <c r="B413" s="5" t="s">
        <v>448</v>
      </c>
      <c r="C413" s="5" t="s">
        <v>299</v>
      </c>
      <c r="D413" s="102">
        <v>46143</v>
      </c>
      <c r="E413" s="5" t="s">
        <v>371</v>
      </c>
      <c r="F413" s="34">
        <v>182</v>
      </c>
      <c r="G413" s="103">
        <v>12.34</v>
      </c>
      <c r="H413" s="6">
        <f t="shared" si="6"/>
        <v>2245.88</v>
      </c>
      <c r="I413" s="5" t="s">
        <v>452</v>
      </c>
      <c r="J413" s="39"/>
      <c r="K413" s="39"/>
      <c r="L413" s="39"/>
    </row>
    <row r="414" spans="1:12" hidden="1" x14ac:dyDescent="0.3">
      <c r="A414" s="5" t="s">
        <v>5</v>
      </c>
      <c r="B414" s="5" t="s">
        <v>458</v>
      </c>
      <c r="C414" s="5" t="s">
        <v>299</v>
      </c>
      <c r="D414" s="102">
        <v>46143</v>
      </c>
      <c r="E414" s="5" t="s">
        <v>371</v>
      </c>
      <c r="F414" s="66">
        <v>0</v>
      </c>
      <c r="G414" s="107">
        <v>0</v>
      </c>
      <c r="H414" s="6">
        <f t="shared" si="6"/>
        <v>0</v>
      </c>
      <c r="I414" s="5" t="s">
        <v>313</v>
      </c>
      <c r="J414" s="39"/>
      <c r="K414" s="39"/>
      <c r="L414" s="39"/>
    </row>
    <row r="415" spans="1:12" hidden="1" x14ac:dyDescent="0.3">
      <c r="A415" s="5" t="s">
        <v>5</v>
      </c>
      <c r="B415" s="5" t="s">
        <v>361</v>
      </c>
      <c r="C415" s="5" t="s">
        <v>299</v>
      </c>
      <c r="D415" s="102">
        <v>46143</v>
      </c>
      <c r="E415" s="5" t="s">
        <v>371</v>
      </c>
      <c r="F415" s="34">
        <v>15</v>
      </c>
      <c r="G415" s="107"/>
      <c r="H415" s="6" t="str">
        <f t="shared" si="6"/>
        <v/>
      </c>
      <c r="I415" s="5" t="s">
        <v>313</v>
      </c>
      <c r="J415" s="39"/>
      <c r="K415" s="39"/>
      <c r="L415" s="39"/>
    </row>
    <row r="416" spans="1:12" hidden="1" x14ac:dyDescent="0.3">
      <c r="A416" s="5" t="s">
        <v>5</v>
      </c>
      <c r="B416" s="5" t="s">
        <v>471</v>
      </c>
      <c r="C416" s="5" t="s">
        <v>299</v>
      </c>
      <c r="D416" s="102">
        <v>46143</v>
      </c>
      <c r="E416" s="5" t="s">
        <v>371</v>
      </c>
      <c r="F416" s="34">
        <v>0</v>
      </c>
      <c r="G416" s="107">
        <v>0</v>
      </c>
      <c r="H416" s="6">
        <f t="shared" si="6"/>
        <v>0</v>
      </c>
      <c r="I416" s="5" t="s">
        <v>313</v>
      </c>
      <c r="J416" s="39"/>
      <c r="K416" s="39"/>
      <c r="L416" s="39"/>
    </row>
    <row r="417" spans="1:12" hidden="1" x14ac:dyDescent="0.3">
      <c r="A417" s="5" t="s">
        <v>5</v>
      </c>
      <c r="B417" s="5" t="s">
        <v>476</v>
      </c>
      <c r="C417" s="5" t="s">
        <v>299</v>
      </c>
      <c r="D417" s="102">
        <v>46143</v>
      </c>
      <c r="E417" s="5" t="s">
        <v>371</v>
      </c>
      <c r="F417" s="66">
        <v>0</v>
      </c>
      <c r="G417" s="107">
        <v>0</v>
      </c>
      <c r="H417" s="6">
        <f t="shared" si="6"/>
        <v>0</v>
      </c>
      <c r="I417" s="5" t="s">
        <v>313</v>
      </c>
      <c r="J417" s="39"/>
      <c r="K417" s="39"/>
      <c r="L417" s="39"/>
    </row>
    <row r="418" spans="1:12" hidden="1" x14ac:dyDescent="0.3">
      <c r="A418" s="5" t="s">
        <v>5</v>
      </c>
      <c r="B418" s="5" t="s">
        <v>387</v>
      </c>
      <c r="C418" s="5" t="s">
        <v>11</v>
      </c>
      <c r="D418" s="102">
        <v>46143</v>
      </c>
      <c r="E418" s="5" t="s">
        <v>371</v>
      </c>
      <c r="F418" s="34">
        <v>14331</v>
      </c>
      <c r="G418" s="103">
        <v>0.21237194312315091</v>
      </c>
      <c r="H418" s="6">
        <f t="shared" si="6"/>
        <v>3043.5023168978755</v>
      </c>
      <c r="I418" s="5" t="s">
        <v>307</v>
      </c>
      <c r="J418" s="39"/>
      <c r="K418" s="39"/>
      <c r="L418" s="39"/>
    </row>
    <row r="419" spans="1:12" hidden="1" x14ac:dyDescent="0.3">
      <c r="A419" s="5" t="s">
        <v>5</v>
      </c>
      <c r="B419" s="5" t="s">
        <v>466</v>
      </c>
      <c r="C419" s="5" t="s">
        <v>18</v>
      </c>
      <c r="D419" s="102">
        <v>46143</v>
      </c>
      <c r="E419" s="5" t="s">
        <v>371</v>
      </c>
      <c r="F419" s="128">
        <v>1</v>
      </c>
      <c r="G419" s="110">
        <v>676.8</v>
      </c>
      <c r="H419" s="6">
        <f t="shared" si="6"/>
        <v>676.8</v>
      </c>
      <c r="I419" s="5" t="s">
        <v>492</v>
      </c>
      <c r="J419" s="39"/>
      <c r="K419" s="39"/>
      <c r="L419" s="39"/>
    </row>
    <row r="420" spans="1:12" hidden="1" x14ac:dyDescent="0.3">
      <c r="A420" s="5" t="s">
        <v>5</v>
      </c>
      <c r="B420" s="5" t="s">
        <v>466</v>
      </c>
      <c r="C420" s="5" t="s">
        <v>18</v>
      </c>
      <c r="D420" s="102">
        <v>46143</v>
      </c>
      <c r="E420" s="5" t="s">
        <v>371</v>
      </c>
      <c r="F420" s="128">
        <v>1</v>
      </c>
      <c r="G420" s="110">
        <v>676.8</v>
      </c>
      <c r="H420" s="6">
        <f t="shared" si="6"/>
        <v>676.8</v>
      </c>
      <c r="I420" s="5" t="s">
        <v>467</v>
      </c>
      <c r="J420" s="39"/>
      <c r="K420" s="39"/>
      <c r="L420" s="39"/>
    </row>
    <row r="421" spans="1:12" hidden="1" x14ac:dyDescent="0.3">
      <c r="A421" s="5" t="s">
        <v>5</v>
      </c>
      <c r="B421" s="5" t="s">
        <v>367</v>
      </c>
      <c r="C421" s="5" t="s">
        <v>302</v>
      </c>
      <c r="D421" s="102">
        <v>46143</v>
      </c>
      <c r="E421" s="5" t="s">
        <v>371</v>
      </c>
      <c r="F421" s="34">
        <v>19</v>
      </c>
      <c r="G421" s="103">
        <v>20</v>
      </c>
      <c r="H421" s="6">
        <f t="shared" si="6"/>
        <v>380</v>
      </c>
      <c r="I421" s="5" t="s">
        <v>368</v>
      </c>
      <c r="J421" s="39"/>
      <c r="K421" s="39"/>
      <c r="L421" s="39"/>
    </row>
    <row r="422" spans="1:12" hidden="1" x14ac:dyDescent="0.3">
      <c r="A422" s="5" t="s">
        <v>5</v>
      </c>
      <c r="B422" s="5" t="s">
        <v>301</v>
      </c>
      <c r="C422" s="5" t="s">
        <v>302</v>
      </c>
      <c r="D422" s="102">
        <v>46143</v>
      </c>
      <c r="E422" s="5" t="s">
        <v>371</v>
      </c>
      <c r="F422" s="128">
        <v>1</v>
      </c>
      <c r="G422" s="110">
        <v>1381.14</v>
      </c>
      <c r="H422" s="6">
        <f t="shared" si="6"/>
        <v>1381.14</v>
      </c>
      <c r="I422" s="5" t="s">
        <v>303</v>
      </c>
      <c r="J422" s="39"/>
      <c r="K422" s="39"/>
      <c r="L422" s="39"/>
    </row>
    <row r="423" spans="1:12" hidden="1" x14ac:dyDescent="0.3">
      <c r="A423" s="5" t="s">
        <v>5</v>
      </c>
      <c r="B423" s="5" t="s">
        <v>450</v>
      </c>
      <c r="C423" s="5" t="s">
        <v>302</v>
      </c>
      <c r="D423" s="102">
        <v>46143</v>
      </c>
      <c r="E423" s="5" t="s">
        <v>371</v>
      </c>
      <c r="F423" s="34">
        <v>0</v>
      </c>
      <c r="G423" s="103">
        <v>0</v>
      </c>
      <c r="H423" s="6">
        <f t="shared" si="6"/>
        <v>0</v>
      </c>
      <c r="I423" s="5" t="s">
        <v>346</v>
      </c>
      <c r="J423" s="39"/>
      <c r="K423" s="39"/>
      <c r="L423" s="39"/>
    </row>
    <row r="424" spans="1:12" hidden="1" x14ac:dyDescent="0.3">
      <c r="A424" s="5" t="s">
        <v>5</v>
      </c>
      <c r="B424" s="5" t="s">
        <v>405</v>
      </c>
      <c r="C424" s="5" t="s">
        <v>315</v>
      </c>
      <c r="D424" s="102">
        <v>46143</v>
      </c>
      <c r="E424" s="5" t="s">
        <v>371</v>
      </c>
      <c r="F424" s="34">
        <v>0</v>
      </c>
      <c r="G424" s="103">
        <v>0</v>
      </c>
      <c r="H424" s="6">
        <f t="shared" si="6"/>
        <v>0</v>
      </c>
      <c r="I424" s="5" t="s">
        <v>406</v>
      </c>
      <c r="J424" s="39"/>
      <c r="K424" s="39"/>
      <c r="L424" s="39"/>
    </row>
    <row r="425" spans="1:12" hidden="1" x14ac:dyDescent="0.3">
      <c r="A425" s="5" t="s">
        <v>5</v>
      </c>
      <c r="B425" s="5" t="s">
        <v>423</v>
      </c>
      <c r="C425" s="5" t="s">
        <v>315</v>
      </c>
      <c r="D425" s="102">
        <v>46143</v>
      </c>
      <c r="E425" s="5" t="s">
        <v>371</v>
      </c>
      <c r="F425" s="34">
        <v>0</v>
      </c>
      <c r="G425" s="103">
        <v>0</v>
      </c>
      <c r="H425" s="6">
        <f t="shared" si="6"/>
        <v>0</v>
      </c>
      <c r="I425" s="5" t="s">
        <v>424</v>
      </c>
      <c r="J425" s="39"/>
      <c r="K425" s="39"/>
      <c r="L425" s="39"/>
    </row>
    <row r="426" spans="1:12" hidden="1" x14ac:dyDescent="0.3">
      <c r="A426" s="5" t="s">
        <v>5</v>
      </c>
      <c r="B426" s="5" t="s">
        <v>415</v>
      </c>
      <c r="C426" s="5" t="s">
        <v>315</v>
      </c>
      <c r="D426" s="102">
        <v>46143</v>
      </c>
      <c r="E426" s="5" t="s">
        <v>371</v>
      </c>
      <c r="F426" s="34">
        <v>0</v>
      </c>
      <c r="G426" s="103">
        <v>0</v>
      </c>
      <c r="H426" s="6">
        <f t="shared" si="6"/>
        <v>0</v>
      </c>
      <c r="I426" s="5" t="s">
        <v>416</v>
      </c>
      <c r="J426" s="39"/>
      <c r="K426" s="39"/>
      <c r="L426" s="39"/>
    </row>
    <row r="427" spans="1:12" hidden="1" x14ac:dyDescent="0.3">
      <c r="A427" s="5" t="s">
        <v>5</v>
      </c>
      <c r="B427" s="5" t="s">
        <v>430</v>
      </c>
      <c r="C427" s="5" t="s">
        <v>315</v>
      </c>
      <c r="D427" s="102">
        <v>46143</v>
      </c>
      <c r="E427" s="5" t="s">
        <v>371</v>
      </c>
      <c r="F427" s="34">
        <v>0</v>
      </c>
      <c r="G427" s="103">
        <v>0</v>
      </c>
      <c r="H427" s="6">
        <f t="shared" si="6"/>
        <v>0</v>
      </c>
      <c r="I427" s="5" t="s">
        <v>431</v>
      </c>
      <c r="J427" s="39"/>
      <c r="K427" s="39"/>
      <c r="L427" s="39"/>
    </row>
    <row r="428" spans="1:12" hidden="1" x14ac:dyDescent="0.3">
      <c r="A428" s="5" t="s">
        <v>5</v>
      </c>
      <c r="B428" s="5" t="s">
        <v>363</v>
      </c>
      <c r="C428" s="5" t="s">
        <v>364</v>
      </c>
      <c r="D428" s="102">
        <v>46143</v>
      </c>
      <c r="E428" s="5" t="s">
        <v>371</v>
      </c>
      <c r="F428" s="34">
        <v>0</v>
      </c>
      <c r="G428" s="103">
        <v>0</v>
      </c>
      <c r="H428" s="6">
        <f t="shared" si="6"/>
        <v>0</v>
      </c>
      <c r="I428" s="5" t="s">
        <v>407</v>
      </c>
      <c r="J428" s="39"/>
      <c r="K428" s="39"/>
      <c r="L428" s="39"/>
    </row>
    <row r="429" spans="1:12" hidden="1" x14ac:dyDescent="0.3">
      <c r="A429" s="5" t="s">
        <v>5</v>
      </c>
      <c r="B429" s="5" t="s">
        <v>327</v>
      </c>
      <c r="C429" s="5" t="s">
        <v>23</v>
      </c>
      <c r="D429" s="102">
        <v>46143</v>
      </c>
      <c r="E429" s="5" t="s">
        <v>371</v>
      </c>
      <c r="F429" s="34">
        <v>4</v>
      </c>
      <c r="G429" s="103">
        <v>119.85</v>
      </c>
      <c r="H429" s="6">
        <f t="shared" si="6"/>
        <v>479.4</v>
      </c>
      <c r="I429" s="5" t="s">
        <v>329</v>
      </c>
      <c r="J429" s="39"/>
      <c r="K429" s="39"/>
      <c r="L429" s="39"/>
    </row>
    <row r="430" spans="1:12" hidden="1" x14ac:dyDescent="0.3">
      <c r="A430" s="5" t="s">
        <v>5</v>
      </c>
      <c r="B430" s="5" t="s">
        <v>321</v>
      </c>
      <c r="C430" s="5" t="s">
        <v>26</v>
      </c>
      <c r="D430" s="102">
        <v>46143</v>
      </c>
      <c r="E430" s="5" t="s">
        <v>371</v>
      </c>
      <c r="F430" s="34">
        <v>0</v>
      </c>
      <c r="G430" s="103">
        <v>0</v>
      </c>
      <c r="H430" s="6">
        <f t="shared" si="6"/>
        <v>0</v>
      </c>
      <c r="I430" s="5" t="s">
        <v>323</v>
      </c>
      <c r="J430" s="39"/>
      <c r="K430" s="39"/>
      <c r="L430" s="39"/>
    </row>
    <row r="431" spans="1:12" hidden="1" x14ac:dyDescent="0.3">
      <c r="A431" s="5" t="s">
        <v>5</v>
      </c>
      <c r="B431" s="5" t="s">
        <v>339</v>
      </c>
      <c r="C431" s="5" t="s">
        <v>26</v>
      </c>
      <c r="D431" s="102">
        <v>46143</v>
      </c>
      <c r="E431" s="5" t="s">
        <v>371</v>
      </c>
      <c r="F431" s="34">
        <v>0</v>
      </c>
      <c r="G431" s="103">
        <v>0</v>
      </c>
      <c r="H431" s="6">
        <f t="shared" si="6"/>
        <v>0</v>
      </c>
      <c r="I431" s="5" t="s">
        <v>474</v>
      </c>
      <c r="J431" s="39"/>
      <c r="K431" s="39"/>
      <c r="L431" s="39"/>
    </row>
    <row r="432" spans="1:12" hidden="1" x14ac:dyDescent="0.3">
      <c r="A432" s="5" t="s">
        <v>5</v>
      </c>
      <c r="B432" s="5" t="s">
        <v>355</v>
      </c>
      <c r="C432" s="5" t="s">
        <v>27</v>
      </c>
      <c r="D432" s="102">
        <v>46143</v>
      </c>
      <c r="E432" s="5" t="s">
        <v>371</v>
      </c>
      <c r="F432" s="34">
        <v>0</v>
      </c>
      <c r="G432" s="103">
        <v>0</v>
      </c>
      <c r="H432" s="6">
        <f t="shared" si="6"/>
        <v>0</v>
      </c>
      <c r="I432" s="5" t="s">
        <v>356</v>
      </c>
      <c r="J432" s="39"/>
      <c r="K432" s="39"/>
      <c r="L432" s="39"/>
    </row>
    <row r="433" spans="1:12" hidden="1" x14ac:dyDescent="0.3">
      <c r="A433" s="5" t="s">
        <v>5</v>
      </c>
      <c r="B433" s="5" t="s">
        <v>355</v>
      </c>
      <c r="C433" s="5" t="s">
        <v>27</v>
      </c>
      <c r="D433" s="102">
        <v>46143</v>
      </c>
      <c r="E433" s="5" t="s">
        <v>371</v>
      </c>
      <c r="F433" s="34">
        <v>1</v>
      </c>
      <c r="G433" s="103">
        <v>4808.82</v>
      </c>
      <c r="H433" s="6">
        <f t="shared" si="6"/>
        <v>4808.82</v>
      </c>
      <c r="I433" s="5" t="s">
        <v>366</v>
      </c>
      <c r="J433" s="39"/>
      <c r="K433" s="39"/>
      <c r="L433" s="39"/>
    </row>
    <row r="434" spans="1:12" hidden="1" x14ac:dyDescent="0.3">
      <c r="A434" s="5" t="s">
        <v>5</v>
      </c>
      <c r="B434" s="5" t="s">
        <v>453</v>
      </c>
      <c r="C434" s="5" t="s">
        <v>27</v>
      </c>
      <c r="D434" s="102">
        <v>46143</v>
      </c>
      <c r="E434" s="5" t="s">
        <v>371</v>
      </c>
      <c r="F434" s="34">
        <v>0</v>
      </c>
      <c r="G434" s="103">
        <v>0</v>
      </c>
      <c r="H434" s="6">
        <f t="shared" si="6"/>
        <v>0</v>
      </c>
      <c r="I434" s="5" t="s">
        <v>401</v>
      </c>
      <c r="J434" s="39"/>
      <c r="K434" s="39"/>
      <c r="L434" s="39"/>
    </row>
    <row r="435" spans="1:12" hidden="1" x14ac:dyDescent="0.3">
      <c r="A435" s="5" t="s">
        <v>5</v>
      </c>
      <c r="B435" s="5" t="s">
        <v>462</v>
      </c>
      <c r="C435" s="5" t="s">
        <v>27</v>
      </c>
      <c r="D435" s="102">
        <v>46143</v>
      </c>
      <c r="E435" s="5" t="s">
        <v>371</v>
      </c>
      <c r="F435" s="34">
        <v>0</v>
      </c>
      <c r="G435" s="103">
        <v>0</v>
      </c>
      <c r="H435" s="6">
        <f t="shared" si="6"/>
        <v>0</v>
      </c>
      <c r="I435" s="5" t="s">
        <v>401</v>
      </c>
      <c r="J435" s="39"/>
      <c r="K435" s="39"/>
      <c r="L435" s="39"/>
    </row>
    <row r="436" spans="1:12" hidden="1" x14ac:dyDescent="0.3">
      <c r="A436" s="5" t="s">
        <v>5</v>
      </c>
      <c r="B436" s="5" t="s">
        <v>308</v>
      </c>
      <c r="C436" s="5" t="s">
        <v>309</v>
      </c>
      <c r="D436" s="102">
        <v>46143</v>
      </c>
      <c r="E436" s="5" t="s">
        <v>371</v>
      </c>
      <c r="F436" s="34">
        <v>2</v>
      </c>
      <c r="G436" s="103">
        <v>50</v>
      </c>
      <c r="H436" s="6">
        <f t="shared" si="6"/>
        <v>100</v>
      </c>
      <c r="I436" s="5" t="s">
        <v>310</v>
      </c>
      <c r="J436" s="39"/>
      <c r="K436" s="39"/>
      <c r="L436" s="39"/>
    </row>
    <row r="437" spans="1:12" hidden="1" x14ac:dyDescent="0.3">
      <c r="A437" s="5" t="s">
        <v>5</v>
      </c>
      <c r="B437" s="5" t="s">
        <v>341</v>
      </c>
      <c r="C437" s="5" t="s">
        <v>342</v>
      </c>
      <c r="D437" s="102">
        <v>46143</v>
      </c>
      <c r="E437" s="5" t="s">
        <v>322</v>
      </c>
      <c r="F437" s="34">
        <v>1</v>
      </c>
      <c r="G437" s="103">
        <v>24421.33</v>
      </c>
      <c r="H437" s="6">
        <f t="shared" si="6"/>
        <v>24421.33</v>
      </c>
      <c r="I437" s="5" t="s">
        <v>343</v>
      </c>
      <c r="J437" s="39"/>
      <c r="K437" s="39"/>
      <c r="L437" s="39"/>
    </row>
    <row r="438" spans="1:12" hidden="1" x14ac:dyDescent="0.3">
      <c r="A438" s="5" t="s">
        <v>5</v>
      </c>
      <c r="B438" s="5" t="s">
        <v>396</v>
      </c>
      <c r="C438" s="5" t="s">
        <v>397</v>
      </c>
      <c r="D438" s="102">
        <v>46143</v>
      </c>
      <c r="E438" s="5" t="s">
        <v>322</v>
      </c>
      <c r="F438" s="34">
        <v>0</v>
      </c>
      <c r="G438" s="103">
        <v>0</v>
      </c>
      <c r="H438" s="6">
        <f t="shared" si="6"/>
        <v>0</v>
      </c>
      <c r="I438" s="5" t="s">
        <v>427</v>
      </c>
      <c r="J438" s="39"/>
      <c r="K438" s="39"/>
      <c r="L438" s="39"/>
    </row>
    <row r="439" spans="1:12" hidden="1" x14ac:dyDescent="0.3">
      <c r="A439" s="5" t="s">
        <v>5</v>
      </c>
      <c r="B439" s="5" t="s">
        <v>396</v>
      </c>
      <c r="C439" s="5" t="s">
        <v>397</v>
      </c>
      <c r="D439" s="102">
        <v>46143</v>
      </c>
      <c r="E439" s="5" t="s">
        <v>322</v>
      </c>
      <c r="F439" s="34">
        <v>0</v>
      </c>
      <c r="G439" s="103">
        <v>0</v>
      </c>
      <c r="H439" s="6">
        <f t="shared" si="6"/>
        <v>0</v>
      </c>
      <c r="I439" s="5" t="s">
        <v>472</v>
      </c>
      <c r="J439" s="39"/>
      <c r="K439" s="39"/>
      <c r="L439" s="39"/>
    </row>
    <row r="440" spans="1:12" hidden="1" x14ac:dyDescent="0.3">
      <c r="A440" s="5" t="s">
        <v>5</v>
      </c>
      <c r="B440" s="5" t="s">
        <v>349</v>
      </c>
      <c r="C440" s="5" t="s">
        <v>299</v>
      </c>
      <c r="D440" s="102">
        <v>46143</v>
      </c>
      <c r="E440" s="5" t="s">
        <v>322</v>
      </c>
      <c r="F440" s="34">
        <v>111</v>
      </c>
      <c r="G440" s="103">
        <v>1.86</v>
      </c>
      <c r="H440" s="6">
        <f t="shared" si="6"/>
        <v>206.46</v>
      </c>
      <c r="I440" s="5" t="s">
        <v>515</v>
      </c>
      <c r="J440" s="39"/>
      <c r="K440" s="39"/>
      <c r="L440" s="39"/>
    </row>
    <row r="441" spans="1:12" hidden="1" x14ac:dyDescent="0.3">
      <c r="A441" s="5" t="s">
        <v>5</v>
      </c>
      <c r="B441" s="5" t="s">
        <v>359</v>
      </c>
      <c r="C441" s="5" t="s">
        <v>299</v>
      </c>
      <c r="D441" s="102">
        <v>46143</v>
      </c>
      <c r="E441" s="5" t="s">
        <v>322</v>
      </c>
      <c r="F441" s="34">
        <v>1</v>
      </c>
      <c r="G441" s="103">
        <v>383.56</v>
      </c>
      <c r="H441" s="6">
        <f t="shared" si="6"/>
        <v>383.56</v>
      </c>
      <c r="I441" s="5" t="s">
        <v>486</v>
      </c>
      <c r="J441" s="39"/>
      <c r="K441" s="39"/>
      <c r="L441" s="39"/>
    </row>
    <row r="442" spans="1:12" hidden="1" x14ac:dyDescent="0.3">
      <c r="A442" s="5" t="s">
        <v>5</v>
      </c>
      <c r="B442" s="5" t="s">
        <v>324</v>
      </c>
      <c r="C442" s="5" t="s">
        <v>299</v>
      </c>
      <c r="D442" s="102">
        <v>46143</v>
      </c>
      <c r="E442" s="5" t="s">
        <v>322</v>
      </c>
      <c r="F442" s="34">
        <v>0</v>
      </c>
      <c r="G442" s="103">
        <v>0</v>
      </c>
      <c r="H442" s="6">
        <f t="shared" si="6"/>
        <v>0</v>
      </c>
      <c r="I442" s="5" t="s">
        <v>488</v>
      </c>
      <c r="J442" s="39"/>
      <c r="K442" s="39"/>
      <c r="L442" s="39"/>
    </row>
    <row r="443" spans="1:12" hidden="1" x14ac:dyDescent="0.3">
      <c r="A443" s="5" t="s">
        <v>5</v>
      </c>
      <c r="B443" s="5" t="s">
        <v>298</v>
      </c>
      <c r="C443" s="5" t="s">
        <v>299</v>
      </c>
      <c r="D443" s="102">
        <v>46143</v>
      </c>
      <c r="E443" s="5" t="s">
        <v>322</v>
      </c>
      <c r="F443" s="34">
        <v>1</v>
      </c>
      <c r="G443" s="103">
        <v>400.26</v>
      </c>
      <c r="H443" s="6">
        <f t="shared" si="6"/>
        <v>400.26</v>
      </c>
      <c r="I443" s="5" t="s">
        <v>491</v>
      </c>
      <c r="J443" s="39"/>
      <c r="K443" s="39"/>
      <c r="L443" s="39"/>
    </row>
    <row r="444" spans="1:12" hidden="1" x14ac:dyDescent="0.3">
      <c r="A444" s="5" t="s">
        <v>5</v>
      </c>
      <c r="B444" s="5" t="s">
        <v>448</v>
      </c>
      <c r="C444" s="5" t="s">
        <v>299</v>
      </c>
      <c r="D444" s="102">
        <v>46143</v>
      </c>
      <c r="E444" s="5" t="s">
        <v>322</v>
      </c>
      <c r="F444" s="34">
        <v>1</v>
      </c>
      <c r="G444" s="103">
        <v>867</v>
      </c>
      <c r="H444" s="6">
        <f t="shared" si="6"/>
        <v>867</v>
      </c>
      <c r="I444" s="5" t="s">
        <v>493</v>
      </c>
      <c r="J444" s="39"/>
      <c r="K444" s="39"/>
      <c r="L444" s="39"/>
    </row>
    <row r="445" spans="1:12" hidden="1" x14ac:dyDescent="0.3">
      <c r="A445" s="5" t="s">
        <v>5</v>
      </c>
      <c r="B445" s="5" t="s">
        <v>448</v>
      </c>
      <c r="C445" s="5" t="s">
        <v>299</v>
      </c>
      <c r="D445" s="102">
        <v>46143</v>
      </c>
      <c r="E445" s="5" t="s">
        <v>322</v>
      </c>
      <c r="F445" s="34">
        <v>96</v>
      </c>
      <c r="G445" s="103">
        <v>12.34</v>
      </c>
      <c r="H445" s="6">
        <f t="shared" si="6"/>
        <v>1184.6399999999999</v>
      </c>
      <c r="I445" s="5" t="s">
        <v>452</v>
      </c>
      <c r="J445" s="39"/>
      <c r="K445" s="39"/>
      <c r="L445" s="39"/>
    </row>
    <row r="446" spans="1:12" hidden="1" x14ac:dyDescent="0.3">
      <c r="A446" s="5" t="s">
        <v>5</v>
      </c>
      <c r="B446" s="5" t="s">
        <v>361</v>
      </c>
      <c r="C446" s="5" t="s">
        <v>299</v>
      </c>
      <c r="D446" s="102">
        <v>46143</v>
      </c>
      <c r="E446" s="5" t="s">
        <v>322</v>
      </c>
      <c r="F446" s="128">
        <v>1</v>
      </c>
      <c r="G446" s="107">
        <v>0</v>
      </c>
      <c r="H446" s="6">
        <f t="shared" si="6"/>
        <v>0</v>
      </c>
      <c r="I446" s="5" t="s">
        <v>313</v>
      </c>
      <c r="J446" s="39"/>
      <c r="K446" s="39"/>
      <c r="L446" s="39"/>
    </row>
    <row r="447" spans="1:12" hidden="1" x14ac:dyDescent="0.3">
      <c r="A447" s="5" t="s">
        <v>5</v>
      </c>
      <c r="B447" s="5" t="s">
        <v>502</v>
      </c>
      <c r="C447" s="5" t="s">
        <v>299</v>
      </c>
      <c r="D447" s="102">
        <v>46143</v>
      </c>
      <c r="E447" s="5" t="s">
        <v>322</v>
      </c>
      <c r="F447" s="128">
        <v>2</v>
      </c>
      <c r="G447" s="107">
        <v>0</v>
      </c>
      <c r="H447" s="6">
        <f t="shared" si="6"/>
        <v>0</v>
      </c>
      <c r="I447" s="5" t="s">
        <v>268</v>
      </c>
      <c r="J447" s="39"/>
      <c r="K447" s="39"/>
      <c r="L447" s="39"/>
    </row>
    <row r="448" spans="1:12" hidden="1" x14ac:dyDescent="0.3">
      <c r="A448" s="5" t="s">
        <v>5</v>
      </c>
      <c r="B448" s="5" t="s">
        <v>387</v>
      </c>
      <c r="C448" s="5" t="s">
        <v>11</v>
      </c>
      <c r="D448" s="102">
        <v>46143</v>
      </c>
      <c r="E448" s="5" t="s">
        <v>322</v>
      </c>
      <c r="F448" s="34">
        <v>4730</v>
      </c>
      <c r="G448" s="103">
        <v>0.21237194312315091</v>
      </c>
      <c r="H448" s="6">
        <f t="shared" si="6"/>
        <v>1004.5192909725038</v>
      </c>
      <c r="I448" s="5" t="s">
        <v>307</v>
      </c>
      <c r="J448" s="39"/>
      <c r="K448" s="39"/>
      <c r="L448" s="39"/>
    </row>
    <row r="449" spans="1:12" hidden="1" x14ac:dyDescent="0.3">
      <c r="A449" s="5" t="s">
        <v>5</v>
      </c>
      <c r="B449" s="5" t="s">
        <v>441</v>
      </c>
      <c r="C449" s="5" t="s">
        <v>442</v>
      </c>
      <c r="D449" s="102">
        <v>46143</v>
      </c>
      <c r="E449" s="5" t="s">
        <v>322</v>
      </c>
      <c r="F449" s="34">
        <v>1</v>
      </c>
      <c r="G449" s="103">
        <v>15695.77</v>
      </c>
      <c r="H449" s="6">
        <f t="shared" si="6"/>
        <v>15695.77</v>
      </c>
      <c r="I449" s="5" t="s">
        <v>443</v>
      </c>
      <c r="J449" s="39"/>
      <c r="K449" s="39"/>
      <c r="L449" s="39"/>
    </row>
    <row r="450" spans="1:12" hidden="1" x14ac:dyDescent="0.3">
      <c r="A450" s="5" t="s">
        <v>5</v>
      </c>
      <c r="B450" s="5" t="s">
        <v>466</v>
      </c>
      <c r="C450" s="5" t="s">
        <v>18</v>
      </c>
      <c r="D450" s="102">
        <v>46143</v>
      </c>
      <c r="E450" s="5" t="s">
        <v>322</v>
      </c>
      <c r="F450" s="128">
        <v>1</v>
      </c>
      <c r="G450" s="110">
        <v>676.8</v>
      </c>
      <c r="H450" s="6">
        <f t="shared" ref="H450:H513" si="7">IF(OR(F450="",G450=""),"",F450*G450)</f>
        <v>676.8</v>
      </c>
      <c r="I450" s="5" t="s">
        <v>467</v>
      </c>
      <c r="J450" s="39"/>
      <c r="K450" s="39"/>
      <c r="L450" s="39"/>
    </row>
    <row r="451" spans="1:12" hidden="1" x14ac:dyDescent="0.3">
      <c r="A451" s="5" t="s">
        <v>5</v>
      </c>
      <c r="B451" s="5" t="s">
        <v>414</v>
      </c>
      <c r="C451" s="5" t="s">
        <v>302</v>
      </c>
      <c r="D451" s="102">
        <v>46143</v>
      </c>
      <c r="E451" s="5" t="s">
        <v>322</v>
      </c>
      <c r="F451" s="34">
        <v>0</v>
      </c>
      <c r="G451" s="103">
        <v>0</v>
      </c>
      <c r="H451" s="6">
        <f t="shared" si="7"/>
        <v>0</v>
      </c>
      <c r="I451" s="5" t="s">
        <v>455</v>
      </c>
      <c r="J451" s="39"/>
      <c r="K451" s="39"/>
      <c r="L451" s="39"/>
    </row>
    <row r="452" spans="1:12" hidden="1" x14ac:dyDescent="0.3">
      <c r="A452" s="5" t="s">
        <v>5</v>
      </c>
      <c r="B452" s="5" t="s">
        <v>367</v>
      </c>
      <c r="C452" s="5" t="s">
        <v>302</v>
      </c>
      <c r="D452" s="102">
        <v>46143</v>
      </c>
      <c r="E452" s="5" t="s">
        <v>322</v>
      </c>
      <c r="F452" s="34">
        <v>4</v>
      </c>
      <c r="G452" s="103">
        <v>20</v>
      </c>
      <c r="H452" s="6">
        <f t="shared" si="7"/>
        <v>80</v>
      </c>
      <c r="I452" s="5" t="s">
        <v>368</v>
      </c>
      <c r="J452" s="39"/>
      <c r="K452" s="39"/>
      <c r="L452" s="39"/>
    </row>
    <row r="453" spans="1:12" hidden="1" x14ac:dyDescent="0.3">
      <c r="A453" s="5" t="s">
        <v>5</v>
      </c>
      <c r="B453" s="5" t="s">
        <v>301</v>
      </c>
      <c r="C453" s="5" t="s">
        <v>302</v>
      </c>
      <c r="D453" s="102">
        <v>46143</v>
      </c>
      <c r="E453" s="5" t="s">
        <v>322</v>
      </c>
      <c r="F453" s="34">
        <v>0</v>
      </c>
      <c r="G453" s="103">
        <v>0</v>
      </c>
      <c r="H453" s="6">
        <f t="shared" si="7"/>
        <v>0</v>
      </c>
      <c r="I453" s="5" t="s">
        <v>303</v>
      </c>
      <c r="J453" s="39"/>
      <c r="K453" s="39"/>
      <c r="L453" s="39"/>
    </row>
    <row r="454" spans="1:12" hidden="1" x14ac:dyDescent="0.3">
      <c r="A454" s="5" t="s">
        <v>5</v>
      </c>
      <c r="B454" s="5" t="s">
        <v>450</v>
      </c>
      <c r="C454" s="5" t="s">
        <v>302</v>
      </c>
      <c r="D454" s="102">
        <v>46143</v>
      </c>
      <c r="E454" s="5" t="s">
        <v>322</v>
      </c>
      <c r="F454" s="34">
        <v>0</v>
      </c>
      <c r="G454" s="103">
        <v>0</v>
      </c>
      <c r="H454" s="6">
        <f t="shared" si="7"/>
        <v>0</v>
      </c>
      <c r="I454" s="5" t="s">
        <v>346</v>
      </c>
      <c r="J454" s="39"/>
      <c r="K454" s="39"/>
      <c r="L454" s="39"/>
    </row>
    <row r="455" spans="1:12" hidden="1" x14ac:dyDescent="0.3">
      <c r="A455" s="5" t="s">
        <v>5</v>
      </c>
      <c r="B455" s="5" t="s">
        <v>434</v>
      </c>
      <c r="C455" s="5" t="s">
        <v>315</v>
      </c>
      <c r="D455" s="102">
        <v>46143</v>
      </c>
      <c r="E455" s="5" t="s">
        <v>322</v>
      </c>
      <c r="F455" s="34">
        <v>0</v>
      </c>
      <c r="G455" s="103">
        <v>0</v>
      </c>
      <c r="H455" s="6">
        <f t="shared" si="7"/>
        <v>0</v>
      </c>
      <c r="I455" s="5" t="s">
        <v>316</v>
      </c>
      <c r="J455" s="39"/>
      <c r="K455" s="39"/>
      <c r="L455" s="39"/>
    </row>
    <row r="456" spans="1:12" hidden="1" x14ac:dyDescent="0.3">
      <c r="A456" s="5" t="s">
        <v>5</v>
      </c>
      <c r="B456" s="5" t="s">
        <v>423</v>
      </c>
      <c r="C456" s="5" t="s">
        <v>315</v>
      </c>
      <c r="D456" s="102">
        <v>46143</v>
      </c>
      <c r="E456" s="5" t="s">
        <v>322</v>
      </c>
      <c r="F456" s="34">
        <v>0</v>
      </c>
      <c r="G456" s="103">
        <v>0</v>
      </c>
      <c r="H456" s="6">
        <f t="shared" si="7"/>
        <v>0</v>
      </c>
      <c r="I456" s="5" t="s">
        <v>316</v>
      </c>
      <c r="J456" s="39"/>
      <c r="K456" s="39"/>
      <c r="L456" s="39"/>
    </row>
    <row r="457" spans="1:12" hidden="1" x14ac:dyDescent="0.3">
      <c r="A457" s="5" t="s">
        <v>5</v>
      </c>
      <c r="B457" s="5" t="s">
        <v>440</v>
      </c>
      <c r="C457" s="5" t="s">
        <v>315</v>
      </c>
      <c r="D457" s="102">
        <v>46143</v>
      </c>
      <c r="E457" s="5" t="s">
        <v>322</v>
      </c>
      <c r="F457" s="34">
        <v>0</v>
      </c>
      <c r="G457" s="103">
        <v>0</v>
      </c>
      <c r="H457" s="6">
        <f t="shared" si="7"/>
        <v>0</v>
      </c>
      <c r="I457" s="5" t="s">
        <v>394</v>
      </c>
      <c r="J457" s="39"/>
      <c r="K457" s="39"/>
      <c r="L457" s="39"/>
    </row>
    <row r="458" spans="1:12" hidden="1" x14ac:dyDescent="0.3">
      <c r="A458" s="5" t="s">
        <v>5</v>
      </c>
      <c r="B458" s="5" t="s">
        <v>430</v>
      </c>
      <c r="C458" s="5" t="s">
        <v>315</v>
      </c>
      <c r="D458" s="102">
        <v>46143</v>
      </c>
      <c r="E458" s="5" t="s">
        <v>322</v>
      </c>
      <c r="F458" s="34">
        <v>0</v>
      </c>
      <c r="G458" s="103">
        <v>0</v>
      </c>
      <c r="H458" s="6">
        <f t="shared" si="7"/>
        <v>0</v>
      </c>
      <c r="I458" s="5" t="s">
        <v>451</v>
      </c>
      <c r="J458" s="39"/>
      <c r="K458" s="39"/>
      <c r="L458" s="39"/>
    </row>
    <row r="459" spans="1:12" hidden="1" x14ac:dyDescent="0.3">
      <c r="A459" s="5" t="s">
        <v>5</v>
      </c>
      <c r="B459" s="5" t="s">
        <v>363</v>
      </c>
      <c r="C459" s="5" t="s">
        <v>364</v>
      </c>
      <c r="D459" s="102">
        <v>46143</v>
      </c>
      <c r="E459" s="5" t="s">
        <v>322</v>
      </c>
      <c r="F459" s="34">
        <v>0</v>
      </c>
      <c r="G459" s="103">
        <v>0</v>
      </c>
      <c r="H459" s="6">
        <f t="shared" si="7"/>
        <v>0</v>
      </c>
      <c r="I459" s="5" t="s">
        <v>417</v>
      </c>
      <c r="J459" s="39"/>
      <c r="K459" s="39"/>
      <c r="L459" s="39"/>
    </row>
    <row r="460" spans="1:12" hidden="1" x14ac:dyDescent="0.3">
      <c r="A460" s="5" t="s">
        <v>5</v>
      </c>
      <c r="B460" s="5" t="s">
        <v>327</v>
      </c>
      <c r="C460" s="5" t="s">
        <v>23</v>
      </c>
      <c r="D460" s="102">
        <v>46143</v>
      </c>
      <c r="E460" s="5" t="s">
        <v>322</v>
      </c>
      <c r="F460" s="34">
        <v>0</v>
      </c>
      <c r="G460" s="103">
        <v>0</v>
      </c>
      <c r="H460" s="6">
        <f t="shared" si="7"/>
        <v>0</v>
      </c>
      <c r="I460" s="5" t="s">
        <v>426</v>
      </c>
      <c r="J460" s="39"/>
      <c r="K460" s="39"/>
      <c r="L460" s="39"/>
    </row>
    <row r="461" spans="1:12" hidden="1" x14ac:dyDescent="0.3">
      <c r="A461" s="5" t="s">
        <v>5</v>
      </c>
      <c r="B461" s="5" t="s">
        <v>321</v>
      </c>
      <c r="C461" s="5" t="s">
        <v>26</v>
      </c>
      <c r="D461" s="102">
        <v>46143</v>
      </c>
      <c r="E461" s="5" t="s">
        <v>322</v>
      </c>
      <c r="F461" s="34">
        <v>0</v>
      </c>
      <c r="G461" s="103">
        <v>0</v>
      </c>
      <c r="H461" s="6">
        <f t="shared" si="7"/>
        <v>0</v>
      </c>
      <c r="I461" s="5" t="s">
        <v>323</v>
      </c>
      <c r="J461" s="39"/>
      <c r="K461" s="39"/>
      <c r="L461" s="39"/>
    </row>
    <row r="462" spans="1:12" hidden="1" x14ac:dyDescent="0.3">
      <c r="A462" s="5" t="s">
        <v>5</v>
      </c>
      <c r="B462" s="5" t="s">
        <v>355</v>
      </c>
      <c r="C462" s="5" t="s">
        <v>27</v>
      </c>
      <c r="D462" s="102">
        <v>46143</v>
      </c>
      <c r="E462" s="5" t="s">
        <v>322</v>
      </c>
      <c r="F462" s="34">
        <v>1</v>
      </c>
      <c r="G462" s="103">
        <v>111.44</v>
      </c>
      <c r="H462" s="6">
        <f t="shared" si="7"/>
        <v>111.44</v>
      </c>
      <c r="I462" s="5" t="s">
        <v>518</v>
      </c>
      <c r="J462" s="39"/>
      <c r="K462" s="39"/>
      <c r="L462" s="39"/>
    </row>
    <row r="463" spans="1:12" hidden="1" x14ac:dyDescent="0.3">
      <c r="A463" s="5" t="s">
        <v>5</v>
      </c>
      <c r="B463" s="5" t="s">
        <v>355</v>
      </c>
      <c r="C463" s="5" t="s">
        <v>27</v>
      </c>
      <c r="D463" s="102">
        <v>46143</v>
      </c>
      <c r="E463" s="5" t="s">
        <v>322</v>
      </c>
      <c r="F463" s="34">
        <v>0</v>
      </c>
      <c r="G463" s="103">
        <v>0</v>
      </c>
      <c r="H463" s="6">
        <f t="shared" si="7"/>
        <v>0</v>
      </c>
      <c r="I463" s="5" t="s">
        <v>356</v>
      </c>
      <c r="J463" s="39"/>
      <c r="K463" s="39"/>
      <c r="L463" s="39"/>
    </row>
    <row r="464" spans="1:12" hidden="1" x14ac:dyDescent="0.3">
      <c r="A464" s="5" t="s">
        <v>5</v>
      </c>
      <c r="B464" s="5" t="s">
        <v>308</v>
      </c>
      <c r="C464" s="5" t="s">
        <v>309</v>
      </c>
      <c r="D464" s="102">
        <v>46143</v>
      </c>
      <c r="E464" s="5" t="s">
        <v>322</v>
      </c>
      <c r="F464" s="34">
        <v>1</v>
      </c>
      <c r="G464" s="103">
        <v>50</v>
      </c>
      <c r="H464" s="6">
        <f t="shared" si="7"/>
        <v>50</v>
      </c>
      <c r="I464" s="5" t="s">
        <v>310</v>
      </c>
      <c r="J464" s="39"/>
      <c r="K464" s="39"/>
      <c r="L464" s="39"/>
    </row>
    <row r="465" spans="1:12" hidden="1" x14ac:dyDescent="0.3">
      <c r="A465" s="40" t="s">
        <v>5</v>
      </c>
      <c r="B465" s="40" t="s">
        <v>349</v>
      </c>
      <c r="C465" s="40" t="s">
        <v>299</v>
      </c>
      <c r="D465" s="105">
        <v>46143</v>
      </c>
      <c r="E465" s="5" t="s">
        <v>325</v>
      </c>
      <c r="F465" s="34">
        <v>285</v>
      </c>
      <c r="G465" s="103">
        <v>1.86</v>
      </c>
      <c r="H465" s="6">
        <f t="shared" si="7"/>
        <v>530.1</v>
      </c>
      <c r="I465" s="40" t="s">
        <v>515</v>
      </c>
      <c r="J465" s="39"/>
      <c r="K465" s="39"/>
      <c r="L465" s="39"/>
    </row>
    <row r="466" spans="1:12" hidden="1" x14ac:dyDescent="0.3">
      <c r="A466" s="40" t="s">
        <v>5</v>
      </c>
      <c r="B466" s="40" t="s">
        <v>327</v>
      </c>
      <c r="C466" s="40" t="s">
        <v>23</v>
      </c>
      <c r="D466" s="105">
        <v>46143</v>
      </c>
      <c r="E466" s="5" t="s">
        <v>325</v>
      </c>
      <c r="F466" s="34">
        <v>8</v>
      </c>
      <c r="G466" s="103">
        <v>123.6</v>
      </c>
      <c r="H466" s="6">
        <f t="shared" si="7"/>
        <v>988.8</v>
      </c>
      <c r="I466" s="40" t="s">
        <v>329</v>
      </c>
      <c r="J466" s="39"/>
      <c r="K466" s="39"/>
      <c r="L466" s="39"/>
    </row>
    <row r="467" spans="1:12" hidden="1" x14ac:dyDescent="0.3">
      <c r="A467" s="5" t="s">
        <v>5</v>
      </c>
      <c r="B467" s="5" t="s">
        <v>341</v>
      </c>
      <c r="C467" s="5" t="s">
        <v>342</v>
      </c>
      <c r="D467" s="102">
        <v>46143</v>
      </c>
      <c r="E467" s="5" t="s">
        <v>325</v>
      </c>
      <c r="F467" s="34">
        <v>1</v>
      </c>
      <c r="G467" s="103">
        <v>29324.31</v>
      </c>
      <c r="H467" s="6">
        <f t="shared" si="7"/>
        <v>29324.31</v>
      </c>
      <c r="I467" s="5" t="s">
        <v>343</v>
      </c>
      <c r="J467" s="39"/>
      <c r="K467" s="39"/>
      <c r="L467" s="39"/>
    </row>
    <row r="468" spans="1:12" hidden="1" x14ac:dyDescent="0.3">
      <c r="A468" s="5" t="s">
        <v>5</v>
      </c>
      <c r="B468" s="5" t="s">
        <v>483</v>
      </c>
      <c r="C468" s="5" t="s">
        <v>484</v>
      </c>
      <c r="D468" s="102">
        <v>46143</v>
      </c>
      <c r="E468" s="5" t="s">
        <v>325</v>
      </c>
      <c r="F468" s="34">
        <v>4782</v>
      </c>
      <c r="G468" s="103">
        <v>0.52631931104577279</v>
      </c>
      <c r="H468" s="6">
        <f t="shared" si="7"/>
        <v>2516.8589454208854</v>
      </c>
      <c r="I468" s="5" t="s">
        <v>307</v>
      </c>
      <c r="J468" s="39"/>
      <c r="K468" s="39"/>
      <c r="L468" s="39"/>
    </row>
    <row r="469" spans="1:12" hidden="1" x14ac:dyDescent="0.3">
      <c r="A469" s="5" t="s">
        <v>5</v>
      </c>
      <c r="B469" s="5" t="s">
        <v>349</v>
      </c>
      <c r="C469" s="5" t="s">
        <v>299</v>
      </c>
      <c r="D469" s="102">
        <v>46143</v>
      </c>
      <c r="E469" s="5" t="s">
        <v>325</v>
      </c>
      <c r="F469" s="34">
        <v>0</v>
      </c>
      <c r="G469" s="103">
        <v>0</v>
      </c>
      <c r="H469" s="6">
        <f t="shared" si="7"/>
        <v>0</v>
      </c>
      <c r="I469" s="5" t="s">
        <v>350</v>
      </c>
      <c r="J469" s="39"/>
      <c r="K469" s="39"/>
      <c r="L469" s="39"/>
    </row>
    <row r="470" spans="1:12" hidden="1" x14ac:dyDescent="0.3">
      <c r="A470" s="5" t="s">
        <v>5</v>
      </c>
      <c r="B470" s="5" t="s">
        <v>359</v>
      </c>
      <c r="C470" s="5" t="s">
        <v>299</v>
      </c>
      <c r="D470" s="102">
        <v>46143</v>
      </c>
      <c r="E470" s="5" t="s">
        <v>325</v>
      </c>
      <c r="F470" s="34">
        <v>1</v>
      </c>
      <c r="G470" s="103">
        <v>383.56</v>
      </c>
      <c r="H470" s="6">
        <f t="shared" si="7"/>
        <v>383.56</v>
      </c>
      <c r="I470" s="5" t="s">
        <v>514</v>
      </c>
      <c r="J470" s="39"/>
      <c r="K470" s="39"/>
      <c r="L470" s="39"/>
    </row>
    <row r="471" spans="1:12" hidden="1" x14ac:dyDescent="0.3">
      <c r="A471" s="5" t="s">
        <v>5</v>
      </c>
      <c r="B471" s="5" t="s">
        <v>324</v>
      </c>
      <c r="C471" s="5" t="s">
        <v>299</v>
      </c>
      <c r="D471" s="102">
        <v>46143</v>
      </c>
      <c r="E471" s="5" t="s">
        <v>325</v>
      </c>
      <c r="F471" s="34">
        <v>2</v>
      </c>
      <c r="G471" s="103">
        <v>338.53</v>
      </c>
      <c r="H471" s="6">
        <f t="shared" si="7"/>
        <v>677.06</v>
      </c>
      <c r="I471" s="5" t="s">
        <v>326</v>
      </c>
      <c r="J471" s="39"/>
      <c r="K471" s="39"/>
      <c r="L471" s="39"/>
    </row>
    <row r="472" spans="1:12" hidden="1" x14ac:dyDescent="0.3">
      <c r="A472" s="5" t="s">
        <v>5</v>
      </c>
      <c r="B472" s="5" t="s">
        <v>298</v>
      </c>
      <c r="C472" s="5" t="s">
        <v>299</v>
      </c>
      <c r="D472" s="102">
        <v>46143</v>
      </c>
      <c r="E472" s="5" t="s">
        <v>325</v>
      </c>
      <c r="F472" s="34">
        <v>2</v>
      </c>
      <c r="G472" s="103">
        <v>400.26</v>
      </c>
      <c r="H472" s="6">
        <f t="shared" si="7"/>
        <v>800.52</v>
      </c>
      <c r="I472" s="5" t="s">
        <v>336</v>
      </c>
      <c r="J472" s="39"/>
      <c r="K472" s="39"/>
      <c r="L472" s="39"/>
    </row>
    <row r="473" spans="1:12" hidden="1" x14ac:dyDescent="0.3">
      <c r="A473" s="5" t="s">
        <v>5</v>
      </c>
      <c r="B473" s="5" t="s">
        <v>351</v>
      </c>
      <c r="C473" s="5" t="s">
        <v>299</v>
      </c>
      <c r="D473" s="102">
        <v>46143</v>
      </c>
      <c r="E473" s="5" t="s">
        <v>325</v>
      </c>
      <c r="F473" s="66">
        <v>0</v>
      </c>
      <c r="G473" s="107">
        <v>0</v>
      </c>
      <c r="H473" s="6">
        <f t="shared" si="7"/>
        <v>0</v>
      </c>
      <c r="I473" s="5" t="s">
        <v>268</v>
      </c>
      <c r="J473" s="39"/>
      <c r="K473" s="39"/>
      <c r="L473" s="39"/>
    </row>
    <row r="474" spans="1:12" hidden="1" x14ac:dyDescent="0.3">
      <c r="A474" s="5" t="s">
        <v>5</v>
      </c>
      <c r="B474" s="5" t="s">
        <v>361</v>
      </c>
      <c r="C474" s="5" t="s">
        <v>299</v>
      </c>
      <c r="D474" s="102">
        <v>46143</v>
      </c>
      <c r="E474" s="5" t="s">
        <v>325</v>
      </c>
      <c r="F474" s="34">
        <v>4</v>
      </c>
      <c r="G474" s="107"/>
      <c r="H474" s="6" t="str">
        <f t="shared" si="7"/>
        <v/>
      </c>
      <c r="I474" s="5" t="s">
        <v>313</v>
      </c>
      <c r="J474" s="39"/>
      <c r="K474" s="39"/>
      <c r="L474" s="39"/>
    </row>
    <row r="475" spans="1:12" hidden="1" x14ac:dyDescent="0.3">
      <c r="A475" s="5" t="s">
        <v>5</v>
      </c>
      <c r="B475" s="5" t="s">
        <v>372</v>
      </c>
      <c r="C475" s="5" t="s">
        <v>299</v>
      </c>
      <c r="D475" s="102">
        <v>46143</v>
      </c>
      <c r="E475" s="5" t="s">
        <v>325</v>
      </c>
      <c r="F475" s="66">
        <v>0</v>
      </c>
      <c r="G475" s="107">
        <v>0</v>
      </c>
      <c r="H475" s="6">
        <f t="shared" si="7"/>
        <v>0</v>
      </c>
      <c r="I475" s="5" t="s">
        <v>313</v>
      </c>
      <c r="J475" s="39"/>
      <c r="K475" s="39"/>
      <c r="L475" s="39"/>
    </row>
    <row r="476" spans="1:12" hidden="1" x14ac:dyDescent="0.3">
      <c r="A476" s="5" t="s">
        <v>5</v>
      </c>
      <c r="B476" s="5" t="s">
        <v>378</v>
      </c>
      <c r="C476" s="5" t="s">
        <v>299</v>
      </c>
      <c r="D476" s="102">
        <v>46143</v>
      </c>
      <c r="E476" s="5" t="s">
        <v>325</v>
      </c>
      <c r="F476" s="66">
        <v>0</v>
      </c>
      <c r="G476" s="107">
        <v>0</v>
      </c>
      <c r="H476" s="6">
        <f t="shared" si="7"/>
        <v>0</v>
      </c>
      <c r="I476" s="5" t="s">
        <v>313</v>
      </c>
      <c r="J476" s="39"/>
      <c r="K476" s="39"/>
      <c r="L476" s="39"/>
    </row>
    <row r="477" spans="1:12" hidden="1" x14ac:dyDescent="0.3">
      <c r="A477" s="5" t="s">
        <v>5</v>
      </c>
      <c r="B477" s="5" t="s">
        <v>385</v>
      </c>
      <c r="C477" s="5" t="s">
        <v>299</v>
      </c>
      <c r="D477" s="102">
        <v>46143</v>
      </c>
      <c r="E477" s="5" t="s">
        <v>325</v>
      </c>
      <c r="F477" s="34">
        <v>-15</v>
      </c>
      <c r="G477" s="103"/>
      <c r="H477" s="6" t="str">
        <f t="shared" si="7"/>
        <v/>
      </c>
      <c r="I477" s="5" t="s">
        <v>313</v>
      </c>
      <c r="J477" s="39"/>
      <c r="K477" s="39"/>
      <c r="L477" s="39"/>
    </row>
    <row r="478" spans="1:12" hidden="1" x14ac:dyDescent="0.3">
      <c r="A478" s="5" t="s">
        <v>5</v>
      </c>
      <c r="B478" s="5" t="s">
        <v>387</v>
      </c>
      <c r="C478" s="5" t="s">
        <v>11</v>
      </c>
      <c r="D478" s="102">
        <v>46143</v>
      </c>
      <c r="E478" s="5" t="s">
        <v>325</v>
      </c>
      <c r="F478" s="34">
        <v>4782</v>
      </c>
      <c r="G478" s="103">
        <v>0.21237194312315091</v>
      </c>
      <c r="H478" s="6">
        <f t="shared" si="7"/>
        <v>1015.5626320149076</v>
      </c>
      <c r="I478" s="5" t="s">
        <v>307</v>
      </c>
      <c r="J478" s="39"/>
      <c r="K478" s="39"/>
      <c r="L478" s="39"/>
    </row>
    <row r="479" spans="1:12" hidden="1" x14ac:dyDescent="0.3">
      <c r="A479" s="5" t="s">
        <v>5</v>
      </c>
      <c r="B479" s="5" t="s">
        <v>463</v>
      </c>
      <c r="C479" s="5" t="s">
        <v>442</v>
      </c>
      <c r="D479" s="102">
        <v>46143</v>
      </c>
      <c r="E479" s="5" t="s">
        <v>325</v>
      </c>
      <c r="F479" s="34">
        <v>0</v>
      </c>
      <c r="G479" s="103">
        <v>0</v>
      </c>
      <c r="H479" s="6">
        <f t="shared" si="7"/>
        <v>0</v>
      </c>
      <c r="I479" s="5" t="s">
        <v>464</v>
      </c>
      <c r="J479" s="39"/>
      <c r="K479" s="39"/>
      <c r="L479" s="39"/>
    </row>
    <row r="480" spans="1:12" hidden="1" x14ac:dyDescent="0.3">
      <c r="A480" s="5" t="s">
        <v>5</v>
      </c>
      <c r="B480" s="5" t="s">
        <v>363</v>
      </c>
      <c r="C480" s="5" t="s">
        <v>442</v>
      </c>
      <c r="D480" s="102">
        <v>46143</v>
      </c>
      <c r="E480" s="5" t="s">
        <v>325</v>
      </c>
      <c r="F480" s="34">
        <v>1</v>
      </c>
      <c r="G480" s="103">
        <v>22320</v>
      </c>
      <c r="H480" s="6">
        <f t="shared" si="7"/>
        <v>22320</v>
      </c>
      <c r="I480" s="5" t="s">
        <v>522</v>
      </c>
      <c r="J480" s="39"/>
      <c r="K480" s="39"/>
      <c r="L480" s="39"/>
    </row>
    <row r="481" spans="1:12" hidden="1" x14ac:dyDescent="0.3">
      <c r="A481" s="5" t="s">
        <v>5</v>
      </c>
      <c r="B481" s="5" t="s">
        <v>466</v>
      </c>
      <c r="C481" s="5" t="s">
        <v>18</v>
      </c>
      <c r="D481" s="102">
        <v>46143</v>
      </c>
      <c r="E481" s="5" t="s">
        <v>325</v>
      </c>
      <c r="F481" s="128">
        <v>1</v>
      </c>
      <c r="G481" s="110">
        <v>676.8</v>
      </c>
      <c r="H481" s="6">
        <f t="shared" si="7"/>
        <v>676.8</v>
      </c>
      <c r="I481" s="5" t="s">
        <v>467</v>
      </c>
      <c r="J481" s="39"/>
      <c r="K481" s="39"/>
      <c r="L481" s="39"/>
    </row>
    <row r="482" spans="1:12" hidden="1" x14ac:dyDescent="0.3">
      <c r="A482" s="5" t="s">
        <v>5</v>
      </c>
      <c r="B482" s="5" t="s">
        <v>331</v>
      </c>
      <c r="C482" s="5" t="s">
        <v>302</v>
      </c>
      <c r="D482" s="102">
        <v>46143</v>
      </c>
      <c r="E482" s="5" t="s">
        <v>325</v>
      </c>
      <c r="F482" s="34">
        <v>0</v>
      </c>
      <c r="G482" s="103">
        <v>0</v>
      </c>
      <c r="H482" s="6">
        <f t="shared" si="7"/>
        <v>0</v>
      </c>
      <c r="I482" s="5" t="s">
        <v>477</v>
      </c>
      <c r="J482" s="39"/>
      <c r="K482" s="39"/>
      <c r="L482" s="39"/>
    </row>
    <row r="483" spans="1:12" hidden="1" x14ac:dyDescent="0.3">
      <c r="A483" s="5" t="s">
        <v>5</v>
      </c>
      <c r="B483" s="5" t="s">
        <v>367</v>
      </c>
      <c r="C483" s="5" t="s">
        <v>302</v>
      </c>
      <c r="D483" s="102">
        <v>46143</v>
      </c>
      <c r="E483" s="5" t="s">
        <v>325</v>
      </c>
      <c r="F483" s="34">
        <v>8</v>
      </c>
      <c r="G483" s="103">
        <v>20</v>
      </c>
      <c r="H483" s="6">
        <f t="shared" si="7"/>
        <v>160</v>
      </c>
      <c r="I483" s="5" t="s">
        <v>368</v>
      </c>
      <c r="J483" s="39"/>
      <c r="K483" s="39"/>
      <c r="L483" s="39"/>
    </row>
    <row r="484" spans="1:12" hidden="1" x14ac:dyDescent="0.3">
      <c r="A484" s="5" t="s">
        <v>5</v>
      </c>
      <c r="B484" s="5" t="s">
        <v>301</v>
      </c>
      <c r="C484" s="5" t="s">
        <v>302</v>
      </c>
      <c r="D484" s="102">
        <v>46143</v>
      </c>
      <c r="E484" s="5" t="s">
        <v>325</v>
      </c>
      <c r="F484" s="128">
        <v>1</v>
      </c>
      <c r="G484" s="110">
        <v>414.35</v>
      </c>
      <c r="H484" s="6">
        <f t="shared" si="7"/>
        <v>414.35</v>
      </c>
      <c r="I484" s="5" t="s">
        <v>303</v>
      </c>
      <c r="J484" s="39"/>
      <c r="K484" s="39"/>
      <c r="L484" s="39"/>
    </row>
    <row r="485" spans="1:12" hidden="1" x14ac:dyDescent="0.3">
      <c r="A485" s="5" t="s">
        <v>5</v>
      </c>
      <c r="B485" s="5" t="s">
        <v>345</v>
      </c>
      <c r="C485" s="5" t="s">
        <v>302</v>
      </c>
      <c r="D485" s="102">
        <v>46143</v>
      </c>
      <c r="E485" s="5" t="s">
        <v>325</v>
      </c>
      <c r="F485" s="34">
        <v>0</v>
      </c>
      <c r="G485" s="103">
        <v>0</v>
      </c>
      <c r="H485" s="6">
        <f t="shared" si="7"/>
        <v>0</v>
      </c>
      <c r="I485" s="5" t="s">
        <v>346</v>
      </c>
      <c r="J485" s="39"/>
      <c r="K485" s="39"/>
      <c r="L485" s="39"/>
    </row>
    <row r="486" spans="1:12" hidden="1" x14ac:dyDescent="0.3">
      <c r="A486" s="5" t="s">
        <v>5</v>
      </c>
      <c r="B486" s="5" t="s">
        <v>456</v>
      </c>
      <c r="C486" s="5" t="s">
        <v>315</v>
      </c>
      <c r="D486" s="102">
        <v>46143</v>
      </c>
      <c r="E486" s="5" t="s">
        <v>325</v>
      </c>
      <c r="F486" s="34">
        <v>4782</v>
      </c>
      <c r="G486" s="103">
        <v>1.01</v>
      </c>
      <c r="H486" s="6">
        <f t="shared" si="7"/>
        <v>4829.82</v>
      </c>
      <c r="I486" s="5" t="s">
        <v>307</v>
      </c>
      <c r="J486" s="39"/>
      <c r="K486" s="39"/>
      <c r="L486" s="39"/>
    </row>
    <row r="487" spans="1:12" hidden="1" x14ac:dyDescent="0.3">
      <c r="A487" s="5" t="s">
        <v>5</v>
      </c>
      <c r="B487" s="5" t="s">
        <v>459</v>
      </c>
      <c r="C487" s="5" t="s">
        <v>315</v>
      </c>
      <c r="D487" s="102">
        <v>46143</v>
      </c>
      <c r="E487" s="5" t="s">
        <v>325</v>
      </c>
      <c r="F487" s="38">
        <v>1</v>
      </c>
      <c r="G487" s="107">
        <v>2480.38</v>
      </c>
      <c r="H487" s="6">
        <f t="shared" si="7"/>
        <v>2480.38</v>
      </c>
      <c r="I487" s="5" t="s">
        <v>460</v>
      </c>
      <c r="J487" s="39"/>
      <c r="K487" s="39"/>
      <c r="L487" s="39"/>
    </row>
    <row r="488" spans="1:12" hidden="1" x14ac:dyDescent="0.3">
      <c r="A488" s="5" t="s">
        <v>5</v>
      </c>
      <c r="B488" s="5" t="s">
        <v>465</v>
      </c>
      <c r="C488" s="5" t="s">
        <v>315</v>
      </c>
      <c r="D488" s="102">
        <v>46143</v>
      </c>
      <c r="E488" s="5" t="s">
        <v>325</v>
      </c>
      <c r="F488" s="34">
        <v>0</v>
      </c>
      <c r="G488" s="103">
        <v>0</v>
      </c>
      <c r="H488" s="6">
        <f t="shared" si="7"/>
        <v>0</v>
      </c>
      <c r="I488" s="5" t="s">
        <v>460</v>
      </c>
      <c r="J488" s="39"/>
      <c r="K488" s="39"/>
      <c r="L488" s="39"/>
    </row>
    <row r="489" spans="1:12" hidden="1" x14ac:dyDescent="0.3">
      <c r="A489" s="5" t="s">
        <v>5</v>
      </c>
      <c r="B489" s="5" t="s">
        <v>473</v>
      </c>
      <c r="C489" s="5" t="s">
        <v>315</v>
      </c>
      <c r="D489" s="102">
        <v>46143</v>
      </c>
      <c r="E489" s="5" t="s">
        <v>325</v>
      </c>
      <c r="F489" s="38">
        <v>1</v>
      </c>
      <c r="G489" s="107">
        <v>13877.08</v>
      </c>
      <c r="H489" s="6">
        <f t="shared" si="7"/>
        <v>13877.08</v>
      </c>
      <c r="I489" s="5" t="s">
        <v>451</v>
      </c>
      <c r="J489" s="39"/>
      <c r="K489" s="39"/>
      <c r="L489" s="39"/>
    </row>
    <row r="490" spans="1:12" hidden="1" x14ac:dyDescent="0.3">
      <c r="A490" s="5" t="s">
        <v>5</v>
      </c>
      <c r="B490" s="5" t="s">
        <v>478</v>
      </c>
      <c r="C490" s="5" t="s">
        <v>315</v>
      </c>
      <c r="D490" s="102">
        <v>46143</v>
      </c>
      <c r="E490" s="5" t="s">
        <v>325</v>
      </c>
      <c r="F490" s="34">
        <v>0</v>
      </c>
      <c r="G490" s="103">
        <v>0</v>
      </c>
      <c r="H490" s="6">
        <f t="shared" si="7"/>
        <v>0</v>
      </c>
      <c r="I490" s="5" t="s">
        <v>394</v>
      </c>
      <c r="J490" s="39"/>
      <c r="K490" s="39"/>
      <c r="L490" s="39"/>
    </row>
    <row r="491" spans="1:12" hidden="1" x14ac:dyDescent="0.3">
      <c r="A491" s="5" t="s">
        <v>5</v>
      </c>
      <c r="B491" s="5" t="s">
        <v>337</v>
      </c>
      <c r="C491" s="40" t="s">
        <v>299</v>
      </c>
      <c r="D491" s="102">
        <v>46143</v>
      </c>
      <c r="E491" s="5" t="s">
        <v>325</v>
      </c>
      <c r="F491" s="38">
        <v>1</v>
      </c>
      <c r="G491" s="107">
        <v>25.5</v>
      </c>
      <c r="H491" s="6">
        <f t="shared" si="7"/>
        <v>25.5</v>
      </c>
      <c r="I491" s="5" t="s">
        <v>338</v>
      </c>
      <c r="J491" s="39"/>
      <c r="K491" s="39"/>
      <c r="L491" s="39"/>
    </row>
    <row r="492" spans="1:12" hidden="1" x14ac:dyDescent="0.3">
      <c r="A492" s="5" t="s">
        <v>5</v>
      </c>
      <c r="B492" s="5" t="s">
        <v>352</v>
      </c>
      <c r="C492" s="5" t="s">
        <v>318</v>
      </c>
      <c r="D492" s="102">
        <v>46143</v>
      </c>
      <c r="E492" s="5" t="s">
        <v>325</v>
      </c>
      <c r="F492" s="38">
        <v>1</v>
      </c>
      <c r="G492" s="107">
        <v>67.33</v>
      </c>
      <c r="H492" s="6">
        <f t="shared" si="7"/>
        <v>67.33</v>
      </c>
      <c r="I492" s="5" t="s">
        <v>353</v>
      </c>
      <c r="J492" s="39"/>
      <c r="K492" s="39"/>
      <c r="L492" s="39"/>
    </row>
    <row r="493" spans="1:12" hidden="1" x14ac:dyDescent="0.3">
      <c r="A493" s="5" t="s">
        <v>5</v>
      </c>
      <c r="B493" s="5" t="s">
        <v>352</v>
      </c>
      <c r="C493" s="5" t="s">
        <v>318</v>
      </c>
      <c r="D493" s="102">
        <v>46143</v>
      </c>
      <c r="E493" s="5" t="s">
        <v>325</v>
      </c>
      <c r="F493" s="34">
        <v>-1</v>
      </c>
      <c r="G493" s="103">
        <v>510</v>
      </c>
      <c r="H493" s="6">
        <f t="shared" si="7"/>
        <v>-510</v>
      </c>
      <c r="I493" s="5" t="s">
        <v>481</v>
      </c>
      <c r="J493" s="39"/>
      <c r="K493" s="39"/>
      <c r="L493" s="39"/>
    </row>
    <row r="494" spans="1:12" hidden="1" x14ac:dyDescent="0.3">
      <c r="A494" s="5" t="s">
        <v>5</v>
      </c>
      <c r="B494" s="5" t="s">
        <v>327</v>
      </c>
      <c r="C494" s="5" t="s">
        <v>23</v>
      </c>
      <c r="D494" s="102">
        <v>46143</v>
      </c>
      <c r="E494" s="5" t="s">
        <v>325</v>
      </c>
      <c r="F494" s="128">
        <v>1</v>
      </c>
      <c r="G494" s="110">
        <v>988.8</v>
      </c>
      <c r="H494" s="6">
        <f t="shared" si="7"/>
        <v>988.8</v>
      </c>
      <c r="I494" s="5" t="s">
        <v>426</v>
      </c>
      <c r="J494" s="39"/>
      <c r="K494" s="39"/>
      <c r="L494" s="39"/>
    </row>
    <row r="495" spans="1:12" hidden="1" x14ac:dyDescent="0.3">
      <c r="A495" s="5" t="s">
        <v>5</v>
      </c>
      <c r="B495" s="5" t="s">
        <v>321</v>
      </c>
      <c r="C495" s="5" t="s">
        <v>26</v>
      </c>
      <c r="D495" s="102">
        <v>46143</v>
      </c>
      <c r="E495" s="5" t="s">
        <v>325</v>
      </c>
      <c r="F495" s="34">
        <v>0</v>
      </c>
      <c r="G495" s="103">
        <v>0</v>
      </c>
      <c r="H495" s="6">
        <f t="shared" si="7"/>
        <v>0</v>
      </c>
      <c r="I495" s="5" t="s">
        <v>323</v>
      </c>
      <c r="J495" s="39"/>
      <c r="K495" s="39"/>
      <c r="L495" s="39"/>
    </row>
    <row r="496" spans="1:12" hidden="1" x14ac:dyDescent="0.3">
      <c r="A496" s="5" t="s">
        <v>5</v>
      </c>
      <c r="B496" s="5" t="s">
        <v>339</v>
      </c>
      <c r="C496" s="5" t="s">
        <v>26</v>
      </c>
      <c r="D496" s="102">
        <v>46143</v>
      </c>
      <c r="E496" s="5" t="s">
        <v>325</v>
      </c>
      <c r="F496" s="34">
        <v>0</v>
      </c>
      <c r="G496" s="103">
        <v>0</v>
      </c>
      <c r="H496" s="6">
        <f t="shared" si="7"/>
        <v>0</v>
      </c>
      <c r="I496" s="5" t="s">
        <v>340</v>
      </c>
      <c r="J496" s="39"/>
      <c r="K496" s="39"/>
      <c r="L496" s="39"/>
    </row>
    <row r="497" spans="1:12" hidden="1" x14ac:dyDescent="0.3">
      <c r="A497" s="5" t="s">
        <v>5</v>
      </c>
      <c r="B497" s="5" t="s">
        <v>355</v>
      </c>
      <c r="C497" s="5" t="s">
        <v>27</v>
      </c>
      <c r="D497" s="102">
        <v>46143</v>
      </c>
      <c r="E497" s="5" t="s">
        <v>325</v>
      </c>
      <c r="F497" s="34">
        <v>1</v>
      </c>
      <c r="G497" s="103">
        <v>4028.26</v>
      </c>
      <c r="H497" s="6">
        <f t="shared" si="7"/>
        <v>4028.26</v>
      </c>
      <c r="I497" s="5" t="s">
        <v>518</v>
      </c>
      <c r="J497" s="39"/>
      <c r="K497" s="39"/>
      <c r="L497" s="39"/>
    </row>
    <row r="498" spans="1:12" hidden="1" x14ac:dyDescent="0.3">
      <c r="A498" s="30" t="s">
        <v>5</v>
      </c>
      <c r="B498" s="30" t="s">
        <v>355</v>
      </c>
      <c r="C498" s="30" t="s">
        <v>27</v>
      </c>
      <c r="D498" s="108">
        <v>46143</v>
      </c>
      <c r="E498" s="30" t="s">
        <v>325</v>
      </c>
      <c r="F498" s="62">
        <v>0</v>
      </c>
      <c r="G498" s="96">
        <v>0</v>
      </c>
      <c r="H498" s="6">
        <f t="shared" si="7"/>
        <v>0</v>
      </c>
      <c r="I498" s="30" t="s">
        <v>356</v>
      </c>
      <c r="J498" s="39"/>
      <c r="K498" s="39"/>
      <c r="L498" s="39"/>
    </row>
    <row r="499" spans="1:12" hidden="1" x14ac:dyDescent="0.3">
      <c r="A499" s="30" t="s">
        <v>5</v>
      </c>
      <c r="B499" s="30" t="s">
        <v>503</v>
      </c>
      <c r="C499" s="30" t="s">
        <v>27</v>
      </c>
      <c r="D499" s="108">
        <v>46143</v>
      </c>
      <c r="E499" s="30" t="s">
        <v>325</v>
      </c>
      <c r="F499" s="62">
        <v>0</v>
      </c>
      <c r="G499" s="96">
        <v>0</v>
      </c>
      <c r="H499" s="6">
        <f t="shared" si="7"/>
        <v>0</v>
      </c>
      <c r="I499" s="30" t="s">
        <v>380</v>
      </c>
      <c r="J499" s="39"/>
      <c r="K499" s="39"/>
      <c r="L499" s="39"/>
    </row>
    <row r="500" spans="1:12" hidden="1" x14ac:dyDescent="0.3">
      <c r="A500" s="30" t="s">
        <v>5</v>
      </c>
      <c r="B500" s="30" t="s">
        <v>433</v>
      </c>
      <c r="C500" s="30" t="s">
        <v>27</v>
      </c>
      <c r="D500" s="108">
        <v>46143</v>
      </c>
      <c r="E500" s="30" t="s">
        <v>325</v>
      </c>
      <c r="F500" s="62">
        <v>0</v>
      </c>
      <c r="G500" s="96">
        <v>0</v>
      </c>
      <c r="H500" s="6">
        <f t="shared" si="7"/>
        <v>0</v>
      </c>
      <c r="I500" s="30" t="s">
        <v>401</v>
      </c>
      <c r="J500" s="39"/>
      <c r="K500" s="39"/>
      <c r="L500" s="39"/>
    </row>
    <row r="501" spans="1:12" hidden="1" x14ac:dyDescent="0.3">
      <c r="A501" s="30" t="s">
        <v>5</v>
      </c>
      <c r="B501" s="30" t="s">
        <v>308</v>
      </c>
      <c r="C501" s="30" t="s">
        <v>309</v>
      </c>
      <c r="D501" s="108">
        <v>46143</v>
      </c>
      <c r="E501" s="30" t="s">
        <v>325</v>
      </c>
      <c r="F501" s="62">
        <v>1</v>
      </c>
      <c r="G501" s="96">
        <v>90</v>
      </c>
      <c r="H501" s="6">
        <f t="shared" si="7"/>
        <v>90</v>
      </c>
      <c r="I501" s="30" t="s">
        <v>310</v>
      </c>
      <c r="J501" s="39"/>
      <c r="K501" s="39"/>
      <c r="L501" s="39"/>
    </row>
    <row r="502" spans="1:12" hidden="1" x14ac:dyDescent="0.3">
      <c r="A502" s="30" t="s">
        <v>5</v>
      </c>
      <c r="B502" s="30" t="s">
        <v>308</v>
      </c>
      <c r="C502" s="30" t="s">
        <v>309</v>
      </c>
      <c r="D502" s="108">
        <v>46143</v>
      </c>
      <c r="E502" s="30" t="s">
        <v>325</v>
      </c>
      <c r="F502" s="62">
        <v>2</v>
      </c>
      <c r="G502" s="96">
        <v>10</v>
      </c>
      <c r="H502" s="6">
        <f t="shared" si="7"/>
        <v>20</v>
      </c>
      <c r="I502" s="30" t="s">
        <v>310</v>
      </c>
      <c r="J502" s="39"/>
      <c r="K502" s="39"/>
      <c r="L502" s="39"/>
    </row>
    <row r="503" spans="1:12" hidden="1" x14ac:dyDescent="0.3">
      <c r="A503" s="5" t="s">
        <v>5</v>
      </c>
      <c r="B503" s="5" t="s">
        <v>308</v>
      </c>
      <c r="C503" s="5" t="s">
        <v>309</v>
      </c>
      <c r="D503" s="102">
        <v>46143</v>
      </c>
      <c r="E503" s="5" t="s">
        <v>325</v>
      </c>
      <c r="F503" s="34">
        <v>3</v>
      </c>
      <c r="G503" s="103">
        <v>50</v>
      </c>
      <c r="H503" s="6">
        <f t="shared" si="7"/>
        <v>150</v>
      </c>
      <c r="I503" s="5" t="s">
        <v>310</v>
      </c>
      <c r="J503" s="39"/>
      <c r="K503" s="39"/>
      <c r="L503" s="39"/>
    </row>
    <row r="504" spans="1:12" hidden="1" x14ac:dyDescent="0.3">
      <c r="A504" s="40" t="s">
        <v>5</v>
      </c>
      <c r="B504" s="40" t="s">
        <v>349</v>
      </c>
      <c r="C504" s="40" t="s">
        <v>299</v>
      </c>
      <c r="D504" s="105">
        <v>46143</v>
      </c>
      <c r="E504" s="40" t="s">
        <v>328</v>
      </c>
      <c r="F504" s="40">
        <v>4995</v>
      </c>
      <c r="G504" s="40">
        <v>1.86</v>
      </c>
      <c r="H504" s="6">
        <f t="shared" si="7"/>
        <v>9290.7000000000007</v>
      </c>
      <c r="I504" s="40" t="s">
        <v>515</v>
      </c>
      <c r="J504" s="39"/>
      <c r="K504" s="39"/>
      <c r="L504" s="39"/>
    </row>
    <row r="505" spans="1:12" hidden="1" x14ac:dyDescent="0.3">
      <c r="A505" s="18" t="s">
        <v>5</v>
      </c>
      <c r="B505" s="18" t="s">
        <v>349</v>
      </c>
      <c r="C505" s="18" t="s">
        <v>299</v>
      </c>
      <c r="D505" s="104">
        <v>46143</v>
      </c>
      <c r="E505" s="60" t="s">
        <v>523</v>
      </c>
      <c r="F505" s="60">
        <v>305</v>
      </c>
      <c r="G505" s="18">
        <v>1.86</v>
      </c>
      <c r="H505" s="18">
        <f t="shared" si="7"/>
        <v>567.30000000000007</v>
      </c>
      <c r="I505" s="18" t="s">
        <v>515</v>
      </c>
      <c r="J505" s="39"/>
      <c r="K505" s="39"/>
      <c r="L505" s="39"/>
    </row>
    <row r="506" spans="1:12" hidden="1" x14ac:dyDescent="0.3">
      <c r="A506" s="18" t="s">
        <v>5</v>
      </c>
      <c r="B506" s="18" t="s">
        <v>349</v>
      </c>
      <c r="C506" s="18" t="s">
        <v>299</v>
      </c>
      <c r="D506" s="104">
        <v>46143</v>
      </c>
      <c r="E506" s="5" t="s">
        <v>306</v>
      </c>
      <c r="F506" s="60">
        <v>322</v>
      </c>
      <c r="G506" s="18">
        <v>1.86</v>
      </c>
      <c r="H506" s="18">
        <f t="shared" si="7"/>
        <v>598.92000000000007</v>
      </c>
      <c r="I506" s="18" t="s">
        <v>515</v>
      </c>
      <c r="J506" s="39"/>
      <c r="K506" s="39"/>
      <c r="L506" s="39"/>
    </row>
    <row r="507" spans="1:12" hidden="1" x14ac:dyDescent="0.3">
      <c r="A507" s="18" t="s">
        <v>5</v>
      </c>
      <c r="B507" s="18" t="s">
        <v>349</v>
      </c>
      <c r="C507" s="18" t="s">
        <v>299</v>
      </c>
      <c r="D507" s="104">
        <v>46143</v>
      </c>
      <c r="E507" s="5" t="s">
        <v>312</v>
      </c>
      <c r="F507" s="60">
        <v>240</v>
      </c>
      <c r="G507" s="18">
        <v>1.86</v>
      </c>
      <c r="H507" s="18">
        <f t="shared" si="7"/>
        <v>446.40000000000003</v>
      </c>
      <c r="I507" s="18" t="s">
        <v>515</v>
      </c>
      <c r="J507" s="39"/>
      <c r="K507" s="39"/>
      <c r="L507" s="39"/>
    </row>
    <row r="508" spans="1:12" hidden="1" x14ac:dyDescent="0.3">
      <c r="A508" s="18" t="s">
        <v>5</v>
      </c>
      <c r="B508" s="18" t="s">
        <v>349</v>
      </c>
      <c r="C508" s="18" t="s">
        <v>299</v>
      </c>
      <c r="D508" s="104">
        <v>46143</v>
      </c>
      <c r="E508" s="5" t="s">
        <v>319</v>
      </c>
      <c r="F508" s="60">
        <v>679</v>
      </c>
      <c r="G508" s="18">
        <v>1.86</v>
      </c>
      <c r="H508" s="18">
        <f t="shared" si="7"/>
        <v>1262.94</v>
      </c>
      <c r="I508" s="18" t="s">
        <v>515</v>
      </c>
      <c r="J508" s="39"/>
      <c r="K508" s="39"/>
      <c r="L508" s="39"/>
    </row>
    <row r="509" spans="1:12" hidden="1" x14ac:dyDescent="0.3">
      <c r="A509" s="18" t="s">
        <v>5</v>
      </c>
      <c r="B509" s="18" t="s">
        <v>349</v>
      </c>
      <c r="C509" s="18" t="s">
        <v>299</v>
      </c>
      <c r="D509" s="104">
        <v>46143</v>
      </c>
      <c r="E509" s="5" t="s">
        <v>371</v>
      </c>
      <c r="F509" s="60">
        <v>508</v>
      </c>
      <c r="G509" s="18">
        <v>1.86</v>
      </c>
      <c r="H509" s="18">
        <f t="shared" si="7"/>
        <v>944.88</v>
      </c>
      <c r="I509" s="18" t="s">
        <v>515</v>
      </c>
      <c r="J509" s="39"/>
      <c r="K509" s="39"/>
      <c r="L509" s="39"/>
    </row>
    <row r="510" spans="1:12" hidden="1" x14ac:dyDescent="0.3">
      <c r="A510" s="18" t="s">
        <v>5</v>
      </c>
      <c r="B510" s="18" t="s">
        <v>349</v>
      </c>
      <c r="C510" s="18" t="s">
        <v>299</v>
      </c>
      <c r="D510" s="104">
        <v>46143</v>
      </c>
      <c r="E510" s="5" t="s">
        <v>322</v>
      </c>
      <c r="F510" s="60">
        <v>111</v>
      </c>
      <c r="G510" s="18">
        <v>1.86</v>
      </c>
      <c r="H510" s="18">
        <f t="shared" si="7"/>
        <v>206.46</v>
      </c>
      <c r="I510" s="18" t="s">
        <v>515</v>
      </c>
      <c r="J510" s="39"/>
      <c r="K510" s="39"/>
      <c r="L510" s="39"/>
    </row>
    <row r="511" spans="1:12" hidden="1" x14ac:dyDescent="0.3">
      <c r="A511" s="18" t="s">
        <v>5</v>
      </c>
      <c r="B511" s="18" t="s">
        <v>349</v>
      </c>
      <c r="C511" s="18" t="s">
        <v>299</v>
      </c>
      <c r="D511" s="104">
        <v>46143</v>
      </c>
      <c r="E511" s="5" t="s">
        <v>325</v>
      </c>
      <c r="F511" s="60">
        <v>285</v>
      </c>
      <c r="G511" s="18">
        <v>1.86</v>
      </c>
      <c r="H511" s="18">
        <f t="shared" si="7"/>
        <v>530.1</v>
      </c>
      <c r="I511" s="18" t="s">
        <v>515</v>
      </c>
      <c r="J511" s="39"/>
      <c r="K511" s="39"/>
      <c r="L511" s="39"/>
    </row>
    <row r="512" spans="1:12" hidden="1" x14ac:dyDescent="0.3">
      <c r="A512" s="18" t="s">
        <v>5</v>
      </c>
      <c r="B512" s="18" t="s">
        <v>327</v>
      </c>
      <c r="C512" s="18" t="s">
        <v>23</v>
      </c>
      <c r="D512" s="104">
        <v>46143</v>
      </c>
      <c r="E512" s="40" t="s">
        <v>328</v>
      </c>
      <c r="F512" s="60">
        <v>119</v>
      </c>
      <c r="G512" s="18">
        <v>122.31</v>
      </c>
      <c r="H512" s="18">
        <f t="shared" si="7"/>
        <v>14554.89</v>
      </c>
      <c r="I512" s="18" t="s">
        <v>329</v>
      </c>
      <c r="J512" s="39"/>
      <c r="K512" s="39"/>
      <c r="L512" s="39"/>
    </row>
    <row r="513" spans="1:12" hidden="1" x14ac:dyDescent="0.3">
      <c r="A513" s="18" t="s">
        <v>5</v>
      </c>
      <c r="B513" s="18" t="s">
        <v>327</v>
      </c>
      <c r="C513" s="18" t="s">
        <v>23</v>
      </c>
      <c r="D513" s="104">
        <v>46143</v>
      </c>
      <c r="E513" s="60" t="s">
        <v>523</v>
      </c>
      <c r="F513" s="60">
        <v>4</v>
      </c>
      <c r="G513" s="18">
        <v>127.35</v>
      </c>
      <c r="H513" s="18">
        <f t="shared" si="7"/>
        <v>509.4</v>
      </c>
      <c r="I513" s="18" t="s">
        <v>329</v>
      </c>
      <c r="J513" s="39"/>
      <c r="K513" s="39"/>
      <c r="L513" s="39"/>
    </row>
    <row r="514" spans="1:12" hidden="1" x14ac:dyDescent="0.3">
      <c r="A514" s="18" t="s">
        <v>5</v>
      </c>
      <c r="B514" s="18" t="s">
        <v>327</v>
      </c>
      <c r="C514" s="18" t="s">
        <v>23</v>
      </c>
      <c r="D514" s="104">
        <v>46143</v>
      </c>
      <c r="E514" s="5" t="s">
        <v>306</v>
      </c>
      <c r="F514" s="60">
        <v>18</v>
      </c>
      <c r="G514" s="18">
        <v>128.18</v>
      </c>
      <c r="H514" s="18">
        <f t="shared" ref="H514:H577" si="8">IF(OR(F514="",G514=""),"",F514*G514)</f>
        <v>2307.2400000000002</v>
      </c>
      <c r="I514" s="18" t="s">
        <v>329</v>
      </c>
      <c r="J514" s="39"/>
      <c r="K514" s="39"/>
      <c r="L514" s="39"/>
    </row>
    <row r="515" spans="1:12" hidden="1" x14ac:dyDescent="0.3">
      <c r="A515" s="18" t="s">
        <v>5</v>
      </c>
      <c r="B515" s="18" t="s">
        <v>327</v>
      </c>
      <c r="C515" s="18" t="s">
        <v>23</v>
      </c>
      <c r="D515" s="104">
        <v>46143</v>
      </c>
      <c r="E515" s="5" t="s">
        <v>312</v>
      </c>
      <c r="F515" s="60">
        <v>11</v>
      </c>
      <c r="G515" s="18">
        <v>122.58</v>
      </c>
      <c r="H515" s="18">
        <f t="shared" si="8"/>
        <v>1348.3799999999999</v>
      </c>
      <c r="I515" s="18" t="s">
        <v>329</v>
      </c>
      <c r="J515" s="39"/>
      <c r="K515" s="39"/>
      <c r="L515" s="39"/>
    </row>
    <row r="516" spans="1:12" hidden="1" x14ac:dyDescent="0.3">
      <c r="A516" s="18" t="s">
        <v>5</v>
      </c>
      <c r="B516" s="18" t="s">
        <v>327</v>
      </c>
      <c r="C516" s="18" t="s">
        <v>23</v>
      </c>
      <c r="D516" s="104">
        <v>46143</v>
      </c>
      <c r="E516" s="5" t="s">
        <v>319</v>
      </c>
      <c r="F516" s="60">
        <v>1</v>
      </c>
      <c r="G516" s="18">
        <v>119.85</v>
      </c>
      <c r="H516" s="18">
        <f t="shared" si="8"/>
        <v>119.85</v>
      </c>
      <c r="I516" s="18" t="s">
        <v>524</v>
      </c>
      <c r="J516" s="39"/>
      <c r="K516" s="39"/>
      <c r="L516" s="39"/>
    </row>
    <row r="517" spans="1:12" hidden="1" x14ac:dyDescent="0.3">
      <c r="A517" s="18" t="s">
        <v>5</v>
      </c>
      <c r="B517" s="18" t="s">
        <v>327</v>
      </c>
      <c r="C517" s="18" t="s">
        <v>23</v>
      </c>
      <c r="D517" s="104">
        <v>46143</v>
      </c>
      <c r="E517" s="5" t="s">
        <v>371</v>
      </c>
      <c r="F517" s="60">
        <v>4</v>
      </c>
      <c r="G517" s="18">
        <v>119.85</v>
      </c>
      <c r="H517" s="18">
        <f t="shared" si="8"/>
        <v>479.4</v>
      </c>
      <c r="I517" s="18" t="s">
        <v>329</v>
      </c>
      <c r="J517" s="39"/>
      <c r="K517" s="39"/>
      <c r="L517" s="39"/>
    </row>
    <row r="518" spans="1:12" hidden="1" x14ac:dyDescent="0.3">
      <c r="A518" s="40" t="s">
        <v>6</v>
      </c>
      <c r="B518" s="40" t="s">
        <v>349</v>
      </c>
      <c r="C518" s="40" t="s">
        <v>299</v>
      </c>
      <c r="D518" s="105">
        <v>46174</v>
      </c>
      <c r="E518" s="40" t="s">
        <v>328</v>
      </c>
      <c r="F518" s="38">
        <v>5160</v>
      </c>
      <c r="G518" s="107">
        <v>1.86</v>
      </c>
      <c r="H518" s="103">
        <f t="shared" si="8"/>
        <v>9597.6</v>
      </c>
      <c r="I518" s="40" t="s">
        <v>525</v>
      </c>
      <c r="J518" s="39"/>
      <c r="K518" s="39"/>
      <c r="L518" s="39"/>
    </row>
    <row r="519" spans="1:12" hidden="1" x14ac:dyDescent="0.3">
      <c r="A519" s="40" t="s">
        <v>6</v>
      </c>
      <c r="B519" s="40" t="s">
        <v>327</v>
      </c>
      <c r="C519" s="40" t="s">
        <v>23</v>
      </c>
      <c r="D519" s="105">
        <v>46174</v>
      </c>
      <c r="E519" s="40" t="s">
        <v>328</v>
      </c>
      <c r="F519" s="41">
        <v>144</v>
      </c>
      <c r="G519" s="109">
        <v>123.13</v>
      </c>
      <c r="H519" s="103">
        <f t="shared" si="8"/>
        <v>17730.72</v>
      </c>
      <c r="I519" s="40" t="s">
        <v>524</v>
      </c>
      <c r="J519" s="39"/>
      <c r="K519" s="39"/>
      <c r="L519" s="39"/>
    </row>
    <row r="520" spans="1:12" hidden="1" x14ac:dyDescent="0.3">
      <c r="A520" s="40" t="s">
        <v>6</v>
      </c>
      <c r="B520" s="40" t="s">
        <v>396</v>
      </c>
      <c r="C520" s="40" t="s">
        <v>397</v>
      </c>
      <c r="D520" s="105">
        <v>46174</v>
      </c>
      <c r="E520" s="40" t="s">
        <v>328</v>
      </c>
      <c r="F520" s="38">
        <v>1</v>
      </c>
      <c r="G520" s="107">
        <v>1222.0899999999999</v>
      </c>
      <c r="H520" s="103">
        <f t="shared" si="8"/>
        <v>1222.0899999999999</v>
      </c>
      <c r="I520" s="40" t="s">
        <v>526</v>
      </c>
      <c r="J520" s="39"/>
      <c r="K520" s="39"/>
      <c r="L520" s="39"/>
    </row>
    <row r="521" spans="1:12" hidden="1" x14ac:dyDescent="0.3">
      <c r="A521" s="40" t="s">
        <v>6</v>
      </c>
      <c r="B521" s="40" t="s">
        <v>408</v>
      </c>
      <c r="C521" s="40" t="s">
        <v>397</v>
      </c>
      <c r="D521" s="105">
        <v>46174</v>
      </c>
      <c r="E521" s="40" t="s">
        <v>328</v>
      </c>
      <c r="F521" s="41">
        <v>0</v>
      </c>
      <c r="G521" s="109">
        <v>0</v>
      </c>
      <c r="H521" s="103">
        <f t="shared" si="8"/>
        <v>0</v>
      </c>
      <c r="I521" s="40" t="s">
        <v>516</v>
      </c>
      <c r="J521" s="39"/>
      <c r="K521" s="39"/>
      <c r="L521" s="39"/>
    </row>
    <row r="522" spans="1:12" hidden="1" x14ac:dyDescent="0.3">
      <c r="A522" s="40" t="s">
        <v>6</v>
      </c>
      <c r="B522" s="40" t="s">
        <v>341</v>
      </c>
      <c r="C522" s="40" t="s">
        <v>342</v>
      </c>
      <c r="D522" s="105">
        <v>46174</v>
      </c>
      <c r="E522" s="40" t="s">
        <v>33</v>
      </c>
      <c r="F522" s="41">
        <v>1</v>
      </c>
      <c r="G522" s="109">
        <v>33737.43</v>
      </c>
      <c r="H522" s="103">
        <f t="shared" si="8"/>
        <v>33737.43</v>
      </c>
      <c r="I522" s="40" t="s">
        <v>343</v>
      </c>
      <c r="J522" s="39"/>
      <c r="K522" s="39"/>
      <c r="L522" s="39"/>
    </row>
    <row r="523" spans="1:12" hidden="1" x14ac:dyDescent="0.3">
      <c r="A523" s="40" t="s">
        <v>6</v>
      </c>
      <c r="B523" s="40" t="s">
        <v>396</v>
      </c>
      <c r="C523" s="40" t="s">
        <v>397</v>
      </c>
      <c r="D523" s="105">
        <v>46174</v>
      </c>
      <c r="E523" s="40" t="s">
        <v>33</v>
      </c>
      <c r="F523" s="41">
        <v>0</v>
      </c>
      <c r="G523" s="109">
        <v>0</v>
      </c>
      <c r="H523" s="103">
        <f t="shared" si="8"/>
        <v>0</v>
      </c>
      <c r="I523" s="40" t="s">
        <v>398</v>
      </c>
      <c r="J523" s="39"/>
      <c r="K523" s="39"/>
      <c r="L523" s="39"/>
    </row>
    <row r="524" spans="1:12" hidden="1" x14ac:dyDescent="0.3">
      <c r="A524" s="40" t="s">
        <v>6</v>
      </c>
      <c r="B524" s="40" t="s">
        <v>408</v>
      </c>
      <c r="C524" s="40" t="s">
        <v>397</v>
      </c>
      <c r="D524" s="105">
        <v>46174</v>
      </c>
      <c r="E524" s="40" t="s">
        <v>33</v>
      </c>
      <c r="F524" s="41">
        <v>0</v>
      </c>
      <c r="G524" s="109">
        <v>0</v>
      </c>
      <c r="H524" s="103">
        <f t="shared" si="8"/>
        <v>0</v>
      </c>
      <c r="I524" s="40" t="s">
        <v>516</v>
      </c>
      <c r="J524" s="39"/>
      <c r="K524" s="39"/>
      <c r="L524" s="39"/>
    </row>
    <row r="525" spans="1:12" hidden="1" x14ac:dyDescent="0.3">
      <c r="A525" s="40" t="s">
        <v>6</v>
      </c>
      <c r="B525" s="40" t="s">
        <v>349</v>
      </c>
      <c r="C525" s="40" t="s">
        <v>299</v>
      </c>
      <c r="D525" s="105">
        <v>46174</v>
      </c>
      <c r="E525" s="40" t="s">
        <v>33</v>
      </c>
      <c r="F525" s="38">
        <v>333</v>
      </c>
      <c r="G525" s="107">
        <v>1.86</v>
      </c>
      <c r="H525" s="103">
        <f t="shared" si="8"/>
        <v>619.38</v>
      </c>
      <c r="I525" s="40" t="s">
        <v>525</v>
      </c>
      <c r="J525" s="39"/>
      <c r="K525" s="39"/>
      <c r="L525" s="39"/>
    </row>
    <row r="526" spans="1:12" hidden="1" x14ac:dyDescent="0.3">
      <c r="A526" s="40" t="s">
        <v>6</v>
      </c>
      <c r="B526" s="40" t="s">
        <v>359</v>
      </c>
      <c r="C526" s="40" t="s">
        <v>299</v>
      </c>
      <c r="D526" s="105">
        <v>46174</v>
      </c>
      <c r="E526" s="40" t="s">
        <v>33</v>
      </c>
      <c r="F526" s="41">
        <v>0</v>
      </c>
      <c r="G526" s="109">
        <v>0</v>
      </c>
      <c r="H526" s="103">
        <f t="shared" si="8"/>
        <v>0</v>
      </c>
      <c r="I526" s="40" t="s">
        <v>491</v>
      </c>
      <c r="J526" s="39"/>
      <c r="K526" s="39"/>
      <c r="L526" s="39"/>
    </row>
    <row r="527" spans="1:12" hidden="1" x14ac:dyDescent="0.3">
      <c r="A527" s="40" t="s">
        <v>6</v>
      </c>
      <c r="B527" s="40" t="s">
        <v>324</v>
      </c>
      <c r="C527" s="40" t="s">
        <v>299</v>
      </c>
      <c r="D527" s="105">
        <v>46174</v>
      </c>
      <c r="E527" s="40" t="s">
        <v>33</v>
      </c>
      <c r="F527" s="41">
        <v>1</v>
      </c>
      <c r="G527" s="109">
        <v>439.28</v>
      </c>
      <c r="H527" s="103">
        <f t="shared" si="8"/>
        <v>439.28</v>
      </c>
      <c r="I527" s="40" t="s">
        <v>510</v>
      </c>
      <c r="J527" s="39"/>
      <c r="K527" s="39"/>
      <c r="L527" s="39"/>
    </row>
    <row r="528" spans="1:12" hidden="1" x14ac:dyDescent="0.3">
      <c r="A528" s="40" t="s">
        <v>6</v>
      </c>
      <c r="B528" s="40" t="s">
        <v>298</v>
      </c>
      <c r="C528" s="40" t="s">
        <v>299</v>
      </c>
      <c r="D528" s="105">
        <v>46174</v>
      </c>
      <c r="E528" s="40" t="s">
        <v>33</v>
      </c>
      <c r="F528" s="41">
        <v>0</v>
      </c>
      <c r="G528" s="109">
        <v>0</v>
      </c>
      <c r="H528" s="103">
        <f t="shared" si="8"/>
        <v>0</v>
      </c>
      <c r="I528" s="40" t="s">
        <v>510</v>
      </c>
      <c r="J528" s="39"/>
      <c r="K528" s="39"/>
      <c r="L528" s="39"/>
    </row>
    <row r="529" spans="1:12" hidden="1" x14ac:dyDescent="0.3">
      <c r="A529" s="40" t="s">
        <v>6</v>
      </c>
      <c r="B529" s="40" t="s">
        <v>527</v>
      </c>
      <c r="C529" s="40" t="s">
        <v>299</v>
      </c>
      <c r="D529" s="105">
        <v>46174</v>
      </c>
      <c r="E529" s="40" t="s">
        <v>33</v>
      </c>
      <c r="F529" s="41">
        <v>-1</v>
      </c>
      <c r="G529" s="109">
        <v>350</v>
      </c>
      <c r="H529" s="103">
        <f t="shared" si="8"/>
        <v>-350</v>
      </c>
      <c r="I529" s="40" t="s">
        <v>528</v>
      </c>
      <c r="J529" s="39"/>
      <c r="K529" s="39"/>
      <c r="L529" s="39"/>
    </row>
    <row r="530" spans="1:12" hidden="1" x14ac:dyDescent="0.3">
      <c r="A530" s="40" t="s">
        <v>6</v>
      </c>
      <c r="B530" s="40" t="s">
        <v>529</v>
      </c>
      <c r="C530" s="40" t="s">
        <v>299</v>
      </c>
      <c r="D530" s="105">
        <v>46174</v>
      </c>
      <c r="E530" s="40" t="s">
        <v>33</v>
      </c>
      <c r="F530" s="41">
        <v>-1</v>
      </c>
      <c r="G530" s="109">
        <v>206.78</v>
      </c>
      <c r="H530" s="103">
        <f t="shared" si="8"/>
        <v>-206.78</v>
      </c>
      <c r="I530" s="40" t="s">
        <v>530</v>
      </c>
      <c r="J530" s="39"/>
      <c r="K530" s="39"/>
      <c r="L530" s="39"/>
    </row>
    <row r="531" spans="1:12" hidden="1" x14ac:dyDescent="0.3">
      <c r="A531" s="40" t="s">
        <v>6</v>
      </c>
      <c r="B531" s="40" t="s">
        <v>382</v>
      </c>
      <c r="C531" s="40" t="s">
        <v>299</v>
      </c>
      <c r="D531" s="105">
        <v>46174</v>
      </c>
      <c r="E531" s="40" t="s">
        <v>33</v>
      </c>
      <c r="F531" s="41">
        <v>-1</v>
      </c>
      <c r="G531" s="109">
        <v>756.56</v>
      </c>
      <c r="H531" s="103">
        <f t="shared" si="8"/>
        <v>-756.56</v>
      </c>
      <c r="I531" s="40" t="s">
        <v>531</v>
      </c>
      <c r="J531" s="39"/>
      <c r="K531" s="39"/>
      <c r="L531" s="39"/>
    </row>
    <row r="532" spans="1:12" hidden="1" x14ac:dyDescent="0.3">
      <c r="A532" s="40" t="s">
        <v>6</v>
      </c>
      <c r="B532" s="40" t="s">
        <v>382</v>
      </c>
      <c r="C532" s="40" t="s">
        <v>299</v>
      </c>
      <c r="D532" s="105">
        <v>46174</v>
      </c>
      <c r="E532" s="40" t="s">
        <v>33</v>
      </c>
      <c r="F532" s="41">
        <v>-1</v>
      </c>
      <c r="G532" s="109">
        <v>4211.32</v>
      </c>
      <c r="H532" s="103">
        <f t="shared" si="8"/>
        <v>-4211.32</v>
      </c>
      <c r="I532" s="40" t="s">
        <v>399</v>
      </c>
      <c r="J532" s="39"/>
      <c r="K532" s="39"/>
      <c r="L532" s="39"/>
    </row>
    <row r="533" spans="1:12" hidden="1" x14ac:dyDescent="0.3">
      <c r="A533" s="40" t="s">
        <v>6</v>
      </c>
      <c r="B533" s="40" t="s">
        <v>330</v>
      </c>
      <c r="C533" s="40" t="s">
        <v>299</v>
      </c>
      <c r="D533" s="105">
        <v>46174</v>
      </c>
      <c r="E533" s="40" t="s">
        <v>33</v>
      </c>
      <c r="F533" s="38">
        <v>0</v>
      </c>
      <c r="G533" s="109">
        <v>0</v>
      </c>
      <c r="H533" s="103">
        <f t="shared" si="8"/>
        <v>0</v>
      </c>
      <c r="I533" s="40" t="s">
        <v>268</v>
      </c>
      <c r="J533" s="39"/>
      <c r="K533" s="39"/>
      <c r="L533" s="39"/>
    </row>
    <row r="534" spans="1:12" hidden="1" x14ac:dyDescent="0.3">
      <c r="A534" s="40" t="s">
        <v>6</v>
      </c>
      <c r="B534" s="40" t="s">
        <v>344</v>
      </c>
      <c r="C534" s="40" t="s">
        <v>299</v>
      </c>
      <c r="D534" s="105">
        <v>46174</v>
      </c>
      <c r="E534" s="40" t="s">
        <v>33</v>
      </c>
      <c r="F534" s="38">
        <v>0</v>
      </c>
      <c r="G534" s="109">
        <v>0</v>
      </c>
      <c r="H534" s="103">
        <f t="shared" si="8"/>
        <v>0</v>
      </c>
      <c r="I534" s="40" t="s">
        <v>313</v>
      </c>
      <c r="J534" s="39"/>
      <c r="K534" s="39"/>
      <c r="L534" s="39"/>
    </row>
    <row r="535" spans="1:12" hidden="1" x14ac:dyDescent="0.3">
      <c r="A535" s="40" t="s">
        <v>6</v>
      </c>
      <c r="B535" s="40" t="s">
        <v>354</v>
      </c>
      <c r="C535" s="40" t="s">
        <v>299</v>
      </c>
      <c r="D535" s="105">
        <v>46174</v>
      </c>
      <c r="E535" s="40" t="s">
        <v>33</v>
      </c>
      <c r="F535" s="38">
        <v>-5</v>
      </c>
      <c r="G535" s="107">
        <f>Comercial!E163</f>
        <v>410.69964539007088</v>
      </c>
      <c r="H535" s="103">
        <f t="shared" si="8"/>
        <v>-2053.4982269503544</v>
      </c>
      <c r="I535" s="40" t="s">
        <v>532</v>
      </c>
      <c r="J535" s="39"/>
      <c r="K535" s="39"/>
      <c r="L535" s="39"/>
    </row>
    <row r="536" spans="1:12" hidden="1" x14ac:dyDescent="0.3">
      <c r="A536" s="40" t="s">
        <v>6</v>
      </c>
      <c r="B536" s="40" t="s">
        <v>362</v>
      </c>
      <c r="C536" s="40" t="s">
        <v>299</v>
      </c>
      <c r="D536" s="105">
        <v>46174</v>
      </c>
      <c r="E536" s="40" t="s">
        <v>33</v>
      </c>
      <c r="F536" s="38">
        <v>3</v>
      </c>
      <c r="G536" s="107">
        <f>Comercial!B163</f>
        <v>278.60087370242218</v>
      </c>
      <c r="H536" s="103">
        <f t="shared" si="8"/>
        <v>835.80262110726653</v>
      </c>
      <c r="I536" s="40" t="s">
        <v>532</v>
      </c>
      <c r="J536" s="39"/>
      <c r="K536" s="39"/>
      <c r="L536" s="39"/>
    </row>
    <row r="537" spans="1:12" hidden="1" x14ac:dyDescent="0.3">
      <c r="A537" s="40" t="s">
        <v>6</v>
      </c>
      <c r="B537" s="40" t="s">
        <v>373</v>
      </c>
      <c r="C537" s="40" t="s">
        <v>299</v>
      </c>
      <c r="D537" s="105">
        <v>46174</v>
      </c>
      <c r="E537" s="40" t="s">
        <v>33</v>
      </c>
      <c r="F537" s="38">
        <v>0</v>
      </c>
      <c r="G537" s="109">
        <v>0</v>
      </c>
      <c r="H537" s="103">
        <f t="shared" si="8"/>
        <v>0</v>
      </c>
      <c r="I537" s="40" t="s">
        <v>313</v>
      </c>
      <c r="J537" s="39"/>
      <c r="K537" s="39"/>
      <c r="L537" s="39"/>
    </row>
    <row r="538" spans="1:12" hidden="1" x14ac:dyDescent="0.3">
      <c r="A538" s="40" t="s">
        <v>6</v>
      </c>
      <c r="B538" s="40" t="s">
        <v>387</v>
      </c>
      <c r="C538" s="40" t="s">
        <v>11</v>
      </c>
      <c r="D538" s="105">
        <v>46174</v>
      </c>
      <c r="E538" s="40" t="s">
        <v>33</v>
      </c>
      <c r="F538" s="38">
        <v>6445</v>
      </c>
      <c r="G538" s="107">
        <v>0.25375464036608258</v>
      </c>
      <c r="H538" s="103">
        <f t="shared" si="8"/>
        <v>1635.4486571594023</v>
      </c>
      <c r="I538" s="40" t="s">
        <v>307</v>
      </c>
      <c r="J538" s="39"/>
      <c r="K538" s="39"/>
      <c r="L538" s="39"/>
    </row>
    <row r="539" spans="1:12" hidden="1" x14ac:dyDescent="0.3">
      <c r="A539" s="40" t="s">
        <v>6</v>
      </c>
      <c r="B539" s="40" t="s">
        <v>441</v>
      </c>
      <c r="C539" s="40" t="s">
        <v>442</v>
      </c>
      <c r="D539" s="105">
        <v>46174</v>
      </c>
      <c r="E539" s="40" t="s">
        <v>33</v>
      </c>
      <c r="F539" s="34">
        <v>1</v>
      </c>
      <c r="G539" s="107">
        <v>9145.68</v>
      </c>
      <c r="H539" s="103">
        <f t="shared" si="8"/>
        <v>9145.68</v>
      </c>
      <c r="I539" s="40" t="s">
        <v>443</v>
      </c>
      <c r="J539" s="39"/>
      <c r="K539" s="39"/>
      <c r="L539" s="39"/>
    </row>
    <row r="540" spans="1:12" hidden="1" x14ac:dyDescent="0.3">
      <c r="A540" s="40" t="s">
        <v>6</v>
      </c>
      <c r="B540" s="40" t="s">
        <v>466</v>
      </c>
      <c r="C540" s="40" t="s">
        <v>18</v>
      </c>
      <c r="D540" s="105">
        <v>46174</v>
      </c>
      <c r="E540" s="40" t="s">
        <v>33</v>
      </c>
      <c r="F540" s="128">
        <v>0</v>
      </c>
      <c r="G540" s="110">
        <v>0</v>
      </c>
      <c r="H540" s="103">
        <f t="shared" si="8"/>
        <v>0</v>
      </c>
      <c r="I540" s="40" t="s">
        <v>467</v>
      </c>
      <c r="J540" s="39"/>
      <c r="K540" s="39"/>
      <c r="L540" s="39"/>
    </row>
    <row r="541" spans="1:12" hidden="1" x14ac:dyDescent="0.3">
      <c r="A541" s="40" t="s">
        <v>6</v>
      </c>
      <c r="B541" s="40" t="s">
        <v>331</v>
      </c>
      <c r="C541" s="40" t="s">
        <v>302</v>
      </c>
      <c r="D541" s="105">
        <v>46174</v>
      </c>
      <c r="E541" s="40" t="s">
        <v>33</v>
      </c>
      <c r="F541" s="41">
        <v>0</v>
      </c>
      <c r="G541" s="109">
        <v>0</v>
      </c>
      <c r="H541" s="103">
        <f t="shared" si="8"/>
        <v>0</v>
      </c>
      <c r="I541" s="40" t="s">
        <v>332</v>
      </c>
      <c r="J541" s="39"/>
      <c r="K541" s="39"/>
      <c r="L541" s="39"/>
    </row>
    <row r="542" spans="1:12" hidden="1" x14ac:dyDescent="0.3">
      <c r="A542" s="40" t="s">
        <v>6</v>
      </c>
      <c r="B542" s="40" t="s">
        <v>403</v>
      </c>
      <c r="C542" s="40" t="s">
        <v>302</v>
      </c>
      <c r="D542" s="105">
        <v>46174</v>
      </c>
      <c r="E542" s="40" t="s">
        <v>33</v>
      </c>
      <c r="F542" s="41">
        <v>0</v>
      </c>
      <c r="G542" s="109">
        <v>0</v>
      </c>
      <c r="H542" s="103">
        <f t="shared" si="8"/>
        <v>0</v>
      </c>
      <c r="I542" s="40" t="s">
        <v>504</v>
      </c>
      <c r="J542" s="39"/>
      <c r="K542" s="39"/>
      <c r="L542" s="39"/>
    </row>
    <row r="543" spans="1:12" hidden="1" x14ac:dyDescent="0.3">
      <c r="A543" s="40" t="s">
        <v>6</v>
      </c>
      <c r="B543" s="40" t="s">
        <v>367</v>
      </c>
      <c r="C543" s="40" t="s">
        <v>302</v>
      </c>
      <c r="D543" s="105">
        <v>46174</v>
      </c>
      <c r="E543" s="40" t="s">
        <v>33</v>
      </c>
      <c r="F543" s="34">
        <v>10</v>
      </c>
      <c r="G543" s="103">
        <v>20</v>
      </c>
      <c r="H543" s="103">
        <f t="shared" si="8"/>
        <v>200</v>
      </c>
      <c r="I543" s="40" t="s">
        <v>368</v>
      </c>
      <c r="J543" s="39"/>
      <c r="K543" s="39"/>
      <c r="L543" s="39"/>
    </row>
    <row r="544" spans="1:12" hidden="1" x14ac:dyDescent="0.3">
      <c r="A544" s="40" t="s">
        <v>6</v>
      </c>
      <c r="B544" s="40" t="s">
        <v>301</v>
      </c>
      <c r="C544" s="40" t="s">
        <v>302</v>
      </c>
      <c r="D544" s="105">
        <v>46174</v>
      </c>
      <c r="E544" s="40" t="s">
        <v>33</v>
      </c>
      <c r="F544" s="128">
        <v>1</v>
      </c>
      <c r="G544" s="110">
        <v>682.73</v>
      </c>
      <c r="H544" s="110">
        <f t="shared" si="8"/>
        <v>682.73</v>
      </c>
      <c r="I544" s="40" t="s">
        <v>533</v>
      </c>
      <c r="J544" s="39"/>
      <c r="K544" s="39"/>
      <c r="L544" s="39"/>
    </row>
    <row r="545" spans="1:12" hidden="1" x14ac:dyDescent="0.3">
      <c r="A545" s="130" t="s">
        <v>6</v>
      </c>
      <c r="B545" s="130" t="s">
        <v>301</v>
      </c>
      <c r="C545" s="130" t="s">
        <v>302</v>
      </c>
      <c r="D545" s="105">
        <v>46175</v>
      </c>
      <c r="E545" s="40" t="s">
        <v>33</v>
      </c>
      <c r="F545" s="130">
        <v>1</v>
      </c>
      <c r="G545" s="119">
        <v>894.25</v>
      </c>
      <c r="H545" s="119">
        <f t="shared" si="8"/>
        <v>894.25</v>
      </c>
      <c r="I545" s="130" t="s">
        <v>534</v>
      </c>
    </row>
    <row r="546" spans="1:12" hidden="1" x14ac:dyDescent="0.3">
      <c r="A546" s="40" t="s">
        <v>6</v>
      </c>
      <c r="B546" s="40" t="s">
        <v>345</v>
      </c>
      <c r="C546" s="40" t="s">
        <v>302</v>
      </c>
      <c r="D546" s="105">
        <v>46174</v>
      </c>
      <c r="E546" s="40" t="s">
        <v>33</v>
      </c>
      <c r="F546" s="128">
        <v>0</v>
      </c>
      <c r="G546" s="110">
        <v>0</v>
      </c>
      <c r="H546" s="110">
        <f t="shared" si="8"/>
        <v>0</v>
      </c>
      <c r="I546" s="40" t="s">
        <v>535</v>
      </c>
      <c r="J546" s="39"/>
      <c r="K546" s="39"/>
      <c r="L546" s="39"/>
    </row>
    <row r="547" spans="1:12" hidden="1" x14ac:dyDescent="0.3">
      <c r="A547" s="130" t="s">
        <v>6</v>
      </c>
      <c r="B547" s="130" t="s">
        <v>345</v>
      </c>
      <c r="C547" s="130" t="s">
        <v>302</v>
      </c>
      <c r="D547" s="105">
        <v>46174</v>
      </c>
      <c r="E547" s="40" t="s">
        <v>33</v>
      </c>
      <c r="F547" s="130">
        <v>1</v>
      </c>
      <c r="G547" s="119">
        <v>86</v>
      </c>
      <c r="H547" s="119">
        <f t="shared" si="8"/>
        <v>86</v>
      </c>
      <c r="I547" s="130" t="s">
        <v>534</v>
      </c>
    </row>
    <row r="548" spans="1:12" hidden="1" x14ac:dyDescent="0.3">
      <c r="A548" s="40" t="s">
        <v>6</v>
      </c>
      <c r="B548" s="40" t="s">
        <v>536</v>
      </c>
      <c r="C548" s="40" t="s">
        <v>315</v>
      </c>
      <c r="D548" s="105">
        <v>46174</v>
      </c>
      <c r="E548" s="40" t="s">
        <v>33</v>
      </c>
      <c r="F548" s="41">
        <v>0</v>
      </c>
      <c r="G548" s="109">
        <v>0</v>
      </c>
      <c r="H548" s="103">
        <f t="shared" si="8"/>
        <v>0</v>
      </c>
      <c r="I548" s="40" t="s">
        <v>490</v>
      </c>
      <c r="J548" s="39"/>
      <c r="K548" s="39"/>
      <c r="L548" s="39"/>
    </row>
    <row r="549" spans="1:12" hidden="1" x14ac:dyDescent="0.3">
      <c r="A549" s="40" t="s">
        <v>6</v>
      </c>
      <c r="B549" s="40" t="s">
        <v>497</v>
      </c>
      <c r="C549" s="40" t="s">
        <v>315</v>
      </c>
      <c r="D549" s="105">
        <v>46174</v>
      </c>
      <c r="E549" s="40" t="s">
        <v>33</v>
      </c>
      <c r="F549" s="41">
        <v>0</v>
      </c>
      <c r="G549" s="109">
        <v>0</v>
      </c>
      <c r="H549" s="103">
        <f t="shared" si="8"/>
        <v>0</v>
      </c>
      <c r="I549" s="40" t="s">
        <v>406</v>
      </c>
      <c r="J549" s="39"/>
      <c r="K549" s="39"/>
      <c r="L549" s="39"/>
    </row>
    <row r="550" spans="1:12" hidden="1" x14ac:dyDescent="0.3">
      <c r="A550" s="40" t="s">
        <v>6</v>
      </c>
      <c r="B550" s="40" t="s">
        <v>537</v>
      </c>
      <c r="C550" s="40" t="s">
        <v>315</v>
      </c>
      <c r="D550" s="105">
        <v>46174</v>
      </c>
      <c r="E550" s="40" t="s">
        <v>33</v>
      </c>
      <c r="F550" s="41">
        <v>0</v>
      </c>
      <c r="G550" s="109">
        <v>0</v>
      </c>
      <c r="H550" s="103">
        <f t="shared" si="8"/>
        <v>0</v>
      </c>
      <c r="I550" s="40" t="s">
        <v>495</v>
      </c>
      <c r="J550" s="39"/>
      <c r="K550" s="39"/>
      <c r="L550" s="39"/>
    </row>
    <row r="551" spans="1:12" hidden="1" x14ac:dyDescent="0.3">
      <c r="A551" s="40" t="s">
        <v>6</v>
      </c>
      <c r="B551" s="40" t="s">
        <v>500</v>
      </c>
      <c r="C551" s="40" t="s">
        <v>315</v>
      </c>
      <c r="D551" s="105">
        <v>46174</v>
      </c>
      <c r="E551" s="40" t="s">
        <v>33</v>
      </c>
      <c r="F551" s="41">
        <v>0</v>
      </c>
      <c r="G551" s="109">
        <v>0</v>
      </c>
      <c r="H551" s="103">
        <f t="shared" si="8"/>
        <v>0</v>
      </c>
      <c r="I551" s="40" t="s">
        <v>416</v>
      </c>
      <c r="J551" s="39"/>
      <c r="K551" s="39"/>
      <c r="L551" s="39"/>
    </row>
    <row r="552" spans="1:12" hidden="1" x14ac:dyDescent="0.3">
      <c r="A552" s="40" t="s">
        <v>6</v>
      </c>
      <c r="B552" s="40" t="s">
        <v>363</v>
      </c>
      <c r="C552" s="40" t="s">
        <v>364</v>
      </c>
      <c r="D552" s="105">
        <v>46174</v>
      </c>
      <c r="E552" s="40" t="s">
        <v>33</v>
      </c>
      <c r="F552" s="41">
        <v>0</v>
      </c>
      <c r="G552" s="109">
        <v>0</v>
      </c>
      <c r="H552" s="103">
        <f t="shared" si="8"/>
        <v>0</v>
      </c>
      <c r="I552" s="40" t="s">
        <v>365</v>
      </c>
      <c r="J552" s="39"/>
      <c r="K552" s="39"/>
      <c r="L552" s="39"/>
    </row>
    <row r="553" spans="1:12" hidden="1" x14ac:dyDescent="0.3">
      <c r="A553" s="40" t="s">
        <v>6</v>
      </c>
      <c r="B553" s="40" t="s">
        <v>327</v>
      </c>
      <c r="C553" s="40" t="s">
        <v>23</v>
      </c>
      <c r="D553" s="105">
        <v>46174</v>
      </c>
      <c r="E553" s="40" t="s">
        <v>33</v>
      </c>
      <c r="F553" s="41">
        <v>3</v>
      </c>
      <c r="G553" s="109">
        <v>155.82</v>
      </c>
      <c r="H553" s="103">
        <f t="shared" si="8"/>
        <v>467.46</v>
      </c>
      <c r="I553" s="40" t="s">
        <v>524</v>
      </c>
      <c r="J553" s="39"/>
      <c r="K553" s="39"/>
      <c r="L553" s="39"/>
    </row>
    <row r="554" spans="1:12" hidden="1" x14ac:dyDescent="0.3">
      <c r="A554" s="40" t="s">
        <v>6</v>
      </c>
      <c r="B554" s="40" t="s">
        <v>321</v>
      </c>
      <c r="C554" s="40" t="s">
        <v>26</v>
      </c>
      <c r="D554" s="105">
        <v>46174</v>
      </c>
      <c r="E554" s="40" t="s">
        <v>33</v>
      </c>
      <c r="F554" s="41">
        <v>0</v>
      </c>
      <c r="G554" s="109">
        <v>0</v>
      </c>
      <c r="H554" s="103">
        <f t="shared" si="8"/>
        <v>0</v>
      </c>
      <c r="I554" s="40" t="s">
        <v>323</v>
      </c>
      <c r="J554" s="39"/>
      <c r="K554" s="39"/>
      <c r="L554" s="39"/>
    </row>
    <row r="555" spans="1:12" hidden="1" x14ac:dyDescent="0.3">
      <c r="A555" s="40" t="s">
        <v>6</v>
      </c>
      <c r="B555" s="40" t="s">
        <v>339</v>
      </c>
      <c r="C555" s="40" t="s">
        <v>26</v>
      </c>
      <c r="D555" s="105">
        <v>46174</v>
      </c>
      <c r="E555" s="40" t="s">
        <v>33</v>
      </c>
      <c r="F555" s="41">
        <v>0</v>
      </c>
      <c r="G555" s="109">
        <v>0</v>
      </c>
      <c r="H555" s="103">
        <f t="shared" si="8"/>
        <v>0</v>
      </c>
      <c r="I555" s="40" t="s">
        <v>474</v>
      </c>
      <c r="J555" s="39"/>
      <c r="K555" s="39"/>
      <c r="L555" s="39"/>
    </row>
    <row r="556" spans="1:12" hidden="1" x14ac:dyDescent="0.3">
      <c r="A556" s="40" t="s">
        <v>6</v>
      </c>
      <c r="B556" s="40" t="s">
        <v>355</v>
      </c>
      <c r="C556" s="40" t="s">
        <v>27</v>
      </c>
      <c r="D556" s="105">
        <v>46174</v>
      </c>
      <c r="E556" s="40" t="s">
        <v>33</v>
      </c>
      <c r="F556" s="128">
        <v>-1</v>
      </c>
      <c r="G556" s="110">
        <v>514.86</v>
      </c>
      <c r="H556" s="103">
        <f t="shared" si="8"/>
        <v>-514.86</v>
      </c>
      <c r="I556" s="40" t="s">
        <v>538</v>
      </c>
      <c r="J556" s="39"/>
      <c r="K556" s="39"/>
      <c r="L556" s="39"/>
    </row>
    <row r="557" spans="1:12" hidden="1" x14ac:dyDescent="0.3">
      <c r="A557" s="40" t="s">
        <v>6</v>
      </c>
      <c r="B557" s="40" t="s">
        <v>308</v>
      </c>
      <c r="C557" s="40" t="s">
        <v>309</v>
      </c>
      <c r="D557" s="105">
        <v>46174</v>
      </c>
      <c r="E557" s="40" t="s">
        <v>33</v>
      </c>
      <c r="F557" s="38">
        <v>2</v>
      </c>
      <c r="G557" s="107">
        <v>50</v>
      </c>
      <c r="H557" s="103">
        <f t="shared" si="8"/>
        <v>100</v>
      </c>
      <c r="I557" s="40" t="s">
        <v>310</v>
      </c>
      <c r="J557" s="39"/>
      <c r="K557" s="39"/>
      <c r="L557" s="39"/>
    </row>
    <row r="558" spans="1:12" hidden="1" x14ac:dyDescent="0.3">
      <c r="A558" s="40" t="s">
        <v>6</v>
      </c>
      <c r="B558" s="40" t="s">
        <v>304</v>
      </c>
      <c r="C558" s="40" t="s">
        <v>305</v>
      </c>
      <c r="D558" s="105">
        <v>46174</v>
      </c>
      <c r="E558" s="5" t="s">
        <v>306</v>
      </c>
      <c r="F558" s="38">
        <v>13418</v>
      </c>
      <c r="G558" s="107">
        <v>0.42745395758506433</v>
      </c>
      <c r="H558" s="103">
        <f t="shared" si="8"/>
        <v>5735.5772028763931</v>
      </c>
      <c r="I558" s="40" t="s">
        <v>307</v>
      </c>
      <c r="J558" s="39"/>
      <c r="K558" s="39"/>
      <c r="L558" s="39"/>
    </row>
    <row r="559" spans="1:12" hidden="1" x14ac:dyDescent="0.3">
      <c r="A559" s="40" t="s">
        <v>6</v>
      </c>
      <c r="B559" s="40" t="s">
        <v>24</v>
      </c>
      <c r="C559" s="40" t="s">
        <v>333</v>
      </c>
      <c r="D559" s="105">
        <v>46174</v>
      </c>
      <c r="E559" s="40" t="s">
        <v>306</v>
      </c>
      <c r="F559" s="38">
        <v>13418</v>
      </c>
      <c r="G559" s="107">
        <v>0.26657482861582571</v>
      </c>
      <c r="H559" s="103">
        <f t="shared" si="8"/>
        <v>3576.9010503671493</v>
      </c>
      <c r="I559" s="40" t="s">
        <v>307</v>
      </c>
      <c r="J559" s="39"/>
      <c r="K559" s="39"/>
      <c r="L559" s="39"/>
    </row>
    <row r="560" spans="1:12" hidden="1" x14ac:dyDescent="0.3">
      <c r="A560" s="40" t="s">
        <v>6</v>
      </c>
      <c r="B560" s="40" t="s">
        <v>396</v>
      </c>
      <c r="C560" s="40" t="s">
        <v>397</v>
      </c>
      <c r="D560" s="105">
        <v>46174</v>
      </c>
      <c r="E560" s="40" t="s">
        <v>306</v>
      </c>
      <c r="F560" s="41">
        <v>0</v>
      </c>
      <c r="G560" s="109">
        <v>0</v>
      </c>
      <c r="H560" s="103">
        <f t="shared" si="8"/>
        <v>0</v>
      </c>
      <c r="I560" s="40" t="s">
        <v>427</v>
      </c>
      <c r="J560" s="39"/>
      <c r="K560" s="39"/>
      <c r="L560" s="39"/>
    </row>
    <row r="561" spans="1:12" hidden="1" x14ac:dyDescent="0.3">
      <c r="A561" s="40" t="s">
        <v>6</v>
      </c>
      <c r="B561" s="40" t="s">
        <v>418</v>
      </c>
      <c r="C561" s="40" t="s">
        <v>397</v>
      </c>
      <c r="D561" s="105">
        <v>46174</v>
      </c>
      <c r="E561" s="40" t="s">
        <v>306</v>
      </c>
      <c r="F561" s="41">
        <v>0</v>
      </c>
      <c r="G561" s="109">
        <v>0</v>
      </c>
      <c r="H561" s="103">
        <f t="shared" si="8"/>
        <v>0</v>
      </c>
      <c r="I561" s="40" t="s">
        <v>419</v>
      </c>
      <c r="J561" s="39"/>
      <c r="K561" s="39"/>
      <c r="L561" s="39"/>
    </row>
    <row r="562" spans="1:12" hidden="1" x14ac:dyDescent="0.3">
      <c r="A562" s="40" t="s">
        <v>6</v>
      </c>
      <c r="B562" s="40" t="s">
        <v>337</v>
      </c>
      <c r="C562" s="40" t="s">
        <v>299</v>
      </c>
      <c r="D562" s="105">
        <v>46174</v>
      </c>
      <c r="E562" s="40" t="s">
        <v>306</v>
      </c>
      <c r="F562" s="38">
        <v>1</v>
      </c>
      <c r="G562" s="107">
        <v>33.5</v>
      </c>
      <c r="H562" s="103">
        <f t="shared" si="8"/>
        <v>33.5</v>
      </c>
      <c r="I562" s="40" t="s">
        <v>410</v>
      </c>
      <c r="J562" s="39"/>
      <c r="K562" s="39"/>
      <c r="L562" s="39"/>
    </row>
    <row r="563" spans="1:12" hidden="1" x14ac:dyDescent="0.3">
      <c r="A563" s="40" t="s">
        <v>6</v>
      </c>
      <c r="B563" s="40" t="s">
        <v>337</v>
      </c>
      <c r="C563" s="40" t="s">
        <v>299</v>
      </c>
      <c r="D563" s="105">
        <v>46174</v>
      </c>
      <c r="E563" s="40" t="s">
        <v>306</v>
      </c>
      <c r="F563" s="38">
        <v>1</v>
      </c>
      <c r="G563" s="107">
        <v>22</v>
      </c>
      <c r="H563" s="103">
        <f t="shared" si="8"/>
        <v>22</v>
      </c>
      <c r="I563" s="40" t="s">
        <v>420</v>
      </c>
      <c r="J563" s="39"/>
      <c r="K563" s="39"/>
      <c r="L563" s="39"/>
    </row>
    <row r="564" spans="1:12" hidden="1" x14ac:dyDescent="0.3">
      <c r="A564" s="40" t="s">
        <v>6</v>
      </c>
      <c r="B564" s="40" t="s">
        <v>349</v>
      </c>
      <c r="C564" s="40" t="s">
        <v>299</v>
      </c>
      <c r="D564" s="105">
        <v>46174</v>
      </c>
      <c r="E564" s="40" t="s">
        <v>306</v>
      </c>
      <c r="F564" s="38">
        <v>258</v>
      </c>
      <c r="G564" s="107">
        <v>1.86</v>
      </c>
      <c r="H564" s="103">
        <f t="shared" si="8"/>
        <v>479.88000000000005</v>
      </c>
      <c r="I564" s="40" t="s">
        <v>525</v>
      </c>
      <c r="J564" s="39"/>
      <c r="K564" s="39"/>
      <c r="L564" s="39"/>
    </row>
    <row r="565" spans="1:12" hidden="1" x14ac:dyDescent="0.3">
      <c r="A565" s="40" t="s">
        <v>6</v>
      </c>
      <c r="B565" s="40" t="s">
        <v>359</v>
      </c>
      <c r="C565" s="40" t="s">
        <v>299</v>
      </c>
      <c r="D565" s="105">
        <v>46174</v>
      </c>
      <c r="E565" s="40" t="s">
        <v>306</v>
      </c>
      <c r="F565" s="41">
        <v>2</v>
      </c>
      <c r="G565" s="109">
        <v>393.04</v>
      </c>
      <c r="H565" s="103">
        <f t="shared" si="8"/>
        <v>786.08</v>
      </c>
      <c r="I565" s="40" t="s">
        <v>510</v>
      </c>
      <c r="J565" s="39"/>
      <c r="K565" s="39"/>
      <c r="L565" s="39"/>
    </row>
    <row r="566" spans="1:12" hidden="1" x14ac:dyDescent="0.3">
      <c r="A566" s="40" t="s">
        <v>6</v>
      </c>
      <c r="B566" s="40" t="s">
        <v>324</v>
      </c>
      <c r="C566" s="40" t="s">
        <v>299</v>
      </c>
      <c r="D566" s="105">
        <v>46174</v>
      </c>
      <c r="E566" s="40" t="s">
        <v>306</v>
      </c>
      <c r="F566" s="41">
        <v>2</v>
      </c>
      <c r="G566" s="109">
        <v>439.28</v>
      </c>
      <c r="H566" s="103">
        <f t="shared" si="8"/>
        <v>878.56</v>
      </c>
      <c r="I566" s="40" t="s">
        <v>510</v>
      </c>
      <c r="J566" s="39"/>
      <c r="K566" s="39"/>
      <c r="L566" s="39"/>
    </row>
    <row r="567" spans="1:12" hidden="1" x14ac:dyDescent="0.3">
      <c r="A567" s="40" t="s">
        <v>6</v>
      </c>
      <c r="B567" s="40" t="s">
        <v>298</v>
      </c>
      <c r="C567" s="40" t="s">
        <v>299</v>
      </c>
      <c r="D567" s="105">
        <v>46174</v>
      </c>
      <c r="E567" s="40" t="s">
        <v>306</v>
      </c>
      <c r="F567" s="41">
        <v>1</v>
      </c>
      <c r="G567" s="109">
        <v>407.27</v>
      </c>
      <c r="H567" s="103">
        <f t="shared" si="8"/>
        <v>407.27</v>
      </c>
      <c r="I567" s="40" t="s">
        <v>510</v>
      </c>
      <c r="J567" s="39"/>
      <c r="K567" s="39"/>
      <c r="L567" s="39"/>
    </row>
    <row r="568" spans="1:12" hidden="1" x14ac:dyDescent="0.3">
      <c r="A568" s="40" t="s">
        <v>6</v>
      </c>
      <c r="B568" s="40" t="s">
        <v>382</v>
      </c>
      <c r="C568" s="40" t="s">
        <v>299</v>
      </c>
      <c r="D568" s="105">
        <v>46174</v>
      </c>
      <c r="E568" s="40" t="s">
        <v>306</v>
      </c>
      <c r="F568" s="41">
        <v>1</v>
      </c>
      <c r="G568" s="109">
        <v>206.78</v>
      </c>
      <c r="H568" s="103">
        <f t="shared" si="8"/>
        <v>206.78</v>
      </c>
      <c r="I568" s="40" t="s">
        <v>539</v>
      </c>
      <c r="J568" s="39"/>
      <c r="K568" s="39"/>
      <c r="L568" s="39"/>
    </row>
    <row r="569" spans="1:12" hidden="1" x14ac:dyDescent="0.3">
      <c r="A569" s="40" t="s">
        <v>6</v>
      </c>
      <c r="B569" s="40" t="s">
        <v>382</v>
      </c>
      <c r="C569" s="40" t="s">
        <v>299</v>
      </c>
      <c r="D569" s="105">
        <v>46174</v>
      </c>
      <c r="E569" s="40" t="s">
        <v>306</v>
      </c>
      <c r="F569" s="41">
        <v>1</v>
      </c>
      <c r="G569" s="109">
        <v>317.52</v>
      </c>
      <c r="H569" s="103">
        <f t="shared" si="8"/>
        <v>317.52</v>
      </c>
      <c r="I569" s="40" t="s">
        <v>444</v>
      </c>
      <c r="J569" s="39"/>
      <c r="K569" s="39"/>
      <c r="L569" s="39"/>
    </row>
    <row r="570" spans="1:12" hidden="1" x14ac:dyDescent="0.3">
      <c r="A570" s="40" t="s">
        <v>6</v>
      </c>
      <c r="B570" s="40" t="s">
        <v>382</v>
      </c>
      <c r="C570" s="40" t="s">
        <v>299</v>
      </c>
      <c r="D570" s="105">
        <v>46174</v>
      </c>
      <c r="E570" s="40" t="s">
        <v>306</v>
      </c>
      <c r="F570" s="41">
        <v>49</v>
      </c>
      <c r="G570" s="109">
        <v>33.159999999999997</v>
      </c>
      <c r="H570" s="103">
        <f t="shared" si="8"/>
        <v>1624.84</v>
      </c>
      <c r="I570" s="40" t="s">
        <v>452</v>
      </c>
      <c r="J570" s="39"/>
      <c r="K570" s="39"/>
      <c r="L570" s="39"/>
    </row>
    <row r="571" spans="1:12" hidden="1" x14ac:dyDescent="0.3">
      <c r="A571" s="40" t="s">
        <v>6</v>
      </c>
      <c r="B571" s="40" t="s">
        <v>361</v>
      </c>
      <c r="C571" s="40" t="s">
        <v>299</v>
      </c>
      <c r="D571" s="105">
        <v>46174</v>
      </c>
      <c r="E571" s="40" t="s">
        <v>306</v>
      </c>
      <c r="F571" s="38">
        <v>2</v>
      </c>
      <c r="G571" s="107">
        <f>Comercial!B163</f>
        <v>278.60087370242218</v>
      </c>
      <c r="H571" s="103">
        <f t="shared" si="8"/>
        <v>557.20174740484435</v>
      </c>
      <c r="I571" s="40" t="s">
        <v>532</v>
      </c>
      <c r="J571" s="39"/>
      <c r="K571" s="39"/>
      <c r="L571" s="39"/>
    </row>
    <row r="572" spans="1:12" hidden="1" x14ac:dyDescent="0.3">
      <c r="A572" s="40" t="s">
        <v>6</v>
      </c>
      <c r="B572" s="40" t="s">
        <v>527</v>
      </c>
      <c r="C572" s="40" t="s">
        <v>299</v>
      </c>
      <c r="D572" s="105">
        <v>46175</v>
      </c>
      <c r="E572" s="40" t="s">
        <v>306</v>
      </c>
      <c r="F572" s="128">
        <v>1</v>
      </c>
      <c r="G572" s="110">
        <v>350</v>
      </c>
      <c r="H572" s="103">
        <f t="shared" si="8"/>
        <v>350</v>
      </c>
      <c r="I572" s="40" t="s">
        <v>540</v>
      </c>
      <c r="J572" s="39"/>
      <c r="K572" s="39"/>
      <c r="L572" s="39"/>
    </row>
    <row r="573" spans="1:12" hidden="1" x14ac:dyDescent="0.3">
      <c r="A573" s="40" t="s">
        <v>6</v>
      </c>
      <c r="B573" s="40" t="s">
        <v>475</v>
      </c>
      <c r="C573" s="40" t="s">
        <v>299</v>
      </c>
      <c r="D573" s="105">
        <v>46174</v>
      </c>
      <c r="E573" s="40" t="s">
        <v>306</v>
      </c>
      <c r="F573" s="38">
        <v>5</v>
      </c>
      <c r="G573" s="107">
        <f>Comercial!E163</f>
        <v>410.69964539007088</v>
      </c>
      <c r="H573" s="103">
        <f t="shared" si="8"/>
        <v>2053.4982269503544</v>
      </c>
      <c r="I573" s="40" t="s">
        <v>532</v>
      </c>
      <c r="J573" s="39"/>
      <c r="K573" s="39"/>
      <c r="L573" s="39"/>
    </row>
    <row r="574" spans="1:12" hidden="1" x14ac:dyDescent="0.3">
      <c r="A574" s="40" t="s">
        <v>6</v>
      </c>
      <c r="B574" s="40" t="s">
        <v>461</v>
      </c>
      <c r="C574" s="40" t="s">
        <v>299</v>
      </c>
      <c r="D574" s="105">
        <v>46174</v>
      </c>
      <c r="E574" s="40" t="s">
        <v>306</v>
      </c>
      <c r="F574" s="38">
        <v>0</v>
      </c>
      <c r="G574" s="109">
        <v>0</v>
      </c>
      <c r="H574" s="103">
        <f t="shared" si="8"/>
        <v>0</v>
      </c>
      <c r="I574" s="40" t="s">
        <v>313</v>
      </c>
      <c r="J574" s="39"/>
      <c r="K574" s="39"/>
      <c r="L574" s="39"/>
    </row>
    <row r="575" spans="1:12" hidden="1" x14ac:dyDescent="0.3">
      <c r="A575" s="40" t="s">
        <v>6</v>
      </c>
      <c r="B575" s="40" t="s">
        <v>468</v>
      </c>
      <c r="C575" s="40" t="s">
        <v>299</v>
      </c>
      <c r="D575" s="105">
        <v>46174</v>
      </c>
      <c r="E575" s="40" t="s">
        <v>306</v>
      </c>
      <c r="F575" s="38">
        <v>-2</v>
      </c>
      <c r="G575" s="107">
        <f>Comercial!B163</f>
        <v>278.60087370242218</v>
      </c>
      <c r="H575" s="103">
        <f t="shared" si="8"/>
        <v>-557.20174740484435</v>
      </c>
      <c r="I575" s="40" t="s">
        <v>532</v>
      </c>
      <c r="J575" s="39"/>
      <c r="K575" s="39"/>
      <c r="L575" s="39"/>
    </row>
    <row r="576" spans="1:12" hidden="1" x14ac:dyDescent="0.3">
      <c r="A576" s="40" t="s">
        <v>6</v>
      </c>
      <c r="B576" s="40" t="s">
        <v>482</v>
      </c>
      <c r="C576" s="40" t="s">
        <v>299</v>
      </c>
      <c r="D576" s="105">
        <v>46174</v>
      </c>
      <c r="E576" s="40" t="s">
        <v>306</v>
      </c>
      <c r="F576" s="38">
        <v>-3</v>
      </c>
      <c r="G576" s="107">
        <f>Comercial!B163</f>
        <v>278.60087370242218</v>
      </c>
      <c r="H576" s="103">
        <f t="shared" si="8"/>
        <v>-835.80262110726653</v>
      </c>
      <c r="I576" s="40" t="s">
        <v>532</v>
      </c>
      <c r="J576" s="39"/>
      <c r="K576" s="39"/>
      <c r="L576" s="39"/>
    </row>
    <row r="577" spans="1:12" hidden="1" x14ac:dyDescent="0.3">
      <c r="A577" s="40" t="s">
        <v>6</v>
      </c>
      <c r="B577" s="40" t="s">
        <v>479</v>
      </c>
      <c r="C577" s="40" t="s">
        <v>299</v>
      </c>
      <c r="D577" s="105">
        <v>46174</v>
      </c>
      <c r="E577" s="40" t="s">
        <v>306</v>
      </c>
      <c r="F577" s="66">
        <v>-1</v>
      </c>
      <c r="G577" s="107">
        <f>Comercial!B163</f>
        <v>278.60087370242218</v>
      </c>
      <c r="H577" s="103">
        <f t="shared" si="8"/>
        <v>-278.60087370242218</v>
      </c>
      <c r="I577" s="40" t="s">
        <v>532</v>
      </c>
      <c r="J577" s="39"/>
      <c r="K577" s="39"/>
      <c r="L577" s="39"/>
    </row>
    <row r="578" spans="1:12" hidden="1" x14ac:dyDescent="0.3">
      <c r="A578" s="40" t="s">
        <v>6</v>
      </c>
      <c r="B578" s="40" t="s">
        <v>387</v>
      </c>
      <c r="C578" s="40" t="s">
        <v>11</v>
      </c>
      <c r="D578" s="105">
        <v>46174</v>
      </c>
      <c r="E578" s="40" t="s">
        <v>306</v>
      </c>
      <c r="F578" s="38">
        <v>13418</v>
      </c>
      <c r="G578" s="107">
        <v>0.25375464036608258</v>
      </c>
      <c r="H578" s="103">
        <f t="shared" ref="H578:H641" si="9">IF(OR(F578="",G578=""),"",F578*G578)</f>
        <v>3404.8797644320962</v>
      </c>
      <c r="I578" s="40" t="s">
        <v>307</v>
      </c>
      <c r="J578" s="39"/>
      <c r="K578" s="39"/>
      <c r="L578" s="39"/>
    </row>
    <row r="579" spans="1:12" hidden="1" x14ac:dyDescent="0.3">
      <c r="A579" s="40" t="s">
        <v>6</v>
      </c>
      <c r="B579" s="40" t="s">
        <v>438</v>
      </c>
      <c r="C579" s="40" t="s">
        <v>13</v>
      </c>
      <c r="D579" s="105">
        <v>46174</v>
      </c>
      <c r="E579" s="40" t="s">
        <v>306</v>
      </c>
      <c r="F579" s="38">
        <v>13418</v>
      </c>
      <c r="G579" s="107">
        <v>0.1197613656359411</v>
      </c>
      <c r="H579" s="103">
        <f t="shared" si="9"/>
        <v>1606.9580041030576</v>
      </c>
      <c r="I579" s="40" t="s">
        <v>307</v>
      </c>
      <c r="J579" s="39"/>
      <c r="K579" s="39"/>
      <c r="L579" s="39"/>
    </row>
    <row r="580" spans="1:12" hidden="1" x14ac:dyDescent="0.3">
      <c r="A580" s="40" t="s">
        <v>6</v>
      </c>
      <c r="B580" s="40" t="s">
        <v>466</v>
      </c>
      <c r="C580" s="40" t="s">
        <v>18</v>
      </c>
      <c r="D580" s="105">
        <v>46174</v>
      </c>
      <c r="E580" s="40" t="s">
        <v>306</v>
      </c>
      <c r="F580" s="128">
        <v>0</v>
      </c>
      <c r="G580" s="110">
        <v>0</v>
      </c>
      <c r="H580" s="103">
        <f t="shared" si="9"/>
        <v>0</v>
      </c>
      <c r="I580" s="40" t="s">
        <v>467</v>
      </c>
      <c r="J580" s="39"/>
      <c r="K580" s="39"/>
      <c r="L580" s="39"/>
    </row>
    <row r="581" spans="1:12" hidden="1" x14ac:dyDescent="0.3">
      <c r="A581" s="40" t="s">
        <v>6</v>
      </c>
      <c r="B581" s="40" t="s">
        <v>301</v>
      </c>
      <c r="C581" s="40" t="s">
        <v>302</v>
      </c>
      <c r="D581" s="105">
        <v>46174</v>
      </c>
      <c r="E581" s="40" t="s">
        <v>306</v>
      </c>
      <c r="F581" s="41">
        <v>0</v>
      </c>
      <c r="G581" s="109">
        <v>0</v>
      </c>
      <c r="H581" s="103">
        <f t="shared" si="9"/>
        <v>0</v>
      </c>
      <c r="I581" s="40" t="s">
        <v>303</v>
      </c>
      <c r="J581" s="39"/>
      <c r="K581" s="39"/>
      <c r="L581" s="39"/>
    </row>
    <row r="582" spans="1:12" hidden="1" x14ac:dyDescent="0.3">
      <c r="A582" s="40" t="s">
        <v>6</v>
      </c>
      <c r="B582" s="40" t="s">
        <v>505</v>
      </c>
      <c r="C582" s="40" t="s">
        <v>315</v>
      </c>
      <c r="D582" s="105">
        <v>46174</v>
      </c>
      <c r="E582" s="40" t="s">
        <v>306</v>
      </c>
      <c r="F582" s="41">
        <v>0</v>
      </c>
      <c r="G582" s="109">
        <v>0</v>
      </c>
      <c r="H582" s="103">
        <f t="shared" si="9"/>
        <v>0</v>
      </c>
      <c r="I582" s="40" t="s">
        <v>431</v>
      </c>
      <c r="J582" s="39"/>
      <c r="K582" s="39"/>
      <c r="L582" s="39"/>
    </row>
    <row r="583" spans="1:12" hidden="1" x14ac:dyDescent="0.3">
      <c r="A583" s="40" t="s">
        <v>6</v>
      </c>
      <c r="B583" s="40" t="s">
        <v>511</v>
      </c>
      <c r="C583" s="40" t="s">
        <v>315</v>
      </c>
      <c r="D583" s="105">
        <v>46174</v>
      </c>
      <c r="E583" s="40" t="s">
        <v>306</v>
      </c>
      <c r="F583" s="41">
        <v>0</v>
      </c>
      <c r="G583" s="109">
        <v>0</v>
      </c>
      <c r="H583" s="103">
        <f t="shared" si="9"/>
        <v>0</v>
      </c>
      <c r="I583" s="40" t="s">
        <v>460</v>
      </c>
      <c r="J583" s="39"/>
      <c r="K583" s="39"/>
      <c r="L583" s="39"/>
    </row>
    <row r="584" spans="1:12" hidden="1" x14ac:dyDescent="0.3">
      <c r="A584" s="40" t="s">
        <v>6</v>
      </c>
      <c r="B584" s="40" t="s">
        <v>480</v>
      </c>
      <c r="C584" s="40" t="s">
        <v>318</v>
      </c>
      <c r="D584" s="105">
        <v>46174</v>
      </c>
      <c r="E584" s="40" t="s">
        <v>306</v>
      </c>
      <c r="F584" s="38">
        <v>1</v>
      </c>
      <c r="G584" s="107">
        <v>333.1</v>
      </c>
      <c r="H584" s="103">
        <f t="shared" si="9"/>
        <v>333.1</v>
      </c>
      <c r="I584" s="40" t="s">
        <v>519</v>
      </c>
      <c r="J584" s="39"/>
      <c r="K584" s="39"/>
      <c r="L584" s="39"/>
    </row>
    <row r="585" spans="1:12" hidden="1" x14ac:dyDescent="0.3">
      <c r="A585" s="40" t="s">
        <v>6</v>
      </c>
      <c r="B585" s="40" t="s">
        <v>317</v>
      </c>
      <c r="C585" s="40" t="s">
        <v>318</v>
      </c>
      <c r="D585" s="105">
        <v>46174</v>
      </c>
      <c r="E585" s="40" t="s">
        <v>306</v>
      </c>
      <c r="F585" s="38">
        <v>1</v>
      </c>
      <c r="G585" s="107">
        <v>238.88</v>
      </c>
      <c r="H585" s="103">
        <f t="shared" si="9"/>
        <v>238.88</v>
      </c>
      <c r="I585" s="40" t="s">
        <v>519</v>
      </c>
      <c r="J585" s="39"/>
      <c r="K585" s="39"/>
      <c r="L585" s="39"/>
    </row>
    <row r="586" spans="1:12" hidden="1" x14ac:dyDescent="0.3">
      <c r="A586" s="40" t="s">
        <v>6</v>
      </c>
      <c r="B586" s="40" t="s">
        <v>487</v>
      </c>
      <c r="C586" s="40" t="s">
        <v>318</v>
      </c>
      <c r="D586" s="105">
        <v>46174</v>
      </c>
      <c r="E586" s="40" t="s">
        <v>306</v>
      </c>
      <c r="F586" s="38">
        <v>1</v>
      </c>
      <c r="G586" s="107">
        <v>609.16999999999996</v>
      </c>
      <c r="H586" s="103">
        <f t="shared" si="9"/>
        <v>609.16999999999996</v>
      </c>
      <c r="I586" s="40" t="s">
        <v>519</v>
      </c>
      <c r="J586" s="39"/>
      <c r="K586" s="39"/>
      <c r="L586" s="39"/>
    </row>
    <row r="587" spans="1:12" hidden="1" x14ac:dyDescent="0.3">
      <c r="A587" s="40" t="s">
        <v>6</v>
      </c>
      <c r="B587" s="40" t="s">
        <v>352</v>
      </c>
      <c r="C587" s="40" t="s">
        <v>318</v>
      </c>
      <c r="D587" s="105">
        <v>46174</v>
      </c>
      <c r="E587" s="40" t="s">
        <v>306</v>
      </c>
      <c r="F587" s="38">
        <v>1</v>
      </c>
      <c r="G587" s="107">
        <v>510</v>
      </c>
      <c r="H587" s="103">
        <f t="shared" si="9"/>
        <v>510</v>
      </c>
      <c r="I587" s="40" t="s">
        <v>519</v>
      </c>
      <c r="J587" s="39"/>
      <c r="K587" s="39"/>
      <c r="L587" s="39"/>
    </row>
    <row r="588" spans="1:12" hidden="1" x14ac:dyDescent="0.3">
      <c r="A588" s="40" t="s">
        <v>6</v>
      </c>
      <c r="B588" s="40" t="s">
        <v>541</v>
      </c>
      <c r="C588" s="40" t="s">
        <v>318</v>
      </c>
      <c r="D588" s="105">
        <v>46174</v>
      </c>
      <c r="E588" s="40" t="s">
        <v>306</v>
      </c>
      <c r="F588" s="38">
        <v>1</v>
      </c>
      <c r="G588" s="107">
        <v>1833.24</v>
      </c>
      <c r="H588" s="103">
        <f t="shared" si="9"/>
        <v>1833.24</v>
      </c>
      <c r="I588" s="40" t="s">
        <v>519</v>
      </c>
      <c r="J588" s="39"/>
      <c r="K588" s="39"/>
      <c r="L588" s="39"/>
    </row>
    <row r="589" spans="1:12" hidden="1" x14ac:dyDescent="0.3">
      <c r="A589" s="40" t="s">
        <v>6</v>
      </c>
      <c r="B589" s="40" t="s">
        <v>498</v>
      </c>
      <c r="C589" s="40" t="s">
        <v>318</v>
      </c>
      <c r="D589" s="105">
        <v>46174</v>
      </c>
      <c r="E589" s="40" t="s">
        <v>306</v>
      </c>
      <c r="F589" s="38">
        <v>1</v>
      </c>
      <c r="G589" s="107">
        <v>2973.2</v>
      </c>
      <c r="H589" s="103">
        <f t="shared" si="9"/>
        <v>2973.2</v>
      </c>
      <c r="I589" s="40" t="s">
        <v>519</v>
      </c>
      <c r="J589" s="39"/>
      <c r="K589" s="39"/>
      <c r="L589" s="39"/>
    </row>
    <row r="590" spans="1:12" hidden="1" x14ac:dyDescent="0.3">
      <c r="A590" s="40" t="s">
        <v>6</v>
      </c>
      <c r="B590" s="40" t="s">
        <v>501</v>
      </c>
      <c r="C590" s="40" t="s">
        <v>318</v>
      </c>
      <c r="D590" s="105">
        <v>46174</v>
      </c>
      <c r="E590" s="40" t="s">
        <v>306</v>
      </c>
      <c r="F590" s="38">
        <v>1</v>
      </c>
      <c r="G590" s="107">
        <v>7615.46</v>
      </c>
      <c r="H590" s="103">
        <f t="shared" si="9"/>
        <v>7615.46</v>
      </c>
      <c r="I590" s="40" t="s">
        <v>519</v>
      </c>
      <c r="J590" s="39"/>
      <c r="K590" s="39"/>
      <c r="L590" s="39"/>
    </row>
    <row r="591" spans="1:12" hidden="1" x14ac:dyDescent="0.3">
      <c r="A591" s="40" t="s">
        <v>6</v>
      </c>
      <c r="B591" s="40" t="s">
        <v>363</v>
      </c>
      <c r="C591" s="40" t="s">
        <v>364</v>
      </c>
      <c r="D591" s="105">
        <v>46174</v>
      </c>
      <c r="E591" s="40" t="s">
        <v>306</v>
      </c>
      <c r="F591" s="41">
        <v>0</v>
      </c>
      <c r="G591" s="109">
        <v>0</v>
      </c>
      <c r="H591" s="103">
        <f t="shared" si="9"/>
        <v>0</v>
      </c>
      <c r="I591" s="40" t="s">
        <v>374</v>
      </c>
      <c r="J591" s="39"/>
      <c r="K591" s="39"/>
      <c r="L591" s="39"/>
    </row>
    <row r="592" spans="1:12" hidden="1" x14ac:dyDescent="0.3">
      <c r="A592" s="40" t="s">
        <v>6</v>
      </c>
      <c r="B592" s="40" t="s">
        <v>327</v>
      </c>
      <c r="C592" s="40" t="s">
        <v>23</v>
      </c>
      <c r="D592" s="105">
        <v>46174</v>
      </c>
      <c r="E592" s="40" t="s">
        <v>306</v>
      </c>
      <c r="F592" s="41">
        <v>18</v>
      </c>
      <c r="G592" s="109">
        <v>139.33000000000001</v>
      </c>
      <c r="H592" s="103">
        <f t="shared" si="9"/>
        <v>2507.94</v>
      </c>
      <c r="I592" s="40" t="s">
        <v>426</v>
      </c>
      <c r="J592" s="39"/>
      <c r="K592" s="39"/>
      <c r="L592" s="39"/>
    </row>
    <row r="593" spans="1:12" hidden="1" x14ac:dyDescent="0.3">
      <c r="A593" s="40" t="s">
        <v>6</v>
      </c>
      <c r="B593" s="40" t="s">
        <v>469</v>
      </c>
      <c r="C593" s="40" t="s">
        <v>25</v>
      </c>
      <c r="D593" s="105">
        <v>46174</v>
      </c>
      <c r="E593" s="40" t="s">
        <v>306</v>
      </c>
      <c r="F593" s="38">
        <v>13418</v>
      </c>
      <c r="G593" s="107">
        <v>3.2322367748664291</v>
      </c>
      <c r="H593" s="103">
        <f t="shared" si="9"/>
        <v>43370.153045157749</v>
      </c>
      <c r="I593" s="40" t="s">
        <v>470</v>
      </c>
      <c r="J593" s="39"/>
      <c r="K593" s="39"/>
      <c r="L593" s="39"/>
    </row>
    <row r="594" spans="1:12" hidden="1" x14ac:dyDescent="0.3">
      <c r="A594" s="40" t="s">
        <v>6</v>
      </c>
      <c r="B594" s="40" t="s">
        <v>321</v>
      </c>
      <c r="C594" s="40" t="s">
        <v>26</v>
      </c>
      <c r="D594" s="105">
        <v>46174</v>
      </c>
      <c r="E594" s="40" t="s">
        <v>306</v>
      </c>
      <c r="F594" s="41">
        <v>0</v>
      </c>
      <c r="G594" s="109">
        <v>0</v>
      </c>
      <c r="H594" s="103">
        <f t="shared" si="9"/>
        <v>0</v>
      </c>
      <c r="I594" s="40" t="s">
        <v>323</v>
      </c>
      <c r="J594" s="39"/>
      <c r="K594" s="39"/>
      <c r="L594" s="39"/>
    </row>
    <row r="595" spans="1:12" hidden="1" x14ac:dyDescent="0.3">
      <c r="A595" s="40" t="s">
        <v>6</v>
      </c>
      <c r="B595" s="40" t="s">
        <v>321</v>
      </c>
      <c r="C595" s="40" t="s">
        <v>26</v>
      </c>
      <c r="D595" s="105">
        <v>46174</v>
      </c>
      <c r="E595" s="40" t="s">
        <v>306</v>
      </c>
      <c r="F595" s="41">
        <v>0</v>
      </c>
      <c r="G595" s="109">
        <v>0</v>
      </c>
      <c r="H595" s="103">
        <f t="shared" si="9"/>
        <v>0</v>
      </c>
      <c r="I595" s="40" t="s">
        <v>323</v>
      </c>
      <c r="J595" s="39"/>
      <c r="K595" s="39"/>
      <c r="L595" s="39"/>
    </row>
    <row r="596" spans="1:12" hidden="1" x14ac:dyDescent="0.3">
      <c r="A596" s="40" t="s">
        <v>6</v>
      </c>
      <c r="B596" s="40" t="s">
        <v>339</v>
      </c>
      <c r="C596" s="40" t="s">
        <v>26</v>
      </c>
      <c r="D596" s="105">
        <v>46174</v>
      </c>
      <c r="E596" s="40" t="s">
        <v>306</v>
      </c>
      <c r="F596" s="41">
        <v>0</v>
      </c>
      <c r="G596" s="109">
        <v>0</v>
      </c>
      <c r="H596" s="103">
        <f t="shared" si="9"/>
        <v>0</v>
      </c>
      <c r="I596" s="40" t="s">
        <v>474</v>
      </c>
      <c r="J596" s="39"/>
      <c r="K596" s="39"/>
      <c r="L596" s="39"/>
    </row>
    <row r="597" spans="1:12" hidden="1" x14ac:dyDescent="0.3">
      <c r="A597" s="40" t="s">
        <v>6</v>
      </c>
      <c r="B597" s="40" t="s">
        <v>355</v>
      </c>
      <c r="C597" s="40" t="s">
        <v>27</v>
      </c>
      <c r="D597" s="105">
        <v>46174</v>
      </c>
      <c r="E597" s="40" t="s">
        <v>306</v>
      </c>
      <c r="F597" s="41">
        <v>0</v>
      </c>
      <c r="G597" s="109">
        <v>0</v>
      </c>
      <c r="H597" s="103">
        <f t="shared" si="9"/>
        <v>0</v>
      </c>
      <c r="I597" s="40" t="s">
        <v>542</v>
      </c>
      <c r="J597" s="39"/>
      <c r="K597" s="39"/>
      <c r="L597" s="39"/>
    </row>
    <row r="598" spans="1:12" hidden="1" x14ac:dyDescent="0.3">
      <c r="A598" s="40" t="s">
        <v>6</v>
      </c>
      <c r="B598" s="40" t="s">
        <v>379</v>
      </c>
      <c r="C598" s="40" t="s">
        <v>27</v>
      </c>
      <c r="D598" s="105">
        <v>46174</v>
      </c>
      <c r="E598" s="40" t="s">
        <v>306</v>
      </c>
      <c r="F598" s="41">
        <v>0</v>
      </c>
      <c r="G598" s="109">
        <v>0</v>
      </c>
      <c r="H598" s="103">
        <f t="shared" si="9"/>
        <v>0</v>
      </c>
      <c r="I598" s="40" t="s">
        <v>380</v>
      </c>
      <c r="J598" s="39"/>
      <c r="K598" s="39"/>
      <c r="L598" s="39"/>
    </row>
    <row r="599" spans="1:12" hidden="1" x14ac:dyDescent="0.3">
      <c r="A599" s="40" t="s">
        <v>6</v>
      </c>
      <c r="B599" s="40" t="s">
        <v>388</v>
      </c>
      <c r="C599" s="40" t="s">
        <v>27</v>
      </c>
      <c r="D599" s="105">
        <v>46174</v>
      </c>
      <c r="E599" s="40" t="s">
        <v>306</v>
      </c>
      <c r="F599" s="41">
        <v>0</v>
      </c>
      <c r="G599" s="109">
        <v>0</v>
      </c>
      <c r="H599" s="103">
        <f t="shared" si="9"/>
        <v>0</v>
      </c>
      <c r="I599" s="40" t="s">
        <v>389</v>
      </c>
      <c r="J599" s="39"/>
      <c r="K599" s="39"/>
      <c r="L599" s="39"/>
    </row>
    <row r="600" spans="1:12" hidden="1" x14ac:dyDescent="0.3">
      <c r="A600" s="40" t="s">
        <v>6</v>
      </c>
      <c r="B600" s="40" t="s">
        <v>400</v>
      </c>
      <c r="C600" s="40" t="s">
        <v>27</v>
      </c>
      <c r="D600" s="105">
        <v>46174</v>
      </c>
      <c r="E600" s="40" t="s">
        <v>306</v>
      </c>
      <c r="F600" s="41">
        <v>0</v>
      </c>
      <c r="G600" s="109">
        <v>0</v>
      </c>
      <c r="H600" s="103">
        <f t="shared" si="9"/>
        <v>0</v>
      </c>
      <c r="I600" s="40" t="s">
        <v>401</v>
      </c>
      <c r="J600" s="39"/>
      <c r="K600" s="39"/>
      <c r="L600" s="39"/>
    </row>
    <row r="601" spans="1:12" hidden="1" x14ac:dyDescent="0.3">
      <c r="A601" s="40" t="s">
        <v>6</v>
      </c>
      <c r="B601" s="40" t="s">
        <v>308</v>
      </c>
      <c r="C601" s="40" t="s">
        <v>309</v>
      </c>
      <c r="D601" s="105">
        <v>46174</v>
      </c>
      <c r="E601" s="40" t="s">
        <v>306</v>
      </c>
      <c r="F601" s="38">
        <v>2</v>
      </c>
      <c r="G601" s="107">
        <v>50</v>
      </c>
      <c r="H601" s="103">
        <f t="shared" si="9"/>
        <v>100</v>
      </c>
      <c r="I601" s="40" t="s">
        <v>310</v>
      </c>
      <c r="J601" s="39"/>
      <c r="K601" s="39"/>
      <c r="L601" s="39"/>
    </row>
    <row r="602" spans="1:12" hidden="1" x14ac:dyDescent="0.3">
      <c r="A602" s="40" t="s">
        <v>6</v>
      </c>
      <c r="B602" s="40" t="s">
        <v>408</v>
      </c>
      <c r="C602" s="40" t="s">
        <v>397</v>
      </c>
      <c r="D602" s="105">
        <v>46174</v>
      </c>
      <c r="E602" s="5" t="s">
        <v>371</v>
      </c>
      <c r="F602" s="41">
        <v>0</v>
      </c>
      <c r="G602" s="109">
        <v>0</v>
      </c>
      <c r="H602" s="103">
        <f t="shared" si="9"/>
        <v>0</v>
      </c>
      <c r="I602" s="40" t="s">
        <v>516</v>
      </c>
      <c r="J602" s="39"/>
      <c r="K602" s="39"/>
      <c r="L602" s="39"/>
    </row>
    <row r="603" spans="1:12" hidden="1" x14ac:dyDescent="0.3">
      <c r="A603" s="40" t="s">
        <v>6</v>
      </c>
      <c r="B603" s="40" t="s">
        <v>341</v>
      </c>
      <c r="C603" s="40" t="s">
        <v>342</v>
      </c>
      <c r="D603" s="105">
        <v>46174</v>
      </c>
      <c r="E603" s="5" t="s">
        <v>312</v>
      </c>
      <c r="F603" s="41">
        <v>1</v>
      </c>
      <c r="G603" s="109">
        <v>20747.18</v>
      </c>
      <c r="H603" s="103">
        <f t="shared" si="9"/>
        <v>20747.18</v>
      </c>
      <c r="I603" s="40" t="s">
        <v>343</v>
      </c>
      <c r="J603" s="39"/>
      <c r="K603" s="39"/>
      <c r="L603" s="39"/>
    </row>
    <row r="604" spans="1:12" hidden="1" x14ac:dyDescent="0.3">
      <c r="A604" s="40" t="s">
        <v>6</v>
      </c>
      <c r="B604" s="40" t="s">
        <v>396</v>
      </c>
      <c r="C604" s="40" t="s">
        <v>397</v>
      </c>
      <c r="D604" s="105">
        <v>46174</v>
      </c>
      <c r="E604" s="40" t="s">
        <v>312</v>
      </c>
      <c r="F604" s="41">
        <v>0</v>
      </c>
      <c r="G604" s="109">
        <v>0</v>
      </c>
      <c r="H604" s="103">
        <f t="shared" si="9"/>
        <v>0</v>
      </c>
      <c r="I604" s="40" t="s">
        <v>427</v>
      </c>
      <c r="J604" s="39"/>
      <c r="K604" s="39"/>
      <c r="L604" s="39"/>
    </row>
    <row r="605" spans="1:12" hidden="1" x14ac:dyDescent="0.3">
      <c r="A605" s="40" t="s">
        <v>6</v>
      </c>
      <c r="B605" s="40" t="s">
        <v>408</v>
      </c>
      <c r="C605" s="40" t="s">
        <v>397</v>
      </c>
      <c r="D605" s="105">
        <v>46174</v>
      </c>
      <c r="E605" s="40" t="s">
        <v>312</v>
      </c>
      <c r="F605" s="41">
        <v>0</v>
      </c>
      <c r="G605" s="109">
        <v>0</v>
      </c>
      <c r="H605" s="103">
        <f t="shared" si="9"/>
        <v>0</v>
      </c>
      <c r="I605" s="40" t="s">
        <v>516</v>
      </c>
      <c r="J605" s="39"/>
      <c r="K605" s="39"/>
      <c r="L605" s="39"/>
    </row>
    <row r="606" spans="1:12" hidden="1" x14ac:dyDescent="0.3">
      <c r="A606" s="40" t="s">
        <v>6</v>
      </c>
      <c r="B606" s="40" t="s">
        <v>483</v>
      </c>
      <c r="C606" s="40" t="s">
        <v>484</v>
      </c>
      <c r="D606" s="105">
        <v>46174</v>
      </c>
      <c r="E606" s="40" t="s">
        <v>312</v>
      </c>
      <c r="F606" s="38">
        <v>3704</v>
      </c>
      <c r="G606" s="107">
        <v>0.56378759770551512</v>
      </c>
      <c r="H606" s="103">
        <f t="shared" si="9"/>
        <v>2088.2692619012282</v>
      </c>
      <c r="I606" s="40" t="s">
        <v>307</v>
      </c>
      <c r="J606" s="39"/>
      <c r="K606" s="39"/>
      <c r="L606" s="39"/>
    </row>
    <row r="607" spans="1:12" hidden="1" x14ac:dyDescent="0.3">
      <c r="A607" s="40" t="s">
        <v>6</v>
      </c>
      <c r="B607" s="40" t="s">
        <v>349</v>
      </c>
      <c r="C607" s="40" t="s">
        <v>299</v>
      </c>
      <c r="D607" s="105">
        <v>46174</v>
      </c>
      <c r="E607" s="40" t="s">
        <v>312</v>
      </c>
      <c r="F607" s="38">
        <v>266</v>
      </c>
      <c r="G607" s="107">
        <v>1.86</v>
      </c>
      <c r="H607" s="103">
        <f t="shared" si="9"/>
        <v>494.76000000000005</v>
      </c>
      <c r="I607" s="40" t="s">
        <v>525</v>
      </c>
      <c r="J607" s="39"/>
      <c r="K607" s="39"/>
      <c r="L607" s="39"/>
    </row>
    <row r="608" spans="1:12" hidden="1" x14ac:dyDescent="0.3">
      <c r="A608" s="40" t="s">
        <v>6</v>
      </c>
      <c r="B608" s="40" t="s">
        <v>359</v>
      </c>
      <c r="C608" s="40" t="s">
        <v>299</v>
      </c>
      <c r="D608" s="105">
        <v>46174</v>
      </c>
      <c r="E608" s="40" t="s">
        <v>312</v>
      </c>
      <c r="F608" s="41">
        <v>1</v>
      </c>
      <c r="G608" s="109">
        <v>393.04</v>
      </c>
      <c r="H608" s="103">
        <f t="shared" si="9"/>
        <v>393.04</v>
      </c>
      <c r="I608" s="40" t="s">
        <v>491</v>
      </c>
      <c r="J608" s="39"/>
      <c r="K608" s="39"/>
      <c r="L608" s="39"/>
    </row>
    <row r="609" spans="1:12" hidden="1" x14ac:dyDescent="0.3">
      <c r="A609" s="40" t="s">
        <v>6</v>
      </c>
      <c r="B609" s="40" t="s">
        <v>324</v>
      </c>
      <c r="C609" s="40" t="s">
        <v>299</v>
      </c>
      <c r="D609" s="105">
        <v>46174</v>
      </c>
      <c r="E609" s="40" t="s">
        <v>312</v>
      </c>
      <c r="F609" s="41">
        <v>1</v>
      </c>
      <c r="G609" s="109">
        <v>439.28</v>
      </c>
      <c r="H609" s="103">
        <f t="shared" si="9"/>
        <v>439.28</v>
      </c>
      <c r="I609" s="40" t="s">
        <v>491</v>
      </c>
      <c r="J609" s="39"/>
      <c r="K609" s="39"/>
      <c r="L609" s="39"/>
    </row>
    <row r="610" spans="1:12" hidden="1" x14ac:dyDescent="0.3">
      <c r="A610" s="40" t="s">
        <v>6</v>
      </c>
      <c r="B610" s="40" t="s">
        <v>298</v>
      </c>
      <c r="C610" s="40" t="s">
        <v>299</v>
      </c>
      <c r="D610" s="105">
        <v>46174</v>
      </c>
      <c r="E610" s="40" t="s">
        <v>312</v>
      </c>
      <c r="F610" s="41">
        <v>0</v>
      </c>
      <c r="G610" s="109">
        <v>0</v>
      </c>
      <c r="H610" s="103">
        <f t="shared" si="9"/>
        <v>0</v>
      </c>
      <c r="I610" s="40" t="s">
        <v>543</v>
      </c>
      <c r="J610" s="39"/>
      <c r="K610" s="39"/>
      <c r="L610" s="39"/>
    </row>
    <row r="611" spans="1:12" hidden="1" x14ac:dyDescent="0.3">
      <c r="A611" s="40" t="s">
        <v>6</v>
      </c>
      <c r="B611" s="40" t="s">
        <v>361</v>
      </c>
      <c r="C611" s="40" t="s">
        <v>299</v>
      </c>
      <c r="D611" s="105">
        <v>46174</v>
      </c>
      <c r="E611" s="40" t="s">
        <v>312</v>
      </c>
      <c r="F611" s="38">
        <v>3</v>
      </c>
      <c r="G611" s="107">
        <f>Comercial!B163</f>
        <v>278.60087370242218</v>
      </c>
      <c r="H611" s="103">
        <f t="shared" si="9"/>
        <v>835.80262110726653</v>
      </c>
      <c r="I611" s="40" t="s">
        <v>532</v>
      </c>
      <c r="J611" s="39"/>
      <c r="K611" s="39"/>
      <c r="L611" s="39"/>
    </row>
    <row r="612" spans="1:12" hidden="1" x14ac:dyDescent="0.3">
      <c r="A612" s="40" t="s">
        <v>6</v>
      </c>
      <c r="B612" s="40" t="s">
        <v>506</v>
      </c>
      <c r="C612" s="40" t="s">
        <v>299</v>
      </c>
      <c r="D612" s="105">
        <v>46174</v>
      </c>
      <c r="E612" s="40" t="s">
        <v>312</v>
      </c>
      <c r="F612" s="38">
        <v>-1</v>
      </c>
      <c r="G612" s="107">
        <f>Comercial!N163</f>
        <v>7.0292307692307689</v>
      </c>
      <c r="H612" s="103">
        <f t="shared" si="9"/>
        <v>-7.0292307692307689</v>
      </c>
      <c r="I612" s="40" t="s">
        <v>532</v>
      </c>
      <c r="J612" s="39"/>
      <c r="K612" s="39"/>
      <c r="L612" s="39"/>
    </row>
    <row r="613" spans="1:12" hidden="1" x14ac:dyDescent="0.3">
      <c r="A613" s="40" t="s">
        <v>6</v>
      </c>
      <c r="B613" s="40" t="s">
        <v>512</v>
      </c>
      <c r="C613" s="40" t="s">
        <v>299</v>
      </c>
      <c r="D613" s="105">
        <v>46174</v>
      </c>
      <c r="E613" s="40" t="s">
        <v>312</v>
      </c>
      <c r="F613" s="38">
        <v>0</v>
      </c>
      <c r="G613" s="109">
        <v>0</v>
      </c>
      <c r="H613" s="103">
        <f t="shared" si="9"/>
        <v>0</v>
      </c>
      <c r="I613" s="40"/>
      <c r="J613" s="39"/>
      <c r="K613" s="39"/>
      <c r="L613" s="39"/>
    </row>
    <row r="614" spans="1:12" hidden="1" x14ac:dyDescent="0.3">
      <c r="A614" s="40" t="s">
        <v>6</v>
      </c>
      <c r="B614" s="40" t="s">
        <v>311</v>
      </c>
      <c r="C614" s="40" t="s">
        <v>299</v>
      </c>
      <c r="D614" s="105">
        <v>46174</v>
      </c>
      <c r="E614" s="40" t="s">
        <v>312</v>
      </c>
      <c r="F614" s="38">
        <v>0</v>
      </c>
      <c r="G614" s="109">
        <v>0</v>
      </c>
      <c r="H614" s="103">
        <f t="shared" si="9"/>
        <v>0</v>
      </c>
      <c r="I614" s="40" t="s">
        <v>313</v>
      </c>
      <c r="J614" s="39"/>
      <c r="K614" s="39"/>
      <c r="L614" s="39"/>
    </row>
    <row r="615" spans="1:12" hidden="1" x14ac:dyDescent="0.3">
      <c r="A615" s="40" t="s">
        <v>6</v>
      </c>
      <c r="B615" s="40" t="s">
        <v>387</v>
      </c>
      <c r="C615" s="40" t="s">
        <v>11</v>
      </c>
      <c r="D615" s="105">
        <v>46174</v>
      </c>
      <c r="E615" s="40" t="s">
        <v>312</v>
      </c>
      <c r="F615" s="38">
        <v>3704</v>
      </c>
      <c r="G615" s="107">
        <v>0.25375464036608258</v>
      </c>
      <c r="H615" s="103">
        <f t="shared" si="9"/>
        <v>939.90718791596987</v>
      </c>
      <c r="I615" s="40" t="s">
        <v>307</v>
      </c>
      <c r="J615" s="39"/>
      <c r="K615" s="39"/>
      <c r="L615" s="39"/>
    </row>
    <row r="616" spans="1:12" hidden="1" x14ac:dyDescent="0.3">
      <c r="A616" s="40" t="s">
        <v>6</v>
      </c>
      <c r="B616" s="40" t="s">
        <v>441</v>
      </c>
      <c r="C616" s="40" t="s">
        <v>442</v>
      </c>
      <c r="D616" s="105">
        <v>46174</v>
      </c>
      <c r="E616" s="40" t="s">
        <v>312</v>
      </c>
      <c r="F616" s="34">
        <v>1</v>
      </c>
      <c r="G616" s="103">
        <v>3372.11</v>
      </c>
      <c r="H616" s="103">
        <f t="shared" si="9"/>
        <v>3372.11</v>
      </c>
      <c r="I616" s="40" t="s">
        <v>443</v>
      </c>
      <c r="J616" s="39"/>
      <c r="K616" s="39"/>
      <c r="L616" s="39"/>
    </row>
    <row r="617" spans="1:12" hidden="1" x14ac:dyDescent="0.3">
      <c r="A617" s="40" t="s">
        <v>6</v>
      </c>
      <c r="B617" s="40" t="s">
        <v>466</v>
      </c>
      <c r="C617" s="40" t="s">
        <v>18</v>
      </c>
      <c r="D617" s="105">
        <v>46174</v>
      </c>
      <c r="E617" s="40" t="s">
        <v>312</v>
      </c>
      <c r="F617" s="128">
        <v>0</v>
      </c>
      <c r="G617" s="110">
        <v>0</v>
      </c>
      <c r="H617" s="103">
        <f t="shared" si="9"/>
        <v>0</v>
      </c>
      <c r="I617" s="40" t="s">
        <v>467</v>
      </c>
      <c r="J617" s="39"/>
      <c r="K617" s="39"/>
      <c r="L617" s="39"/>
    </row>
    <row r="618" spans="1:12" hidden="1" x14ac:dyDescent="0.3">
      <c r="A618" s="40" t="s">
        <v>6</v>
      </c>
      <c r="B618" s="40" t="s">
        <v>367</v>
      </c>
      <c r="C618" s="40" t="s">
        <v>302</v>
      </c>
      <c r="D618" s="105">
        <v>46174</v>
      </c>
      <c r="E618" s="40" t="s">
        <v>312</v>
      </c>
      <c r="F618" s="34">
        <v>3</v>
      </c>
      <c r="G618" s="103">
        <v>20</v>
      </c>
      <c r="H618" s="103">
        <f t="shared" si="9"/>
        <v>60</v>
      </c>
      <c r="I618" s="40" t="s">
        <v>368</v>
      </c>
      <c r="J618" s="39"/>
      <c r="K618" s="39"/>
      <c r="L618" s="39"/>
    </row>
    <row r="619" spans="1:12" hidden="1" x14ac:dyDescent="0.3">
      <c r="A619" s="40" t="s">
        <v>6</v>
      </c>
      <c r="B619" s="40" t="s">
        <v>301</v>
      </c>
      <c r="C619" s="40" t="s">
        <v>302</v>
      </c>
      <c r="D619" s="105">
        <v>46174</v>
      </c>
      <c r="E619" s="40" t="s">
        <v>312</v>
      </c>
      <c r="F619" s="128">
        <v>1</v>
      </c>
      <c r="G619" s="110">
        <v>556.03</v>
      </c>
      <c r="H619" s="110">
        <f t="shared" si="9"/>
        <v>556.03</v>
      </c>
      <c r="I619" s="40" t="s">
        <v>535</v>
      </c>
      <c r="J619" s="39"/>
      <c r="K619" s="39"/>
      <c r="L619" s="39"/>
    </row>
    <row r="620" spans="1:12" hidden="1" x14ac:dyDescent="0.3">
      <c r="A620" s="130" t="s">
        <v>6</v>
      </c>
      <c r="B620" s="130" t="s">
        <v>301</v>
      </c>
      <c r="C620" s="130" t="s">
        <v>302</v>
      </c>
      <c r="D620" s="105">
        <v>46174</v>
      </c>
      <c r="E620" s="40" t="s">
        <v>312</v>
      </c>
      <c r="F620" s="130">
        <v>1</v>
      </c>
      <c r="G620" s="119">
        <v>447.78</v>
      </c>
      <c r="H620" s="119">
        <f t="shared" si="9"/>
        <v>447.78</v>
      </c>
      <c r="I620" s="130" t="s">
        <v>534</v>
      </c>
    </row>
    <row r="621" spans="1:12" hidden="1" x14ac:dyDescent="0.3">
      <c r="A621" s="40" t="s">
        <v>6</v>
      </c>
      <c r="B621" s="40" t="s">
        <v>345</v>
      </c>
      <c r="C621" s="40" t="s">
        <v>302</v>
      </c>
      <c r="D621" s="105">
        <v>46174</v>
      </c>
      <c r="E621" s="40" t="s">
        <v>312</v>
      </c>
      <c r="F621" s="41">
        <v>0</v>
      </c>
      <c r="G621" s="109">
        <v>0</v>
      </c>
      <c r="H621" s="103">
        <f t="shared" si="9"/>
        <v>0</v>
      </c>
      <c r="I621" s="40" t="s">
        <v>346</v>
      </c>
      <c r="J621" s="39"/>
      <c r="K621" s="39"/>
      <c r="L621" s="39"/>
    </row>
    <row r="622" spans="1:12" hidden="1" x14ac:dyDescent="0.3">
      <c r="A622" s="40" t="s">
        <v>6</v>
      </c>
      <c r="B622" s="40" t="s">
        <v>314</v>
      </c>
      <c r="C622" s="40" t="s">
        <v>315</v>
      </c>
      <c r="D622" s="105">
        <v>46174</v>
      </c>
      <c r="E622" s="40" t="s">
        <v>312</v>
      </c>
      <c r="F622" s="41">
        <v>0</v>
      </c>
      <c r="G622" s="109">
        <v>0</v>
      </c>
      <c r="H622" s="103">
        <f t="shared" si="9"/>
        <v>0</v>
      </c>
      <c r="I622" s="40" t="s">
        <v>316</v>
      </c>
      <c r="J622" s="39"/>
      <c r="K622" s="39"/>
      <c r="L622" s="39"/>
    </row>
    <row r="623" spans="1:12" hidden="1" x14ac:dyDescent="0.3">
      <c r="A623" s="40" t="s">
        <v>6</v>
      </c>
      <c r="B623" s="40" t="s">
        <v>334</v>
      </c>
      <c r="C623" s="40" t="s">
        <v>315</v>
      </c>
      <c r="D623" s="105">
        <v>46174</v>
      </c>
      <c r="E623" s="40" t="s">
        <v>312</v>
      </c>
      <c r="F623" s="41">
        <v>0</v>
      </c>
      <c r="G623" s="109">
        <v>0</v>
      </c>
      <c r="H623" s="103">
        <f t="shared" si="9"/>
        <v>0</v>
      </c>
      <c r="I623" s="40" t="s">
        <v>335</v>
      </c>
      <c r="J623" s="39"/>
      <c r="K623" s="39"/>
      <c r="L623" s="39"/>
    </row>
    <row r="624" spans="1:12" hidden="1" x14ac:dyDescent="0.3">
      <c r="A624" s="40" t="s">
        <v>6</v>
      </c>
      <c r="B624" s="40" t="s">
        <v>347</v>
      </c>
      <c r="C624" s="40" t="s">
        <v>315</v>
      </c>
      <c r="D624" s="105">
        <v>46174</v>
      </c>
      <c r="E624" s="40" t="s">
        <v>312</v>
      </c>
      <c r="F624" s="41">
        <v>0</v>
      </c>
      <c r="G624" s="109">
        <v>0</v>
      </c>
      <c r="H624" s="103">
        <f t="shared" si="9"/>
        <v>0</v>
      </c>
      <c r="I624" s="40" t="s">
        <v>348</v>
      </c>
      <c r="J624" s="39"/>
      <c r="K624" s="39"/>
      <c r="L624" s="39"/>
    </row>
    <row r="625" spans="1:12" hidden="1" x14ac:dyDescent="0.3">
      <c r="A625" s="40" t="s">
        <v>6</v>
      </c>
      <c r="B625" s="40" t="s">
        <v>357</v>
      </c>
      <c r="C625" s="40" t="s">
        <v>315</v>
      </c>
      <c r="D625" s="105">
        <v>46174</v>
      </c>
      <c r="E625" s="40" t="s">
        <v>312</v>
      </c>
      <c r="F625" s="41">
        <v>0</v>
      </c>
      <c r="G625" s="109">
        <v>0</v>
      </c>
      <c r="H625" s="103">
        <f t="shared" si="9"/>
        <v>0</v>
      </c>
      <c r="I625" s="40" t="s">
        <v>358</v>
      </c>
      <c r="J625" s="39"/>
      <c r="K625" s="39"/>
      <c r="L625" s="39"/>
    </row>
    <row r="626" spans="1:12" hidden="1" x14ac:dyDescent="0.3">
      <c r="A626" s="40" t="s">
        <v>6</v>
      </c>
      <c r="B626" s="40" t="s">
        <v>369</v>
      </c>
      <c r="C626" s="40" t="s">
        <v>315</v>
      </c>
      <c r="D626" s="105">
        <v>46174</v>
      </c>
      <c r="E626" s="40" t="s">
        <v>312</v>
      </c>
      <c r="F626" s="41">
        <v>0</v>
      </c>
      <c r="G626" s="109">
        <v>0</v>
      </c>
      <c r="H626" s="103">
        <f t="shared" si="9"/>
        <v>0</v>
      </c>
      <c r="I626" s="40" t="s">
        <v>358</v>
      </c>
      <c r="J626" s="39"/>
      <c r="K626" s="39"/>
      <c r="L626" s="39"/>
    </row>
    <row r="627" spans="1:12" hidden="1" x14ac:dyDescent="0.3">
      <c r="A627" s="40" t="s">
        <v>6</v>
      </c>
      <c r="B627" s="40" t="s">
        <v>375</v>
      </c>
      <c r="C627" s="40" t="s">
        <v>315</v>
      </c>
      <c r="D627" s="105">
        <v>46174</v>
      </c>
      <c r="E627" s="40" t="s">
        <v>312</v>
      </c>
      <c r="F627" s="41">
        <v>1</v>
      </c>
      <c r="G627" s="109">
        <v>3430.14</v>
      </c>
      <c r="H627" s="103">
        <f t="shared" si="9"/>
        <v>3430.14</v>
      </c>
      <c r="I627" s="40" t="s">
        <v>376</v>
      </c>
      <c r="J627" s="39"/>
      <c r="K627" s="39"/>
      <c r="L627" s="39"/>
    </row>
    <row r="628" spans="1:12" hidden="1" x14ac:dyDescent="0.3">
      <c r="A628" s="40" t="s">
        <v>6</v>
      </c>
      <c r="B628" s="40" t="s">
        <v>363</v>
      </c>
      <c r="C628" s="40" t="s">
        <v>364</v>
      </c>
      <c r="D628" s="105">
        <v>46174</v>
      </c>
      <c r="E628" s="40" t="s">
        <v>312</v>
      </c>
      <c r="F628" s="41">
        <v>0</v>
      </c>
      <c r="G628" s="109">
        <v>0</v>
      </c>
      <c r="H628" s="103">
        <f t="shared" si="9"/>
        <v>0</v>
      </c>
      <c r="I628" s="40" t="s">
        <v>381</v>
      </c>
      <c r="J628" s="39"/>
      <c r="K628" s="39"/>
      <c r="L628" s="39"/>
    </row>
    <row r="629" spans="1:12" hidden="1" x14ac:dyDescent="0.3">
      <c r="A629" s="40" t="s">
        <v>6</v>
      </c>
      <c r="B629" s="40" t="s">
        <v>327</v>
      </c>
      <c r="C629" s="40" t="s">
        <v>23</v>
      </c>
      <c r="D629" s="105">
        <v>46174</v>
      </c>
      <c r="E629" s="40" t="s">
        <v>312</v>
      </c>
      <c r="F629" s="41">
        <v>15</v>
      </c>
      <c r="G629" s="109">
        <v>158.22</v>
      </c>
      <c r="H629" s="103">
        <f t="shared" si="9"/>
        <v>2373.3000000000002</v>
      </c>
      <c r="I629" s="40" t="s">
        <v>426</v>
      </c>
      <c r="J629" s="39"/>
      <c r="K629" s="39"/>
      <c r="L629" s="39"/>
    </row>
    <row r="630" spans="1:12" hidden="1" x14ac:dyDescent="0.3">
      <c r="A630" s="40" t="s">
        <v>6</v>
      </c>
      <c r="B630" s="40" t="s">
        <v>321</v>
      </c>
      <c r="C630" s="40" t="s">
        <v>26</v>
      </c>
      <c r="D630" s="105">
        <v>46174</v>
      </c>
      <c r="E630" s="40" t="s">
        <v>312</v>
      </c>
      <c r="F630" s="41">
        <v>0</v>
      </c>
      <c r="G630" s="109">
        <v>0</v>
      </c>
      <c r="H630" s="103">
        <f t="shared" si="9"/>
        <v>0</v>
      </c>
      <c r="I630" s="40" t="s">
        <v>323</v>
      </c>
      <c r="J630" s="39"/>
      <c r="K630" s="39"/>
      <c r="L630" s="39"/>
    </row>
    <row r="631" spans="1:12" hidden="1" x14ac:dyDescent="0.3">
      <c r="A631" s="40" t="s">
        <v>6</v>
      </c>
      <c r="B631" s="40" t="s">
        <v>339</v>
      </c>
      <c r="C631" s="40" t="s">
        <v>26</v>
      </c>
      <c r="D631" s="105">
        <v>46174</v>
      </c>
      <c r="E631" s="40" t="s">
        <v>312</v>
      </c>
      <c r="F631" s="41">
        <v>0</v>
      </c>
      <c r="G631" s="109">
        <v>0</v>
      </c>
      <c r="H631" s="103">
        <f t="shared" si="9"/>
        <v>0</v>
      </c>
      <c r="I631" s="40" t="s">
        <v>507</v>
      </c>
      <c r="J631" s="39"/>
      <c r="K631" s="39"/>
      <c r="L631" s="39"/>
    </row>
    <row r="632" spans="1:12" hidden="1" x14ac:dyDescent="0.3">
      <c r="A632" s="40" t="s">
        <v>6</v>
      </c>
      <c r="B632" s="40" t="s">
        <v>355</v>
      </c>
      <c r="C632" s="40" t="s">
        <v>27</v>
      </c>
      <c r="D632" s="105">
        <v>46174</v>
      </c>
      <c r="E632" s="40" t="s">
        <v>312</v>
      </c>
      <c r="F632" s="128">
        <v>1</v>
      </c>
      <c r="G632" s="110">
        <v>987.11</v>
      </c>
      <c r="H632" s="103">
        <f t="shared" si="9"/>
        <v>987.11</v>
      </c>
      <c r="I632" s="40" t="s">
        <v>544</v>
      </c>
      <c r="J632" s="39"/>
      <c r="K632" s="39"/>
      <c r="L632" s="39"/>
    </row>
    <row r="633" spans="1:12" hidden="1" x14ac:dyDescent="0.3">
      <c r="A633" s="40" t="s">
        <v>6</v>
      </c>
      <c r="B633" s="40" t="s">
        <v>355</v>
      </c>
      <c r="C633" s="40" t="s">
        <v>27</v>
      </c>
      <c r="D633" s="105">
        <v>46174</v>
      </c>
      <c r="E633" s="40" t="s">
        <v>312</v>
      </c>
      <c r="F633" s="41">
        <v>0</v>
      </c>
      <c r="G633" s="109">
        <v>0</v>
      </c>
      <c r="H633" s="103">
        <f t="shared" si="9"/>
        <v>0</v>
      </c>
      <c r="I633" s="40" t="s">
        <v>421</v>
      </c>
      <c r="J633" s="39"/>
      <c r="K633" s="39"/>
      <c r="L633" s="39"/>
    </row>
    <row r="634" spans="1:12" hidden="1" x14ac:dyDescent="0.3">
      <c r="A634" s="40" t="s">
        <v>6</v>
      </c>
      <c r="B634" s="40" t="s">
        <v>428</v>
      </c>
      <c r="C634" s="40" t="s">
        <v>27</v>
      </c>
      <c r="D634" s="105">
        <v>46174</v>
      </c>
      <c r="E634" s="40" t="s">
        <v>312</v>
      </c>
      <c r="F634" s="41">
        <v>0</v>
      </c>
      <c r="G634" s="109">
        <v>0</v>
      </c>
      <c r="H634" s="103">
        <f t="shared" si="9"/>
        <v>0</v>
      </c>
      <c r="I634" s="40" t="s">
        <v>380</v>
      </c>
      <c r="J634" s="39"/>
      <c r="K634" s="39"/>
      <c r="L634" s="39"/>
    </row>
    <row r="635" spans="1:12" hidden="1" x14ac:dyDescent="0.3">
      <c r="A635" s="40" t="s">
        <v>6</v>
      </c>
      <c r="B635" s="40" t="s">
        <v>433</v>
      </c>
      <c r="C635" s="40" t="s">
        <v>27</v>
      </c>
      <c r="D635" s="105">
        <v>46174</v>
      </c>
      <c r="E635" s="40" t="s">
        <v>312</v>
      </c>
      <c r="F635" s="41">
        <v>0</v>
      </c>
      <c r="G635" s="109">
        <v>0</v>
      </c>
      <c r="H635" s="103">
        <f t="shared" si="9"/>
        <v>0</v>
      </c>
      <c r="I635" s="40" t="s">
        <v>401</v>
      </c>
      <c r="J635" s="39"/>
      <c r="K635" s="39"/>
      <c r="L635" s="39"/>
    </row>
    <row r="636" spans="1:12" hidden="1" x14ac:dyDescent="0.3">
      <c r="A636" s="40" t="s">
        <v>6</v>
      </c>
      <c r="B636" s="40" t="s">
        <v>308</v>
      </c>
      <c r="C636" s="40" t="s">
        <v>309</v>
      </c>
      <c r="D636" s="105">
        <v>46174</v>
      </c>
      <c r="E636" s="40" t="s">
        <v>312</v>
      </c>
      <c r="F636" s="38">
        <v>1</v>
      </c>
      <c r="G636" s="107">
        <v>10</v>
      </c>
      <c r="H636" s="103">
        <f t="shared" si="9"/>
        <v>10</v>
      </c>
      <c r="I636" s="40" t="s">
        <v>310</v>
      </c>
      <c r="J636" s="39"/>
      <c r="K636" s="39"/>
      <c r="L636" s="39"/>
    </row>
    <row r="637" spans="1:12" hidden="1" x14ac:dyDescent="0.3">
      <c r="A637" s="40" t="s">
        <v>6</v>
      </c>
      <c r="B637" s="40" t="s">
        <v>341</v>
      </c>
      <c r="C637" s="40" t="s">
        <v>342</v>
      </c>
      <c r="D637" s="105">
        <v>46174</v>
      </c>
      <c r="E637" s="40" t="s">
        <v>319</v>
      </c>
      <c r="F637" s="41">
        <v>1</v>
      </c>
      <c r="G637" s="109">
        <v>40834.769999999997</v>
      </c>
      <c r="H637" s="103">
        <f t="shared" si="9"/>
        <v>40834.769999999997</v>
      </c>
      <c r="I637" s="40" t="s">
        <v>343</v>
      </c>
      <c r="J637" s="39"/>
      <c r="K637" s="39"/>
      <c r="L637" s="39"/>
    </row>
    <row r="638" spans="1:12" hidden="1" x14ac:dyDescent="0.3">
      <c r="A638" s="40" t="s">
        <v>6</v>
      </c>
      <c r="B638" s="40" t="s">
        <v>396</v>
      </c>
      <c r="C638" s="40" t="s">
        <v>397</v>
      </c>
      <c r="D638" s="105">
        <v>46174</v>
      </c>
      <c r="E638" s="40" t="s">
        <v>319</v>
      </c>
      <c r="F638" s="41">
        <v>0</v>
      </c>
      <c r="G638" s="109">
        <v>0</v>
      </c>
      <c r="H638" s="103">
        <f t="shared" si="9"/>
        <v>0</v>
      </c>
      <c r="I638" s="40" t="s">
        <v>398</v>
      </c>
      <c r="J638" s="39"/>
      <c r="K638" s="39"/>
      <c r="L638" s="39"/>
    </row>
    <row r="639" spans="1:12" hidden="1" x14ac:dyDescent="0.3">
      <c r="A639" s="40" t="s">
        <v>6</v>
      </c>
      <c r="B639" s="40" t="s">
        <v>408</v>
      </c>
      <c r="C639" s="40" t="s">
        <v>397</v>
      </c>
      <c r="D639" s="105">
        <v>46174</v>
      </c>
      <c r="E639" s="40" t="s">
        <v>319</v>
      </c>
      <c r="F639" s="41">
        <v>0</v>
      </c>
      <c r="G639" s="109">
        <v>0</v>
      </c>
      <c r="H639" s="103">
        <f t="shared" si="9"/>
        <v>0</v>
      </c>
      <c r="I639" s="40" t="s">
        <v>409</v>
      </c>
      <c r="J639" s="39"/>
      <c r="K639" s="39"/>
      <c r="L639" s="39"/>
    </row>
    <row r="640" spans="1:12" hidden="1" x14ac:dyDescent="0.3">
      <c r="A640" s="40" t="s">
        <v>6</v>
      </c>
      <c r="B640" s="40" t="s">
        <v>483</v>
      </c>
      <c r="C640" s="40" t="s">
        <v>484</v>
      </c>
      <c r="D640" s="105">
        <v>46174</v>
      </c>
      <c r="E640" s="40" t="s">
        <v>319</v>
      </c>
      <c r="F640" s="38">
        <v>6434</v>
      </c>
      <c r="G640" s="107">
        <v>0.56378759770551512</v>
      </c>
      <c r="H640" s="103">
        <f t="shared" si="9"/>
        <v>3627.4094036372844</v>
      </c>
      <c r="I640" s="40" t="s">
        <v>307</v>
      </c>
      <c r="J640" s="39"/>
      <c r="K640" s="39"/>
      <c r="L640" s="39"/>
    </row>
    <row r="641" spans="1:12" hidden="1" x14ac:dyDescent="0.3">
      <c r="A641" s="40" t="s">
        <v>6</v>
      </c>
      <c r="B641" s="40" t="s">
        <v>349</v>
      </c>
      <c r="C641" s="40" t="s">
        <v>299</v>
      </c>
      <c r="D641" s="105">
        <v>46174</v>
      </c>
      <c r="E641" s="40" t="s">
        <v>319</v>
      </c>
      <c r="F641" s="38">
        <v>601</v>
      </c>
      <c r="G641" s="107">
        <v>1.86</v>
      </c>
      <c r="H641" s="103">
        <f t="shared" si="9"/>
        <v>1117.8600000000001</v>
      </c>
      <c r="I641" s="40" t="s">
        <v>525</v>
      </c>
      <c r="J641" s="39"/>
      <c r="K641" s="39"/>
      <c r="L641" s="39"/>
    </row>
    <row r="642" spans="1:12" hidden="1" x14ac:dyDescent="0.3">
      <c r="A642" s="40" t="s">
        <v>6</v>
      </c>
      <c r="B642" s="40" t="s">
        <v>359</v>
      </c>
      <c r="C642" s="40" t="s">
        <v>299</v>
      </c>
      <c r="D642" s="105">
        <v>46174</v>
      </c>
      <c r="E642" s="40" t="s">
        <v>319</v>
      </c>
      <c r="F642" s="41">
        <v>3</v>
      </c>
      <c r="G642" s="109">
        <v>393.04</v>
      </c>
      <c r="H642" s="103">
        <f t="shared" ref="H642:H705" si="10">IF(OR(F642="",G642=""),"",F642*G642)</f>
        <v>1179.1200000000001</v>
      </c>
      <c r="I642" s="40" t="s">
        <v>545</v>
      </c>
      <c r="J642" s="39"/>
      <c r="K642" s="39"/>
      <c r="L642" s="39"/>
    </row>
    <row r="643" spans="1:12" hidden="1" x14ac:dyDescent="0.3">
      <c r="A643" s="40" t="s">
        <v>6</v>
      </c>
      <c r="B643" s="40" t="s">
        <v>324</v>
      </c>
      <c r="C643" s="40" t="s">
        <v>299</v>
      </c>
      <c r="D643" s="105">
        <v>46174</v>
      </c>
      <c r="E643" s="40" t="s">
        <v>319</v>
      </c>
      <c r="F643" s="41">
        <v>1</v>
      </c>
      <c r="G643" s="109">
        <v>439.28</v>
      </c>
      <c r="H643" s="103">
        <f t="shared" si="10"/>
        <v>439.28</v>
      </c>
      <c r="I643" s="40" t="s">
        <v>546</v>
      </c>
      <c r="J643" s="39"/>
      <c r="K643" s="39"/>
      <c r="L643" s="39"/>
    </row>
    <row r="644" spans="1:12" hidden="1" x14ac:dyDescent="0.3">
      <c r="A644" s="40" t="s">
        <v>6</v>
      </c>
      <c r="B644" s="40" t="s">
        <v>298</v>
      </c>
      <c r="C644" s="40" t="s">
        <v>299</v>
      </c>
      <c r="D644" s="105">
        <v>46174</v>
      </c>
      <c r="E644" s="40" t="s">
        <v>319</v>
      </c>
      <c r="F644" s="41">
        <v>4</v>
      </c>
      <c r="G644" s="109">
        <v>407.27</v>
      </c>
      <c r="H644" s="103">
        <f t="shared" si="10"/>
        <v>1629.08</v>
      </c>
      <c r="I644" s="40" t="s">
        <v>547</v>
      </c>
      <c r="J644" s="39"/>
      <c r="K644" s="39"/>
      <c r="L644" s="39"/>
    </row>
    <row r="645" spans="1:12" hidden="1" x14ac:dyDescent="0.3">
      <c r="A645" s="40" t="s">
        <v>6</v>
      </c>
      <c r="B645" s="40" t="s">
        <v>382</v>
      </c>
      <c r="C645" s="40" t="s">
        <v>299</v>
      </c>
      <c r="D645" s="105">
        <v>46174</v>
      </c>
      <c r="E645" s="40" t="s">
        <v>319</v>
      </c>
      <c r="F645" s="41">
        <v>1</v>
      </c>
      <c r="G645" s="109">
        <v>439.04</v>
      </c>
      <c r="H645" s="103">
        <f t="shared" si="10"/>
        <v>439.04</v>
      </c>
      <c r="I645" s="40" t="s">
        <v>383</v>
      </c>
      <c r="J645" s="39"/>
      <c r="K645" s="39"/>
      <c r="L645" s="39"/>
    </row>
    <row r="646" spans="1:12" hidden="1" x14ac:dyDescent="0.3">
      <c r="A646" s="40" t="s">
        <v>6</v>
      </c>
      <c r="B646" s="40" t="s">
        <v>382</v>
      </c>
      <c r="C646" s="40" t="s">
        <v>299</v>
      </c>
      <c r="D646" s="105">
        <v>46174</v>
      </c>
      <c r="E646" s="40" t="s">
        <v>319</v>
      </c>
      <c r="F646" s="41">
        <v>78</v>
      </c>
      <c r="G646" s="109">
        <v>33.159999999999997</v>
      </c>
      <c r="H646" s="103">
        <f t="shared" si="10"/>
        <v>2586.4799999999996</v>
      </c>
      <c r="I646" s="40" t="s">
        <v>390</v>
      </c>
      <c r="J646" s="39"/>
      <c r="K646" s="39"/>
      <c r="L646" s="39"/>
    </row>
    <row r="647" spans="1:12" hidden="1" x14ac:dyDescent="0.3">
      <c r="A647" s="40" t="s">
        <v>6</v>
      </c>
      <c r="B647" s="40" t="s">
        <v>402</v>
      </c>
      <c r="C647" s="40" t="s">
        <v>299</v>
      </c>
      <c r="D647" s="105">
        <v>46174</v>
      </c>
      <c r="E647" s="40" t="s">
        <v>319</v>
      </c>
      <c r="F647" s="38">
        <v>0</v>
      </c>
      <c r="G647" s="109">
        <v>0</v>
      </c>
      <c r="H647" s="103">
        <f t="shared" si="10"/>
        <v>0</v>
      </c>
      <c r="I647" s="40"/>
      <c r="J647" s="39"/>
      <c r="K647" s="39"/>
      <c r="L647" s="39"/>
    </row>
    <row r="648" spans="1:12" hidden="1" x14ac:dyDescent="0.3">
      <c r="A648" s="40" t="s">
        <v>6</v>
      </c>
      <c r="B648" s="40" t="s">
        <v>413</v>
      </c>
      <c r="C648" s="40" t="s">
        <v>299</v>
      </c>
      <c r="D648" s="105">
        <v>46174</v>
      </c>
      <c r="E648" s="40" t="s">
        <v>319</v>
      </c>
      <c r="F648" s="66">
        <v>1</v>
      </c>
      <c r="G648" s="107">
        <f>Comercial!B163</f>
        <v>278.60087370242218</v>
      </c>
      <c r="H648" s="103">
        <f t="shared" si="10"/>
        <v>278.60087370242218</v>
      </c>
      <c r="I648" s="40" t="s">
        <v>532</v>
      </c>
      <c r="J648" s="39"/>
      <c r="K648" s="39"/>
      <c r="L648" s="39"/>
    </row>
    <row r="649" spans="1:12" hidden="1" x14ac:dyDescent="0.3">
      <c r="A649" s="40" t="s">
        <v>6</v>
      </c>
      <c r="B649" s="40" t="s">
        <v>548</v>
      </c>
      <c r="C649" s="40" t="s">
        <v>299</v>
      </c>
      <c r="D649" s="105">
        <v>46174</v>
      </c>
      <c r="E649" s="40" t="s">
        <v>319</v>
      </c>
      <c r="F649" s="38">
        <v>1</v>
      </c>
      <c r="G649" s="107">
        <f>Comercial!H163</f>
        <v>26.326000000000001</v>
      </c>
      <c r="H649" s="103">
        <f t="shared" si="10"/>
        <v>26.326000000000001</v>
      </c>
      <c r="I649" s="40" t="s">
        <v>313</v>
      </c>
      <c r="J649" s="39"/>
      <c r="K649" s="39"/>
      <c r="L649" s="39"/>
    </row>
    <row r="650" spans="1:12" hidden="1" x14ac:dyDescent="0.3">
      <c r="A650" s="40" t="s">
        <v>6</v>
      </c>
      <c r="B650" s="40" t="s">
        <v>429</v>
      </c>
      <c r="C650" s="40" t="s">
        <v>299</v>
      </c>
      <c r="D650" s="105">
        <v>46174</v>
      </c>
      <c r="E650" s="40" t="s">
        <v>319</v>
      </c>
      <c r="F650" s="38">
        <v>0</v>
      </c>
      <c r="G650" s="109">
        <v>0</v>
      </c>
      <c r="H650" s="103">
        <f t="shared" si="10"/>
        <v>0</v>
      </c>
      <c r="I650" s="40"/>
      <c r="J650" s="39"/>
      <c r="K650" s="39"/>
      <c r="L650" s="39"/>
    </row>
    <row r="651" spans="1:12" hidden="1" x14ac:dyDescent="0.3">
      <c r="A651" s="40" t="s">
        <v>6</v>
      </c>
      <c r="B651" s="40" t="s">
        <v>387</v>
      </c>
      <c r="C651" s="40" t="s">
        <v>11</v>
      </c>
      <c r="D651" s="105">
        <v>46174</v>
      </c>
      <c r="E651" s="40" t="s">
        <v>319</v>
      </c>
      <c r="F651" s="38">
        <v>6434</v>
      </c>
      <c r="G651" s="107">
        <v>0.25375464036608258</v>
      </c>
      <c r="H651" s="103">
        <f t="shared" si="10"/>
        <v>1632.6573561153753</v>
      </c>
      <c r="I651" s="40" t="s">
        <v>307</v>
      </c>
      <c r="J651" s="39"/>
      <c r="K651" s="39"/>
      <c r="L651" s="39"/>
    </row>
    <row r="652" spans="1:12" hidden="1" x14ac:dyDescent="0.3">
      <c r="A652" s="40" t="s">
        <v>6</v>
      </c>
      <c r="B652" s="40" t="s">
        <v>466</v>
      </c>
      <c r="C652" s="40" t="s">
        <v>18</v>
      </c>
      <c r="D652" s="105">
        <v>46174</v>
      </c>
      <c r="E652" s="40" t="s">
        <v>319</v>
      </c>
      <c r="F652" s="128">
        <v>0</v>
      </c>
      <c r="G652" s="110">
        <v>0</v>
      </c>
      <c r="H652" s="103">
        <f t="shared" si="10"/>
        <v>0</v>
      </c>
      <c r="I652" s="40" t="s">
        <v>485</v>
      </c>
      <c r="J652" s="39"/>
      <c r="K652" s="39"/>
      <c r="L652" s="39"/>
    </row>
    <row r="653" spans="1:12" hidden="1" x14ac:dyDescent="0.3">
      <c r="A653" s="40" t="s">
        <v>6</v>
      </c>
      <c r="B653" s="40" t="s">
        <v>466</v>
      </c>
      <c r="C653" s="40" t="s">
        <v>18</v>
      </c>
      <c r="D653" s="105">
        <v>46174</v>
      </c>
      <c r="E653" s="40" t="s">
        <v>319</v>
      </c>
      <c r="F653" s="128">
        <v>0</v>
      </c>
      <c r="G653" s="110">
        <v>0</v>
      </c>
      <c r="H653" s="103">
        <f t="shared" si="10"/>
        <v>0</v>
      </c>
      <c r="I653" s="40" t="s">
        <v>467</v>
      </c>
      <c r="J653" s="39"/>
      <c r="K653" s="39"/>
      <c r="L653" s="39"/>
    </row>
    <row r="654" spans="1:12" hidden="1" x14ac:dyDescent="0.3">
      <c r="A654" s="40" t="s">
        <v>6</v>
      </c>
      <c r="B654" s="40" t="s">
        <v>331</v>
      </c>
      <c r="C654" s="40" t="s">
        <v>302</v>
      </c>
      <c r="D654" s="105">
        <v>46174</v>
      </c>
      <c r="E654" s="40" t="s">
        <v>391</v>
      </c>
      <c r="F654" s="41">
        <v>0</v>
      </c>
      <c r="G654" s="109">
        <v>0</v>
      </c>
      <c r="H654" s="103">
        <f t="shared" si="10"/>
        <v>0</v>
      </c>
      <c r="I654" s="40" t="s">
        <v>392</v>
      </c>
      <c r="J654" s="39"/>
      <c r="K654" s="39"/>
      <c r="L654" s="39"/>
    </row>
    <row r="655" spans="1:12" hidden="1" x14ac:dyDescent="0.3">
      <c r="A655" s="40" t="s">
        <v>6</v>
      </c>
      <c r="B655" s="40" t="s">
        <v>403</v>
      </c>
      <c r="C655" s="40" t="s">
        <v>302</v>
      </c>
      <c r="D655" s="105">
        <v>46174</v>
      </c>
      <c r="E655" s="40" t="s">
        <v>319</v>
      </c>
      <c r="F655" s="41">
        <v>0</v>
      </c>
      <c r="G655" s="109">
        <v>0</v>
      </c>
      <c r="H655" s="103">
        <f t="shared" si="10"/>
        <v>0</v>
      </c>
      <c r="I655" s="40" t="s">
        <v>404</v>
      </c>
      <c r="J655" s="39"/>
      <c r="K655" s="39"/>
      <c r="L655" s="39"/>
    </row>
    <row r="656" spans="1:12" hidden="1" x14ac:dyDescent="0.3">
      <c r="A656" s="40" t="s">
        <v>6</v>
      </c>
      <c r="B656" s="40" t="s">
        <v>414</v>
      </c>
      <c r="C656" s="40" t="s">
        <v>302</v>
      </c>
      <c r="D656" s="105">
        <v>46174</v>
      </c>
      <c r="E656" s="40" t="s">
        <v>391</v>
      </c>
      <c r="F656" s="128">
        <v>0</v>
      </c>
      <c r="G656" s="110">
        <v>0</v>
      </c>
      <c r="H656" s="110">
        <f t="shared" si="10"/>
        <v>0</v>
      </c>
      <c r="I656" s="40" t="s">
        <v>535</v>
      </c>
      <c r="J656" s="39"/>
      <c r="K656" s="39"/>
      <c r="L656" s="39"/>
    </row>
    <row r="657" spans="1:12" hidden="1" x14ac:dyDescent="0.3">
      <c r="A657" s="130" t="s">
        <v>6</v>
      </c>
      <c r="B657" s="130" t="s">
        <v>414</v>
      </c>
      <c r="C657" s="130" t="s">
        <v>302</v>
      </c>
      <c r="D657" s="105">
        <v>46174</v>
      </c>
      <c r="E657" s="40" t="s">
        <v>391</v>
      </c>
      <c r="F657" s="130">
        <v>1</v>
      </c>
      <c r="G657" s="119">
        <v>1150</v>
      </c>
      <c r="H657" s="119">
        <f t="shared" si="10"/>
        <v>1150</v>
      </c>
      <c r="I657" s="130" t="s">
        <v>534</v>
      </c>
    </row>
    <row r="658" spans="1:12" hidden="1" x14ac:dyDescent="0.3">
      <c r="A658" s="40" t="s">
        <v>6</v>
      </c>
      <c r="B658" s="40" t="s">
        <v>367</v>
      </c>
      <c r="C658" s="40" t="s">
        <v>302</v>
      </c>
      <c r="D658" s="105">
        <v>46174</v>
      </c>
      <c r="E658" s="40" t="s">
        <v>391</v>
      </c>
      <c r="F658" s="34">
        <v>13</v>
      </c>
      <c r="G658" s="103">
        <v>20</v>
      </c>
      <c r="H658" s="103">
        <f t="shared" si="10"/>
        <v>260</v>
      </c>
      <c r="I658" s="40" t="s">
        <v>368</v>
      </c>
      <c r="J658" s="39"/>
      <c r="K658" s="39"/>
      <c r="L658" s="39"/>
    </row>
    <row r="659" spans="1:12" hidden="1" x14ac:dyDescent="0.3">
      <c r="A659" s="40" t="s">
        <v>6</v>
      </c>
      <c r="B659" s="40" t="s">
        <v>301</v>
      </c>
      <c r="C659" s="40" t="s">
        <v>302</v>
      </c>
      <c r="D659" s="105">
        <v>46174</v>
      </c>
      <c r="E659" s="40" t="s">
        <v>319</v>
      </c>
      <c r="F659" s="41">
        <v>0</v>
      </c>
      <c r="G659" s="109">
        <v>0</v>
      </c>
      <c r="H659" s="103">
        <f t="shared" si="10"/>
        <v>0</v>
      </c>
      <c r="I659" s="40" t="s">
        <v>303</v>
      </c>
      <c r="J659" s="39"/>
      <c r="K659" s="39"/>
      <c r="L659" s="39"/>
    </row>
    <row r="660" spans="1:12" hidden="1" x14ac:dyDescent="0.3">
      <c r="A660" s="40" t="s">
        <v>6</v>
      </c>
      <c r="B660" s="40" t="s">
        <v>345</v>
      </c>
      <c r="C660" s="40" t="s">
        <v>302</v>
      </c>
      <c r="D660" s="105">
        <v>46174</v>
      </c>
      <c r="E660" s="40" t="s">
        <v>319</v>
      </c>
      <c r="F660" s="128">
        <v>0</v>
      </c>
      <c r="G660" s="110">
        <v>0</v>
      </c>
      <c r="H660" s="110">
        <f t="shared" si="10"/>
        <v>0</v>
      </c>
      <c r="I660" s="40" t="s">
        <v>535</v>
      </c>
      <c r="J660" s="39"/>
      <c r="K660" s="39"/>
      <c r="L660" s="39"/>
    </row>
    <row r="661" spans="1:12" hidden="1" x14ac:dyDescent="0.3">
      <c r="A661" s="130" t="s">
        <v>6</v>
      </c>
      <c r="B661" s="130" t="s">
        <v>345</v>
      </c>
      <c r="C661" s="130" t="s">
        <v>302</v>
      </c>
      <c r="D661" s="105">
        <v>46174</v>
      </c>
      <c r="E661" s="40" t="s">
        <v>391</v>
      </c>
      <c r="F661" s="130">
        <v>1</v>
      </c>
      <c r="G661" s="119">
        <v>475.21</v>
      </c>
      <c r="H661" s="119">
        <f t="shared" si="10"/>
        <v>475.21</v>
      </c>
      <c r="I661" s="130" t="s">
        <v>534</v>
      </c>
    </row>
    <row r="662" spans="1:12" hidden="1" x14ac:dyDescent="0.3">
      <c r="A662" s="40" t="s">
        <v>6</v>
      </c>
      <c r="B662" s="40" t="s">
        <v>384</v>
      </c>
      <c r="C662" s="40" t="s">
        <v>315</v>
      </c>
      <c r="D662" s="105">
        <v>46174</v>
      </c>
      <c r="E662" s="40" t="s">
        <v>319</v>
      </c>
      <c r="F662" s="41">
        <v>0</v>
      </c>
      <c r="G662" s="109">
        <v>0</v>
      </c>
      <c r="H662" s="103">
        <f t="shared" si="10"/>
        <v>0</v>
      </c>
      <c r="I662" s="40" t="s">
        <v>316</v>
      </c>
      <c r="J662" s="39"/>
      <c r="K662" s="39"/>
      <c r="L662" s="39"/>
    </row>
    <row r="663" spans="1:12" hidden="1" x14ac:dyDescent="0.3">
      <c r="A663" s="40" t="s">
        <v>6</v>
      </c>
      <c r="B663" s="40" t="s">
        <v>393</v>
      </c>
      <c r="C663" s="40" t="s">
        <v>315</v>
      </c>
      <c r="D663" s="105">
        <v>46174</v>
      </c>
      <c r="E663" s="40" t="s">
        <v>319</v>
      </c>
      <c r="F663" s="41">
        <v>0</v>
      </c>
      <c r="G663" s="109">
        <v>0</v>
      </c>
      <c r="H663" s="103">
        <f t="shared" si="10"/>
        <v>0</v>
      </c>
      <c r="I663" s="40" t="s">
        <v>394</v>
      </c>
      <c r="J663" s="39"/>
      <c r="K663" s="39"/>
      <c r="L663" s="39"/>
    </row>
    <row r="664" spans="1:12" hidden="1" x14ac:dyDescent="0.3">
      <c r="A664" s="40" t="s">
        <v>6</v>
      </c>
      <c r="B664" s="40" t="s">
        <v>549</v>
      </c>
      <c r="C664" s="40" t="s">
        <v>318</v>
      </c>
      <c r="D664" s="105">
        <v>46174</v>
      </c>
      <c r="E664" s="40" t="s">
        <v>391</v>
      </c>
      <c r="F664" s="41">
        <v>-1</v>
      </c>
      <c r="G664" s="109">
        <v>1046.56</v>
      </c>
      <c r="H664" s="103">
        <f t="shared" si="10"/>
        <v>-1046.56</v>
      </c>
      <c r="I664" s="40" t="s">
        <v>550</v>
      </c>
      <c r="J664" s="39"/>
      <c r="K664" s="39"/>
      <c r="L664" s="39"/>
    </row>
    <row r="665" spans="1:12" hidden="1" x14ac:dyDescent="0.3">
      <c r="A665" s="40" t="s">
        <v>6</v>
      </c>
      <c r="B665" s="40" t="s">
        <v>317</v>
      </c>
      <c r="C665" s="40" t="s">
        <v>318</v>
      </c>
      <c r="D665" s="105">
        <v>46174</v>
      </c>
      <c r="E665" s="40" t="s">
        <v>319</v>
      </c>
      <c r="F665" s="38">
        <v>-1</v>
      </c>
      <c r="G665" s="107">
        <v>238.88</v>
      </c>
      <c r="H665" s="103">
        <f t="shared" si="10"/>
        <v>-238.88</v>
      </c>
      <c r="I665" s="40" t="s">
        <v>513</v>
      </c>
      <c r="J665" s="39"/>
      <c r="K665" s="39"/>
      <c r="L665" s="39"/>
    </row>
    <row r="666" spans="1:12" hidden="1" x14ac:dyDescent="0.3">
      <c r="A666" s="40" t="s">
        <v>6</v>
      </c>
      <c r="B666" s="40" t="s">
        <v>317</v>
      </c>
      <c r="C666" s="40" t="s">
        <v>318</v>
      </c>
      <c r="D666" s="105">
        <v>46174</v>
      </c>
      <c r="E666" s="40" t="s">
        <v>319</v>
      </c>
      <c r="F666" s="38">
        <v>-1</v>
      </c>
      <c r="G666" s="107">
        <v>238.88</v>
      </c>
      <c r="H666" s="103">
        <f t="shared" si="10"/>
        <v>-238.88</v>
      </c>
      <c r="I666" s="40" t="s">
        <v>519</v>
      </c>
      <c r="J666" s="39"/>
      <c r="K666" s="39"/>
      <c r="L666" s="39"/>
    </row>
    <row r="667" spans="1:12" hidden="1" x14ac:dyDescent="0.3">
      <c r="A667" s="40" t="s">
        <v>6</v>
      </c>
      <c r="B667" s="40" t="s">
        <v>363</v>
      </c>
      <c r="C667" s="40" t="s">
        <v>364</v>
      </c>
      <c r="D667" s="105">
        <v>46174</v>
      </c>
      <c r="E667" s="40" t="s">
        <v>319</v>
      </c>
      <c r="F667" s="41">
        <v>0</v>
      </c>
      <c r="G667" s="109">
        <v>0</v>
      </c>
      <c r="H667" s="103">
        <f t="shared" si="10"/>
        <v>0</v>
      </c>
      <c r="I667" s="40" t="s">
        <v>395</v>
      </c>
      <c r="J667" s="39"/>
      <c r="K667" s="39"/>
      <c r="L667" s="39"/>
    </row>
    <row r="668" spans="1:12" hidden="1" x14ac:dyDescent="0.3">
      <c r="A668" s="40" t="s">
        <v>6</v>
      </c>
      <c r="B668" s="40" t="s">
        <v>327</v>
      </c>
      <c r="C668" s="40" t="s">
        <v>23</v>
      </c>
      <c r="D668" s="105">
        <v>46174</v>
      </c>
      <c r="E668" s="40" t="s">
        <v>319</v>
      </c>
      <c r="F668" s="41">
        <v>26</v>
      </c>
      <c r="G668" s="109">
        <v>155.59</v>
      </c>
      <c r="H668" s="103">
        <f t="shared" si="10"/>
        <v>4045.34</v>
      </c>
      <c r="I668" s="40" t="s">
        <v>551</v>
      </c>
      <c r="J668" s="39"/>
      <c r="K668" s="39"/>
      <c r="L668" s="39"/>
    </row>
    <row r="669" spans="1:12" hidden="1" x14ac:dyDescent="0.3">
      <c r="A669" s="40" t="s">
        <v>6</v>
      </c>
      <c r="B669" s="40" t="s">
        <v>321</v>
      </c>
      <c r="C669" s="40" t="s">
        <v>26</v>
      </c>
      <c r="D669" s="105">
        <v>46174</v>
      </c>
      <c r="E669" s="40" t="s">
        <v>391</v>
      </c>
      <c r="F669" s="41">
        <v>0</v>
      </c>
      <c r="G669" s="109">
        <v>0</v>
      </c>
      <c r="H669" s="103">
        <f t="shared" si="10"/>
        <v>0</v>
      </c>
      <c r="I669" s="40" t="s">
        <v>323</v>
      </c>
      <c r="J669" s="39"/>
      <c r="K669" s="39"/>
      <c r="L669" s="39"/>
    </row>
    <row r="670" spans="1:12" hidden="1" x14ac:dyDescent="0.3">
      <c r="A670" s="40" t="s">
        <v>6</v>
      </c>
      <c r="B670" s="40" t="s">
        <v>321</v>
      </c>
      <c r="C670" s="40" t="s">
        <v>26</v>
      </c>
      <c r="D670" s="105">
        <v>46174</v>
      </c>
      <c r="E670" s="40" t="s">
        <v>319</v>
      </c>
      <c r="F670" s="41">
        <v>0</v>
      </c>
      <c r="G670" s="109">
        <v>0</v>
      </c>
      <c r="H670" s="103">
        <f t="shared" si="10"/>
        <v>0</v>
      </c>
      <c r="I670" s="40" t="s">
        <v>323</v>
      </c>
      <c r="J670" s="39"/>
      <c r="K670" s="39"/>
      <c r="L670" s="39"/>
    </row>
    <row r="671" spans="1:12" hidden="1" x14ac:dyDescent="0.3">
      <c r="A671" s="40" t="s">
        <v>6</v>
      </c>
      <c r="B671" s="40" t="s">
        <v>355</v>
      </c>
      <c r="C671" s="40" t="s">
        <v>27</v>
      </c>
      <c r="D671" s="105">
        <v>46174</v>
      </c>
      <c r="E671" s="40" t="s">
        <v>319</v>
      </c>
      <c r="F671" s="128">
        <v>1</v>
      </c>
      <c r="G671" s="110">
        <v>3707.87</v>
      </c>
      <c r="H671" s="103">
        <f t="shared" si="10"/>
        <v>3707.87</v>
      </c>
      <c r="I671" s="40" t="s">
        <v>544</v>
      </c>
      <c r="J671" s="39"/>
      <c r="K671" s="39"/>
      <c r="L671" s="39"/>
    </row>
    <row r="672" spans="1:12" hidden="1" x14ac:dyDescent="0.3">
      <c r="A672" s="40" t="s">
        <v>6</v>
      </c>
      <c r="B672" s="40" t="s">
        <v>446</v>
      </c>
      <c r="C672" s="40" t="s">
        <v>27</v>
      </c>
      <c r="D672" s="105">
        <v>46174</v>
      </c>
      <c r="E672" s="40" t="s">
        <v>319</v>
      </c>
      <c r="F672" s="41">
        <v>-1</v>
      </c>
      <c r="G672" s="109">
        <v>245.98</v>
      </c>
      <c r="H672" s="103">
        <f t="shared" si="10"/>
        <v>-245.98</v>
      </c>
      <c r="I672" s="40" t="s">
        <v>380</v>
      </c>
      <c r="J672" s="39"/>
      <c r="K672" s="39"/>
      <c r="L672" s="39"/>
    </row>
    <row r="673" spans="1:12" hidden="1" x14ac:dyDescent="0.3">
      <c r="A673" s="40" t="s">
        <v>6</v>
      </c>
      <c r="B673" s="40" t="s">
        <v>453</v>
      </c>
      <c r="C673" s="40" t="s">
        <v>27</v>
      </c>
      <c r="D673" s="105">
        <v>46174</v>
      </c>
      <c r="E673" s="40" t="s">
        <v>319</v>
      </c>
      <c r="F673" s="41">
        <v>-1</v>
      </c>
      <c r="G673" s="109">
        <v>451.06</v>
      </c>
      <c r="H673" s="103">
        <f t="shared" si="10"/>
        <v>-451.06</v>
      </c>
      <c r="I673" s="40" t="s">
        <v>380</v>
      </c>
      <c r="J673" s="39"/>
      <c r="K673" s="39"/>
      <c r="L673" s="39"/>
    </row>
    <row r="674" spans="1:12" hidden="1" x14ac:dyDescent="0.3">
      <c r="A674" s="40" t="s">
        <v>6</v>
      </c>
      <c r="B674" s="40" t="s">
        <v>457</v>
      </c>
      <c r="C674" s="40" t="s">
        <v>27</v>
      </c>
      <c r="D674" s="105">
        <v>46174</v>
      </c>
      <c r="E674" s="40" t="s">
        <v>319</v>
      </c>
      <c r="F674" s="41">
        <v>-1</v>
      </c>
      <c r="G674" s="109">
        <v>589.14</v>
      </c>
      <c r="H674" s="103">
        <f t="shared" si="10"/>
        <v>-589.14</v>
      </c>
      <c r="I674" s="40" t="s">
        <v>401</v>
      </c>
      <c r="J674" s="39"/>
      <c r="K674" s="39"/>
      <c r="L674" s="39"/>
    </row>
    <row r="675" spans="1:12" hidden="1" x14ac:dyDescent="0.3">
      <c r="A675" s="40" t="s">
        <v>6</v>
      </c>
      <c r="B675" s="40" t="s">
        <v>457</v>
      </c>
      <c r="C675" s="40" t="s">
        <v>27</v>
      </c>
      <c r="D675" s="105">
        <v>46174</v>
      </c>
      <c r="E675" s="40" t="s">
        <v>319</v>
      </c>
      <c r="F675" s="41">
        <v>-1</v>
      </c>
      <c r="G675" s="109">
        <v>171.62</v>
      </c>
      <c r="H675" s="103">
        <f t="shared" si="10"/>
        <v>-171.62</v>
      </c>
      <c r="I675" s="39" t="s">
        <v>356</v>
      </c>
      <c r="J675" s="39"/>
      <c r="K675" s="39"/>
      <c r="L675" s="39"/>
    </row>
    <row r="676" spans="1:12" hidden="1" x14ac:dyDescent="0.3">
      <c r="A676" s="40" t="s">
        <v>6</v>
      </c>
      <c r="B676" s="40" t="s">
        <v>552</v>
      </c>
      <c r="C676" s="40" t="s">
        <v>27</v>
      </c>
      <c r="D676" s="105">
        <v>46174</v>
      </c>
      <c r="E676" s="40" t="s">
        <v>319</v>
      </c>
      <c r="F676" s="41">
        <v>-1</v>
      </c>
      <c r="G676" s="109">
        <v>158.76</v>
      </c>
      <c r="H676" s="103">
        <f t="shared" si="10"/>
        <v>-158.76</v>
      </c>
      <c r="I676" s="40" t="s">
        <v>401</v>
      </c>
      <c r="J676" s="39"/>
      <c r="K676" s="39"/>
      <c r="L676" s="39"/>
    </row>
    <row r="677" spans="1:12" hidden="1" x14ac:dyDescent="0.3">
      <c r="A677" s="40" t="s">
        <v>6</v>
      </c>
      <c r="B677" s="40" t="s">
        <v>308</v>
      </c>
      <c r="C677" s="40" t="s">
        <v>309</v>
      </c>
      <c r="D677" s="105">
        <v>46174</v>
      </c>
      <c r="E677" s="40" t="s">
        <v>319</v>
      </c>
      <c r="F677" s="38">
        <v>1</v>
      </c>
      <c r="G677" s="107">
        <v>10</v>
      </c>
      <c r="H677" s="103">
        <f t="shared" si="10"/>
        <v>10</v>
      </c>
      <c r="I677" s="40" t="s">
        <v>310</v>
      </c>
      <c r="J677" s="39"/>
      <c r="K677" s="39"/>
      <c r="L677" s="39"/>
    </row>
    <row r="678" spans="1:12" hidden="1" x14ac:dyDescent="0.3">
      <c r="A678" s="40" t="s">
        <v>6</v>
      </c>
      <c r="B678" s="40" t="s">
        <v>308</v>
      </c>
      <c r="C678" s="40" t="s">
        <v>309</v>
      </c>
      <c r="D678" s="105">
        <v>46174</v>
      </c>
      <c r="E678" s="40" t="s">
        <v>319</v>
      </c>
      <c r="F678" s="38">
        <v>5</v>
      </c>
      <c r="G678" s="107">
        <v>50</v>
      </c>
      <c r="H678" s="103">
        <f t="shared" si="10"/>
        <v>250</v>
      </c>
      <c r="I678" s="40" t="s">
        <v>310</v>
      </c>
      <c r="J678" s="39"/>
      <c r="K678" s="39"/>
      <c r="L678" s="39"/>
    </row>
    <row r="679" spans="1:12" hidden="1" x14ac:dyDescent="0.3">
      <c r="A679" s="40" t="s">
        <v>6</v>
      </c>
      <c r="B679" s="40" t="s">
        <v>341</v>
      </c>
      <c r="C679" s="40" t="s">
        <v>342</v>
      </c>
      <c r="D679" s="105">
        <v>46174</v>
      </c>
      <c r="E679" s="40" t="s">
        <v>371</v>
      </c>
      <c r="F679" s="41">
        <v>1</v>
      </c>
      <c r="G679" s="109">
        <v>88540.29</v>
      </c>
      <c r="H679" s="103">
        <f t="shared" si="10"/>
        <v>88540.29</v>
      </c>
      <c r="I679" s="40" t="s">
        <v>343</v>
      </c>
      <c r="J679" s="39"/>
      <c r="K679" s="39"/>
      <c r="L679" s="39"/>
    </row>
    <row r="680" spans="1:12" hidden="1" x14ac:dyDescent="0.3">
      <c r="A680" s="40" t="s">
        <v>6</v>
      </c>
      <c r="B680" s="40" t="s">
        <v>396</v>
      </c>
      <c r="C680" s="40" t="s">
        <v>397</v>
      </c>
      <c r="D680" s="105">
        <v>46174</v>
      </c>
      <c r="E680" s="40" t="s">
        <v>371</v>
      </c>
      <c r="F680" s="41">
        <v>0</v>
      </c>
      <c r="G680" s="109">
        <v>0</v>
      </c>
      <c r="H680" s="103">
        <f t="shared" si="10"/>
        <v>0</v>
      </c>
      <c r="I680" s="40" t="s">
        <v>454</v>
      </c>
      <c r="J680" s="39"/>
      <c r="K680" s="39"/>
      <c r="L680" s="39"/>
    </row>
    <row r="681" spans="1:12" hidden="1" x14ac:dyDescent="0.3">
      <c r="A681" s="40" t="s">
        <v>6</v>
      </c>
      <c r="B681" s="40" t="s">
        <v>408</v>
      </c>
      <c r="C681" s="40" t="s">
        <v>397</v>
      </c>
      <c r="D681" s="105">
        <v>46174</v>
      </c>
      <c r="E681" s="40" t="s">
        <v>371</v>
      </c>
      <c r="F681" s="41">
        <v>0</v>
      </c>
      <c r="G681" s="109">
        <v>0</v>
      </c>
      <c r="H681" s="103">
        <f t="shared" si="10"/>
        <v>0</v>
      </c>
      <c r="I681" s="40" t="s">
        <v>409</v>
      </c>
      <c r="J681" s="39"/>
      <c r="K681" s="39"/>
      <c r="L681" s="39"/>
    </row>
    <row r="682" spans="1:12" hidden="1" x14ac:dyDescent="0.3">
      <c r="A682" s="40" t="s">
        <v>6</v>
      </c>
      <c r="B682" s="40" t="s">
        <v>483</v>
      </c>
      <c r="C682" s="40" t="s">
        <v>484</v>
      </c>
      <c r="D682" s="105">
        <v>46174</v>
      </c>
      <c r="E682" s="40" t="s">
        <v>371</v>
      </c>
      <c r="F682" s="38">
        <v>14441</v>
      </c>
      <c r="G682" s="107">
        <v>0.56378759770551512</v>
      </c>
      <c r="H682" s="103">
        <f t="shared" si="10"/>
        <v>8141.6566984653437</v>
      </c>
      <c r="I682" s="40" t="s">
        <v>307</v>
      </c>
      <c r="J682" s="39"/>
      <c r="K682" s="39"/>
      <c r="L682" s="39"/>
    </row>
    <row r="683" spans="1:12" hidden="1" x14ac:dyDescent="0.3">
      <c r="A683" s="40" t="s">
        <v>6</v>
      </c>
      <c r="B683" s="40" t="s">
        <v>349</v>
      </c>
      <c r="C683" s="40" t="s">
        <v>299</v>
      </c>
      <c r="D683" s="105">
        <v>46174</v>
      </c>
      <c r="E683" s="40" t="s">
        <v>371</v>
      </c>
      <c r="F683" s="38">
        <v>461</v>
      </c>
      <c r="G683" s="107">
        <v>1.86</v>
      </c>
      <c r="H683" s="103">
        <f t="shared" si="10"/>
        <v>857.46</v>
      </c>
      <c r="I683" s="40" t="s">
        <v>525</v>
      </c>
      <c r="J683" s="39"/>
      <c r="K683" s="39"/>
      <c r="L683" s="39"/>
    </row>
    <row r="684" spans="1:12" hidden="1" x14ac:dyDescent="0.3">
      <c r="A684" s="40" t="s">
        <v>6</v>
      </c>
      <c r="B684" s="40" t="s">
        <v>359</v>
      </c>
      <c r="C684" s="40" t="s">
        <v>299</v>
      </c>
      <c r="D684" s="105">
        <v>46174</v>
      </c>
      <c r="E684" s="40" t="s">
        <v>371</v>
      </c>
      <c r="F684" s="41">
        <v>4</v>
      </c>
      <c r="G684" s="109">
        <v>393.04</v>
      </c>
      <c r="H684" s="103">
        <f t="shared" si="10"/>
        <v>1572.16</v>
      </c>
      <c r="I684" s="40" t="s">
        <v>510</v>
      </c>
      <c r="J684" s="39"/>
      <c r="K684" s="39"/>
      <c r="L684" s="39"/>
    </row>
    <row r="685" spans="1:12" hidden="1" x14ac:dyDescent="0.3">
      <c r="A685" s="40" t="s">
        <v>6</v>
      </c>
      <c r="B685" s="40" t="s">
        <v>324</v>
      </c>
      <c r="C685" s="40" t="s">
        <v>299</v>
      </c>
      <c r="D685" s="105">
        <v>46174</v>
      </c>
      <c r="E685" s="40" t="s">
        <v>371</v>
      </c>
      <c r="F685" s="41">
        <v>4</v>
      </c>
      <c r="G685" s="109">
        <v>439.28</v>
      </c>
      <c r="H685" s="103">
        <f t="shared" si="10"/>
        <v>1757.12</v>
      </c>
      <c r="I685" s="40" t="s">
        <v>553</v>
      </c>
      <c r="J685" s="39"/>
      <c r="K685" s="39"/>
      <c r="L685" s="39"/>
    </row>
    <row r="686" spans="1:12" hidden="1" x14ac:dyDescent="0.3">
      <c r="A686" s="40" t="s">
        <v>6</v>
      </c>
      <c r="B686" s="40" t="s">
        <v>298</v>
      </c>
      <c r="C686" s="40" t="s">
        <v>299</v>
      </c>
      <c r="D686" s="105">
        <v>46174</v>
      </c>
      <c r="E686" s="40" t="s">
        <v>371</v>
      </c>
      <c r="F686" s="41">
        <v>6</v>
      </c>
      <c r="G686" s="109">
        <v>407.27</v>
      </c>
      <c r="H686" s="103">
        <f t="shared" si="10"/>
        <v>2443.62</v>
      </c>
      <c r="I686" s="40" t="s">
        <v>554</v>
      </c>
      <c r="J686" s="39"/>
      <c r="K686" s="39"/>
      <c r="L686" s="39"/>
    </row>
    <row r="687" spans="1:12" hidden="1" x14ac:dyDescent="0.3">
      <c r="A687" s="40" t="s">
        <v>6</v>
      </c>
      <c r="B687" s="40" t="s">
        <v>448</v>
      </c>
      <c r="C687" s="40" t="s">
        <v>299</v>
      </c>
      <c r="D687" s="105">
        <v>46174</v>
      </c>
      <c r="E687" s="40" t="s">
        <v>371</v>
      </c>
      <c r="F687" s="41">
        <v>1</v>
      </c>
      <c r="G687" s="109">
        <v>738.92</v>
      </c>
      <c r="H687" s="103">
        <f t="shared" si="10"/>
        <v>738.92</v>
      </c>
      <c r="I687" s="40" t="s">
        <v>449</v>
      </c>
      <c r="J687" s="39"/>
      <c r="K687" s="39"/>
      <c r="L687" s="39"/>
    </row>
    <row r="688" spans="1:12" hidden="1" x14ac:dyDescent="0.3">
      <c r="A688" s="40" t="s">
        <v>6</v>
      </c>
      <c r="B688" s="40" t="s">
        <v>448</v>
      </c>
      <c r="C688" s="40" t="s">
        <v>299</v>
      </c>
      <c r="D688" s="105">
        <v>46174</v>
      </c>
      <c r="E688" s="40" t="s">
        <v>371</v>
      </c>
      <c r="F688" s="41">
        <v>25</v>
      </c>
      <c r="G688" s="109">
        <v>19.53</v>
      </c>
      <c r="H688" s="103">
        <f t="shared" si="10"/>
        <v>488.25</v>
      </c>
      <c r="I688" s="40" t="s">
        <v>452</v>
      </c>
      <c r="J688" s="39"/>
      <c r="K688" s="39"/>
      <c r="L688" s="39"/>
    </row>
    <row r="689" spans="1:12" hidden="1" x14ac:dyDescent="0.3">
      <c r="A689" s="40" t="s">
        <v>6</v>
      </c>
      <c r="B689" s="40" t="s">
        <v>458</v>
      </c>
      <c r="C689" s="40" t="s">
        <v>299</v>
      </c>
      <c r="D689" s="105">
        <v>46174</v>
      </c>
      <c r="E689" s="40" t="s">
        <v>371</v>
      </c>
      <c r="F689" s="38">
        <v>0</v>
      </c>
      <c r="G689" s="109">
        <v>0</v>
      </c>
      <c r="H689" s="103">
        <f t="shared" si="10"/>
        <v>0</v>
      </c>
      <c r="I689" s="40" t="s">
        <v>313</v>
      </c>
      <c r="J689" s="39"/>
      <c r="K689" s="39"/>
      <c r="L689" s="39"/>
    </row>
    <row r="690" spans="1:12" hidden="1" x14ac:dyDescent="0.3">
      <c r="A690" s="40" t="s">
        <v>6</v>
      </c>
      <c r="B690" s="40" t="s">
        <v>361</v>
      </c>
      <c r="C690" s="40" t="s">
        <v>299</v>
      </c>
      <c r="D690" s="105">
        <v>46174</v>
      </c>
      <c r="E690" s="40" t="s">
        <v>371</v>
      </c>
      <c r="F690" s="38">
        <v>21</v>
      </c>
      <c r="G690" s="107">
        <f>Comercial!B163</f>
        <v>278.60087370242218</v>
      </c>
      <c r="H690" s="103">
        <f t="shared" si="10"/>
        <v>5850.6183477508657</v>
      </c>
      <c r="I690" s="40" t="s">
        <v>532</v>
      </c>
      <c r="J690" s="39"/>
      <c r="K690" s="39"/>
      <c r="L690" s="39"/>
    </row>
    <row r="691" spans="1:12" hidden="1" x14ac:dyDescent="0.3">
      <c r="A691" s="40" t="s">
        <v>6</v>
      </c>
      <c r="B691" s="40" t="s">
        <v>471</v>
      </c>
      <c r="C691" s="40" t="s">
        <v>299</v>
      </c>
      <c r="D691" s="105">
        <v>46174</v>
      </c>
      <c r="E691" s="40" t="s">
        <v>371</v>
      </c>
      <c r="F691" s="38">
        <v>0</v>
      </c>
      <c r="G691" s="109">
        <v>0</v>
      </c>
      <c r="H691" s="103">
        <f t="shared" si="10"/>
        <v>0</v>
      </c>
      <c r="I691" s="40" t="s">
        <v>313</v>
      </c>
      <c r="J691" s="39"/>
      <c r="K691" s="39"/>
      <c r="L691" s="39"/>
    </row>
    <row r="692" spans="1:12" hidden="1" x14ac:dyDescent="0.3">
      <c r="A692" s="40" t="s">
        <v>6</v>
      </c>
      <c r="B692" s="40" t="s">
        <v>476</v>
      </c>
      <c r="C692" s="40" t="s">
        <v>299</v>
      </c>
      <c r="D692" s="105">
        <v>46174</v>
      </c>
      <c r="E692" s="40" t="s">
        <v>371</v>
      </c>
      <c r="F692" s="38">
        <v>0</v>
      </c>
      <c r="G692" s="109">
        <v>0</v>
      </c>
      <c r="H692" s="103">
        <f t="shared" si="10"/>
        <v>0</v>
      </c>
      <c r="I692" s="40" t="s">
        <v>313</v>
      </c>
      <c r="J692" s="39"/>
      <c r="K692" s="39"/>
      <c r="L692" s="39"/>
    </row>
    <row r="693" spans="1:12" hidden="1" x14ac:dyDescent="0.3">
      <c r="A693" s="40" t="s">
        <v>6</v>
      </c>
      <c r="B693" s="40" t="s">
        <v>387</v>
      </c>
      <c r="C693" s="40" t="s">
        <v>11</v>
      </c>
      <c r="D693" s="105">
        <v>46174</v>
      </c>
      <c r="E693" s="40" t="s">
        <v>371</v>
      </c>
      <c r="F693" s="38">
        <v>14441</v>
      </c>
      <c r="G693" s="107">
        <v>0.25375464036608258</v>
      </c>
      <c r="H693" s="103">
        <f t="shared" si="10"/>
        <v>3664.4707615265984</v>
      </c>
      <c r="I693" s="40" t="s">
        <v>307</v>
      </c>
      <c r="J693" s="39"/>
      <c r="K693" s="39"/>
      <c r="L693" s="39"/>
    </row>
    <row r="694" spans="1:12" hidden="1" x14ac:dyDescent="0.3">
      <c r="A694" s="40" t="s">
        <v>6</v>
      </c>
      <c r="B694" s="40" t="s">
        <v>466</v>
      </c>
      <c r="C694" s="40" t="s">
        <v>18</v>
      </c>
      <c r="D694" s="105">
        <v>46174</v>
      </c>
      <c r="E694" s="40" t="s">
        <v>371</v>
      </c>
      <c r="F694" s="128">
        <v>0</v>
      </c>
      <c r="G694" s="110">
        <v>0</v>
      </c>
      <c r="H694" s="103">
        <f t="shared" si="10"/>
        <v>0</v>
      </c>
      <c r="I694" s="40" t="s">
        <v>492</v>
      </c>
      <c r="J694" s="39"/>
      <c r="K694" s="39"/>
      <c r="L694" s="39"/>
    </row>
    <row r="695" spans="1:12" hidden="1" x14ac:dyDescent="0.3">
      <c r="A695" s="40" t="s">
        <v>6</v>
      </c>
      <c r="B695" s="40" t="s">
        <v>466</v>
      </c>
      <c r="C695" s="40" t="s">
        <v>18</v>
      </c>
      <c r="D695" s="105">
        <v>46174</v>
      </c>
      <c r="E695" s="40" t="s">
        <v>371</v>
      </c>
      <c r="F695" s="128">
        <v>0</v>
      </c>
      <c r="G695" s="110">
        <v>0</v>
      </c>
      <c r="H695" s="103">
        <f t="shared" si="10"/>
        <v>0</v>
      </c>
      <c r="I695" s="40" t="s">
        <v>467</v>
      </c>
      <c r="J695" s="39"/>
      <c r="K695" s="39"/>
      <c r="L695" s="39"/>
    </row>
    <row r="696" spans="1:12" hidden="1" x14ac:dyDescent="0.3">
      <c r="A696" s="40" t="s">
        <v>6</v>
      </c>
      <c r="B696" s="40" t="s">
        <v>367</v>
      </c>
      <c r="C696" s="40" t="s">
        <v>302</v>
      </c>
      <c r="D696" s="105">
        <v>46174</v>
      </c>
      <c r="E696" s="40" t="s">
        <v>371</v>
      </c>
      <c r="F696" s="34">
        <v>19</v>
      </c>
      <c r="G696" s="103">
        <v>20</v>
      </c>
      <c r="H696" s="103">
        <f t="shared" si="10"/>
        <v>380</v>
      </c>
      <c r="I696" s="40" t="s">
        <v>368</v>
      </c>
      <c r="J696" s="39"/>
      <c r="K696" s="39"/>
      <c r="L696" s="39"/>
    </row>
    <row r="697" spans="1:12" hidden="1" x14ac:dyDescent="0.3">
      <c r="A697" s="40" t="s">
        <v>6</v>
      </c>
      <c r="B697" s="40" t="s">
        <v>301</v>
      </c>
      <c r="C697" s="40" t="s">
        <v>302</v>
      </c>
      <c r="D697" s="105">
        <v>46174</v>
      </c>
      <c r="E697" s="40" t="s">
        <v>371</v>
      </c>
      <c r="F697" s="128">
        <v>1</v>
      </c>
      <c r="G697" s="110">
        <v>1035.78</v>
      </c>
      <c r="H697" s="110">
        <f t="shared" si="10"/>
        <v>1035.78</v>
      </c>
      <c r="I697" s="40" t="s">
        <v>535</v>
      </c>
      <c r="J697" s="39"/>
      <c r="K697" s="39"/>
      <c r="L697" s="39"/>
    </row>
    <row r="698" spans="1:12" hidden="1" x14ac:dyDescent="0.3">
      <c r="A698" s="130" t="s">
        <v>6</v>
      </c>
      <c r="B698" s="130" t="s">
        <v>301</v>
      </c>
      <c r="C698" s="130" t="s">
        <v>302</v>
      </c>
      <c r="D698" s="105">
        <v>46174</v>
      </c>
      <c r="E698" s="130" t="s">
        <v>371</v>
      </c>
      <c r="F698" s="130">
        <v>1</v>
      </c>
      <c r="G698" s="119">
        <v>1381.14</v>
      </c>
      <c r="H698" s="119">
        <f t="shared" si="10"/>
        <v>1381.14</v>
      </c>
      <c r="I698" s="130" t="s">
        <v>534</v>
      </c>
    </row>
    <row r="699" spans="1:12" hidden="1" x14ac:dyDescent="0.3">
      <c r="A699" s="40" t="s">
        <v>6</v>
      </c>
      <c r="B699" s="40" t="s">
        <v>450</v>
      </c>
      <c r="C699" s="40" t="s">
        <v>302</v>
      </c>
      <c r="D699" s="105">
        <v>46174</v>
      </c>
      <c r="E699" s="40" t="s">
        <v>371</v>
      </c>
      <c r="F699" s="128">
        <v>0</v>
      </c>
      <c r="G699" s="110">
        <v>0</v>
      </c>
      <c r="H699" s="110">
        <f t="shared" si="10"/>
        <v>0</v>
      </c>
      <c r="I699" s="40" t="s">
        <v>535</v>
      </c>
      <c r="J699" s="39"/>
      <c r="K699" s="39"/>
      <c r="L699" s="39"/>
    </row>
    <row r="700" spans="1:12" hidden="1" x14ac:dyDescent="0.3">
      <c r="A700" s="130" t="s">
        <v>6</v>
      </c>
      <c r="B700" s="130" t="s">
        <v>450</v>
      </c>
      <c r="C700" s="130" t="s">
        <v>302</v>
      </c>
      <c r="D700" s="105">
        <v>46174</v>
      </c>
      <c r="E700" s="130" t="s">
        <v>371</v>
      </c>
      <c r="F700" s="130">
        <v>1</v>
      </c>
      <c r="G700" s="119">
        <v>264</v>
      </c>
      <c r="H700" s="119">
        <f t="shared" si="10"/>
        <v>264</v>
      </c>
      <c r="I700" s="130" t="s">
        <v>534</v>
      </c>
    </row>
    <row r="701" spans="1:12" hidden="1" x14ac:dyDescent="0.3">
      <c r="A701" s="40" t="s">
        <v>6</v>
      </c>
      <c r="B701" s="40" t="s">
        <v>405</v>
      </c>
      <c r="C701" s="40" t="s">
        <v>315</v>
      </c>
      <c r="D701" s="105">
        <v>46174</v>
      </c>
      <c r="E701" s="40" t="s">
        <v>371</v>
      </c>
      <c r="F701" s="41">
        <v>0</v>
      </c>
      <c r="G701" s="109">
        <v>0</v>
      </c>
      <c r="H701" s="103">
        <f t="shared" si="10"/>
        <v>0</v>
      </c>
      <c r="I701" s="40" t="s">
        <v>406</v>
      </c>
      <c r="J701" s="39"/>
      <c r="K701" s="39"/>
      <c r="L701" s="39"/>
    </row>
    <row r="702" spans="1:12" hidden="1" x14ac:dyDescent="0.3">
      <c r="A702" s="40" t="s">
        <v>6</v>
      </c>
      <c r="B702" s="40" t="s">
        <v>423</v>
      </c>
      <c r="C702" s="40" t="s">
        <v>315</v>
      </c>
      <c r="D702" s="105">
        <v>46174</v>
      </c>
      <c r="E702" s="40" t="s">
        <v>371</v>
      </c>
      <c r="F702" s="41">
        <v>0</v>
      </c>
      <c r="G702" s="109">
        <v>0</v>
      </c>
      <c r="H702" s="103">
        <f t="shared" si="10"/>
        <v>0</v>
      </c>
      <c r="I702" s="40" t="s">
        <v>424</v>
      </c>
      <c r="J702" s="39"/>
      <c r="K702" s="39"/>
      <c r="L702" s="39"/>
    </row>
    <row r="703" spans="1:12" hidden="1" x14ac:dyDescent="0.3">
      <c r="A703" s="40" t="s">
        <v>6</v>
      </c>
      <c r="B703" s="40" t="s">
        <v>415</v>
      </c>
      <c r="C703" s="40" t="s">
        <v>315</v>
      </c>
      <c r="D703" s="105">
        <v>46174</v>
      </c>
      <c r="E703" s="40" t="s">
        <v>371</v>
      </c>
      <c r="F703" s="41">
        <v>0</v>
      </c>
      <c r="G703" s="109">
        <v>0</v>
      </c>
      <c r="H703" s="103">
        <f t="shared" si="10"/>
        <v>0</v>
      </c>
      <c r="I703" s="40" t="s">
        <v>416</v>
      </c>
      <c r="J703" s="39"/>
      <c r="K703" s="39"/>
      <c r="L703" s="39"/>
    </row>
    <row r="704" spans="1:12" hidden="1" x14ac:dyDescent="0.3">
      <c r="A704" s="40" t="s">
        <v>6</v>
      </c>
      <c r="B704" s="40" t="s">
        <v>430</v>
      </c>
      <c r="C704" s="40" t="s">
        <v>315</v>
      </c>
      <c r="D704" s="105">
        <v>46174</v>
      </c>
      <c r="E704" s="40" t="s">
        <v>371</v>
      </c>
      <c r="F704" s="41">
        <v>0</v>
      </c>
      <c r="G704" s="109">
        <v>0</v>
      </c>
      <c r="H704" s="103">
        <f t="shared" si="10"/>
        <v>0</v>
      </c>
      <c r="I704" s="40" t="s">
        <v>431</v>
      </c>
      <c r="J704" s="39"/>
      <c r="K704" s="39"/>
      <c r="L704" s="39"/>
    </row>
    <row r="705" spans="1:12" hidden="1" x14ac:dyDescent="0.3">
      <c r="A705" s="40" t="s">
        <v>6</v>
      </c>
      <c r="B705" s="40" t="s">
        <v>363</v>
      </c>
      <c r="C705" s="40" t="s">
        <v>364</v>
      </c>
      <c r="D705" s="105">
        <v>46174</v>
      </c>
      <c r="E705" s="40" t="s">
        <v>371</v>
      </c>
      <c r="F705" s="41">
        <v>0</v>
      </c>
      <c r="G705" s="109">
        <v>0</v>
      </c>
      <c r="H705" s="103">
        <f t="shared" si="10"/>
        <v>0</v>
      </c>
      <c r="I705" s="40" t="s">
        <v>407</v>
      </c>
      <c r="J705" s="39"/>
      <c r="K705" s="39"/>
      <c r="L705" s="39"/>
    </row>
    <row r="706" spans="1:12" hidden="1" x14ac:dyDescent="0.3">
      <c r="A706" s="40" t="s">
        <v>6</v>
      </c>
      <c r="B706" s="40" t="s">
        <v>327</v>
      </c>
      <c r="C706" s="40" t="s">
        <v>23</v>
      </c>
      <c r="D706" s="105">
        <v>46174</v>
      </c>
      <c r="E706" s="40" t="s">
        <v>371</v>
      </c>
      <c r="F706" s="41">
        <v>11</v>
      </c>
      <c r="G706" s="109">
        <v>106.24</v>
      </c>
      <c r="H706" s="103">
        <f t="shared" ref="H706:H769" si="11">IF(OR(F706="",G706=""),"",F706*G706)</f>
        <v>1168.6399999999999</v>
      </c>
      <c r="I706" s="40" t="s">
        <v>551</v>
      </c>
      <c r="J706" s="39"/>
      <c r="K706" s="39"/>
      <c r="L706" s="39"/>
    </row>
    <row r="707" spans="1:12" hidden="1" x14ac:dyDescent="0.3">
      <c r="A707" s="40" t="s">
        <v>6</v>
      </c>
      <c r="B707" s="40" t="s">
        <v>321</v>
      </c>
      <c r="C707" s="40" t="s">
        <v>26</v>
      </c>
      <c r="D707" s="105">
        <v>46174</v>
      </c>
      <c r="E707" s="40" t="s">
        <v>371</v>
      </c>
      <c r="F707" s="41">
        <v>0</v>
      </c>
      <c r="G707" s="109">
        <v>0</v>
      </c>
      <c r="H707" s="103">
        <f t="shared" si="11"/>
        <v>0</v>
      </c>
      <c r="I707" s="40" t="s">
        <v>323</v>
      </c>
      <c r="J707" s="39"/>
      <c r="K707" s="39"/>
      <c r="L707" s="39"/>
    </row>
    <row r="708" spans="1:12" hidden="1" x14ac:dyDescent="0.3">
      <c r="A708" s="40" t="s">
        <v>6</v>
      </c>
      <c r="B708" s="40" t="s">
        <v>339</v>
      </c>
      <c r="C708" s="40" t="s">
        <v>26</v>
      </c>
      <c r="D708" s="105">
        <v>46174</v>
      </c>
      <c r="E708" s="40" t="s">
        <v>371</v>
      </c>
      <c r="F708" s="41">
        <v>0</v>
      </c>
      <c r="G708" s="109">
        <v>0</v>
      </c>
      <c r="H708" s="103">
        <f t="shared" si="11"/>
        <v>0</v>
      </c>
      <c r="I708" s="40" t="s">
        <v>474</v>
      </c>
      <c r="J708" s="39"/>
      <c r="K708" s="39"/>
      <c r="L708" s="39"/>
    </row>
    <row r="709" spans="1:12" hidden="1" x14ac:dyDescent="0.3">
      <c r="A709" s="40" t="s">
        <v>6</v>
      </c>
      <c r="B709" s="40" t="s">
        <v>355</v>
      </c>
      <c r="C709" s="40" t="s">
        <v>27</v>
      </c>
      <c r="D709" s="105">
        <v>46174</v>
      </c>
      <c r="E709" s="40" t="s">
        <v>371</v>
      </c>
      <c r="F709" s="128">
        <v>1</v>
      </c>
      <c r="G709" s="110">
        <v>4497.3599999999997</v>
      </c>
      <c r="H709" s="103">
        <f t="shared" si="11"/>
        <v>4497.3599999999997</v>
      </c>
      <c r="I709" s="40" t="s">
        <v>366</v>
      </c>
      <c r="J709" s="39"/>
      <c r="K709" s="39"/>
      <c r="L709" s="39"/>
    </row>
    <row r="710" spans="1:12" hidden="1" x14ac:dyDescent="0.3">
      <c r="A710" s="40" t="s">
        <v>6</v>
      </c>
      <c r="B710" s="40" t="s">
        <v>355</v>
      </c>
      <c r="C710" s="40" t="s">
        <v>27</v>
      </c>
      <c r="D710" s="105">
        <v>46174</v>
      </c>
      <c r="E710" s="40" t="s">
        <v>371</v>
      </c>
      <c r="F710" s="41">
        <v>0</v>
      </c>
      <c r="G710" s="109">
        <v>0</v>
      </c>
      <c r="H710" s="103">
        <f t="shared" si="11"/>
        <v>0</v>
      </c>
      <c r="I710" s="40" t="s">
        <v>366</v>
      </c>
      <c r="J710" s="39"/>
      <c r="K710" s="39"/>
      <c r="L710" s="39"/>
    </row>
    <row r="711" spans="1:12" hidden="1" x14ac:dyDescent="0.3">
      <c r="A711" s="40" t="s">
        <v>6</v>
      </c>
      <c r="B711" s="40" t="s">
        <v>453</v>
      </c>
      <c r="C711" s="40" t="s">
        <v>27</v>
      </c>
      <c r="D711" s="105">
        <v>46174</v>
      </c>
      <c r="E711" s="40" t="s">
        <v>371</v>
      </c>
      <c r="F711" s="41">
        <v>1</v>
      </c>
      <c r="G711" s="109">
        <v>158.76</v>
      </c>
      <c r="H711" s="103">
        <f t="shared" si="11"/>
        <v>158.76</v>
      </c>
      <c r="I711" s="40" t="s">
        <v>401</v>
      </c>
      <c r="J711" s="39"/>
      <c r="K711" s="39"/>
      <c r="L711" s="39"/>
    </row>
    <row r="712" spans="1:12" hidden="1" x14ac:dyDescent="0.3">
      <c r="A712" s="40" t="s">
        <v>6</v>
      </c>
      <c r="B712" s="40" t="s">
        <v>462</v>
      </c>
      <c r="C712" s="40" t="s">
        <v>27</v>
      </c>
      <c r="D712" s="105">
        <v>46174</v>
      </c>
      <c r="E712" s="40" t="s">
        <v>371</v>
      </c>
      <c r="F712" s="41">
        <v>1</v>
      </c>
      <c r="G712" s="109">
        <v>451.06</v>
      </c>
      <c r="H712" s="103">
        <f t="shared" si="11"/>
        <v>451.06</v>
      </c>
      <c r="I712" s="40" t="s">
        <v>401</v>
      </c>
      <c r="J712" s="39"/>
      <c r="K712" s="39"/>
      <c r="L712" s="39"/>
    </row>
    <row r="713" spans="1:12" hidden="1" x14ac:dyDescent="0.3">
      <c r="A713" s="40" t="s">
        <v>6</v>
      </c>
      <c r="B713" s="40" t="s">
        <v>308</v>
      </c>
      <c r="C713" s="40" t="s">
        <v>309</v>
      </c>
      <c r="D713" s="105">
        <v>46174</v>
      </c>
      <c r="E713" s="40" t="s">
        <v>371</v>
      </c>
      <c r="F713" s="38">
        <v>2</v>
      </c>
      <c r="G713" s="107">
        <v>50</v>
      </c>
      <c r="H713" s="103">
        <f t="shared" si="11"/>
        <v>100</v>
      </c>
      <c r="I713" s="40" t="s">
        <v>310</v>
      </c>
      <c r="J713" s="39"/>
      <c r="K713" s="39"/>
      <c r="L713" s="39"/>
    </row>
    <row r="714" spans="1:12" hidden="1" x14ac:dyDescent="0.3">
      <c r="A714" s="40" t="s">
        <v>6</v>
      </c>
      <c r="B714" s="40" t="s">
        <v>341</v>
      </c>
      <c r="C714" s="40" t="s">
        <v>342</v>
      </c>
      <c r="D714" s="105">
        <v>46174</v>
      </c>
      <c r="E714" s="40" t="s">
        <v>322</v>
      </c>
      <c r="F714" s="41">
        <v>1</v>
      </c>
      <c r="G714" s="109">
        <v>26681.82</v>
      </c>
      <c r="H714" s="103">
        <f t="shared" si="11"/>
        <v>26681.82</v>
      </c>
      <c r="I714" s="40" t="s">
        <v>343</v>
      </c>
      <c r="J714" s="39"/>
      <c r="K714" s="39"/>
      <c r="L714" s="39"/>
    </row>
    <row r="715" spans="1:12" hidden="1" x14ac:dyDescent="0.3">
      <c r="A715" s="40" t="s">
        <v>6</v>
      </c>
      <c r="B715" s="40" t="s">
        <v>396</v>
      </c>
      <c r="C715" s="40" t="s">
        <v>397</v>
      </c>
      <c r="D715" s="105">
        <v>46174</v>
      </c>
      <c r="E715" s="40" t="s">
        <v>322</v>
      </c>
      <c r="F715" s="41">
        <v>0</v>
      </c>
      <c r="G715" s="109">
        <v>0</v>
      </c>
      <c r="H715" s="103">
        <f t="shared" si="11"/>
        <v>0</v>
      </c>
      <c r="I715" s="40" t="s">
        <v>427</v>
      </c>
      <c r="J715" s="39"/>
      <c r="K715" s="39"/>
      <c r="L715" s="39"/>
    </row>
    <row r="716" spans="1:12" hidden="1" x14ac:dyDescent="0.3">
      <c r="A716" s="40" t="s">
        <v>6</v>
      </c>
      <c r="B716" s="40" t="s">
        <v>396</v>
      </c>
      <c r="C716" s="40" t="s">
        <v>397</v>
      </c>
      <c r="D716" s="105">
        <v>46174</v>
      </c>
      <c r="E716" s="40" t="s">
        <v>322</v>
      </c>
      <c r="F716" s="41">
        <v>0</v>
      </c>
      <c r="G716" s="109">
        <v>0</v>
      </c>
      <c r="H716" s="103">
        <f t="shared" si="11"/>
        <v>0</v>
      </c>
      <c r="I716" s="40" t="s">
        <v>472</v>
      </c>
      <c r="J716" s="39"/>
      <c r="K716" s="39"/>
      <c r="L716" s="39"/>
    </row>
    <row r="717" spans="1:12" hidden="1" x14ac:dyDescent="0.3">
      <c r="A717" s="40" t="s">
        <v>6</v>
      </c>
      <c r="B717" s="40" t="s">
        <v>349</v>
      </c>
      <c r="C717" s="40" t="s">
        <v>299</v>
      </c>
      <c r="D717" s="105">
        <v>46174</v>
      </c>
      <c r="E717" s="40" t="s">
        <v>322</v>
      </c>
      <c r="F717" s="38">
        <v>112</v>
      </c>
      <c r="G717" s="107">
        <v>1.86</v>
      </c>
      <c r="H717" s="103">
        <f t="shared" si="11"/>
        <v>208.32000000000002</v>
      </c>
      <c r="I717" s="40" t="s">
        <v>525</v>
      </c>
      <c r="J717" s="39"/>
      <c r="K717" s="39"/>
      <c r="L717" s="39"/>
    </row>
    <row r="718" spans="1:12" hidden="1" x14ac:dyDescent="0.3">
      <c r="A718" s="40" t="s">
        <v>6</v>
      </c>
      <c r="B718" s="40" t="s">
        <v>359</v>
      </c>
      <c r="C718" s="40" t="s">
        <v>299</v>
      </c>
      <c r="D718" s="105">
        <v>46174</v>
      </c>
      <c r="E718" s="40" t="s">
        <v>322</v>
      </c>
      <c r="F718" s="41">
        <v>1</v>
      </c>
      <c r="G718" s="109">
        <v>393.04</v>
      </c>
      <c r="H718" s="103">
        <f t="shared" si="11"/>
        <v>393.04</v>
      </c>
      <c r="I718" s="40" t="s">
        <v>543</v>
      </c>
      <c r="J718" s="39"/>
      <c r="K718" s="39"/>
      <c r="L718" s="39"/>
    </row>
    <row r="719" spans="1:12" hidden="1" x14ac:dyDescent="0.3">
      <c r="A719" s="40" t="s">
        <v>6</v>
      </c>
      <c r="B719" s="40" t="s">
        <v>324</v>
      </c>
      <c r="C719" s="40" t="s">
        <v>299</v>
      </c>
      <c r="D719" s="105">
        <v>46174</v>
      </c>
      <c r="E719" s="40" t="s">
        <v>322</v>
      </c>
      <c r="F719" s="41">
        <v>0</v>
      </c>
      <c r="G719" s="109">
        <v>0</v>
      </c>
      <c r="H719" s="103">
        <f t="shared" si="11"/>
        <v>0</v>
      </c>
      <c r="I719" s="40" t="s">
        <v>488</v>
      </c>
      <c r="J719" s="39"/>
      <c r="K719" s="39"/>
      <c r="L719" s="39"/>
    </row>
    <row r="720" spans="1:12" hidden="1" x14ac:dyDescent="0.3">
      <c r="A720" s="40" t="s">
        <v>6</v>
      </c>
      <c r="B720" s="40" t="s">
        <v>298</v>
      </c>
      <c r="C720" s="40" t="s">
        <v>299</v>
      </c>
      <c r="D720" s="105">
        <v>46174</v>
      </c>
      <c r="E720" s="40" t="s">
        <v>322</v>
      </c>
      <c r="F720" s="41">
        <v>0</v>
      </c>
      <c r="G720" s="109">
        <v>0</v>
      </c>
      <c r="H720" s="103">
        <f t="shared" si="11"/>
        <v>0</v>
      </c>
      <c r="I720" s="40" t="s">
        <v>491</v>
      </c>
      <c r="J720" s="39"/>
      <c r="K720" s="39"/>
      <c r="L720" s="39"/>
    </row>
    <row r="721" spans="1:12" hidden="1" x14ac:dyDescent="0.3">
      <c r="A721" s="40" t="s">
        <v>6</v>
      </c>
      <c r="B721" s="40" t="s">
        <v>448</v>
      </c>
      <c r="C721" s="40" t="s">
        <v>299</v>
      </c>
      <c r="D721" s="105">
        <v>46174</v>
      </c>
      <c r="E721" s="40" t="s">
        <v>322</v>
      </c>
      <c r="F721" s="41">
        <v>1</v>
      </c>
      <c r="G721" s="109">
        <v>607.6</v>
      </c>
      <c r="H721" s="103">
        <f t="shared" si="11"/>
        <v>607.6</v>
      </c>
      <c r="I721" s="40" t="s">
        <v>493</v>
      </c>
      <c r="J721" s="39"/>
      <c r="K721" s="39"/>
      <c r="L721" s="39"/>
    </row>
    <row r="722" spans="1:12" hidden="1" x14ac:dyDescent="0.3">
      <c r="A722" s="40" t="s">
        <v>6</v>
      </c>
      <c r="B722" s="40" t="s">
        <v>448</v>
      </c>
      <c r="C722" s="40" t="s">
        <v>299</v>
      </c>
      <c r="D722" s="105">
        <v>46174</v>
      </c>
      <c r="E722" s="40" t="s">
        <v>322</v>
      </c>
      <c r="F722" s="41">
        <v>42</v>
      </c>
      <c r="G722" s="109">
        <v>19.53</v>
      </c>
      <c r="H722" s="103">
        <f t="shared" si="11"/>
        <v>820.26</v>
      </c>
      <c r="I722" s="40" t="s">
        <v>452</v>
      </c>
      <c r="J722" s="39"/>
      <c r="K722" s="39"/>
      <c r="L722" s="39"/>
    </row>
    <row r="723" spans="1:12" hidden="1" x14ac:dyDescent="0.3">
      <c r="A723" s="40" t="s">
        <v>6</v>
      </c>
      <c r="B723" s="40" t="s">
        <v>361</v>
      </c>
      <c r="C723" s="40" t="s">
        <v>299</v>
      </c>
      <c r="D723" s="105">
        <v>46174</v>
      </c>
      <c r="E723" s="40" t="s">
        <v>322</v>
      </c>
      <c r="F723" s="38">
        <v>2</v>
      </c>
      <c r="G723" s="107">
        <f>Comercial!B163</f>
        <v>278.60087370242218</v>
      </c>
      <c r="H723" s="103">
        <f t="shared" si="11"/>
        <v>557.20174740484435</v>
      </c>
      <c r="I723" s="40" t="s">
        <v>532</v>
      </c>
      <c r="J723" s="39"/>
      <c r="K723" s="39"/>
      <c r="L723" s="39"/>
    </row>
    <row r="724" spans="1:12" hidden="1" x14ac:dyDescent="0.3">
      <c r="A724" s="40" t="s">
        <v>6</v>
      </c>
      <c r="B724" s="40" t="s">
        <v>502</v>
      </c>
      <c r="C724" s="40" t="s">
        <v>299</v>
      </c>
      <c r="D724" s="105">
        <v>46174</v>
      </c>
      <c r="E724" s="40" t="s">
        <v>322</v>
      </c>
      <c r="F724" s="38">
        <v>-1</v>
      </c>
      <c r="G724" s="107">
        <f>Comercial!Q163</f>
        <v>370.46238095238101</v>
      </c>
      <c r="H724" s="103">
        <f t="shared" si="11"/>
        <v>-370.46238095238101</v>
      </c>
      <c r="I724" s="40" t="s">
        <v>532</v>
      </c>
      <c r="J724" s="39"/>
      <c r="K724" s="39"/>
      <c r="L724" s="39"/>
    </row>
    <row r="725" spans="1:12" hidden="1" x14ac:dyDescent="0.3">
      <c r="A725" s="40" t="s">
        <v>6</v>
      </c>
      <c r="B725" s="40" t="s">
        <v>387</v>
      </c>
      <c r="C725" s="40" t="s">
        <v>11</v>
      </c>
      <c r="D725" s="105">
        <v>46174</v>
      </c>
      <c r="E725" s="40" t="s">
        <v>322</v>
      </c>
      <c r="F725" s="38">
        <v>4749</v>
      </c>
      <c r="G725" s="107">
        <v>0.25375464036608258</v>
      </c>
      <c r="H725" s="103">
        <f t="shared" si="11"/>
        <v>1205.0807870985261</v>
      </c>
      <c r="I725" s="40" t="s">
        <v>307</v>
      </c>
      <c r="J725" s="39"/>
      <c r="K725" s="39"/>
      <c r="L725" s="39"/>
    </row>
    <row r="726" spans="1:12" hidden="1" x14ac:dyDescent="0.3">
      <c r="A726" s="40" t="s">
        <v>6</v>
      </c>
      <c r="B726" s="40" t="s">
        <v>441</v>
      </c>
      <c r="C726" s="40" t="s">
        <v>442</v>
      </c>
      <c r="D726" s="105">
        <v>46174</v>
      </c>
      <c r="E726" s="40" t="s">
        <v>322</v>
      </c>
      <c r="F726" s="34">
        <v>1</v>
      </c>
      <c r="G726" s="103">
        <v>15695.77</v>
      </c>
      <c r="H726" s="103">
        <f t="shared" si="11"/>
        <v>15695.77</v>
      </c>
      <c r="I726" s="40" t="s">
        <v>443</v>
      </c>
      <c r="J726" s="39"/>
      <c r="K726" s="39"/>
      <c r="L726" s="39"/>
    </row>
    <row r="727" spans="1:12" hidden="1" x14ac:dyDescent="0.3">
      <c r="A727" s="40" t="s">
        <v>6</v>
      </c>
      <c r="B727" s="40" t="s">
        <v>466</v>
      </c>
      <c r="C727" s="40" t="s">
        <v>18</v>
      </c>
      <c r="D727" s="105">
        <v>46174</v>
      </c>
      <c r="E727" s="40" t="s">
        <v>322</v>
      </c>
      <c r="F727" s="128">
        <v>0</v>
      </c>
      <c r="G727" s="110">
        <v>0</v>
      </c>
      <c r="H727" s="103">
        <f t="shared" si="11"/>
        <v>0</v>
      </c>
      <c r="I727" s="40" t="s">
        <v>467</v>
      </c>
      <c r="J727" s="39"/>
      <c r="K727" s="39"/>
      <c r="L727" s="39"/>
    </row>
    <row r="728" spans="1:12" hidden="1" x14ac:dyDescent="0.3">
      <c r="A728" s="40" t="s">
        <v>6</v>
      </c>
      <c r="B728" s="40" t="s">
        <v>414</v>
      </c>
      <c r="C728" s="40" t="s">
        <v>302</v>
      </c>
      <c r="D728" s="105">
        <v>46174</v>
      </c>
      <c r="E728" s="40" t="s">
        <v>322</v>
      </c>
      <c r="F728" s="41">
        <v>0</v>
      </c>
      <c r="G728" s="109">
        <v>0</v>
      </c>
      <c r="H728" s="103">
        <f t="shared" si="11"/>
        <v>0</v>
      </c>
      <c r="I728" s="40" t="s">
        <v>455</v>
      </c>
      <c r="J728" s="39"/>
      <c r="K728" s="39"/>
      <c r="L728" s="39"/>
    </row>
    <row r="729" spans="1:12" hidden="1" x14ac:dyDescent="0.3">
      <c r="A729" s="40" t="s">
        <v>6</v>
      </c>
      <c r="B729" s="40" t="s">
        <v>367</v>
      </c>
      <c r="C729" s="40" t="s">
        <v>302</v>
      </c>
      <c r="D729" s="105">
        <v>46174</v>
      </c>
      <c r="E729" s="40" t="s">
        <v>322</v>
      </c>
      <c r="F729" s="34">
        <v>4</v>
      </c>
      <c r="G729" s="103">
        <v>20</v>
      </c>
      <c r="H729" s="103">
        <f t="shared" si="11"/>
        <v>80</v>
      </c>
      <c r="I729" s="40" t="s">
        <v>368</v>
      </c>
      <c r="J729" s="39"/>
      <c r="K729" s="39"/>
      <c r="L729" s="39"/>
    </row>
    <row r="730" spans="1:12" hidden="1" x14ac:dyDescent="0.3">
      <c r="A730" s="40" t="s">
        <v>6</v>
      </c>
      <c r="B730" s="40" t="s">
        <v>301</v>
      </c>
      <c r="C730" s="40" t="s">
        <v>302</v>
      </c>
      <c r="D730" s="105">
        <v>46174</v>
      </c>
      <c r="E730" s="40" t="s">
        <v>322</v>
      </c>
      <c r="F730" s="41">
        <v>0</v>
      </c>
      <c r="G730" s="109">
        <v>0</v>
      </c>
      <c r="H730" s="103">
        <f t="shared" si="11"/>
        <v>0</v>
      </c>
      <c r="I730" s="40" t="s">
        <v>303</v>
      </c>
      <c r="J730" s="39"/>
      <c r="K730" s="39"/>
      <c r="L730" s="39"/>
    </row>
    <row r="731" spans="1:12" hidden="1" x14ac:dyDescent="0.3">
      <c r="A731" s="40" t="s">
        <v>6</v>
      </c>
      <c r="B731" s="40" t="s">
        <v>450</v>
      </c>
      <c r="C731" s="40" t="s">
        <v>302</v>
      </c>
      <c r="D731" s="105">
        <v>46174</v>
      </c>
      <c r="E731" s="40" t="s">
        <v>322</v>
      </c>
      <c r="F731" s="41">
        <v>0</v>
      </c>
      <c r="G731" s="109">
        <v>0</v>
      </c>
      <c r="H731" s="103">
        <f t="shared" si="11"/>
        <v>0</v>
      </c>
      <c r="I731" s="40" t="s">
        <v>346</v>
      </c>
      <c r="J731" s="39"/>
      <c r="K731" s="39"/>
      <c r="L731" s="39"/>
    </row>
    <row r="732" spans="1:12" hidden="1" x14ac:dyDescent="0.3">
      <c r="A732" s="40" t="s">
        <v>6</v>
      </c>
      <c r="B732" s="40" t="s">
        <v>434</v>
      </c>
      <c r="C732" s="40" t="s">
        <v>315</v>
      </c>
      <c r="D732" s="105">
        <v>46174</v>
      </c>
      <c r="E732" s="40" t="s">
        <v>322</v>
      </c>
      <c r="F732" s="41">
        <v>0</v>
      </c>
      <c r="G732" s="109">
        <v>0</v>
      </c>
      <c r="H732" s="103">
        <f t="shared" si="11"/>
        <v>0</v>
      </c>
      <c r="I732" s="40" t="s">
        <v>316</v>
      </c>
      <c r="J732" s="39"/>
      <c r="K732" s="39"/>
      <c r="L732" s="39"/>
    </row>
    <row r="733" spans="1:12" hidden="1" x14ac:dyDescent="0.3">
      <c r="A733" s="40" t="s">
        <v>6</v>
      </c>
      <c r="B733" s="40" t="s">
        <v>423</v>
      </c>
      <c r="C733" s="40" t="s">
        <v>315</v>
      </c>
      <c r="D733" s="105">
        <v>46174</v>
      </c>
      <c r="E733" s="40" t="s">
        <v>322</v>
      </c>
      <c r="F733" s="41">
        <v>0</v>
      </c>
      <c r="G733" s="109">
        <v>0</v>
      </c>
      <c r="H733" s="103">
        <f t="shared" si="11"/>
        <v>0</v>
      </c>
      <c r="I733" s="40" t="s">
        <v>316</v>
      </c>
      <c r="J733" s="39"/>
      <c r="K733" s="39"/>
      <c r="L733" s="39"/>
    </row>
    <row r="734" spans="1:12" hidden="1" x14ac:dyDescent="0.3">
      <c r="A734" s="40" t="s">
        <v>6</v>
      </c>
      <c r="B734" s="40" t="s">
        <v>440</v>
      </c>
      <c r="C734" s="40" t="s">
        <v>315</v>
      </c>
      <c r="D734" s="105">
        <v>46174</v>
      </c>
      <c r="E734" s="40" t="s">
        <v>322</v>
      </c>
      <c r="F734" s="41">
        <v>0</v>
      </c>
      <c r="G734" s="109">
        <v>0</v>
      </c>
      <c r="H734" s="103">
        <f t="shared" si="11"/>
        <v>0</v>
      </c>
      <c r="I734" s="40" t="s">
        <v>394</v>
      </c>
      <c r="J734" s="39"/>
      <c r="K734" s="39"/>
      <c r="L734" s="39"/>
    </row>
    <row r="735" spans="1:12" hidden="1" x14ac:dyDescent="0.3">
      <c r="A735" s="40" t="s">
        <v>6</v>
      </c>
      <c r="B735" s="40" t="s">
        <v>430</v>
      </c>
      <c r="C735" s="40" t="s">
        <v>315</v>
      </c>
      <c r="D735" s="105">
        <v>46174</v>
      </c>
      <c r="E735" s="40" t="s">
        <v>322</v>
      </c>
      <c r="F735" s="41">
        <v>0</v>
      </c>
      <c r="G735" s="109">
        <v>0</v>
      </c>
      <c r="H735" s="103">
        <f t="shared" si="11"/>
        <v>0</v>
      </c>
      <c r="I735" s="40" t="s">
        <v>451</v>
      </c>
      <c r="J735" s="39"/>
      <c r="K735" s="39"/>
      <c r="L735" s="39"/>
    </row>
    <row r="736" spans="1:12" hidden="1" x14ac:dyDescent="0.3">
      <c r="A736" s="40" t="s">
        <v>6</v>
      </c>
      <c r="B736" s="40" t="s">
        <v>363</v>
      </c>
      <c r="C736" s="40" t="s">
        <v>364</v>
      </c>
      <c r="D736" s="105">
        <v>46174</v>
      </c>
      <c r="E736" s="40" t="s">
        <v>322</v>
      </c>
      <c r="F736" s="41">
        <v>0</v>
      </c>
      <c r="G736" s="109">
        <v>0</v>
      </c>
      <c r="H736" s="103">
        <f t="shared" si="11"/>
        <v>0</v>
      </c>
      <c r="I736" s="40" t="s">
        <v>417</v>
      </c>
      <c r="J736" s="39"/>
      <c r="K736" s="39"/>
      <c r="L736" s="39"/>
    </row>
    <row r="737" spans="1:12" hidden="1" x14ac:dyDescent="0.3">
      <c r="A737" s="40" t="s">
        <v>6</v>
      </c>
      <c r="B737" s="40" t="s">
        <v>327</v>
      </c>
      <c r="C737" s="40" t="s">
        <v>23</v>
      </c>
      <c r="D737" s="105">
        <v>46174</v>
      </c>
      <c r="E737" s="40" t="s">
        <v>322</v>
      </c>
      <c r="F737" s="41">
        <v>2</v>
      </c>
      <c r="G737" s="109">
        <v>143.82</v>
      </c>
      <c r="H737" s="103">
        <f t="shared" si="11"/>
        <v>287.64</v>
      </c>
      <c r="I737" s="40" t="s">
        <v>426</v>
      </c>
      <c r="J737" s="39"/>
      <c r="K737" s="39"/>
      <c r="L737" s="39"/>
    </row>
    <row r="738" spans="1:12" hidden="1" x14ac:dyDescent="0.3">
      <c r="A738" s="40" t="s">
        <v>6</v>
      </c>
      <c r="B738" s="40" t="s">
        <v>321</v>
      </c>
      <c r="C738" s="40" t="s">
        <v>26</v>
      </c>
      <c r="D738" s="105">
        <v>46174</v>
      </c>
      <c r="E738" s="40" t="s">
        <v>322</v>
      </c>
      <c r="F738" s="41">
        <v>0</v>
      </c>
      <c r="G738" s="109">
        <v>0</v>
      </c>
      <c r="H738" s="103">
        <f t="shared" si="11"/>
        <v>0</v>
      </c>
      <c r="I738" s="40" t="s">
        <v>323</v>
      </c>
      <c r="J738" s="39"/>
      <c r="K738" s="39"/>
      <c r="L738" s="39"/>
    </row>
    <row r="739" spans="1:12" hidden="1" x14ac:dyDescent="0.3">
      <c r="A739" s="40" t="s">
        <v>6</v>
      </c>
      <c r="B739" s="40" t="s">
        <v>355</v>
      </c>
      <c r="C739" s="40" t="s">
        <v>27</v>
      </c>
      <c r="D739" s="105">
        <v>46174</v>
      </c>
      <c r="E739" s="40" t="s">
        <v>322</v>
      </c>
      <c r="F739" s="128">
        <v>1</v>
      </c>
      <c r="G739" s="110">
        <v>368.28</v>
      </c>
      <c r="H739" s="103">
        <f t="shared" si="11"/>
        <v>368.28</v>
      </c>
      <c r="I739" s="40" t="s">
        <v>544</v>
      </c>
      <c r="J739" s="39"/>
      <c r="K739" s="39"/>
      <c r="L739" s="39"/>
    </row>
    <row r="740" spans="1:12" hidden="1" x14ac:dyDescent="0.3">
      <c r="A740" s="40" t="s">
        <v>6</v>
      </c>
      <c r="B740" s="40" t="s">
        <v>355</v>
      </c>
      <c r="C740" s="40" t="s">
        <v>27</v>
      </c>
      <c r="D740" s="105">
        <v>46174</v>
      </c>
      <c r="E740" s="40" t="s">
        <v>322</v>
      </c>
      <c r="F740" s="41">
        <v>0</v>
      </c>
      <c r="G740" s="109">
        <v>0</v>
      </c>
      <c r="H740" s="103">
        <f t="shared" si="11"/>
        <v>0</v>
      </c>
      <c r="I740" s="40" t="s">
        <v>356</v>
      </c>
      <c r="J740" s="39"/>
      <c r="K740" s="39"/>
      <c r="L740" s="39"/>
    </row>
    <row r="741" spans="1:12" hidden="1" x14ac:dyDescent="0.3">
      <c r="A741" s="40" t="s">
        <v>6</v>
      </c>
      <c r="B741" s="40" t="s">
        <v>308</v>
      </c>
      <c r="C741" s="40" t="s">
        <v>309</v>
      </c>
      <c r="D741" s="105">
        <v>46174</v>
      </c>
      <c r="E741" s="40" t="s">
        <v>322</v>
      </c>
      <c r="F741" s="38">
        <v>1</v>
      </c>
      <c r="G741" s="107">
        <v>50</v>
      </c>
      <c r="H741" s="103">
        <f t="shared" si="11"/>
        <v>50</v>
      </c>
      <c r="I741" s="40" t="s">
        <v>310</v>
      </c>
      <c r="J741" s="39"/>
      <c r="K741" s="39"/>
      <c r="L741" s="39"/>
    </row>
    <row r="742" spans="1:12" hidden="1" x14ac:dyDescent="0.3">
      <c r="A742" s="40" t="s">
        <v>6</v>
      </c>
      <c r="B742" s="40" t="s">
        <v>341</v>
      </c>
      <c r="C742" s="40" t="s">
        <v>342</v>
      </c>
      <c r="D742" s="105">
        <v>46174</v>
      </c>
      <c r="E742" s="40" t="s">
        <v>325</v>
      </c>
      <c r="F742" s="41">
        <v>1</v>
      </c>
      <c r="G742" s="109">
        <v>31624.98</v>
      </c>
      <c r="H742" s="103">
        <f t="shared" si="11"/>
        <v>31624.98</v>
      </c>
      <c r="I742" s="40" t="s">
        <v>343</v>
      </c>
      <c r="J742" s="39"/>
      <c r="K742" s="39"/>
      <c r="L742" s="39"/>
    </row>
    <row r="743" spans="1:12" hidden="1" x14ac:dyDescent="0.3">
      <c r="A743" s="40" t="s">
        <v>6</v>
      </c>
      <c r="B743" s="40" t="s">
        <v>327</v>
      </c>
      <c r="C743" s="40" t="s">
        <v>23</v>
      </c>
      <c r="D743" s="105">
        <v>46174</v>
      </c>
      <c r="E743" s="40" t="s">
        <v>325</v>
      </c>
      <c r="F743" s="41">
        <v>10</v>
      </c>
      <c r="G743" s="109">
        <v>146.53</v>
      </c>
      <c r="H743" s="103">
        <f t="shared" si="11"/>
        <v>1465.3</v>
      </c>
      <c r="I743" s="40" t="s">
        <v>551</v>
      </c>
      <c r="J743" s="39"/>
      <c r="K743" s="39"/>
      <c r="L743" s="39"/>
    </row>
    <row r="744" spans="1:12" hidden="1" x14ac:dyDescent="0.3">
      <c r="A744" s="40" t="s">
        <v>6</v>
      </c>
      <c r="B744" s="40" t="s">
        <v>483</v>
      </c>
      <c r="C744" s="40" t="s">
        <v>484</v>
      </c>
      <c r="D744" s="105">
        <v>46174</v>
      </c>
      <c r="E744" s="40" t="s">
        <v>325</v>
      </c>
      <c r="F744" s="38">
        <v>4795</v>
      </c>
      <c r="G744" s="107">
        <v>0.56378759770551512</v>
      </c>
      <c r="H744" s="103">
        <f t="shared" si="11"/>
        <v>2703.361530997945</v>
      </c>
      <c r="I744" s="40" t="s">
        <v>307</v>
      </c>
      <c r="J744" s="39"/>
      <c r="K744" s="39"/>
      <c r="L744" s="39"/>
    </row>
    <row r="745" spans="1:12" hidden="1" x14ac:dyDescent="0.3">
      <c r="A745" s="40" t="s">
        <v>6</v>
      </c>
      <c r="B745" s="40" t="s">
        <v>349</v>
      </c>
      <c r="C745" s="40" t="s">
        <v>299</v>
      </c>
      <c r="D745" s="105">
        <v>46174</v>
      </c>
      <c r="E745" s="40" t="s">
        <v>325</v>
      </c>
      <c r="F745" s="41">
        <v>0</v>
      </c>
      <c r="G745" s="109">
        <v>0</v>
      </c>
      <c r="H745" s="103">
        <f t="shared" si="11"/>
        <v>0</v>
      </c>
      <c r="I745" s="40" t="s">
        <v>350</v>
      </c>
      <c r="J745" s="39"/>
      <c r="K745" s="39"/>
      <c r="L745" s="39"/>
    </row>
    <row r="746" spans="1:12" hidden="1" x14ac:dyDescent="0.3">
      <c r="A746" s="40" t="s">
        <v>6</v>
      </c>
      <c r="B746" s="40" t="s">
        <v>359</v>
      </c>
      <c r="C746" s="40" t="s">
        <v>299</v>
      </c>
      <c r="D746" s="105">
        <v>46174</v>
      </c>
      <c r="E746" s="40" t="s">
        <v>325</v>
      </c>
      <c r="F746" s="41">
        <v>3</v>
      </c>
      <c r="G746" s="109">
        <v>393.04</v>
      </c>
      <c r="H746" s="103">
        <f t="shared" si="11"/>
        <v>1179.1200000000001</v>
      </c>
      <c r="I746" s="40" t="s">
        <v>488</v>
      </c>
      <c r="J746" s="39"/>
      <c r="K746" s="39"/>
      <c r="L746" s="39"/>
    </row>
    <row r="747" spans="1:12" hidden="1" x14ac:dyDescent="0.3">
      <c r="A747" s="40" t="s">
        <v>6</v>
      </c>
      <c r="B747" s="40" t="s">
        <v>324</v>
      </c>
      <c r="C747" s="40" t="s">
        <v>299</v>
      </c>
      <c r="D747" s="105">
        <v>46174</v>
      </c>
      <c r="E747" s="40" t="s">
        <v>325</v>
      </c>
      <c r="F747" s="41">
        <v>2</v>
      </c>
      <c r="G747" s="109">
        <v>439.28</v>
      </c>
      <c r="H747" s="103">
        <f t="shared" si="11"/>
        <v>878.56</v>
      </c>
      <c r="I747" s="40" t="s">
        <v>555</v>
      </c>
      <c r="J747" s="39"/>
      <c r="K747" s="39"/>
      <c r="L747" s="39"/>
    </row>
    <row r="748" spans="1:12" hidden="1" x14ac:dyDescent="0.3">
      <c r="A748" s="40" t="s">
        <v>6</v>
      </c>
      <c r="B748" s="40" t="s">
        <v>298</v>
      </c>
      <c r="C748" s="40" t="s">
        <v>299</v>
      </c>
      <c r="D748" s="105">
        <v>46174</v>
      </c>
      <c r="E748" s="40" t="s">
        <v>325</v>
      </c>
      <c r="F748" s="41">
        <v>3</v>
      </c>
      <c r="G748" s="109">
        <v>407.27</v>
      </c>
      <c r="H748" s="103">
        <f t="shared" si="11"/>
        <v>1221.81</v>
      </c>
      <c r="I748" s="40" t="s">
        <v>556</v>
      </c>
      <c r="J748" s="39"/>
      <c r="K748" s="39"/>
      <c r="L748" s="39"/>
    </row>
    <row r="749" spans="1:12" hidden="1" x14ac:dyDescent="0.3">
      <c r="A749" s="40" t="s">
        <v>6</v>
      </c>
      <c r="B749" s="40" t="s">
        <v>557</v>
      </c>
      <c r="C749" s="40" t="s">
        <v>299</v>
      </c>
      <c r="D749" s="105">
        <v>46174</v>
      </c>
      <c r="E749" s="40" t="s">
        <v>325</v>
      </c>
      <c r="F749" s="66">
        <v>-1</v>
      </c>
      <c r="G749" s="107">
        <f>Comercial!H163</f>
        <v>26.326000000000001</v>
      </c>
      <c r="H749" s="103">
        <f t="shared" si="11"/>
        <v>-26.326000000000001</v>
      </c>
      <c r="I749" s="40" t="s">
        <v>268</v>
      </c>
      <c r="J749" s="39"/>
      <c r="K749" s="39"/>
      <c r="L749" s="39"/>
    </row>
    <row r="750" spans="1:12" hidden="1" x14ac:dyDescent="0.3">
      <c r="A750" s="40" t="s">
        <v>6</v>
      </c>
      <c r="B750" s="40" t="s">
        <v>361</v>
      </c>
      <c r="C750" s="40" t="s">
        <v>299</v>
      </c>
      <c r="D750" s="105">
        <v>46174</v>
      </c>
      <c r="E750" s="40" t="s">
        <v>325</v>
      </c>
      <c r="F750" s="38">
        <v>4</v>
      </c>
      <c r="G750" s="107">
        <f>Comercial!B163</f>
        <v>278.60087370242218</v>
      </c>
      <c r="H750" s="103">
        <f t="shared" si="11"/>
        <v>1114.4034948096887</v>
      </c>
      <c r="I750" s="40" t="s">
        <v>532</v>
      </c>
      <c r="J750" s="39"/>
      <c r="K750" s="39"/>
      <c r="L750" s="39"/>
    </row>
    <row r="751" spans="1:12" hidden="1" x14ac:dyDescent="0.3">
      <c r="A751" s="40" t="s">
        <v>6</v>
      </c>
      <c r="B751" s="40" t="s">
        <v>372</v>
      </c>
      <c r="C751" s="40" t="s">
        <v>299</v>
      </c>
      <c r="D751" s="105">
        <v>46174</v>
      </c>
      <c r="E751" s="40" t="s">
        <v>325</v>
      </c>
      <c r="F751" s="38">
        <v>0</v>
      </c>
      <c r="G751" s="109">
        <v>0</v>
      </c>
      <c r="H751" s="103">
        <f t="shared" si="11"/>
        <v>0</v>
      </c>
      <c r="I751" s="40"/>
      <c r="J751" s="39"/>
      <c r="K751" s="39"/>
      <c r="L751" s="39"/>
    </row>
    <row r="752" spans="1:12" hidden="1" x14ac:dyDescent="0.3">
      <c r="A752" s="40" t="s">
        <v>6</v>
      </c>
      <c r="B752" s="40" t="s">
        <v>378</v>
      </c>
      <c r="C752" s="40" t="s">
        <v>299</v>
      </c>
      <c r="D752" s="105">
        <v>46174</v>
      </c>
      <c r="E752" s="40" t="s">
        <v>325</v>
      </c>
      <c r="F752" s="38">
        <v>0</v>
      </c>
      <c r="G752" s="109">
        <v>0</v>
      </c>
      <c r="H752" s="103">
        <f t="shared" si="11"/>
        <v>0</v>
      </c>
      <c r="I752" s="40"/>
      <c r="J752" s="39"/>
      <c r="K752" s="39"/>
      <c r="L752" s="39"/>
    </row>
    <row r="753" spans="1:12" hidden="1" x14ac:dyDescent="0.3">
      <c r="A753" s="40" t="s">
        <v>6</v>
      </c>
      <c r="B753" s="40" t="s">
        <v>385</v>
      </c>
      <c r="C753" s="40" t="s">
        <v>299</v>
      </c>
      <c r="D753" s="105">
        <v>46174</v>
      </c>
      <c r="E753" s="40" t="s">
        <v>325</v>
      </c>
      <c r="F753" s="38">
        <v>-12</v>
      </c>
      <c r="G753" s="107">
        <f>Comercial!H163</f>
        <v>26.326000000000001</v>
      </c>
      <c r="H753" s="103">
        <f t="shared" si="11"/>
        <v>-315.91200000000003</v>
      </c>
      <c r="I753" s="40" t="s">
        <v>532</v>
      </c>
      <c r="J753" s="39"/>
      <c r="K753" s="39"/>
      <c r="L753" s="39"/>
    </row>
    <row r="754" spans="1:12" hidden="1" x14ac:dyDescent="0.3">
      <c r="A754" s="40" t="s">
        <v>6</v>
      </c>
      <c r="B754" s="40" t="s">
        <v>387</v>
      </c>
      <c r="C754" s="40" t="s">
        <v>11</v>
      </c>
      <c r="D754" s="105">
        <v>46174</v>
      </c>
      <c r="E754" s="40" t="s">
        <v>325</v>
      </c>
      <c r="F754" s="38">
        <v>4795</v>
      </c>
      <c r="G754" s="107">
        <v>0.25375464036608258</v>
      </c>
      <c r="H754" s="103">
        <f t="shared" si="11"/>
        <v>1216.7535005553659</v>
      </c>
      <c r="I754" s="40" t="s">
        <v>307</v>
      </c>
      <c r="J754" s="39"/>
      <c r="K754" s="39"/>
      <c r="L754" s="39"/>
    </row>
    <row r="755" spans="1:12" hidden="1" x14ac:dyDescent="0.3">
      <c r="A755" s="40" t="s">
        <v>6</v>
      </c>
      <c r="B755" s="40" t="s">
        <v>463</v>
      </c>
      <c r="C755" s="40" t="s">
        <v>442</v>
      </c>
      <c r="D755" s="105">
        <v>46174</v>
      </c>
      <c r="E755" s="40" t="s">
        <v>325</v>
      </c>
      <c r="F755" s="41">
        <v>0</v>
      </c>
      <c r="G755" s="109">
        <v>0</v>
      </c>
      <c r="H755" s="103">
        <f t="shared" si="11"/>
        <v>0</v>
      </c>
      <c r="I755" s="40" t="s">
        <v>464</v>
      </c>
      <c r="J755" s="39"/>
      <c r="K755" s="39"/>
      <c r="L755" s="39"/>
    </row>
    <row r="756" spans="1:12" hidden="1" x14ac:dyDescent="0.3">
      <c r="A756" s="40" t="s">
        <v>6</v>
      </c>
      <c r="B756" s="40" t="s">
        <v>466</v>
      </c>
      <c r="C756" s="40" t="s">
        <v>18</v>
      </c>
      <c r="D756" s="105">
        <v>46174</v>
      </c>
      <c r="E756" s="40" t="s">
        <v>325</v>
      </c>
      <c r="F756" s="128">
        <v>0</v>
      </c>
      <c r="G756" s="110">
        <v>0</v>
      </c>
      <c r="H756" s="103">
        <f t="shared" si="11"/>
        <v>0</v>
      </c>
      <c r="I756" s="40" t="s">
        <v>467</v>
      </c>
      <c r="J756" s="39"/>
      <c r="K756" s="39"/>
      <c r="L756" s="39"/>
    </row>
    <row r="757" spans="1:12" hidden="1" x14ac:dyDescent="0.3">
      <c r="A757" s="40" t="s">
        <v>6</v>
      </c>
      <c r="B757" s="40" t="s">
        <v>331</v>
      </c>
      <c r="C757" s="40" t="s">
        <v>302</v>
      </c>
      <c r="D757" s="105">
        <v>46174</v>
      </c>
      <c r="E757" s="40" t="s">
        <v>325</v>
      </c>
      <c r="F757" s="41">
        <v>0</v>
      </c>
      <c r="G757" s="109">
        <v>0</v>
      </c>
      <c r="H757" s="103">
        <f t="shared" si="11"/>
        <v>0</v>
      </c>
      <c r="I757" s="40" t="s">
        <v>477</v>
      </c>
      <c r="J757" s="39"/>
      <c r="K757" s="39"/>
      <c r="L757" s="39"/>
    </row>
    <row r="758" spans="1:12" hidden="1" x14ac:dyDescent="0.3">
      <c r="A758" s="68" t="s">
        <v>6</v>
      </c>
      <c r="B758" s="68" t="s">
        <v>367</v>
      </c>
      <c r="C758" s="68" t="s">
        <v>302</v>
      </c>
      <c r="D758" s="111">
        <v>46174</v>
      </c>
      <c r="E758" s="68" t="s">
        <v>325</v>
      </c>
      <c r="F758" s="69">
        <v>8</v>
      </c>
      <c r="G758" s="112">
        <v>20</v>
      </c>
      <c r="H758" s="112">
        <f t="shared" si="11"/>
        <v>160</v>
      </c>
      <c r="I758" s="68" t="s">
        <v>368</v>
      </c>
      <c r="J758" s="39"/>
      <c r="K758" s="39"/>
      <c r="L758" s="39"/>
    </row>
    <row r="759" spans="1:12" hidden="1" x14ac:dyDescent="0.3">
      <c r="A759" s="40" t="s">
        <v>6</v>
      </c>
      <c r="B759" s="40" t="s">
        <v>301</v>
      </c>
      <c r="C759" s="40" t="s">
        <v>302</v>
      </c>
      <c r="D759" s="105">
        <v>46174</v>
      </c>
      <c r="E759" s="40" t="s">
        <v>325</v>
      </c>
      <c r="F759" s="128">
        <v>1</v>
      </c>
      <c r="G759" s="110">
        <v>1209.07</v>
      </c>
      <c r="H759" s="110">
        <f t="shared" si="11"/>
        <v>1209.07</v>
      </c>
      <c r="I759" s="40" t="s">
        <v>535</v>
      </c>
      <c r="J759" s="39"/>
      <c r="K759" s="39"/>
      <c r="L759" s="39"/>
    </row>
    <row r="760" spans="1:12" hidden="1" x14ac:dyDescent="0.3">
      <c r="A760" s="127" t="s">
        <v>6</v>
      </c>
      <c r="B760" s="127" t="s">
        <v>301</v>
      </c>
      <c r="C760" s="127" t="s">
        <v>302</v>
      </c>
      <c r="D760" s="105">
        <v>46174</v>
      </c>
      <c r="E760" s="127" t="s">
        <v>325</v>
      </c>
      <c r="F760" s="127">
        <v>1</v>
      </c>
      <c r="G760" s="110">
        <v>497.22</v>
      </c>
      <c r="H760" s="110">
        <f t="shared" si="11"/>
        <v>497.22</v>
      </c>
      <c r="I760" s="127" t="s">
        <v>534</v>
      </c>
    </row>
    <row r="761" spans="1:12" hidden="1" x14ac:dyDescent="0.3">
      <c r="A761" s="40" t="s">
        <v>6</v>
      </c>
      <c r="B761" s="40" t="s">
        <v>345</v>
      </c>
      <c r="C761" s="40" t="s">
        <v>302</v>
      </c>
      <c r="D761" s="105">
        <v>46174</v>
      </c>
      <c r="E761" s="40" t="s">
        <v>325</v>
      </c>
      <c r="F761" s="128">
        <v>1</v>
      </c>
      <c r="G761" s="110">
        <v>230.72</v>
      </c>
      <c r="H761" s="110">
        <f t="shared" si="11"/>
        <v>230.72</v>
      </c>
      <c r="I761" s="40" t="s">
        <v>535</v>
      </c>
      <c r="J761" s="39"/>
      <c r="K761" s="39"/>
      <c r="L761" s="39"/>
    </row>
    <row r="762" spans="1:12" hidden="1" x14ac:dyDescent="0.3">
      <c r="A762" s="127" t="s">
        <v>6</v>
      </c>
      <c r="B762" s="127" t="s">
        <v>345</v>
      </c>
      <c r="C762" s="127" t="s">
        <v>302</v>
      </c>
      <c r="D762" s="105">
        <v>46174</v>
      </c>
      <c r="E762" s="127" t="s">
        <v>325</v>
      </c>
      <c r="F762" s="127">
        <v>1</v>
      </c>
      <c r="G762" s="110">
        <v>381.6</v>
      </c>
      <c r="H762" s="110">
        <f t="shared" si="11"/>
        <v>381.6</v>
      </c>
      <c r="I762" s="127" t="s">
        <v>534</v>
      </c>
    </row>
    <row r="763" spans="1:12" hidden="1" x14ac:dyDescent="0.3">
      <c r="A763" s="40" t="s">
        <v>6</v>
      </c>
      <c r="B763" s="40" t="s">
        <v>456</v>
      </c>
      <c r="C763" s="40" t="s">
        <v>315</v>
      </c>
      <c r="D763" s="105">
        <v>46174</v>
      </c>
      <c r="E763" s="40" t="s">
        <v>325</v>
      </c>
      <c r="F763" s="41">
        <v>4795</v>
      </c>
      <c r="G763" s="109">
        <v>0.66</v>
      </c>
      <c r="H763" s="103">
        <f t="shared" si="11"/>
        <v>3164.7000000000003</v>
      </c>
      <c r="I763" s="40" t="s">
        <v>307</v>
      </c>
      <c r="J763" s="39"/>
      <c r="K763" s="39"/>
      <c r="L763" s="39"/>
    </row>
    <row r="764" spans="1:12" hidden="1" x14ac:dyDescent="0.3">
      <c r="A764" s="40" t="s">
        <v>6</v>
      </c>
      <c r="B764" s="40" t="s">
        <v>459</v>
      </c>
      <c r="C764" s="40" t="s">
        <v>315</v>
      </c>
      <c r="D764" s="105">
        <v>46174</v>
      </c>
      <c r="E764" s="40" t="s">
        <v>325</v>
      </c>
      <c r="F764" s="38">
        <v>1</v>
      </c>
      <c r="G764" s="107">
        <v>2736.16</v>
      </c>
      <c r="H764" s="103">
        <f t="shared" si="11"/>
        <v>2736.16</v>
      </c>
      <c r="I764" s="40" t="s">
        <v>460</v>
      </c>
      <c r="J764" s="39"/>
      <c r="K764" s="39"/>
      <c r="L764" s="39"/>
    </row>
    <row r="765" spans="1:12" hidden="1" x14ac:dyDescent="0.3">
      <c r="A765" s="39" t="s">
        <v>6</v>
      </c>
      <c r="B765" s="39" t="s">
        <v>465</v>
      </c>
      <c r="C765" s="39" t="s">
        <v>315</v>
      </c>
      <c r="D765" s="113">
        <v>46174</v>
      </c>
      <c r="E765" s="39" t="s">
        <v>325</v>
      </c>
      <c r="F765" s="70">
        <v>0</v>
      </c>
      <c r="G765" s="114">
        <v>0</v>
      </c>
      <c r="H765" s="115">
        <f t="shared" si="11"/>
        <v>0</v>
      </c>
      <c r="I765" s="39" t="s">
        <v>460</v>
      </c>
      <c r="J765" s="39"/>
      <c r="K765" s="39"/>
      <c r="L765" s="39"/>
    </row>
    <row r="766" spans="1:12" hidden="1" x14ac:dyDescent="0.3">
      <c r="A766" s="40" t="s">
        <v>6</v>
      </c>
      <c r="B766" s="40" t="s">
        <v>473</v>
      </c>
      <c r="C766" s="40" t="s">
        <v>315</v>
      </c>
      <c r="D766" s="105">
        <v>46174</v>
      </c>
      <c r="E766" s="40" t="s">
        <v>325</v>
      </c>
      <c r="F766" s="38">
        <v>1</v>
      </c>
      <c r="G766" s="107">
        <v>13845.81</v>
      </c>
      <c r="H766" s="103">
        <f t="shared" si="11"/>
        <v>13845.81</v>
      </c>
      <c r="I766" s="40" t="s">
        <v>451</v>
      </c>
      <c r="J766" s="39"/>
      <c r="K766" s="39"/>
      <c r="L766" s="39"/>
    </row>
    <row r="767" spans="1:12" hidden="1" x14ac:dyDescent="0.3">
      <c r="A767" s="39" t="s">
        <v>6</v>
      </c>
      <c r="B767" s="39" t="s">
        <v>478</v>
      </c>
      <c r="C767" s="39" t="s">
        <v>315</v>
      </c>
      <c r="D767" s="113">
        <v>46174</v>
      </c>
      <c r="E767" s="39" t="s">
        <v>325</v>
      </c>
      <c r="F767" s="70">
        <v>0</v>
      </c>
      <c r="G767" s="114">
        <v>0</v>
      </c>
      <c r="H767" s="96">
        <f t="shared" si="11"/>
        <v>0</v>
      </c>
      <c r="I767" s="39" t="s">
        <v>394</v>
      </c>
    </row>
    <row r="768" spans="1:12" hidden="1" x14ac:dyDescent="0.3">
      <c r="A768" s="40" t="s">
        <v>6</v>
      </c>
      <c r="B768" s="40" t="s">
        <v>337</v>
      </c>
      <c r="C768" s="40" t="s">
        <v>299</v>
      </c>
      <c r="D768" s="105">
        <v>46174</v>
      </c>
      <c r="E768" s="40" t="s">
        <v>325</v>
      </c>
      <c r="F768" s="38">
        <v>1</v>
      </c>
      <c r="G768" s="107">
        <v>25.5</v>
      </c>
      <c r="H768" s="103">
        <f t="shared" si="11"/>
        <v>25.5</v>
      </c>
      <c r="I768" s="40" t="s">
        <v>338</v>
      </c>
    </row>
    <row r="769" spans="1:9" hidden="1" x14ac:dyDescent="0.3">
      <c r="A769" s="40" t="s">
        <v>6</v>
      </c>
      <c r="B769" s="40" t="s">
        <v>352</v>
      </c>
      <c r="C769" s="40" t="s">
        <v>318</v>
      </c>
      <c r="D769" s="105">
        <v>46174</v>
      </c>
      <c r="E769" s="40" t="s">
        <v>325</v>
      </c>
      <c r="F769" s="38">
        <v>1</v>
      </c>
      <c r="G769" s="107">
        <v>67.33</v>
      </c>
      <c r="H769" s="103">
        <f t="shared" si="11"/>
        <v>67.33</v>
      </c>
      <c r="I769" s="40" t="s">
        <v>353</v>
      </c>
    </row>
    <row r="770" spans="1:9" hidden="1" x14ac:dyDescent="0.3">
      <c r="A770" s="40" t="s">
        <v>6</v>
      </c>
      <c r="B770" s="40" t="s">
        <v>352</v>
      </c>
      <c r="C770" s="40" t="s">
        <v>318</v>
      </c>
      <c r="D770" s="105">
        <v>46174</v>
      </c>
      <c r="E770" s="40" t="s">
        <v>325</v>
      </c>
      <c r="F770" s="38">
        <v>-1</v>
      </c>
      <c r="G770" s="107">
        <v>510</v>
      </c>
      <c r="H770" s="103">
        <f t="shared" ref="H770:H831" si="12">IF(OR(F770="",G770=""),"",F770*G770)</f>
        <v>-510</v>
      </c>
      <c r="I770" s="40" t="s">
        <v>519</v>
      </c>
    </row>
    <row r="771" spans="1:9" hidden="1" x14ac:dyDescent="0.3">
      <c r="A771" s="39" t="s">
        <v>6</v>
      </c>
      <c r="B771" s="39" t="s">
        <v>363</v>
      </c>
      <c r="C771" s="39" t="s">
        <v>364</v>
      </c>
      <c r="D771" s="113">
        <v>46174</v>
      </c>
      <c r="E771" s="39" t="s">
        <v>325</v>
      </c>
      <c r="F771" s="71">
        <v>0</v>
      </c>
      <c r="G771" s="116">
        <v>0</v>
      </c>
      <c r="H771" s="96">
        <f t="shared" si="12"/>
        <v>0</v>
      </c>
      <c r="I771" s="39" t="s">
        <v>425</v>
      </c>
    </row>
    <row r="772" spans="1:9" hidden="1" x14ac:dyDescent="0.3">
      <c r="A772" s="39" t="s">
        <v>6</v>
      </c>
      <c r="B772" s="39" t="s">
        <v>321</v>
      </c>
      <c r="C772" s="39" t="s">
        <v>26</v>
      </c>
      <c r="D772" s="113">
        <v>46174</v>
      </c>
      <c r="E772" s="39" t="s">
        <v>325</v>
      </c>
      <c r="F772" s="41">
        <v>0</v>
      </c>
      <c r="G772" s="109">
        <v>0</v>
      </c>
      <c r="H772" s="96">
        <f t="shared" si="12"/>
        <v>0</v>
      </c>
      <c r="I772" s="39" t="s">
        <v>323</v>
      </c>
    </row>
    <row r="773" spans="1:9" hidden="1" x14ac:dyDescent="0.3">
      <c r="A773" s="39" t="s">
        <v>6</v>
      </c>
      <c r="B773" s="39" t="s">
        <v>339</v>
      </c>
      <c r="C773" s="39" t="s">
        <v>26</v>
      </c>
      <c r="D773" s="113">
        <v>46174</v>
      </c>
      <c r="E773" s="39" t="s">
        <v>325</v>
      </c>
      <c r="F773" s="67">
        <v>0</v>
      </c>
      <c r="G773" s="117">
        <v>0</v>
      </c>
      <c r="H773" s="96">
        <f t="shared" si="12"/>
        <v>0</v>
      </c>
      <c r="I773" s="39" t="s">
        <v>340</v>
      </c>
    </row>
    <row r="774" spans="1:9" hidden="1" x14ac:dyDescent="0.3">
      <c r="A774" s="40" t="s">
        <v>6</v>
      </c>
      <c r="B774" s="40" t="s">
        <v>355</v>
      </c>
      <c r="C774" s="40" t="s">
        <v>27</v>
      </c>
      <c r="D774" s="105">
        <v>46174</v>
      </c>
      <c r="E774" s="40" t="s">
        <v>325</v>
      </c>
      <c r="F774" s="128">
        <v>1</v>
      </c>
      <c r="G774" s="110">
        <v>1043.05</v>
      </c>
      <c r="H774" s="103">
        <f t="shared" si="12"/>
        <v>1043.05</v>
      </c>
      <c r="I774" s="40" t="s">
        <v>544</v>
      </c>
    </row>
    <row r="775" spans="1:9" hidden="1" x14ac:dyDescent="0.3">
      <c r="A775" s="40" t="s">
        <v>6</v>
      </c>
      <c r="B775" s="40" t="s">
        <v>355</v>
      </c>
      <c r="C775" s="40" t="s">
        <v>27</v>
      </c>
      <c r="D775" s="105">
        <v>46174</v>
      </c>
      <c r="E775" s="40" t="s">
        <v>325</v>
      </c>
      <c r="F775" s="41">
        <v>-1</v>
      </c>
      <c r="G775" s="109">
        <v>4096.8900000000003</v>
      </c>
      <c r="H775" s="103">
        <f t="shared" si="12"/>
        <v>-4096.8900000000003</v>
      </c>
      <c r="I775" s="40" t="s">
        <v>356</v>
      </c>
    </row>
    <row r="776" spans="1:9" hidden="1" x14ac:dyDescent="0.3">
      <c r="A776" s="39" t="s">
        <v>6</v>
      </c>
      <c r="B776" s="39" t="s">
        <v>503</v>
      </c>
      <c r="C776" s="39" t="s">
        <v>27</v>
      </c>
      <c r="D776" s="113">
        <v>46174</v>
      </c>
      <c r="E776" s="39" t="s">
        <v>325</v>
      </c>
      <c r="F776" s="71">
        <v>0</v>
      </c>
      <c r="G776" s="116">
        <v>0</v>
      </c>
      <c r="H776" s="96">
        <f t="shared" si="12"/>
        <v>0</v>
      </c>
      <c r="I776" s="39" t="s">
        <v>380</v>
      </c>
    </row>
    <row r="777" spans="1:9" hidden="1" x14ac:dyDescent="0.3">
      <c r="A777" s="39" t="s">
        <v>6</v>
      </c>
      <c r="B777" s="39" t="s">
        <v>433</v>
      </c>
      <c r="C777" s="39" t="s">
        <v>27</v>
      </c>
      <c r="D777" s="113">
        <v>46174</v>
      </c>
      <c r="E777" s="39" t="s">
        <v>325</v>
      </c>
      <c r="F777" s="67">
        <v>0</v>
      </c>
      <c r="G777" s="117">
        <v>0</v>
      </c>
      <c r="H777" s="96">
        <f t="shared" si="12"/>
        <v>0</v>
      </c>
      <c r="I777" s="39" t="s">
        <v>401</v>
      </c>
    </row>
    <row r="778" spans="1:9" hidden="1" x14ac:dyDescent="0.3">
      <c r="A778" s="40" t="s">
        <v>6</v>
      </c>
      <c r="B778" s="40" t="s">
        <v>308</v>
      </c>
      <c r="C778" s="40" t="s">
        <v>309</v>
      </c>
      <c r="D778" s="105">
        <v>46174</v>
      </c>
      <c r="E778" s="40" t="s">
        <v>325</v>
      </c>
      <c r="F778" s="38">
        <v>1</v>
      </c>
      <c r="G778" s="107">
        <v>90</v>
      </c>
      <c r="H778" s="103">
        <f t="shared" si="12"/>
        <v>90</v>
      </c>
      <c r="I778" s="40" t="s">
        <v>310</v>
      </c>
    </row>
    <row r="779" spans="1:9" hidden="1" x14ac:dyDescent="0.3">
      <c r="A779" s="40" t="s">
        <v>6</v>
      </c>
      <c r="B779" s="40" t="s">
        <v>308</v>
      </c>
      <c r="C779" s="40" t="s">
        <v>309</v>
      </c>
      <c r="D779" s="105">
        <v>46174</v>
      </c>
      <c r="E779" s="40" t="s">
        <v>325</v>
      </c>
      <c r="F779" s="38">
        <v>2</v>
      </c>
      <c r="G779" s="107">
        <v>10</v>
      </c>
      <c r="H779" s="103">
        <f t="shared" si="12"/>
        <v>20</v>
      </c>
      <c r="I779" s="40" t="s">
        <v>310</v>
      </c>
    </row>
    <row r="780" spans="1:9" hidden="1" x14ac:dyDescent="0.3">
      <c r="A780" s="40" t="s">
        <v>6</v>
      </c>
      <c r="B780" s="40" t="s">
        <v>308</v>
      </c>
      <c r="C780" s="40" t="s">
        <v>309</v>
      </c>
      <c r="D780" s="105">
        <v>46174</v>
      </c>
      <c r="E780" s="40" t="s">
        <v>325</v>
      </c>
      <c r="F780" s="38">
        <v>3</v>
      </c>
      <c r="G780" s="107">
        <v>50</v>
      </c>
      <c r="H780" s="103">
        <f t="shared" si="12"/>
        <v>150</v>
      </c>
      <c r="I780" s="40" t="s">
        <v>310</v>
      </c>
    </row>
    <row r="781" spans="1:9" hidden="1" x14ac:dyDescent="0.3">
      <c r="A781" t="s">
        <v>6</v>
      </c>
      <c r="B781" t="s">
        <v>558</v>
      </c>
      <c r="C781" t="s">
        <v>302</v>
      </c>
      <c r="D781" s="118">
        <v>46174</v>
      </c>
      <c r="E781" s="63" t="s">
        <v>33</v>
      </c>
      <c r="F781" s="64">
        <v>1</v>
      </c>
      <c r="G781" s="91">
        <v>96</v>
      </c>
      <c r="H781" s="91">
        <f t="shared" si="12"/>
        <v>96</v>
      </c>
      <c r="I781" t="s">
        <v>535</v>
      </c>
    </row>
    <row r="782" spans="1:9" hidden="1" x14ac:dyDescent="0.3">
      <c r="A782" t="s">
        <v>6</v>
      </c>
      <c r="B782" t="s">
        <v>558</v>
      </c>
      <c r="C782" t="s">
        <v>302</v>
      </c>
      <c r="D782" s="111">
        <v>46174</v>
      </c>
      <c r="E782" s="68" t="s">
        <v>371</v>
      </c>
      <c r="F782" s="58">
        <v>1</v>
      </c>
      <c r="G782" s="119">
        <v>132</v>
      </c>
      <c r="H782" s="91">
        <f t="shared" si="12"/>
        <v>132</v>
      </c>
      <c r="I782" t="s">
        <v>535</v>
      </c>
    </row>
    <row r="783" spans="1:9" hidden="1" x14ac:dyDescent="0.3">
      <c r="A783" t="s">
        <v>6</v>
      </c>
      <c r="B783" t="s">
        <v>349</v>
      </c>
      <c r="C783" t="s">
        <v>299</v>
      </c>
      <c r="D783" s="105">
        <v>46174</v>
      </c>
      <c r="E783" s="40" t="s">
        <v>325</v>
      </c>
      <c r="F783" s="63">
        <v>261</v>
      </c>
      <c r="G783" s="95">
        <v>1.86</v>
      </c>
      <c r="H783" s="91">
        <f t="shared" si="12"/>
        <v>485.46000000000004</v>
      </c>
      <c r="I783" t="s">
        <v>525</v>
      </c>
    </row>
    <row r="784" spans="1:9" hidden="1" x14ac:dyDescent="0.3">
      <c r="A784" t="s">
        <v>6</v>
      </c>
      <c r="B784" t="s">
        <v>327</v>
      </c>
      <c r="C784" t="s">
        <v>23</v>
      </c>
      <c r="D784" s="105">
        <v>46174</v>
      </c>
      <c r="E784" s="40" t="s">
        <v>325</v>
      </c>
      <c r="F784" s="63">
        <v>10</v>
      </c>
      <c r="G784" s="95">
        <v>122.11</v>
      </c>
      <c r="H784" s="91">
        <f t="shared" si="12"/>
        <v>1221.0999999999999</v>
      </c>
      <c r="I784" t="s">
        <v>524</v>
      </c>
    </row>
    <row r="785" spans="1:9" hidden="1" x14ac:dyDescent="0.3">
      <c r="A785" s="18" t="s">
        <v>8</v>
      </c>
      <c r="B785" s="18" t="s">
        <v>349</v>
      </c>
      <c r="C785" s="18" t="s">
        <v>299</v>
      </c>
      <c r="D785" s="104">
        <v>46204</v>
      </c>
      <c r="E785" s="18" t="s">
        <v>328</v>
      </c>
      <c r="F785" s="135">
        <v>6438</v>
      </c>
      <c r="G785" s="143">
        <v>1.86</v>
      </c>
      <c r="H785" s="120">
        <f t="shared" si="12"/>
        <v>11974.68</v>
      </c>
      <c r="I785" s="18" t="s">
        <v>559</v>
      </c>
    </row>
    <row r="786" spans="1:9" hidden="1" x14ac:dyDescent="0.3">
      <c r="A786" s="18" t="s">
        <v>8</v>
      </c>
      <c r="B786" s="18" t="s">
        <v>327</v>
      </c>
      <c r="C786" s="18" t="s">
        <v>23</v>
      </c>
      <c r="D786" s="104">
        <v>46204</v>
      </c>
      <c r="E786" s="18" t="s">
        <v>328</v>
      </c>
      <c r="F786" s="135">
        <v>149</v>
      </c>
      <c r="G786" s="143">
        <v>125.29</v>
      </c>
      <c r="H786" s="120">
        <f t="shared" si="12"/>
        <v>18668.21</v>
      </c>
      <c r="I786" s="18" t="s">
        <v>560</v>
      </c>
    </row>
    <row r="787" spans="1:9" hidden="1" x14ac:dyDescent="0.3">
      <c r="A787" s="18" t="s">
        <v>8</v>
      </c>
      <c r="B787" s="18" t="s">
        <v>396</v>
      </c>
      <c r="C787" s="18" t="s">
        <v>397</v>
      </c>
      <c r="D787" s="104">
        <v>46204</v>
      </c>
      <c r="E787" s="18" t="s">
        <v>328</v>
      </c>
      <c r="F787" s="75">
        <v>0</v>
      </c>
      <c r="G787" s="107">
        <v>0</v>
      </c>
      <c r="H787" s="120">
        <f t="shared" si="12"/>
        <v>0</v>
      </c>
      <c r="I787" s="18" t="s">
        <v>526</v>
      </c>
    </row>
    <row r="788" spans="1:9" hidden="1" x14ac:dyDescent="0.3">
      <c r="A788" s="18" t="s">
        <v>8</v>
      </c>
      <c r="B788" s="18" t="s">
        <v>408</v>
      </c>
      <c r="C788" s="18" t="s">
        <v>397</v>
      </c>
      <c r="D788" s="104">
        <v>46204</v>
      </c>
      <c r="E788" s="18" t="s">
        <v>328</v>
      </c>
      <c r="F788" s="75">
        <v>0</v>
      </c>
      <c r="G788" s="107">
        <v>0</v>
      </c>
      <c r="H788" s="120">
        <f t="shared" si="12"/>
        <v>0</v>
      </c>
      <c r="I788" s="18" t="s">
        <v>516</v>
      </c>
    </row>
    <row r="789" spans="1:9" hidden="1" x14ac:dyDescent="0.3">
      <c r="A789" s="18" t="s">
        <v>8</v>
      </c>
      <c r="B789" s="18" t="s">
        <v>341</v>
      </c>
      <c r="C789" s="18" t="s">
        <v>342</v>
      </c>
      <c r="D789" s="104">
        <v>46204</v>
      </c>
      <c r="E789" s="18" t="s">
        <v>33</v>
      </c>
      <c r="F789" s="75">
        <v>1</v>
      </c>
      <c r="G789" s="120">
        <v>37628.980000000003</v>
      </c>
      <c r="H789" s="120">
        <f t="shared" si="12"/>
        <v>37628.980000000003</v>
      </c>
      <c r="I789" s="18" t="s">
        <v>343</v>
      </c>
    </row>
    <row r="790" spans="1:9" hidden="1" x14ac:dyDescent="0.3">
      <c r="A790" s="18" t="s">
        <v>8</v>
      </c>
      <c r="B790" s="18" t="s">
        <v>396</v>
      </c>
      <c r="C790" s="18" t="s">
        <v>397</v>
      </c>
      <c r="D790" s="104">
        <v>46204</v>
      </c>
      <c r="E790" s="18" t="s">
        <v>33</v>
      </c>
      <c r="F790" s="75">
        <v>0</v>
      </c>
      <c r="G790" s="107">
        <v>0</v>
      </c>
      <c r="H790" s="120">
        <f t="shared" si="12"/>
        <v>0</v>
      </c>
      <c r="I790" s="18" t="s">
        <v>398</v>
      </c>
    </row>
    <row r="791" spans="1:9" hidden="1" x14ac:dyDescent="0.3">
      <c r="A791" s="18" t="s">
        <v>8</v>
      </c>
      <c r="B791" s="18" t="s">
        <v>408</v>
      </c>
      <c r="C791" s="18" t="s">
        <v>397</v>
      </c>
      <c r="D791" s="104">
        <v>46204</v>
      </c>
      <c r="E791" s="18" t="s">
        <v>33</v>
      </c>
      <c r="F791" s="75">
        <v>0</v>
      </c>
      <c r="G791" s="107">
        <v>0</v>
      </c>
      <c r="H791" s="120">
        <f t="shared" si="12"/>
        <v>0</v>
      </c>
      <c r="I791" s="18" t="s">
        <v>516</v>
      </c>
    </row>
    <row r="792" spans="1:9" hidden="1" x14ac:dyDescent="0.3">
      <c r="A792" s="18" t="s">
        <v>8</v>
      </c>
      <c r="B792" s="18" t="s">
        <v>349</v>
      </c>
      <c r="C792" s="18" t="s">
        <v>299</v>
      </c>
      <c r="D792" s="104">
        <v>46204</v>
      </c>
      <c r="E792" s="18" t="s">
        <v>33</v>
      </c>
      <c r="F792" s="135">
        <v>341</v>
      </c>
      <c r="G792" s="143">
        <v>1.86</v>
      </c>
      <c r="H792" s="120">
        <f t="shared" si="12"/>
        <v>634.26</v>
      </c>
      <c r="I792" s="18" t="s">
        <v>559</v>
      </c>
    </row>
    <row r="793" spans="1:9" hidden="1" x14ac:dyDescent="0.3">
      <c r="A793" s="18" t="s">
        <v>8</v>
      </c>
      <c r="B793" s="18" t="s">
        <v>527</v>
      </c>
      <c r="C793" s="18" t="s">
        <v>299</v>
      </c>
      <c r="D793" s="104">
        <v>46204</v>
      </c>
      <c r="E793" s="18" t="s">
        <v>33</v>
      </c>
      <c r="F793" s="75">
        <v>0</v>
      </c>
      <c r="G793" s="107">
        <v>0</v>
      </c>
      <c r="H793" s="120">
        <f t="shared" si="12"/>
        <v>0</v>
      </c>
      <c r="I793" s="18" t="s">
        <v>528</v>
      </c>
    </row>
    <row r="794" spans="1:9" hidden="1" x14ac:dyDescent="0.3">
      <c r="A794" s="18" t="s">
        <v>8</v>
      </c>
      <c r="B794" s="18" t="s">
        <v>529</v>
      </c>
      <c r="C794" s="18" t="s">
        <v>299</v>
      </c>
      <c r="D794" s="104">
        <v>46204</v>
      </c>
      <c r="E794" s="18" t="s">
        <v>33</v>
      </c>
      <c r="F794" s="75">
        <v>0</v>
      </c>
      <c r="G794" s="107">
        <v>0</v>
      </c>
      <c r="H794" s="120">
        <f t="shared" si="12"/>
        <v>0</v>
      </c>
      <c r="I794" s="18" t="s">
        <v>530</v>
      </c>
    </row>
    <row r="795" spans="1:9" hidden="1" x14ac:dyDescent="0.3">
      <c r="A795" s="18" t="s">
        <v>8</v>
      </c>
      <c r="B795" s="18" t="s">
        <v>382</v>
      </c>
      <c r="C795" s="18" t="s">
        <v>299</v>
      </c>
      <c r="D795" s="104">
        <v>46204</v>
      </c>
      <c r="E795" s="18" t="s">
        <v>33</v>
      </c>
      <c r="F795" s="75">
        <v>-1</v>
      </c>
      <c r="G795" s="120">
        <v>620.34</v>
      </c>
      <c r="H795" s="120">
        <f t="shared" si="12"/>
        <v>-620.34</v>
      </c>
      <c r="I795" s="18" t="s">
        <v>531</v>
      </c>
    </row>
    <row r="796" spans="1:9" hidden="1" x14ac:dyDescent="0.3">
      <c r="A796" s="18" t="s">
        <v>8</v>
      </c>
      <c r="B796" s="18" t="s">
        <v>382</v>
      </c>
      <c r="C796" s="18" t="s">
        <v>299</v>
      </c>
      <c r="D796" s="104">
        <v>46204</v>
      </c>
      <c r="E796" s="18" t="s">
        <v>33</v>
      </c>
      <c r="F796" s="75">
        <v>-1</v>
      </c>
      <c r="G796" s="120">
        <v>2216.9499999999998</v>
      </c>
      <c r="H796" s="120">
        <f t="shared" si="12"/>
        <v>-2216.9499999999998</v>
      </c>
      <c r="I796" s="18" t="s">
        <v>399</v>
      </c>
    </row>
    <row r="797" spans="1:9" hidden="1" x14ac:dyDescent="0.3">
      <c r="A797" s="18" t="s">
        <v>8</v>
      </c>
      <c r="B797" s="18" t="s">
        <v>330</v>
      </c>
      <c r="C797" s="18" t="s">
        <v>299</v>
      </c>
      <c r="D797" s="104">
        <v>46204</v>
      </c>
      <c r="E797" s="18" t="s">
        <v>33</v>
      </c>
      <c r="F797" s="75">
        <v>0</v>
      </c>
      <c r="G797" s="143"/>
      <c r="H797" s="120" t="str">
        <f t="shared" si="12"/>
        <v/>
      </c>
      <c r="I797" s="18" t="s">
        <v>268</v>
      </c>
    </row>
    <row r="798" spans="1:9" hidden="1" x14ac:dyDescent="0.3">
      <c r="A798" s="18" t="s">
        <v>8</v>
      </c>
      <c r="B798" s="18" t="s">
        <v>344</v>
      </c>
      <c r="C798" s="18" t="s">
        <v>299</v>
      </c>
      <c r="D798" s="104">
        <v>46204</v>
      </c>
      <c r="E798" s="18" t="s">
        <v>33</v>
      </c>
      <c r="F798" s="75">
        <v>0</v>
      </c>
      <c r="G798" s="143"/>
      <c r="H798" s="120" t="str">
        <f t="shared" si="12"/>
        <v/>
      </c>
      <c r="I798" s="18" t="s">
        <v>313</v>
      </c>
    </row>
    <row r="799" spans="1:9" hidden="1" x14ac:dyDescent="0.3">
      <c r="A799" s="18" t="s">
        <v>8</v>
      </c>
      <c r="B799" s="18" t="s">
        <v>354</v>
      </c>
      <c r="C799" s="18" t="s">
        <v>299</v>
      </c>
      <c r="D799" s="104">
        <v>46204</v>
      </c>
      <c r="E799" s="18" t="s">
        <v>33</v>
      </c>
      <c r="F799" s="135">
        <v>-1</v>
      </c>
      <c r="G799" s="143">
        <f>Comercial!E218</f>
        <v>260.10802469135803</v>
      </c>
      <c r="H799" s="120">
        <f t="shared" si="12"/>
        <v>-260.10802469135803</v>
      </c>
      <c r="I799" s="18" t="s">
        <v>561</v>
      </c>
    </row>
    <row r="800" spans="1:9" hidden="1" x14ac:dyDescent="0.3">
      <c r="A800" s="18" t="s">
        <v>8</v>
      </c>
      <c r="B800" s="18" t="s">
        <v>362</v>
      </c>
      <c r="C800" s="18" t="s">
        <v>299</v>
      </c>
      <c r="D800" s="104">
        <v>46204</v>
      </c>
      <c r="E800" s="18" t="s">
        <v>33</v>
      </c>
      <c r="F800" s="135">
        <v>3</v>
      </c>
      <c r="G800" s="143">
        <f>Comercial!B218</f>
        <v>221.78574350904805</v>
      </c>
      <c r="H800" s="120">
        <f t="shared" si="12"/>
        <v>665.35723052714411</v>
      </c>
      <c r="I800" s="18" t="s">
        <v>561</v>
      </c>
    </row>
    <row r="801" spans="1:9" hidden="1" x14ac:dyDescent="0.3">
      <c r="A801" s="18" t="s">
        <v>8</v>
      </c>
      <c r="B801" s="18" t="s">
        <v>373</v>
      </c>
      <c r="C801" s="18" t="s">
        <v>299</v>
      </c>
      <c r="D801" s="104">
        <v>46204</v>
      </c>
      <c r="E801" s="18" t="s">
        <v>33</v>
      </c>
      <c r="F801" s="75">
        <v>0</v>
      </c>
      <c r="G801" s="143"/>
      <c r="H801" s="120" t="str">
        <f t="shared" si="12"/>
        <v/>
      </c>
      <c r="I801" s="18" t="s">
        <v>313</v>
      </c>
    </row>
    <row r="802" spans="1:9" hidden="1" x14ac:dyDescent="0.3">
      <c r="A802" s="18" t="s">
        <v>8</v>
      </c>
      <c r="B802" s="18" t="s">
        <v>387</v>
      </c>
      <c r="C802" s="18" t="s">
        <v>11</v>
      </c>
      <c r="D802" s="104">
        <v>46204</v>
      </c>
      <c r="E802" s="18" t="s">
        <v>33</v>
      </c>
      <c r="F802" s="135">
        <v>6588</v>
      </c>
      <c r="G802" s="143">
        <v>0.2</v>
      </c>
      <c r="H802" s="120">
        <f t="shared" si="12"/>
        <v>1317.6000000000001</v>
      </c>
      <c r="I802" s="18" t="s">
        <v>307</v>
      </c>
    </row>
    <row r="803" spans="1:9" hidden="1" x14ac:dyDescent="0.3">
      <c r="A803" s="18" t="s">
        <v>8</v>
      </c>
      <c r="B803" s="18" t="s">
        <v>441</v>
      </c>
      <c r="C803" s="18" t="s">
        <v>442</v>
      </c>
      <c r="D803" s="104">
        <v>46204</v>
      </c>
      <c r="E803" s="18" t="s">
        <v>33</v>
      </c>
      <c r="F803" s="38">
        <v>1579</v>
      </c>
      <c r="G803" s="107">
        <v>7.19</v>
      </c>
      <c r="H803" s="120">
        <f t="shared" si="12"/>
        <v>11353.01</v>
      </c>
      <c r="I803" s="18" t="s">
        <v>443</v>
      </c>
    </row>
    <row r="804" spans="1:9" hidden="1" x14ac:dyDescent="0.3">
      <c r="A804" s="18" t="s">
        <v>8</v>
      </c>
      <c r="B804" s="18" t="s">
        <v>466</v>
      </c>
      <c r="C804" s="18" t="s">
        <v>18</v>
      </c>
      <c r="D804" s="104">
        <v>46204</v>
      </c>
      <c r="E804" s="18" t="s">
        <v>33</v>
      </c>
      <c r="F804" s="75">
        <v>0</v>
      </c>
      <c r="G804" s="107">
        <v>0</v>
      </c>
      <c r="H804" s="120">
        <f t="shared" si="12"/>
        <v>0</v>
      </c>
      <c r="I804" s="18" t="s">
        <v>467</v>
      </c>
    </row>
    <row r="805" spans="1:9" hidden="1" x14ac:dyDescent="0.3">
      <c r="A805" s="18" t="s">
        <v>8</v>
      </c>
      <c r="B805" s="18" t="s">
        <v>331</v>
      </c>
      <c r="C805" s="18" t="s">
        <v>302</v>
      </c>
      <c r="D805" s="104">
        <v>46204</v>
      </c>
      <c r="E805" s="18" t="s">
        <v>33</v>
      </c>
      <c r="F805" s="75">
        <v>0</v>
      </c>
      <c r="G805" s="107">
        <v>0</v>
      </c>
      <c r="H805" s="120">
        <f t="shared" si="12"/>
        <v>0</v>
      </c>
      <c r="I805" s="18" t="s">
        <v>332</v>
      </c>
    </row>
    <row r="806" spans="1:9" hidden="1" x14ac:dyDescent="0.3">
      <c r="A806" s="18" t="s">
        <v>8</v>
      </c>
      <c r="B806" s="18" t="s">
        <v>403</v>
      </c>
      <c r="C806" s="18" t="s">
        <v>302</v>
      </c>
      <c r="D806" s="104">
        <v>46204</v>
      </c>
      <c r="E806" s="18" t="s">
        <v>33</v>
      </c>
      <c r="F806" s="75">
        <v>0</v>
      </c>
      <c r="G806" s="107">
        <v>0</v>
      </c>
      <c r="H806" s="120">
        <f t="shared" si="12"/>
        <v>0</v>
      </c>
      <c r="I806" s="18" t="s">
        <v>504</v>
      </c>
    </row>
    <row r="807" spans="1:9" hidden="1" x14ac:dyDescent="0.3">
      <c r="A807" s="18" t="s">
        <v>8</v>
      </c>
      <c r="B807" s="18" t="s">
        <v>367</v>
      </c>
      <c r="C807" s="18" t="s">
        <v>302</v>
      </c>
      <c r="D807" s="104">
        <v>46204</v>
      </c>
      <c r="E807" s="18" t="s">
        <v>33</v>
      </c>
      <c r="F807" s="38">
        <v>10</v>
      </c>
      <c r="G807" s="107">
        <v>20</v>
      </c>
      <c r="H807" s="120">
        <f t="shared" si="12"/>
        <v>200</v>
      </c>
      <c r="I807" s="18" t="s">
        <v>368</v>
      </c>
    </row>
    <row r="808" spans="1:9" hidden="1" x14ac:dyDescent="0.3">
      <c r="A808" s="18" t="s">
        <v>8</v>
      </c>
      <c r="B808" s="18" t="s">
        <v>301</v>
      </c>
      <c r="C808" s="18" t="s">
        <v>302</v>
      </c>
      <c r="D808" s="104">
        <v>46204</v>
      </c>
      <c r="E808" s="18" t="s">
        <v>33</v>
      </c>
      <c r="F808" s="75">
        <v>1</v>
      </c>
      <c r="G808" s="107">
        <v>927.69</v>
      </c>
      <c r="H808" s="120">
        <f t="shared" si="12"/>
        <v>927.69</v>
      </c>
      <c r="I808" s="18" t="s">
        <v>562</v>
      </c>
    </row>
    <row r="809" spans="1:9" hidden="1" x14ac:dyDescent="0.3">
      <c r="A809" s="18" t="s">
        <v>8</v>
      </c>
      <c r="B809" s="18" t="s">
        <v>345</v>
      </c>
      <c r="C809" s="18" t="s">
        <v>302</v>
      </c>
      <c r="D809" s="104">
        <v>46204</v>
      </c>
      <c r="E809" s="18" t="s">
        <v>33</v>
      </c>
      <c r="F809" s="75">
        <v>1</v>
      </c>
      <c r="G809" s="107">
        <v>480</v>
      </c>
      <c r="H809" s="120">
        <f t="shared" si="12"/>
        <v>480</v>
      </c>
      <c r="I809" s="18" t="s">
        <v>346</v>
      </c>
    </row>
    <row r="810" spans="1:9" hidden="1" x14ac:dyDescent="0.3">
      <c r="A810" s="18" t="s">
        <v>8</v>
      </c>
      <c r="B810" s="18" t="s">
        <v>536</v>
      </c>
      <c r="C810" s="18" t="s">
        <v>315</v>
      </c>
      <c r="D810" s="104">
        <v>46204</v>
      </c>
      <c r="E810" s="18" t="s">
        <v>33</v>
      </c>
      <c r="F810" s="75">
        <v>0</v>
      </c>
      <c r="G810" s="107">
        <v>0</v>
      </c>
      <c r="H810" s="120">
        <f t="shared" si="12"/>
        <v>0</v>
      </c>
      <c r="I810" s="18" t="s">
        <v>490</v>
      </c>
    </row>
    <row r="811" spans="1:9" hidden="1" x14ac:dyDescent="0.3">
      <c r="A811" s="18" t="s">
        <v>8</v>
      </c>
      <c r="B811" s="18" t="s">
        <v>497</v>
      </c>
      <c r="C811" s="18" t="s">
        <v>315</v>
      </c>
      <c r="D811" s="104">
        <v>46204</v>
      </c>
      <c r="E811" s="18" t="s">
        <v>33</v>
      </c>
      <c r="F811" s="75">
        <v>0</v>
      </c>
      <c r="G811" s="107">
        <v>0</v>
      </c>
      <c r="H811" s="120">
        <f t="shared" si="12"/>
        <v>0</v>
      </c>
      <c r="I811" s="18" t="s">
        <v>406</v>
      </c>
    </row>
    <row r="812" spans="1:9" hidden="1" x14ac:dyDescent="0.3">
      <c r="A812" s="18" t="s">
        <v>8</v>
      </c>
      <c r="B812" s="18" t="s">
        <v>537</v>
      </c>
      <c r="C812" s="18" t="s">
        <v>315</v>
      </c>
      <c r="D812" s="104">
        <v>46204</v>
      </c>
      <c r="E812" s="18" t="s">
        <v>33</v>
      </c>
      <c r="F812" s="75">
        <v>0</v>
      </c>
      <c r="G812" s="107">
        <v>0</v>
      </c>
      <c r="H812" s="120">
        <f t="shared" si="12"/>
        <v>0</v>
      </c>
      <c r="I812" s="18" t="s">
        <v>495</v>
      </c>
    </row>
    <row r="813" spans="1:9" hidden="1" x14ac:dyDescent="0.3">
      <c r="A813" s="18" t="s">
        <v>8</v>
      </c>
      <c r="B813" s="18" t="s">
        <v>500</v>
      </c>
      <c r="C813" s="18" t="s">
        <v>315</v>
      </c>
      <c r="D813" s="104">
        <v>46204</v>
      </c>
      <c r="E813" s="18" t="s">
        <v>33</v>
      </c>
      <c r="F813" s="75">
        <v>0</v>
      </c>
      <c r="G813" s="107">
        <v>0</v>
      </c>
      <c r="H813" s="120">
        <f t="shared" si="12"/>
        <v>0</v>
      </c>
      <c r="I813" s="18" t="s">
        <v>416</v>
      </c>
    </row>
    <row r="814" spans="1:9" hidden="1" x14ac:dyDescent="0.3">
      <c r="A814" s="18" t="s">
        <v>8</v>
      </c>
      <c r="B814" s="18" t="s">
        <v>363</v>
      </c>
      <c r="C814" s="18" t="s">
        <v>364</v>
      </c>
      <c r="D814" s="104">
        <v>46204</v>
      </c>
      <c r="E814" s="18" t="s">
        <v>33</v>
      </c>
      <c r="F814" s="135">
        <v>1</v>
      </c>
      <c r="G814" s="143">
        <v>1027.18</v>
      </c>
      <c r="H814" s="120">
        <f t="shared" si="12"/>
        <v>1027.18</v>
      </c>
      <c r="I814" s="133" t="s">
        <v>563</v>
      </c>
    </row>
    <row r="815" spans="1:9" hidden="1" x14ac:dyDescent="0.3">
      <c r="A815" s="18" t="s">
        <v>8</v>
      </c>
      <c r="B815" s="18" t="s">
        <v>327</v>
      </c>
      <c r="C815" s="18" t="s">
        <v>23</v>
      </c>
      <c r="D815" s="104">
        <v>46204</v>
      </c>
      <c r="E815" s="18" t="s">
        <v>33</v>
      </c>
      <c r="F815" s="135">
        <v>2</v>
      </c>
      <c r="G815" s="143">
        <v>161.82</v>
      </c>
      <c r="H815" s="120">
        <f t="shared" si="12"/>
        <v>323.64</v>
      </c>
      <c r="I815" s="18" t="s">
        <v>560</v>
      </c>
    </row>
    <row r="816" spans="1:9" hidden="1" x14ac:dyDescent="0.3">
      <c r="A816" s="18" t="s">
        <v>8</v>
      </c>
      <c r="B816" s="18" t="s">
        <v>321</v>
      </c>
      <c r="C816" s="18" t="s">
        <v>26</v>
      </c>
      <c r="D816" s="104">
        <v>46204</v>
      </c>
      <c r="E816" s="18" t="s">
        <v>33</v>
      </c>
      <c r="F816" s="38">
        <v>1</v>
      </c>
      <c r="G816" s="107">
        <v>91.2</v>
      </c>
      <c r="H816" s="120">
        <f t="shared" si="12"/>
        <v>91.2</v>
      </c>
      <c r="I816" s="18" t="s">
        <v>323</v>
      </c>
    </row>
    <row r="817" spans="1:9" hidden="1" x14ac:dyDescent="0.3">
      <c r="A817" s="18" t="s">
        <v>8</v>
      </c>
      <c r="B817" s="18" t="s">
        <v>339</v>
      </c>
      <c r="C817" s="18" t="s">
        <v>26</v>
      </c>
      <c r="D817" s="104">
        <v>46204</v>
      </c>
      <c r="E817" s="18" t="s">
        <v>33</v>
      </c>
      <c r="F817" s="75">
        <v>0</v>
      </c>
      <c r="G817" s="107">
        <v>0</v>
      </c>
      <c r="H817" s="120">
        <f t="shared" si="12"/>
        <v>0</v>
      </c>
      <c r="I817" s="18" t="s">
        <v>474</v>
      </c>
    </row>
    <row r="818" spans="1:9" hidden="1" x14ac:dyDescent="0.3">
      <c r="A818" s="18" t="s">
        <v>8</v>
      </c>
      <c r="B818" s="18" t="s">
        <v>355</v>
      </c>
      <c r="C818" s="18" t="s">
        <v>27</v>
      </c>
      <c r="D818" s="104">
        <v>46204</v>
      </c>
      <c r="E818" s="18" t="s">
        <v>33</v>
      </c>
      <c r="F818" s="75">
        <v>-1</v>
      </c>
      <c r="G818" s="107">
        <v>847.7</v>
      </c>
      <c r="H818" s="120">
        <f t="shared" si="12"/>
        <v>-847.7</v>
      </c>
      <c r="I818" t="s">
        <v>356</v>
      </c>
    </row>
    <row r="819" spans="1:9" hidden="1" x14ac:dyDescent="0.3">
      <c r="A819" s="18" t="s">
        <v>8</v>
      </c>
      <c r="B819" s="18" t="s">
        <v>355</v>
      </c>
      <c r="C819" s="18" t="s">
        <v>27</v>
      </c>
      <c r="D819" s="104">
        <v>46204</v>
      </c>
      <c r="E819" s="18" t="s">
        <v>33</v>
      </c>
      <c r="F819" s="135">
        <v>1</v>
      </c>
      <c r="G819" s="143">
        <v>2959.45</v>
      </c>
      <c r="H819" s="120">
        <f t="shared" si="12"/>
        <v>2959.45</v>
      </c>
      <c r="I819" s="18" t="s">
        <v>564</v>
      </c>
    </row>
    <row r="820" spans="1:9" hidden="1" x14ac:dyDescent="0.3">
      <c r="A820" s="18" t="s">
        <v>8</v>
      </c>
      <c r="B820" s="18" t="s">
        <v>308</v>
      </c>
      <c r="C820" s="18" t="s">
        <v>309</v>
      </c>
      <c r="D820" s="104">
        <v>46204</v>
      </c>
      <c r="E820" s="18" t="s">
        <v>33</v>
      </c>
      <c r="F820" s="135">
        <v>2</v>
      </c>
      <c r="G820" s="143">
        <v>50</v>
      </c>
      <c r="H820" s="120">
        <f t="shared" si="12"/>
        <v>100</v>
      </c>
      <c r="I820" s="18" t="s">
        <v>310</v>
      </c>
    </row>
    <row r="821" spans="1:9" hidden="1" x14ac:dyDescent="0.3">
      <c r="A821" s="18" t="s">
        <v>8</v>
      </c>
      <c r="B821" s="18" t="s">
        <v>304</v>
      </c>
      <c r="C821" s="18" t="s">
        <v>305</v>
      </c>
      <c r="D821" s="104">
        <v>46204</v>
      </c>
      <c r="E821" s="18" t="s">
        <v>306</v>
      </c>
      <c r="F821" s="135">
        <v>13530</v>
      </c>
      <c r="G821" s="143">
        <v>0.35</v>
      </c>
      <c r="H821" s="120">
        <f t="shared" si="12"/>
        <v>4735.5</v>
      </c>
      <c r="I821" s="18" t="s">
        <v>307</v>
      </c>
    </row>
    <row r="822" spans="1:9" hidden="1" x14ac:dyDescent="0.3">
      <c r="A822" s="18" t="s">
        <v>8</v>
      </c>
      <c r="B822" s="18" t="s">
        <v>24</v>
      </c>
      <c r="C822" s="18" t="s">
        <v>333</v>
      </c>
      <c r="D822" s="104">
        <v>46204</v>
      </c>
      <c r="E822" s="18" t="s">
        <v>306</v>
      </c>
      <c r="F822" s="135">
        <v>13530</v>
      </c>
      <c r="G822" s="143">
        <v>0.23</v>
      </c>
      <c r="H822" s="120">
        <f t="shared" si="12"/>
        <v>3111.9</v>
      </c>
      <c r="I822" s="18" t="s">
        <v>307</v>
      </c>
    </row>
    <row r="823" spans="1:9" hidden="1" x14ac:dyDescent="0.3">
      <c r="A823" s="18" t="s">
        <v>8</v>
      </c>
      <c r="B823" s="18" t="s">
        <v>396</v>
      </c>
      <c r="C823" s="18" t="s">
        <v>397</v>
      </c>
      <c r="D823" s="104">
        <v>46204</v>
      </c>
      <c r="E823" s="18" t="s">
        <v>306</v>
      </c>
      <c r="F823" s="75">
        <v>0</v>
      </c>
      <c r="G823" s="107">
        <v>0</v>
      </c>
      <c r="H823" s="120">
        <f t="shared" si="12"/>
        <v>0</v>
      </c>
      <c r="I823" s="18" t="s">
        <v>427</v>
      </c>
    </row>
    <row r="824" spans="1:9" hidden="1" x14ac:dyDescent="0.3">
      <c r="A824" s="18" t="s">
        <v>8</v>
      </c>
      <c r="B824" s="18" t="s">
        <v>418</v>
      </c>
      <c r="C824" s="18" t="s">
        <v>397</v>
      </c>
      <c r="D824" s="104">
        <v>46204</v>
      </c>
      <c r="E824" s="18" t="s">
        <v>306</v>
      </c>
      <c r="F824" s="75">
        <v>0</v>
      </c>
      <c r="G824" s="107">
        <v>0</v>
      </c>
      <c r="H824" s="120">
        <f t="shared" si="12"/>
        <v>0</v>
      </c>
      <c r="I824" s="18" t="s">
        <v>419</v>
      </c>
    </row>
    <row r="825" spans="1:9" hidden="1" x14ac:dyDescent="0.3">
      <c r="A825" s="18" t="s">
        <v>8</v>
      </c>
      <c r="B825" s="18" t="s">
        <v>337</v>
      </c>
      <c r="C825" s="18" t="s">
        <v>299</v>
      </c>
      <c r="D825" s="104">
        <v>46204</v>
      </c>
      <c r="E825" s="18" t="s">
        <v>306</v>
      </c>
      <c r="F825" s="135">
        <v>1</v>
      </c>
      <c r="G825" s="143">
        <v>33.5</v>
      </c>
      <c r="H825" s="120">
        <f t="shared" si="12"/>
        <v>33.5</v>
      </c>
      <c r="I825" s="18" t="s">
        <v>410</v>
      </c>
    </row>
    <row r="826" spans="1:9" hidden="1" x14ac:dyDescent="0.3">
      <c r="A826" s="18" t="s">
        <v>8</v>
      </c>
      <c r="B826" s="18" t="s">
        <v>337</v>
      </c>
      <c r="C826" s="18" t="s">
        <v>299</v>
      </c>
      <c r="D826" s="104">
        <v>46204</v>
      </c>
      <c r="E826" s="18" t="s">
        <v>306</v>
      </c>
      <c r="F826" s="135">
        <v>1</v>
      </c>
      <c r="G826" s="143">
        <v>22</v>
      </c>
      <c r="H826" s="120">
        <f t="shared" si="12"/>
        <v>22</v>
      </c>
      <c r="I826" s="18" t="s">
        <v>420</v>
      </c>
    </row>
    <row r="827" spans="1:9" hidden="1" x14ac:dyDescent="0.3">
      <c r="A827" s="18" t="s">
        <v>8</v>
      </c>
      <c r="B827" s="18" t="s">
        <v>349</v>
      </c>
      <c r="C827" s="18" t="s">
        <v>299</v>
      </c>
      <c r="D827" s="104">
        <v>46204</v>
      </c>
      <c r="E827" s="18" t="s">
        <v>306</v>
      </c>
      <c r="F827" s="135">
        <v>312</v>
      </c>
      <c r="G827" s="143">
        <v>1.86</v>
      </c>
      <c r="H827" s="120">
        <f t="shared" si="12"/>
        <v>580.32000000000005</v>
      </c>
      <c r="I827" s="18" t="s">
        <v>350</v>
      </c>
    </row>
    <row r="828" spans="1:9" hidden="1" x14ac:dyDescent="0.3">
      <c r="A828" s="18" t="s">
        <v>8</v>
      </c>
      <c r="B828" s="18" t="s">
        <v>382</v>
      </c>
      <c r="C828" s="18" t="s">
        <v>299</v>
      </c>
      <c r="D828" s="104">
        <v>46204</v>
      </c>
      <c r="E828" s="18" t="s">
        <v>306</v>
      </c>
      <c r="F828" s="75">
        <v>0</v>
      </c>
      <c r="G828" s="107">
        <v>0</v>
      </c>
      <c r="H828" s="120">
        <f t="shared" si="12"/>
        <v>0</v>
      </c>
      <c r="I828" s="18" t="s">
        <v>539</v>
      </c>
    </row>
    <row r="829" spans="1:9" hidden="1" x14ac:dyDescent="0.3">
      <c r="A829" s="18" t="s">
        <v>8</v>
      </c>
      <c r="B829" s="18" t="s">
        <v>382</v>
      </c>
      <c r="C829" s="18" t="s">
        <v>299</v>
      </c>
      <c r="D829" s="104">
        <v>46204</v>
      </c>
      <c r="E829" s="18" t="s">
        <v>306</v>
      </c>
      <c r="F829" s="75">
        <v>1</v>
      </c>
      <c r="G829" s="120">
        <v>446.88</v>
      </c>
      <c r="H829" s="120">
        <f t="shared" si="12"/>
        <v>446.88</v>
      </c>
      <c r="I829" s="18" t="s">
        <v>444</v>
      </c>
    </row>
    <row r="830" spans="1:9" hidden="1" x14ac:dyDescent="0.3">
      <c r="A830" s="18" t="s">
        <v>8</v>
      </c>
      <c r="B830" s="18" t="s">
        <v>382</v>
      </c>
      <c r="C830" s="18" t="s">
        <v>299</v>
      </c>
      <c r="D830" s="104">
        <v>46204</v>
      </c>
      <c r="E830" s="18" t="s">
        <v>306</v>
      </c>
      <c r="F830" s="75">
        <v>36</v>
      </c>
      <c r="G830" s="120">
        <v>21.95</v>
      </c>
      <c r="H830" s="120">
        <f t="shared" si="12"/>
        <v>790.19999999999993</v>
      </c>
      <c r="I830" s="18" t="s">
        <v>452</v>
      </c>
    </row>
    <row r="831" spans="1:9" hidden="1" x14ac:dyDescent="0.3">
      <c r="A831" s="18" t="s">
        <v>8</v>
      </c>
      <c r="B831" s="18" t="s">
        <v>361</v>
      </c>
      <c r="C831" s="18" t="s">
        <v>299</v>
      </c>
      <c r="D831" s="104">
        <v>46204</v>
      </c>
      <c r="E831" s="18" t="s">
        <v>306</v>
      </c>
      <c r="F831" s="135">
        <v>2</v>
      </c>
      <c r="G831" s="143">
        <f>Comercial!B218</f>
        <v>221.78574350904805</v>
      </c>
      <c r="H831" s="120">
        <f t="shared" si="12"/>
        <v>443.57148701809609</v>
      </c>
      <c r="I831" s="18" t="s">
        <v>561</v>
      </c>
    </row>
    <row r="832" spans="1:9" hidden="1" x14ac:dyDescent="0.3">
      <c r="A832" s="18" t="s">
        <v>8</v>
      </c>
      <c r="B832" s="18" t="s">
        <v>527</v>
      </c>
      <c r="C832" s="18" t="s">
        <v>299</v>
      </c>
      <c r="D832" s="104">
        <v>46204</v>
      </c>
      <c r="E832" s="18" t="s">
        <v>306</v>
      </c>
      <c r="F832" s="75">
        <v>0</v>
      </c>
      <c r="G832" s="107">
        <v>0</v>
      </c>
      <c r="H832" s="120">
        <f t="shared" ref="H832:H892" si="13">IF(OR(F832="",G832=""),"",F832*G832)</f>
        <v>0</v>
      </c>
      <c r="I832" s="18" t="s">
        <v>540</v>
      </c>
    </row>
    <row r="833" spans="1:9" hidden="1" x14ac:dyDescent="0.3">
      <c r="A833" s="18" t="s">
        <v>8</v>
      </c>
      <c r="B833" s="18" t="s">
        <v>475</v>
      </c>
      <c r="C833" s="18" t="s">
        <v>299</v>
      </c>
      <c r="D833" s="104">
        <v>46204</v>
      </c>
      <c r="E833" s="18" t="s">
        <v>306</v>
      </c>
      <c r="F833" s="135">
        <v>1</v>
      </c>
      <c r="G833" s="143">
        <f>Comercial!E218</f>
        <v>260.10802469135803</v>
      </c>
      <c r="H833" s="120">
        <f t="shared" si="13"/>
        <v>260.10802469135803</v>
      </c>
      <c r="I833" s="18" t="s">
        <v>561</v>
      </c>
    </row>
    <row r="834" spans="1:9" hidden="1" x14ac:dyDescent="0.3">
      <c r="A834" s="18" t="s">
        <v>8</v>
      </c>
      <c r="B834" s="18" t="s">
        <v>461</v>
      </c>
      <c r="C834" s="18" t="s">
        <v>299</v>
      </c>
      <c r="D834" s="104">
        <v>46204</v>
      </c>
      <c r="E834" s="18" t="s">
        <v>306</v>
      </c>
      <c r="F834" s="75">
        <v>0</v>
      </c>
      <c r="G834" s="143"/>
      <c r="H834" s="120" t="str">
        <f t="shared" si="13"/>
        <v/>
      </c>
      <c r="I834" s="18" t="s">
        <v>313</v>
      </c>
    </row>
    <row r="835" spans="1:9" hidden="1" x14ac:dyDescent="0.3">
      <c r="A835" s="18" t="s">
        <v>8</v>
      </c>
      <c r="B835" s="18" t="s">
        <v>468</v>
      </c>
      <c r="C835" s="18" t="s">
        <v>299</v>
      </c>
      <c r="D835" s="104">
        <v>46204</v>
      </c>
      <c r="E835" s="18" t="s">
        <v>306</v>
      </c>
      <c r="F835" s="135">
        <v>-6</v>
      </c>
      <c r="G835" s="143">
        <f>Comercial!B218</f>
        <v>221.78574350904805</v>
      </c>
      <c r="H835" s="120">
        <f t="shared" si="13"/>
        <v>-1330.7144610542882</v>
      </c>
      <c r="I835" s="18" t="s">
        <v>561</v>
      </c>
    </row>
    <row r="836" spans="1:9" hidden="1" x14ac:dyDescent="0.3">
      <c r="A836" s="18" t="s">
        <v>8</v>
      </c>
      <c r="B836" s="18" t="s">
        <v>482</v>
      </c>
      <c r="C836" s="18" t="s">
        <v>299</v>
      </c>
      <c r="D836" s="104">
        <v>46204</v>
      </c>
      <c r="E836" s="18" t="s">
        <v>306</v>
      </c>
      <c r="F836" s="135">
        <v>-3</v>
      </c>
      <c r="G836" s="143">
        <f>Comercial!B218</f>
        <v>221.78574350904805</v>
      </c>
      <c r="H836" s="120">
        <f t="shared" si="13"/>
        <v>-665.35723052714411</v>
      </c>
      <c r="I836" s="18" t="s">
        <v>561</v>
      </c>
    </row>
    <row r="837" spans="1:9" hidden="1" x14ac:dyDescent="0.3">
      <c r="A837" s="18" t="s">
        <v>8</v>
      </c>
      <c r="B837" s="18" t="s">
        <v>479</v>
      </c>
      <c r="C837" s="18" t="s">
        <v>299</v>
      </c>
      <c r="D837" s="104">
        <v>46204</v>
      </c>
      <c r="E837" s="18" t="s">
        <v>306</v>
      </c>
      <c r="F837" s="135">
        <v>-2</v>
      </c>
      <c r="G837" s="143">
        <f>Comercial!B218</f>
        <v>221.78574350904805</v>
      </c>
      <c r="H837" s="120">
        <f t="shared" si="13"/>
        <v>-443.57148701809609</v>
      </c>
      <c r="I837" s="18" t="s">
        <v>561</v>
      </c>
    </row>
    <row r="838" spans="1:9" hidden="1" x14ac:dyDescent="0.3">
      <c r="A838" s="18" t="s">
        <v>8</v>
      </c>
      <c r="B838" s="18" t="s">
        <v>387</v>
      </c>
      <c r="C838" s="18" t="s">
        <v>11</v>
      </c>
      <c r="D838" s="104">
        <v>46204</v>
      </c>
      <c r="E838" s="18" t="s">
        <v>306</v>
      </c>
      <c r="F838" s="135">
        <v>13530</v>
      </c>
      <c r="G838" s="143">
        <v>0.2</v>
      </c>
      <c r="H838" s="120">
        <f t="shared" si="13"/>
        <v>2706</v>
      </c>
      <c r="I838" s="18" t="s">
        <v>307</v>
      </c>
    </row>
    <row r="839" spans="1:9" hidden="1" x14ac:dyDescent="0.3">
      <c r="A839" s="18" t="s">
        <v>8</v>
      </c>
      <c r="B839" s="18" t="s">
        <v>438</v>
      </c>
      <c r="C839" s="18" t="s">
        <v>13</v>
      </c>
      <c r="D839" s="104">
        <v>46204</v>
      </c>
      <c r="E839" s="18" t="s">
        <v>306</v>
      </c>
      <c r="F839" s="135">
        <v>13530</v>
      </c>
      <c r="G839" s="143">
        <v>0.11</v>
      </c>
      <c r="H839" s="120">
        <f t="shared" si="13"/>
        <v>1488.3</v>
      </c>
      <c r="I839" s="18" t="s">
        <v>307</v>
      </c>
    </row>
    <row r="840" spans="1:9" hidden="1" x14ac:dyDescent="0.3">
      <c r="A840" s="18" t="s">
        <v>8</v>
      </c>
      <c r="B840" s="18" t="s">
        <v>466</v>
      </c>
      <c r="C840" s="18" t="s">
        <v>18</v>
      </c>
      <c r="D840" s="104">
        <v>46204</v>
      </c>
      <c r="E840" s="18" t="s">
        <v>306</v>
      </c>
      <c r="F840" s="75">
        <v>0</v>
      </c>
      <c r="G840" s="107">
        <v>0</v>
      </c>
      <c r="H840" s="120">
        <f t="shared" si="13"/>
        <v>0</v>
      </c>
      <c r="I840" s="18" t="s">
        <v>467</v>
      </c>
    </row>
    <row r="841" spans="1:9" hidden="1" x14ac:dyDescent="0.3">
      <c r="A841" s="18" t="s">
        <v>8</v>
      </c>
      <c r="B841" s="18" t="s">
        <v>301</v>
      </c>
      <c r="C841" s="18" t="s">
        <v>302</v>
      </c>
      <c r="D841" s="104">
        <v>46204</v>
      </c>
      <c r="E841" s="18" t="s">
        <v>306</v>
      </c>
      <c r="F841" s="75">
        <v>0</v>
      </c>
      <c r="G841" s="107">
        <v>0</v>
      </c>
      <c r="H841" s="120">
        <f t="shared" si="13"/>
        <v>0</v>
      </c>
      <c r="I841" s="18" t="s">
        <v>303</v>
      </c>
    </row>
    <row r="842" spans="1:9" hidden="1" x14ac:dyDescent="0.3">
      <c r="A842" s="18" t="s">
        <v>8</v>
      </c>
      <c r="B842" s="18" t="s">
        <v>505</v>
      </c>
      <c r="C842" s="18" t="s">
        <v>315</v>
      </c>
      <c r="D842" s="104">
        <v>46204</v>
      </c>
      <c r="E842" s="18" t="s">
        <v>306</v>
      </c>
      <c r="F842" s="75">
        <v>0</v>
      </c>
      <c r="G842" s="107">
        <v>0</v>
      </c>
      <c r="H842" s="120">
        <f t="shared" si="13"/>
        <v>0</v>
      </c>
      <c r="I842" s="18" t="s">
        <v>431</v>
      </c>
    </row>
    <row r="843" spans="1:9" hidden="1" x14ac:dyDescent="0.3">
      <c r="A843" s="18" t="s">
        <v>8</v>
      </c>
      <c r="B843" s="18" t="s">
        <v>511</v>
      </c>
      <c r="C843" s="18" t="s">
        <v>315</v>
      </c>
      <c r="D843" s="104">
        <v>46204</v>
      </c>
      <c r="E843" s="18" t="s">
        <v>306</v>
      </c>
      <c r="F843" s="75">
        <v>0</v>
      </c>
      <c r="G843" s="107">
        <v>0</v>
      </c>
      <c r="H843" s="120">
        <f t="shared" si="13"/>
        <v>0</v>
      </c>
      <c r="I843" s="18" t="s">
        <v>460</v>
      </c>
    </row>
    <row r="844" spans="1:9" hidden="1" x14ac:dyDescent="0.3">
      <c r="A844" s="18" t="s">
        <v>8</v>
      </c>
      <c r="B844" s="18" t="s">
        <v>480</v>
      </c>
      <c r="C844" s="18" t="s">
        <v>318</v>
      </c>
      <c r="D844" s="104">
        <v>46204</v>
      </c>
      <c r="E844" s="18" t="s">
        <v>306</v>
      </c>
      <c r="F844" s="75">
        <v>1</v>
      </c>
      <c r="G844" s="120">
        <v>333.1</v>
      </c>
      <c r="H844" s="120">
        <f t="shared" si="13"/>
        <v>333.1</v>
      </c>
      <c r="I844" s="18" t="s">
        <v>565</v>
      </c>
    </row>
    <row r="845" spans="1:9" hidden="1" x14ac:dyDescent="0.3">
      <c r="A845" s="18" t="s">
        <v>8</v>
      </c>
      <c r="B845" s="18" t="s">
        <v>317</v>
      </c>
      <c r="C845" s="18" t="s">
        <v>318</v>
      </c>
      <c r="D845" s="104">
        <v>46204</v>
      </c>
      <c r="E845" s="18" t="s">
        <v>306</v>
      </c>
      <c r="F845" s="75">
        <v>1</v>
      </c>
      <c r="G845" s="120">
        <v>238.88</v>
      </c>
      <c r="H845" s="120">
        <f t="shared" si="13"/>
        <v>238.88</v>
      </c>
      <c r="I845" s="18" t="s">
        <v>565</v>
      </c>
    </row>
    <row r="846" spans="1:9" hidden="1" x14ac:dyDescent="0.3">
      <c r="A846" s="18" t="s">
        <v>8</v>
      </c>
      <c r="B846" s="18" t="s">
        <v>487</v>
      </c>
      <c r="C846" s="18" t="s">
        <v>318</v>
      </c>
      <c r="D846" s="104">
        <v>46204</v>
      </c>
      <c r="E846" s="18" t="s">
        <v>306</v>
      </c>
      <c r="F846" s="75">
        <v>1</v>
      </c>
      <c r="G846" s="120">
        <v>624.79</v>
      </c>
      <c r="H846" s="120">
        <f t="shared" si="13"/>
        <v>624.79</v>
      </c>
      <c r="I846" s="18" t="s">
        <v>565</v>
      </c>
    </row>
    <row r="847" spans="1:9" hidden="1" x14ac:dyDescent="0.3">
      <c r="A847" s="18" t="s">
        <v>8</v>
      </c>
      <c r="B847" s="18" t="s">
        <v>352</v>
      </c>
      <c r="C847" s="18" t="s">
        <v>318</v>
      </c>
      <c r="D847" s="104">
        <v>46204</v>
      </c>
      <c r="E847" s="18" t="s">
        <v>306</v>
      </c>
      <c r="F847" s="75">
        <v>1</v>
      </c>
      <c r="G847" s="120">
        <v>510</v>
      </c>
      <c r="H847" s="120">
        <f t="shared" si="13"/>
        <v>510</v>
      </c>
      <c r="I847" s="18" t="s">
        <v>565</v>
      </c>
    </row>
    <row r="848" spans="1:9" hidden="1" x14ac:dyDescent="0.3">
      <c r="A848" s="18" t="s">
        <v>8</v>
      </c>
      <c r="B848" s="18" t="s">
        <v>541</v>
      </c>
      <c r="C848" s="18" t="s">
        <v>318</v>
      </c>
      <c r="D848" s="104">
        <v>46204</v>
      </c>
      <c r="E848" s="18" t="s">
        <v>306</v>
      </c>
      <c r="F848" s="75">
        <v>1</v>
      </c>
      <c r="G848" s="120">
        <v>1833.24</v>
      </c>
      <c r="H848" s="120">
        <f t="shared" si="13"/>
        <v>1833.24</v>
      </c>
      <c r="I848" s="18" t="s">
        <v>565</v>
      </c>
    </row>
    <row r="849" spans="1:9" hidden="1" x14ac:dyDescent="0.3">
      <c r="A849" s="18" t="s">
        <v>8</v>
      </c>
      <c r="B849" s="18" t="s">
        <v>498</v>
      </c>
      <c r="C849" s="18" t="s">
        <v>318</v>
      </c>
      <c r="D849" s="104">
        <v>46204</v>
      </c>
      <c r="E849" s="18" t="s">
        <v>306</v>
      </c>
      <c r="F849" s="75">
        <v>1</v>
      </c>
      <c r="G849" s="120">
        <v>2973.2</v>
      </c>
      <c r="H849" s="120">
        <f t="shared" si="13"/>
        <v>2973.2</v>
      </c>
      <c r="I849" s="18" t="s">
        <v>565</v>
      </c>
    </row>
    <row r="850" spans="1:9" hidden="1" x14ac:dyDescent="0.3">
      <c r="A850" s="18" t="s">
        <v>8</v>
      </c>
      <c r="B850" s="18" t="s">
        <v>501</v>
      </c>
      <c r="C850" s="18" t="s">
        <v>318</v>
      </c>
      <c r="D850" s="104">
        <v>46204</v>
      </c>
      <c r="E850" s="18" t="s">
        <v>306</v>
      </c>
      <c r="F850" s="75">
        <v>1</v>
      </c>
      <c r="G850" s="120">
        <v>7615.46</v>
      </c>
      <c r="H850" s="120">
        <f t="shared" si="13"/>
        <v>7615.46</v>
      </c>
      <c r="I850" s="18" t="s">
        <v>565</v>
      </c>
    </row>
    <row r="851" spans="1:9" hidden="1" x14ac:dyDescent="0.3">
      <c r="A851" s="18" t="s">
        <v>8</v>
      </c>
      <c r="B851" s="18" t="s">
        <v>363</v>
      </c>
      <c r="C851" s="18" t="s">
        <v>364</v>
      </c>
      <c r="D851" s="104">
        <v>46204</v>
      </c>
      <c r="E851" s="18" t="s">
        <v>306</v>
      </c>
      <c r="F851" s="135">
        <v>0</v>
      </c>
      <c r="G851" s="143">
        <v>0</v>
      </c>
      <c r="H851" s="120">
        <f t="shared" si="13"/>
        <v>0</v>
      </c>
      <c r="I851" s="18" t="s">
        <v>374</v>
      </c>
    </row>
    <row r="852" spans="1:9" hidden="1" x14ac:dyDescent="0.3">
      <c r="A852" s="18" t="s">
        <v>8</v>
      </c>
      <c r="B852" s="18" t="s">
        <v>327</v>
      </c>
      <c r="C852" s="18" t="s">
        <v>23</v>
      </c>
      <c r="D852" s="104">
        <v>46204</v>
      </c>
      <c r="E852" s="18" t="s">
        <v>306</v>
      </c>
      <c r="F852" s="135">
        <v>22</v>
      </c>
      <c r="G852" s="143">
        <v>156.91</v>
      </c>
      <c r="H852" s="120">
        <f t="shared" si="13"/>
        <v>3452.02</v>
      </c>
      <c r="I852" s="18" t="s">
        <v>551</v>
      </c>
    </row>
    <row r="853" spans="1:9" hidden="1" x14ac:dyDescent="0.3">
      <c r="A853" s="18" t="s">
        <v>8</v>
      </c>
      <c r="B853" s="18" t="s">
        <v>469</v>
      </c>
      <c r="C853" s="18" t="s">
        <v>25</v>
      </c>
      <c r="D853" s="104">
        <v>46204</v>
      </c>
      <c r="E853" s="18" t="s">
        <v>306</v>
      </c>
      <c r="F853" s="135">
        <v>13530</v>
      </c>
      <c r="G853" s="143">
        <v>2.48</v>
      </c>
      <c r="H853" s="120">
        <f t="shared" si="13"/>
        <v>33554.400000000001</v>
      </c>
      <c r="I853" s="18" t="s">
        <v>470</v>
      </c>
    </row>
    <row r="854" spans="1:9" hidden="1" x14ac:dyDescent="0.3">
      <c r="A854" s="18" t="s">
        <v>8</v>
      </c>
      <c r="B854" s="18" t="s">
        <v>321</v>
      </c>
      <c r="C854" s="18" t="s">
        <v>26</v>
      </c>
      <c r="D854" s="104">
        <v>46204</v>
      </c>
      <c r="E854" s="18" t="s">
        <v>306</v>
      </c>
      <c r="F854" s="38">
        <v>0</v>
      </c>
      <c r="G854" s="107">
        <v>0</v>
      </c>
      <c r="H854" s="120">
        <f t="shared" si="13"/>
        <v>0</v>
      </c>
      <c r="I854" s="18" t="s">
        <v>323</v>
      </c>
    </row>
    <row r="855" spans="1:9" hidden="1" x14ac:dyDescent="0.3">
      <c r="A855" s="18" t="s">
        <v>8</v>
      </c>
      <c r="B855" s="18" t="s">
        <v>321</v>
      </c>
      <c r="C855" s="18" t="s">
        <v>26</v>
      </c>
      <c r="D855" s="104">
        <v>46204</v>
      </c>
      <c r="E855" s="18" t="s">
        <v>306</v>
      </c>
      <c r="F855" s="38">
        <v>0</v>
      </c>
      <c r="G855" s="107">
        <v>0</v>
      </c>
      <c r="H855" s="120">
        <f t="shared" si="13"/>
        <v>0</v>
      </c>
      <c r="I855" s="18" t="s">
        <v>323</v>
      </c>
    </row>
    <row r="856" spans="1:9" hidden="1" x14ac:dyDescent="0.3">
      <c r="A856" s="18" t="s">
        <v>8</v>
      </c>
      <c r="B856" s="18" t="s">
        <v>339</v>
      </c>
      <c r="C856" s="18" t="s">
        <v>26</v>
      </c>
      <c r="D856" s="104">
        <v>46204</v>
      </c>
      <c r="E856" s="18" t="s">
        <v>306</v>
      </c>
      <c r="F856" s="75">
        <v>0</v>
      </c>
      <c r="G856" s="107">
        <v>0</v>
      </c>
      <c r="H856" s="120">
        <f t="shared" si="13"/>
        <v>0</v>
      </c>
      <c r="I856" s="18" t="s">
        <v>474</v>
      </c>
    </row>
    <row r="857" spans="1:9" hidden="1" x14ac:dyDescent="0.3">
      <c r="A857" s="18" t="s">
        <v>8</v>
      </c>
      <c r="B857" s="18" t="s">
        <v>355</v>
      </c>
      <c r="C857" s="18" t="s">
        <v>27</v>
      </c>
      <c r="D857" s="104">
        <v>46204</v>
      </c>
      <c r="E857" s="18" t="s">
        <v>306</v>
      </c>
      <c r="F857" s="135">
        <v>1</v>
      </c>
      <c r="G857" s="143">
        <v>863</v>
      </c>
      <c r="H857" s="120">
        <f t="shared" si="13"/>
        <v>863</v>
      </c>
      <c r="I857" s="18" t="s">
        <v>542</v>
      </c>
    </row>
    <row r="858" spans="1:9" hidden="1" x14ac:dyDescent="0.3">
      <c r="A858" s="18" t="s">
        <v>8</v>
      </c>
      <c r="B858" s="18" t="s">
        <v>379</v>
      </c>
      <c r="C858" s="18" t="s">
        <v>27</v>
      </c>
      <c r="D858" s="104">
        <v>46204</v>
      </c>
      <c r="E858" s="18" t="s">
        <v>306</v>
      </c>
      <c r="F858" s="135">
        <v>0</v>
      </c>
      <c r="G858" s="143">
        <v>0</v>
      </c>
      <c r="H858" s="120">
        <f t="shared" si="13"/>
        <v>0</v>
      </c>
      <c r="I858" s="18" t="s">
        <v>380</v>
      </c>
    </row>
    <row r="859" spans="1:9" hidden="1" x14ac:dyDescent="0.3">
      <c r="A859" s="18" t="s">
        <v>8</v>
      </c>
      <c r="B859" s="18" t="s">
        <v>388</v>
      </c>
      <c r="C859" s="18" t="s">
        <v>27</v>
      </c>
      <c r="D859" s="104">
        <v>46204</v>
      </c>
      <c r="E859" s="18" t="s">
        <v>306</v>
      </c>
      <c r="F859" s="75">
        <v>0</v>
      </c>
      <c r="G859" s="107">
        <v>0</v>
      </c>
      <c r="H859" s="120">
        <f t="shared" si="13"/>
        <v>0</v>
      </c>
      <c r="I859" s="18" t="s">
        <v>389</v>
      </c>
    </row>
    <row r="860" spans="1:9" hidden="1" x14ac:dyDescent="0.3">
      <c r="A860" s="18" t="s">
        <v>8</v>
      </c>
      <c r="B860" s="18" t="s">
        <v>400</v>
      </c>
      <c r="C860" s="18" t="s">
        <v>27</v>
      </c>
      <c r="D860" s="104">
        <v>46204</v>
      </c>
      <c r="E860" s="18" t="s">
        <v>306</v>
      </c>
      <c r="F860" s="135">
        <v>1</v>
      </c>
      <c r="G860" s="143">
        <v>6471.5</v>
      </c>
      <c r="H860" s="120">
        <f t="shared" si="13"/>
        <v>6471.5</v>
      </c>
      <c r="I860" s="18" t="s">
        <v>401</v>
      </c>
    </row>
    <row r="861" spans="1:9" hidden="1" x14ac:dyDescent="0.3">
      <c r="A861" s="18" t="s">
        <v>8</v>
      </c>
      <c r="B861" s="18" t="s">
        <v>308</v>
      </c>
      <c r="C861" s="18" t="s">
        <v>309</v>
      </c>
      <c r="D861" s="104">
        <v>46204</v>
      </c>
      <c r="E861" s="18" t="s">
        <v>306</v>
      </c>
      <c r="F861" s="135">
        <v>2</v>
      </c>
      <c r="G861" s="143">
        <v>50</v>
      </c>
      <c r="H861" s="120">
        <f t="shared" si="13"/>
        <v>100</v>
      </c>
      <c r="I861" s="18" t="s">
        <v>310</v>
      </c>
    </row>
    <row r="862" spans="1:9" hidden="1" x14ac:dyDescent="0.3">
      <c r="A862" s="18" t="s">
        <v>8</v>
      </c>
      <c r="B862" s="18" t="s">
        <v>408</v>
      </c>
      <c r="C862" s="18" t="s">
        <v>397</v>
      </c>
      <c r="D862" s="104">
        <v>46204</v>
      </c>
      <c r="E862" s="18" t="s">
        <v>371</v>
      </c>
      <c r="F862" s="75">
        <v>0</v>
      </c>
      <c r="G862" s="107">
        <v>0</v>
      </c>
      <c r="H862" s="120">
        <f t="shared" si="13"/>
        <v>0</v>
      </c>
      <c r="I862" s="18" t="s">
        <v>516</v>
      </c>
    </row>
    <row r="863" spans="1:9" hidden="1" x14ac:dyDescent="0.3">
      <c r="A863" s="18" t="s">
        <v>8</v>
      </c>
      <c r="B863" s="18" t="s">
        <v>341</v>
      </c>
      <c r="C863" s="18" t="s">
        <v>342</v>
      </c>
      <c r="D863" s="104">
        <v>46204</v>
      </c>
      <c r="E863" s="18" t="s">
        <v>312</v>
      </c>
      <c r="F863" s="75">
        <v>1</v>
      </c>
      <c r="G863" s="120">
        <v>21544.9</v>
      </c>
      <c r="H863" s="120">
        <f t="shared" si="13"/>
        <v>21544.9</v>
      </c>
      <c r="I863" s="18" t="s">
        <v>343</v>
      </c>
    </row>
    <row r="864" spans="1:9" hidden="1" x14ac:dyDescent="0.3">
      <c r="A864" s="18" t="s">
        <v>8</v>
      </c>
      <c r="B864" s="18" t="s">
        <v>396</v>
      </c>
      <c r="C864" s="18" t="s">
        <v>397</v>
      </c>
      <c r="D864" s="104">
        <v>46204</v>
      </c>
      <c r="E864" s="18" t="s">
        <v>312</v>
      </c>
      <c r="F864" s="75">
        <v>0</v>
      </c>
      <c r="G864" s="107">
        <v>0</v>
      </c>
      <c r="H864" s="120">
        <f t="shared" si="13"/>
        <v>0</v>
      </c>
      <c r="I864" s="18" t="s">
        <v>427</v>
      </c>
    </row>
    <row r="865" spans="1:9" hidden="1" x14ac:dyDescent="0.3">
      <c r="A865" s="18" t="s">
        <v>8</v>
      </c>
      <c r="B865" s="18" t="s">
        <v>408</v>
      </c>
      <c r="C865" s="18" t="s">
        <v>397</v>
      </c>
      <c r="D865" s="104">
        <v>46204</v>
      </c>
      <c r="E865" s="18" t="s">
        <v>312</v>
      </c>
      <c r="F865" s="75">
        <v>0</v>
      </c>
      <c r="G865" s="107">
        <v>0</v>
      </c>
      <c r="H865" s="120">
        <f t="shared" si="13"/>
        <v>0</v>
      </c>
      <c r="I865" s="18" t="s">
        <v>516</v>
      </c>
    </row>
    <row r="866" spans="1:9" x14ac:dyDescent="0.3">
      <c r="A866" s="18" t="s">
        <v>8</v>
      </c>
      <c r="B866" s="18" t="s">
        <v>483</v>
      </c>
      <c r="C866" s="18" t="s">
        <v>484</v>
      </c>
      <c r="D866" s="104">
        <v>46204</v>
      </c>
      <c r="E866" s="18" t="s">
        <v>312</v>
      </c>
      <c r="F866" s="135">
        <v>3765</v>
      </c>
      <c r="G866" s="143">
        <v>0.43</v>
      </c>
      <c r="H866" s="120">
        <f t="shared" si="13"/>
        <v>1618.95</v>
      </c>
      <c r="I866" s="18" t="s">
        <v>307</v>
      </c>
    </row>
    <row r="867" spans="1:9" hidden="1" x14ac:dyDescent="0.3">
      <c r="A867" s="18" t="s">
        <v>8</v>
      </c>
      <c r="B867" s="18" t="s">
        <v>349</v>
      </c>
      <c r="C867" s="18" t="s">
        <v>299</v>
      </c>
      <c r="D867" s="104">
        <v>46204</v>
      </c>
      <c r="E867" s="18" t="s">
        <v>312</v>
      </c>
      <c r="F867" s="135">
        <v>222</v>
      </c>
      <c r="G867" s="143">
        <v>1.86</v>
      </c>
      <c r="H867" s="120">
        <f t="shared" si="13"/>
        <v>412.92</v>
      </c>
      <c r="I867" s="18" t="s">
        <v>350</v>
      </c>
    </row>
    <row r="868" spans="1:9" hidden="1" x14ac:dyDescent="0.3">
      <c r="A868" s="18" t="s">
        <v>8</v>
      </c>
      <c r="B868" s="18" t="s">
        <v>361</v>
      </c>
      <c r="C868" s="18" t="s">
        <v>299</v>
      </c>
      <c r="D868" s="104">
        <v>46204</v>
      </c>
      <c r="E868" s="18" t="s">
        <v>312</v>
      </c>
      <c r="F868" s="135">
        <v>1</v>
      </c>
      <c r="G868" s="143">
        <f>Comercial!B218</f>
        <v>221.78574350904805</v>
      </c>
      <c r="H868" s="120">
        <f t="shared" si="13"/>
        <v>221.78574350904805</v>
      </c>
      <c r="I868" s="18" t="s">
        <v>561</v>
      </c>
    </row>
    <row r="869" spans="1:9" hidden="1" x14ac:dyDescent="0.3">
      <c r="A869" s="18" t="s">
        <v>8</v>
      </c>
      <c r="B869" s="18" t="s">
        <v>506</v>
      </c>
      <c r="C869" s="18" t="s">
        <v>299</v>
      </c>
      <c r="D869" s="104">
        <v>46204</v>
      </c>
      <c r="E869" s="18" t="s">
        <v>312</v>
      </c>
      <c r="F869" s="135">
        <v>0</v>
      </c>
      <c r="G869" s="143"/>
      <c r="H869" s="120" t="str">
        <f t="shared" si="13"/>
        <v/>
      </c>
      <c r="I869" s="18" t="s">
        <v>561</v>
      </c>
    </row>
    <row r="870" spans="1:9" hidden="1" x14ac:dyDescent="0.3">
      <c r="A870" s="18" t="s">
        <v>8</v>
      </c>
      <c r="B870" s="18" t="s">
        <v>512</v>
      </c>
      <c r="C870" s="18" t="s">
        <v>299</v>
      </c>
      <c r="D870" s="104">
        <v>46204</v>
      </c>
      <c r="E870" s="18" t="s">
        <v>312</v>
      </c>
      <c r="F870" s="75">
        <v>0</v>
      </c>
      <c r="G870" s="143"/>
      <c r="H870" s="120" t="str">
        <f t="shared" si="13"/>
        <v/>
      </c>
      <c r="I870" s="18"/>
    </row>
    <row r="871" spans="1:9" hidden="1" x14ac:dyDescent="0.3">
      <c r="A871" s="18" t="s">
        <v>8</v>
      </c>
      <c r="B871" s="18" t="s">
        <v>311</v>
      </c>
      <c r="C871" s="18" t="s">
        <v>299</v>
      </c>
      <c r="D871" s="104">
        <v>46204</v>
      </c>
      <c r="E871" s="18" t="s">
        <v>312</v>
      </c>
      <c r="F871" s="75">
        <v>0</v>
      </c>
      <c r="G871" s="143"/>
      <c r="H871" s="120" t="str">
        <f t="shared" si="13"/>
        <v/>
      </c>
      <c r="I871" s="18" t="s">
        <v>313</v>
      </c>
    </row>
    <row r="872" spans="1:9" hidden="1" x14ac:dyDescent="0.3">
      <c r="A872" s="18" t="s">
        <v>8</v>
      </c>
      <c r="B872" s="18" t="s">
        <v>387</v>
      </c>
      <c r="C872" s="18" t="s">
        <v>11</v>
      </c>
      <c r="D872" s="104">
        <v>46204</v>
      </c>
      <c r="E872" s="18" t="s">
        <v>312</v>
      </c>
      <c r="F872" s="135">
        <v>3765</v>
      </c>
      <c r="G872" s="143">
        <v>0.2</v>
      </c>
      <c r="H872" s="120">
        <f t="shared" si="13"/>
        <v>753</v>
      </c>
      <c r="I872" s="18" t="s">
        <v>307</v>
      </c>
    </row>
    <row r="873" spans="1:9" hidden="1" x14ac:dyDescent="0.3">
      <c r="A873" s="18" t="s">
        <v>8</v>
      </c>
      <c r="B873" s="18" t="s">
        <v>441</v>
      </c>
      <c r="C873" s="18" t="s">
        <v>442</v>
      </c>
      <c r="D873" s="104">
        <v>46204</v>
      </c>
      <c r="E873" s="18" t="s">
        <v>312</v>
      </c>
      <c r="F873" s="38">
        <v>469</v>
      </c>
      <c r="G873" s="107">
        <v>7.19</v>
      </c>
      <c r="H873" s="120">
        <f t="shared" si="13"/>
        <v>3372.11</v>
      </c>
      <c r="I873" s="18" t="s">
        <v>443</v>
      </c>
    </row>
    <row r="874" spans="1:9" hidden="1" x14ac:dyDescent="0.3">
      <c r="A874" s="18" t="s">
        <v>8</v>
      </c>
      <c r="B874" s="18" t="s">
        <v>466</v>
      </c>
      <c r="C874" s="18" t="s">
        <v>18</v>
      </c>
      <c r="D874" s="104">
        <v>46204</v>
      </c>
      <c r="E874" s="18" t="s">
        <v>312</v>
      </c>
      <c r="F874" s="75">
        <v>0</v>
      </c>
      <c r="G874" s="107">
        <v>0</v>
      </c>
      <c r="H874" s="120">
        <f t="shared" si="13"/>
        <v>0</v>
      </c>
      <c r="I874" s="18" t="s">
        <v>467</v>
      </c>
    </row>
    <row r="875" spans="1:9" hidden="1" x14ac:dyDescent="0.3">
      <c r="A875" s="18" t="s">
        <v>8</v>
      </c>
      <c r="B875" s="18" t="s">
        <v>367</v>
      </c>
      <c r="C875" s="18" t="s">
        <v>302</v>
      </c>
      <c r="D875" s="104">
        <v>46204</v>
      </c>
      <c r="E875" s="18" t="s">
        <v>312</v>
      </c>
      <c r="F875" s="38">
        <v>3</v>
      </c>
      <c r="G875" s="107">
        <v>20</v>
      </c>
      <c r="H875" s="120">
        <f t="shared" si="13"/>
        <v>60</v>
      </c>
      <c r="I875" s="18" t="s">
        <v>368</v>
      </c>
    </row>
    <row r="876" spans="1:9" hidden="1" x14ac:dyDescent="0.3">
      <c r="A876" s="18" t="s">
        <v>8</v>
      </c>
      <c r="B876" s="18" t="s">
        <v>301</v>
      </c>
      <c r="C876" s="18" t="s">
        <v>302</v>
      </c>
      <c r="D876" s="104">
        <v>46204</v>
      </c>
      <c r="E876" s="18" t="s">
        <v>312</v>
      </c>
      <c r="F876" s="75">
        <v>0</v>
      </c>
      <c r="G876" s="107">
        <v>0</v>
      </c>
      <c r="H876" s="120">
        <f t="shared" si="13"/>
        <v>0</v>
      </c>
      <c r="I876" s="18" t="s">
        <v>562</v>
      </c>
    </row>
    <row r="877" spans="1:9" hidden="1" x14ac:dyDescent="0.3">
      <c r="A877" s="18" t="s">
        <v>8</v>
      </c>
      <c r="B877" s="18" t="s">
        <v>345</v>
      </c>
      <c r="C877" s="18" t="s">
        <v>302</v>
      </c>
      <c r="D877" s="104">
        <v>46204</v>
      </c>
      <c r="E877" s="18" t="s">
        <v>312</v>
      </c>
      <c r="F877" s="75">
        <v>0</v>
      </c>
      <c r="G877" s="107">
        <v>0</v>
      </c>
      <c r="H877" s="120">
        <f t="shared" si="13"/>
        <v>0</v>
      </c>
      <c r="I877" s="18" t="s">
        <v>346</v>
      </c>
    </row>
    <row r="878" spans="1:9" hidden="1" x14ac:dyDescent="0.3">
      <c r="A878" s="18" t="s">
        <v>8</v>
      </c>
      <c r="B878" s="18" t="s">
        <v>314</v>
      </c>
      <c r="C878" s="18" t="s">
        <v>315</v>
      </c>
      <c r="D878" s="104">
        <v>46204</v>
      </c>
      <c r="E878" s="18" t="s">
        <v>312</v>
      </c>
      <c r="F878" s="75">
        <v>0</v>
      </c>
      <c r="G878" s="107">
        <v>0</v>
      </c>
      <c r="H878" s="120">
        <f t="shared" si="13"/>
        <v>0</v>
      </c>
      <c r="I878" s="18" t="s">
        <v>316</v>
      </c>
    </row>
    <row r="879" spans="1:9" hidden="1" x14ac:dyDescent="0.3">
      <c r="A879" s="18" t="s">
        <v>8</v>
      </c>
      <c r="B879" s="18" t="s">
        <v>334</v>
      </c>
      <c r="C879" s="18" t="s">
        <v>315</v>
      </c>
      <c r="D879" s="104">
        <v>46204</v>
      </c>
      <c r="E879" s="18" t="s">
        <v>312</v>
      </c>
      <c r="F879" s="75">
        <v>0</v>
      </c>
      <c r="G879" s="107">
        <v>0</v>
      </c>
      <c r="H879" s="120">
        <f t="shared" si="13"/>
        <v>0</v>
      </c>
      <c r="I879" s="18" t="s">
        <v>335</v>
      </c>
    </row>
    <row r="880" spans="1:9" hidden="1" x14ac:dyDescent="0.3">
      <c r="A880" s="18" t="s">
        <v>8</v>
      </c>
      <c r="B880" s="18" t="s">
        <v>347</v>
      </c>
      <c r="C880" s="18" t="s">
        <v>315</v>
      </c>
      <c r="D880" s="104">
        <v>46204</v>
      </c>
      <c r="E880" s="18" t="s">
        <v>312</v>
      </c>
      <c r="F880" s="75">
        <v>0</v>
      </c>
      <c r="G880" s="107">
        <v>0</v>
      </c>
      <c r="H880" s="120">
        <f t="shared" si="13"/>
        <v>0</v>
      </c>
      <c r="I880" s="18" t="s">
        <v>348</v>
      </c>
    </row>
    <row r="881" spans="1:9" hidden="1" x14ac:dyDescent="0.3">
      <c r="A881" s="18" t="s">
        <v>8</v>
      </c>
      <c r="B881" s="18" t="s">
        <v>357</v>
      </c>
      <c r="C881" s="18" t="s">
        <v>315</v>
      </c>
      <c r="D881" s="104">
        <v>46204</v>
      </c>
      <c r="E881" s="18" t="s">
        <v>312</v>
      </c>
      <c r="F881" s="75">
        <v>0</v>
      </c>
      <c r="G881" s="107">
        <v>0</v>
      </c>
      <c r="H881" s="120">
        <f t="shared" si="13"/>
        <v>0</v>
      </c>
      <c r="I881" s="18" t="s">
        <v>358</v>
      </c>
    </row>
    <row r="882" spans="1:9" hidden="1" x14ac:dyDescent="0.3">
      <c r="A882" s="18" t="s">
        <v>8</v>
      </c>
      <c r="B882" s="18" t="s">
        <v>369</v>
      </c>
      <c r="C882" s="18" t="s">
        <v>315</v>
      </c>
      <c r="D882" s="104">
        <v>46204</v>
      </c>
      <c r="E882" s="18" t="s">
        <v>312</v>
      </c>
      <c r="F882" s="75">
        <v>0</v>
      </c>
      <c r="G882" s="107">
        <v>0</v>
      </c>
      <c r="H882" s="120">
        <f t="shared" si="13"/>
        <v>0</v>
      </c>
      <c r="I882" s="18" t="s">
        <v>358</v>
      </c>
    </row>
    <row r="883" spans="1:9" hidden="1" x14ac:dyDescent="0.3">
      <c r="A883" s="18" t="s">
        <v>8</v>
      </c>
      <c r="B883" s="18" t="s">
        <v>375</v>
      </c>
      <c r="C883" s="18" t="s">
        <v>315</v>
      </c>
      <c r="D883" s="104">
        <v>46204</v>
      </c>
      <c r="E883" s="18" t="s">
        <v>312</v>
      </c>
      <c r="F883" s="75">
        <v>1</v>
      </c>
      <c r="G883" s="107">
        <v>3548.72</v>
      </c>
      <c r="H883" s="120">
        <f t="shared" si="13"/>
        <v>3548.72</v>
      </c>
      <c r="I883" s="18" t="s">
        <v>376</v>
      </c>
    </row>
    <row r="884" spans="1:9" hidden="1" x14ac:dyDescent="0.3">
      <c r="A884" s="18" t="s">
        <v>8</v>
      </c>
      <c r="B884" s="18" t="s">
        <v>363</v>
      </c>
      <c r="C884" s="18" t="s">
        <v>364</v>
      </c>
      <c r="D884" s="104">
        <v>46204</v>
      </c>
      <c r="E884" s="18" t="s">
        <v>312</v>
      </c>
      <c r="F884" s="135">
        <v>0</v>
      </c>
      <c r="G884" s="143">
        <v>0</v>
      </c>
      <c r="H884" s="120">
        <f t="shared" si="13"/>
        <v>0</v>
      </c>
      <c r="I884" s="18" t="s">
        <v>381</v>
      </c>
    </row>
    <row r="885" spans="1:9" hidden="1" x14ac:dyDescent="0.3">
      <c r="A885" s="18" t="s">
        <v>8</v>
      </c>
      <c r="B885" s="18" t="s">
        <v>327</v>
      </c>
      <c r="C885" s="18" t="s">
        <v>23</v>
      </c>
      <c r="D885" s="104">
        <v>46204</v>
      </c>
      <c r="E885" s="18" t="s">
        <v>312</v>
      </c>
      <c r="F885" s="135">
        <v>11</v>
      </c>
      <c r="G885" s="143">
        <v>164.27</v>
      </c>
      <c r="H885" s="120">
        <f t="shared" si="13"/>
        <v>1806.97</v>
      </c>
      <c r="I885" s="18" t="s">
        <v>551</v>
      </c>
    </row>
    <row r="886" spans="1:9" hidden="1" x14ac:dyDescent="0.3">
      <c r="A886" s="18" t="s">
        <v>8</v>
      </c>
      <c r="B886" s="18" t="s">
        <v>321</v>
      </c>
      <c r="C886" s="18" t="s">
        <v>26</v>
      </c>
      <c r="D886" s="104">
        <v>46204</v>
      </c>
      <c r="E886" s="18" t="s">
        <v>312</v>
      </c>
      <c r="F886" s="38">
        <v>0</v>
      </c>
      <c r="G886" s="107">
        <v>0</v>
      </c>
      <c r="H886" s="120">
        <f t="shared" si="13"/>
        <v>0</v>
      </c>
      <c r="I886" s="18" t="s">
        <v>323</v>
      </c>
    </row>
    <row r="887" spans="1:9" hidden="1" x14ac:dyDescent="0.3">
      <c r="A887" s="18" t="s">
        <v>8</v>
      </c>
      <c r="B887" s="18" t="s">
        <v>339</v>
      </c>
      <c r="C887" s="18" t="s">
        <v>26</v>
      </c>
      <c r="D887" s="104">
        <v>46204</v>
      </c>
      <c r="E887" s="18" t="s">
        <v>312</v>
      </c>
      <c r="F887" s="75">
        <v>0</v>
      </c>
      <c r="G887" s="107">
        <v>0</v>
      </c>
      <c r="H887" s="120">
        <f t="shared" si="13"/>
        <v>0</v>
      </c>
      <c r="I887" s="18" t="s">
        <v>507</v>
      </c>
    </row>
    <row r="888" spans="1:9" hidden="1" x14ac:dyDescent="0.3">
      <c r="A888" s="18" t="s">
        <v>8</v>
      </c>
      <c r="B888" s="18" t="s">
        <v>355</v>
      </c>
      <c r="C888" s="18" t="s">
        <v>27</v>
      </c>
      <c r="D888" s="104">
        <v>46204</v>
      </c>
      <c r="E888" s="18" t="s">
        <v>312</v>
      </c>
      <c r="F888" s="135">
        <v>1</v>
      </c>
      <c r="G888" s="143">
        <v>1119.06</v>
      </c>
      <c r="H888" s="120">
        <f t="shared" si="13"/>
        <v>1119.06</v>
      </c>
      <c r="I888" s="18" t="s">
        <v>544</v>
      </c>
    </row>
    <row r="889" spans="1:9" hidden="1" x14ac:dyDescent="0.3">
      <c r="A889" s="18" t="s">
        <v>8</v>
      </c>
      <c r="B889" s="18" t="s">
        <v>355</v>
      </c>
      <c r="C889" s="18" t="s">
        <v>27</v>
      </c>
      <c r="D889" s="104">
        <v>46204</v>
      </c>
      <c r="E889" s="18" t="s">
        <v>312</v>
      </c>
      <c r="F889" s="135">
        <v>-1</v>
      </c>
      <c r="G889" s="143">
        <v>155.9</v>
      </c>
      <c r="H889" s="120">
        <f t="shared" si="13"/>
        <v>-155.9</v>
      </c>
      <c r="I889" s="18" t="s">
        <v>356</v>
      </c>
    </row>
    <row r="890" spans="1:9" hidden="1" x14ac:dyDescent="0.3">
      <c r="A890" s="18" t="s">
        <v>8</v>
      </c>
      <c r="B890" s="18" t="s">
        <v>428</v>
      </c>
      <c r="C890" s="18" t="s">
        <v>27</v>
      </c>
      <c r="D890" s="104">
        <v>46204</v>
      </c>
      <c r="E890" s="18" t="s">
        <v>312</v>
      </c>
      <c r="F890" s="75">
        <v>0</v>
      </c>
      <c r="G890" s="107">
        <v>0</v>
      </c>
      <c r="H890" s="120">
        <f t="shared" si="13"/>
        <v>0</v>
      </c>
      <c r="I890" s="18" t="s">
        <v>380</v>
      </c>
    </row>
    <row r="891" spans="1:9" hidden="1" x14ac:dyDescent="0.3">
      <c r="A891" s="18" t="s">
        <v>8</v>
      </c>
      <c r="B891" s="18" t="s">
        <v>433</v>
      </c>
      <c r="C891" s="18" t="s">
        <v>27</v>
      </c>
      <c r="D891" s="104">
        <v>46204</v>
      </c>
      <c r="E891" s="18" t="s">
        <v>312</v>
      </c>
      <c r="F891" s="75">
        <v>0</v>
      </c>
      <c r="G891" s="107">
        <v>0</v>
      </c>
      <c r="H891" s="120">
        <f t="shared" si="13"/>
        <v>0</v>
      </c>
      <c r="I891" s="18" t="s">
        <v>401</v>
      </c>
    </row>
    <row r="892" spans="1:9" hidden="1" x14ac:dyDescent="0.3">
      <c r="A892" s="18" t="s">
        <v>8</v>
      </c>
      <c r="B892" s="18" t="s">
        <v>308</v>
      </c>
      <c r="C892" s="18" t="s">
        <v>309</v>
      </c>
      <c r="D892" s="104">
        <v>46204</v>
      </c>
      <c r="E892" s="18" t="s">
        <v>312</v>
      </c>
      <c r="F892" s="135">
        <v>1</v>
      </c>
      <c r="G892" s="143">
        <v>10</v>
      </c>
      <c r="H892" s="120">
        <f t="shared" si="13"/>
        <v>10</v>
      </c>
      <c r="I892" s="18" t="s">
        <v>310</v>
      </c>
    </row>
    <row r="893" spans="1:9" hidden="1" x14ac:dyDescent="0.3">
      <c r="A893" s="18" t="s">
        <v>8</v>
      </c>
      <c r="B893" s="18" t="s">
        <v>341</v>
      </c>
      <c r="C893" s="18" t="s">
        <v>342</v>
      </c>
      <c r="D893" s="104">
        <v>46204</v>
      </c>
      <c r="E893" s="18" t="s">
        <v>319</v>
      </c>
      <c r="F893" s="75">
        <v>1</v>
      </c>
      <c r="G893" s="120">
        <v>41387.019999999997</v>
      </c>
      <c r="H893" s="120">
        <f t="shared" ref="H893:H924" si="14">IF(OR(F893="",G893=""),"",F893*G893)</f>
        <v>41387.019999999997</v>
      </c>
      <c r="I893" s="18" t="s">
        <v>343</v>
      </c>
    </row>
    <row r="894" spans="1:9" hidden="1" x14ac:dyDescent="0.3">
      <c r="A894" s="18" t="s">
        <v>8</v>
      </c>
      <c r="B894" s="18" t="s">
        <v>396</v>
      </c>
      <c r="C894" s="18" t="s">
        <v>397</v>
      </c>
      <c r="D894" s="104">
        <v>46204</v>
      </c>
      <c r="E894" s="18" t="s">
        <v>319</v>
      </c>
      <c r="F894" s="75">
        <v>0</v>
      </c>
      <c r="G894" s="107">
        <v>0</v>
      </c>
      <c r="H894" s="120">
        <f t="shared" si="14"/>
        <v>0</v>
      </c>
      <c r="I894" s="18" t="s">
        <v>398</v>
      </c>
    </row>
    <row r="895" spans="1:9" hidden="1" x14ac:dyDescent="0.3">
      <c r="A895" s="18" t="s">
        <v>8</v>
      </c>
      <c r="B895" s="18" t="s">
        <v>408</v>
      </c>
      <c r="C895" s="18" t="s">
        <v>397</v>
      </c>
      <c r="D895" s="104">
        <v>46204</v>
      </c>
      <c r="E895" s="18" t="s">
        <v>319</v>
      </c>
      <c r="F895" s="75">
        <v>0</v>
      </c>
      <c r="G895" s="107">
        <v>0</v>
      </c>
      <c r="H895" s="120">
        <f t="shared" si="14"/>
        <v>0</v>
      </c>
      <c r="I895" s="18" t="s">
        <v>409</v>
      </c>
    </row>
    <row r="896" spans="1:9" hidden="1" x14ac:dyDescent="0.3">
      <c r="A896" s="18" t="s">
        <v>8</v>
      </c>
      <c r="B896" s="18" t="s">
        <v>349</v>
      </c>
      <c r="C896" s="18" t="s">
        <v>299</v>
      </c>
      <c r="D896" s="104">
        <v>46204</v>
      </c>
      <c r="E896" s="18" t="s">
        <v>319</v>
      </c>
      <c r="F896" s="135">
        <v>669</v>
      </c>
      <c r="G896" s="143">
        <v>1.86</v>
      </c>
      <c r="H896" s="120">
        <f t="shared" si="14"/>
        <v>1244.3400000000001</v>
      </c>
      <c r="I896" s="18" t="s">
        <v>350</v>
      </c>
    </row>
    <row r="897" spans="1:9" hidden="1" x14ac:dyDescent="0.3">
      <c r="A897" s="18" t="s">
        <v>8</v>
      </c>
      <c r="B897" s="18" t="s">
        <v>382</v>
      </c>
      <c r="C897" s="18" t="s">
        <v>299</v>
      </c>
      <c r="D897" s="104">
        <v>46204</v>
      </c>
      <c r="E897" s="18" t="s">
        <v>319</v>
      </c>
      <c r="F897" s="75">
        <v>1</v>
      </c>
      <c r="G897" s="120">
        <v>173.46</v>
      </c>
      <c r="H897" s="120">
        <f t="shared" si="14"/>
        <v>173.46</v>
      </c>
      <c r="I897" s="18" t="s">
        <v>383</v>
      </c>
    </row>
    <row r="898" spans="1:9" hidden="1" x14ac:dyDescent="0.3">
      <c r="A898" s="18" t="s">
        <v>8</v>
      </c>
      <c r="B898" s="18" t="s">
        <v>382</v>
      </c>
      <c r="C898" s="18" t="s">
        <v>299</v>
      </c>
      <c r="D898" s="104">
        <v>46204</v>
      </c>
      <c r="E898" s="18" t="s">
        <v>319</v>
      </c>
      <c r="F898" s="75">
        <v>65</v>
      </c>
      <c r="G898" s="120">
        <v>21.95</v>
      </c>
      <c r="H898" s="120">
        <f t="shared" si="14"/>
        <v>1426.75</v>
      </c>
      <c r="I898" s="18" t="s">
        <v>390</v>
      </c>
    </row>
    <row r="899" spans="1:9" hidden="1" x14ac:dyDescent="0.3">
      <c r="A899" s="18" t="s">
        <v>8</v>
      </c>
      <c r="B899" s="18" t="s">
        <v>402</v>
      </c>
      <c r="C899" s="18" t="s">
        <v>299</v>
      </c>
      <c r="D899" s="104">
        <v>46204</v>
      </c>
      <c r="E899" s="18" t="s">
        <v>319</v>
      </c>
      <c r="F899" s="135">
        <v>1</v>
      </c>
      <c r="G899" s="143">
        <f>Comercial!B218</f>
        <v>221.78574350904805</v>
      </c>
      <c r="H899" s="120">
        <f t="shared" si="14"/>
        <v>221.78574350904805</v>
      </c>
      <c r="I899" s="18" t="s">
        <v>561</v>
      </c>
    </row>
    <row r="900" spans="1:9" hidden="1" x14ac:dyDescent="0.3">
      <c r="A900" s="18" t="s">
        <v>8</v>
      </c>
      <c r="B900" s="18" t="s">
        <v>413</v>
      </c>
      <c r="C900" s="18" t="s">
        <v>299</v>
      </c>
      <c r="D900" s="104">
        <v>46204</v>
      </c>
      <c r="E900" s="18" t="s">
        <v>319</v>
      </c>
      <c r="F900" s="135">
        <v>2</v>
      </c>
      <c r="G900" s="143">
        <f>Comercial!B218</f>
        <v>221.78574350904805</v>
      </c>
      <c r="H900" s="120">
        <f t="shared" si="14"/>
        <v>443.57148701809609</v>
      </c>
      <c r="I900" s="18" t="s">
        <v>561</v>
      </c>
    </row>
    <row r="901" spans="1:9" hidden="1" x14ac:dyDescent="0.3">
      <c r="A901" s="18" t="s">
        <v>8</v>
      </c>
      <c r="B901" s="18" t="s">
        <v>548</v>
      </c>
      <c r="C901" s="18" t="s">
        <v>299</v>
      </c>
      <c r="D901" s="104">
        <v>46204</v>
      </c>
      <c r="E901" s="18" t="s">
        <v>319</v>
      </c>
      <c r="F901" s="135">
        <v>0</v>
      </c>
      <c r="G901" s="143"/>
      <c r="H901" s="120" t="str">
        <f t="shared" si="14"/>
        <v/>
      </c>
      <c r="I901" s="18" t="s">
        <v>561</v>
      </c>
    </row>
    <row r="902" spans="1:9" hidden="1" x14ac:dyDescent="0.3">
      <c r="A902" s="18" t="s">
        <v>8</v>
      </c>
      <c r="B902" s="18" t="s">
        <v>429</v>
      </c>
      <c r="C902" s="18" t="s">
        <v>299</v>
      </c>
      <c r="D902" s="104">
        <v>46204</v>
      </c>
      <c r="E902" s="18" t="s">
        <v>319</v>
      </c>
      <c r="F902" s="75">
        <v>0</v>
      </c>
      <c r="G902" s="143"/>
      <c r="H902" s="120" t="str">
        <f t="shared" si="14"/>
        <v/>
      </c>
      <c r="I902" s="18"/>
    </row>
    <row r="903" spans="1:9" hidden="1" x14ac:dyDescent="0.3">
      <c r="A903" s="18" t="s">
        <v>8</v>
      </c>
      <c r="B903" s="18" t="s">
        <v>387</v>
      </c>
      <c r="C903" s="18" t="s">
        <v>11</v>
      </c>
      <c r="D903" s="104">
        <v>46204</v>
      </c>
      <c r="E903" s="18" t="s">
        <v>319</v>
      </c>
      <c r="F903" s="135">
        <v>6568</v>
      </c>
      <c r="G903" s="143">
        <v>0.2</v>
      </c>
      <c r="H903" s="120">
        <f t="shared" si="14"/>
        <v>1313.6000000000001</v>
      </c>
      <c r="I903" s="18" t="s">
        <v>307</v>
      </c>
    </row>
    <row r="904" spans="1:9" hidden="1" x14ac:dyDescent="0.3">
      <c r="A904" s="18" t="s">
        <v>8</v>
      </c>
      <c r="B904" s="18" t="s">
        <v>466</v>
      </c>
      <c r="C904" s="18" t="s">
        <v>18</v>
      </c>
      <c r="D904" s="104">
        <v>46204</v>
      </c>
      <c r="E904" s="18" t="s">
        <v>319</v>
      </c>
      <c r="F904" s="75">
        <v>0</v>
      </c>
      <c r="G904" s="107">
        <v>0</v>
      </c>
      <c r="H904" s="120">
        <f t="shared" si="14"/>
        <v>0</v>
      </c>
      <c r="I904" s="18" t="s">
        <v>485</v>
      </c>
    </row>
    <row r="905" spans="1:9" hidden="1" x14ac:dyDescent="0.3">
      <c r="A905" s="18" t="s">
        <v>8</v>
      </c>
      <c r="B905" s="18" t="s">
        <v>466</v>
      </c>
      <c r="C905" s="18" t="s">
        <v>18</v>
      </c>
      <c r="D905" s="104">
        <v>46204</v>
      </c>
      <c r="E905" s="18" t="s">
        <v>319</v>
      </c>
      <c r="F905" s="75">
        <v>0</v>
      </c>
      <c r="G905" s="107">
        <v>0</v>
      </c>
      <c r="H905" s="120">
        <f t="shared" si="14"/>
        <v>0</v>
      </c>
      <c r="I905" s="18" t="s">
        <v>467</v>
      </c>
    </row>
    <row r="906" spans="1:9" hidden="1" x14ac:dyDescent="0.3">
      <c r="A906" s="18" t="s">
        <v>8</v>
      </c>
      <c r="B906" s="18" t="s">
        <v>331</v>
      </c>
      <c r="C906" s="18" t="s">
        <v>302</v>
      </c>
      <c r="D906" s="104">
        <v>46204</v>
      </c>
      <c r="E906" s="18" t="s">
        <v>391</v>
      </c>
      <c r="F906" s="75">
        <v>0</v>
      </c>
      <c r="G906" s="107">
        <v>0</v>
      </c>
      <c r="H906" s="120">
        <f t="shared" si="14"/>
        <v>0</v>
      </c>
      <c r="I906" s="18" t="s">
        <v>392</v>
      </c>
    </row>
    <row r="907" spans="1:9" hidden="1" x14ac:dyDescent="0.3">
      <c r="A907" s="18" t="s">
        <v>8</v>
      </c>
      <c r="B907" s="18" t="s">
        <v>403</v>
      </c>
      <c r="C907" s="18" t="s">
        <v>302</v>
      </c>
      <c r="D907" s="104">
        <v>46204</v>
      </c>
      <c r="E907" s="18" t="s">
        <v>319</v>
      </c>
      <c r="F907" s="75">
        <v>0</v>
      </c>
      <c r="G907" s="107">
        <v>0</v>
      </c>
      <c r="H907" s="120">
        <f t="shared" si="14"/>
        <v>0</v>
      </c>
      <c r="I907" s="18" t="s">
        <v>404</v>
      </c>
    </row>
    <row r="908" spans="1:9" hidden="1" x14ac:dyDescent="0.3">
      <c r="A908" s="18" t="s">
        <v>8</v>
      </c>
      <c r="B908" s="18" t="s">
        <v>367</v>
      </c>
      <c r="C908" s="18" t="s">
        <v>302</v>
      </c>
      <c r="D908" s="104">
        <v>46204</v>
      </c>
      <c r="E908" s="18" t="s">
        <v>391</v>
      </c>
      <c r="F908" s="38">
        <v>13</v>
      </c>
      <c r="G908" s="107">
        <v>20</v>
      </c>
      <c r="H908" s="120">
        <f t="shared" si="14"/>
        <v>260</v>
      </c>
      <c r="I908" s="18" t="s">
        <v>368</v>
      </c>
    </row>
    <row r="909" spans="1:9" hidden="1" x14ac:dyDescent="0.3">
      <c r="A909" s="18" t="s">
        <v>8</v>
      </c>
      <c r="B909" s="18" t="s">
        <v>301</v>
      </c>
      <c r="C909" s="18" t="s">
        <v>302</v>
      </c>
      <c r="D909" s="104">
        <v>46204</v>
      </c>
      <c r="E909" s="18" t="s">
        <v>319</v>
      </c>
      <c r="F909" s="75">
        <v>1</v>
      </c>
      <c r="G909" s="107">
        <v>1454.08</v>
      </c>
      <c r="H909" s="120">
        <f t="shared" si="14"/>
        <v>1454.08</v>
      </c>
      <c r="I909" s="18" t="s">
        <v>562</v>
      </c>
    </row>
    <row r="910" spans="1:9" hidden="1" x14ac:dyDescent="0.3">
      <c r="A910" s="18" t="s">
        <v>8</v>
      </c>
      <c r="B910" s="18" t="s">
        <v>345</v>
      </c>
      <c r="C910" s="18" t="s">
        <v>302</v>
      </c>
      <c r="D910" s="104">
        <v>46204</v>
      </c>
      <c r="E910" s="18" t="s">
        <v>319</v>
      </c>
      <c r="F910" s="75">
        <v>1</v>
      </c>
      <c r="G910" s="107">
        <v>456</v>
      </c>
      <c r="H910" s="120">
        <f t="shared" si="14"/>
        <v>456</v>
      </c>
      <c r="I910" s="18" t="s">
        <v>346</v>
      </c>
    </row>
    <row r="911" spans="1:9" hidden="1" x14ac:dyDescent="0.3">
      <c r="A911" s="18" t="s">
        <v>8</v>
      </c>
      <c r="B911" s="18" t="s">
        <v>384</v>
      </c>
      <c r="C911" s="18" t="s">
        <v>315</v>
      </c>
      <c r="D911" s="104">
        <v>46204</v>
      </c>
      <c r="E911" s="18" t="s">
        <v>319</v>
      </c>
      <c r="F911" s="75">
        <v>0</v>
      </c>
      <c r="G911" s="107">
        <v>0</v>
      </c>
      <c r="H911" s="120">
        <f t="shared" si="14"/>
        <v>0</v>
      </c>
      <c r="I911" s="18" t="s">
        <v>316</v>
      </c>
    </row>
    <row r="912" spans="1:9" hidden="1" x14ac:dyDescent="0.3">
      <c r="A912" s="18" t="s">
        <v>8</v>
      </c>
      <c r="B912" s="18" t="s">
        <v>393</v>
      </c>
      <c r="C912" s="18" t="s">
        <v>315</v>
      </c>
      <c r="D912" s="104">
        <v>46204</v>
      </c>
      <c r="E912" s="18" t="s">
        <v>319</v>
      </c>
      <c r="F912" s="75">
        <v>0</v>
      </c>
      <c r="G912" s="107">
        <v>0</v>
      </c>
      <c r="H912" s="120">
        <f t="shared" si="14"/>
        <v>0</v>
      </c>
      <c r="I912" s="18" t="s">
        <v>394</v>
      </c>
    </row>
    <row r="913" spans="1:9" hidden="1" x14ac:dyDescent="0.3">
      <c r="A913" s="18" t="s">
        <v>8</v>
      </c>
      <c r="B913" s="18" t="s">
        <v>549</v>
      </c>
      <c r="C913" s="18" t="s">
        <v>318</v>
      </c>
      <c r="D913" s="104">
        <v>46204</v>
      </c>
      <c r="E913" s="18" t="s">
        <v>391</v>
      </c>
      <c r="F913" s="135">
        <v>-1</v>
      </c>
      <c r="G913" s="143">
        <v>1046.56</v>
      </c>
      <c r="H913" s="120">
        <f t="shared" si="14"/>
        <v>-1046.56</v>
      </c>
      <c r="I913" s="18" t="s">
        <v>550</v>
      </c>
    </row>
    <row r="914" spans="1:9" hidden="1" x14ac:dyDescent="0.3">
      <c r="A914" s="18" t="s">
        <v>8</v>
      </c>
      <c r="B914" s="18" t="s">
        <v>317</v>
      </c>
      <c r="C914" s="18" t="s">
        <v>318</v>
      </c>
      <c r="D914" s="104">
        <v>46204</v>
      </c>
      <c r="E914" s="18" t="s">
        <v>319</v>
      </c>
      <c r="F914" s="135">
        <v>0</v>
      </c>
      <c r="G914" s="143">
        <v>0</v>
      </c>
      <c r="H914" s="120">
        <f t="shared" si="14"/>
        <v>0</v>
      </c>
      <c r="I914" s="18" t="s">
        <v>513</v>
      </c>
    </row>
    <row r="915" spans="1:9" hidden="1" x14ac:dyDescent="0.3">
      <c r="A915" s="18" t="s">
        <v>8</v>
      </c>
      <c r="B915" s="18" t="s">
        <v>317</v>
      </c>
      <c r="C915" s="18" t="s">
        <v>318</v>
      </c>
      <c r="D915" s="104">
        <v>46204</v>
      </c>
      <c r="E915" s="18" t="s">
        <v>319</v>
      </c>
      <c r="F915" s="75">
        <v>-1</v>
      </c>
      <c r="G915" s="120">
        <v>238.88</v>
      </c>
      <c r="H915" s="120">
        <f t="shared" si="14"/>
        <v>-238.88</v>
      </c>
      <c r="I915" s="18" t="s">
        <v>519</v>
      </c>
    </row>
    <row r="916" spans="1:9" hidden="1" x14ac:dyDescent="0.3">
      <c r="A916" s="18" t="s">
        <v>8</v>
      </c>
      <c r="B916" s="18" t="s">
        <v>363</v>
      </c>
      <c r="C916" s="18" t="s">
        <v>364</v>
      </c>
      <c r="D916" s="104">
        <v>46204</v>
      </c>
      <c r="E916" s="18" t="s">
        <v>319</v>
      </c>
      <c r="F916" s="135">
        <v>1</v>
      </c>
      <c r="G916" s="143">
        <v>9586.0300000000007</v>
      </c>
      <c r="H916" s="120">
        <f t="shared" si="14"/>
        <v>9586.0300000000007</v>
      </c>
      <c r="I916" s="133" t="s">
        <v>566</v>
      </c>
    </row>
    <row r="917" spans="1:9" hidden="1" x14ac:dyDescent="0.3">
      <c r="A917" s="18" t="s">
        <v>8</v>
      </c>
      <c r="B917" s="18" t="s">
        <v>327</v>
      </c>
      <c r="C917" s="18" t="s">
        <v>23</v>
      </c>
      <c r="D917" s="104">
        <v>46204</v>
      </c>
      <c r="E917" s="18" t="s">
        <v>319</v>
      </c>
      <c r="F917" s="135">
        <v>24</v>
      </c>
      <c r="G917" s="143">
        <v>152.82</v>
      </c>
      <c r="H917" s="120">
        <f t="shared" si="14"/>
        <v>3667.68</v>
      </c>
      <c r="I917" s="18" t="s">
        <v>551</v>
      </c>
    </row>
    <row r="918" spans="1:9" hidden="1" x14ac:dyDescent="0.3">
      <c r="A918" s="18" t="s">
        <v>8</v>
      </c>
      <c r="B918" s="18" t="s">
        <v>321</v>
      </c>
      <c r="C918" s="18" t="s">
        <v>26</v>
      </c>
      <c r="D918" s="104">
        <v>46204</v>
      </c>
      <c r="E918" s="18" t="s">
        <v>391</v>
      </c>
      <c r="F918" s="38">
        <v>1</v>
      </c>
      <c r="G918" s="107">
        <v>696</v>
      </c>
      <c r="H918" s="120">
        <f t="shared" si="14"/>
        <v>696</v>
      </c>
      <c r="I918" s="18" t="s">
        <v>323</v>
      </c>
    </row>
    <row r="919" spans="1:9" hidden="1" x14ac:dyDescent="0.3">
      <c r="A919" s="18" t="s">
        <v>8</v>
      </c>
      <c r="B919" s="18" t="s">
        <v>321</v>
      </c>
      <c r="C919" s="18" t="s">
        <v>26</v>
      </c>
      <c r="D919" s="104">
        <v>46204</v>
      </c>
      <c r="E919" s="18" t="s">
        <v>319</v>
      </c>
      <c r="F919" s="38">
        <v>0</v>
      </c>
      <c r="G919" s="107">
        <v>0</v>
      </c>
      <c r="H919" s="120">
        <f t="shared" si="14"/>
        <v>0</v>
      </c>
      <c r="I919" s="18" t="s">
        <v>323</v>
      </c>
    </row>
    <row r="920" spans="1:9" hidden="1" x14ac:dyDescent="0.3">
      <c r="A920" s="18" t="s">
        <v>8</v>
      </c>
      <c r="B920" s="18" t="s">
        <v>355</v>
      </c>
      <c r="C920" s="18" t="s">
        <v>27</v>
      </c>
      <c r="D920" s="104">
        <v>46204</v>
      </c>
      <c r="E920" s="18" t="s">
        <v>319</v>
      </c>
      <c r="F920" s="135">
        <v>1</v>
      </c>
      <c r="G920" s="143">
        <v>8439.17</v>
      </c>
      <c r="H920" s="120">
        <f t="shared" si="14"/>
        <v>8439.17</v>
      </c>
      <c r="I920" s="18" t="s">
        <v>544</v>
      </c>
    </row>
    <row r="921" spans="1:9" hidden="1" x14ac:dyDescent="0.3">
      <c r="A921" s="18" t="s">
        <v>8</v>
      </c>
      <c r="B921" s="18" t="s">
        <v>446</v>
      </c>
      <c r="C921" s="18" t="s">
        <v>27</v>
      </c>
      <c r="D921" s="104">
        <v>46204</v>
      </c>
      <c r="E921" s="18" t="s">
        <v>319</v>
      </c>
      <c r="F921" s="75">
        <v>0</v>
      </c>
      <c r="G921" s="107">
        <v>0</v>
      </c>
      <c r="H921" s="120">
        <f t="shared" si="14"/>
        <v>0</v>
      </c>
      <c r="I921" s="18" t="s">
        <v>380</v>
      </c>
    </row>
    <row r="922" spans="1:9" hidden="1" x14ac:dyDescent="0.3">
      <c r="A922" s="18" t="s">
        <v>8</v>
      </c>
      <c r="B922" s="18" t="s">
        <v>453</v>
      </c>
      <c r="C922" s="18" t="s">
        <v>27</v>
      </c>
      <c r="D922" s="104">
        <v>46204</v>
      </c>
      <c r="E922" s="18" t="s">
        <v>319</v>
      </c>
      <c r="F922" s="75">
        <v>0</v>
      </c>
      <c r="G922" s="107">
        <v>0</v>
      </c>
      <c r="H922" s="120">
        <f t="shared" si="14"/>
        <v>0</v>
      </c>
      <c r="I922" s="18" t="s">
        <v>380</v>
      </c>
    </row>
    <row r="923" spans="1:9" hidden="1" x14ac:dyDescent="0.3">
      <c r="A923" s="18" t="s">
        <v>8</v>
      </c>
      <c r="B923" s="18" t="s">
        <v>457</v>
      </c>
      <c r="C923" s="18" t="s">
        <v>27</v>
      </c>
      <c r="D923" s="104">
        <v>46204</v>
      </c>
      <c r="E923" s="18" t="s">
        <v>319</v>
      </c>
      <c r="F923" s="75">
        <v>0</v>
      </c>
      <c r="G923" s="107">
        <v>0</v>
      </c>
      <c r="H923" s="120">
        <f t="shared" si="14"/>
        <v>0</v>
      </c>
      <c r="I923" s="18" t="s">
        <v>401</v>
      </c>
    </row>
    <row r="924" spans="1:9" hidden="1" x14ac:dyDescent="0.3">
      <c r="A924" s="18" t="s">
        <v>8</v>
      </c>
      <c r="B924" s="18" t="s">
        <v>567</v>
      </c>
      <c r="C924" s="18" t="s">
        <v>27</v>
      </c>
      <c r="D924" s="104">
        <v>46204</v>
      </c>
      <c r="E924" s="18" t="s">
        <v>319</v>
      </c>
      <c r="F924" s="75">
        <v>-1</v>
      </c>
      <c r="G924" s="107">
        <v>358.78</v>
      </c>
      <c r="H924" s="120">
        <f t="shared" si="14"/>
        <v>-358.78</v>
      </c>
      <c r="I924" t="s">
        <v>356</v>
      </c>
    </row>
    <row r="925" spans="1:9" hidden="1" x14ac:dyDescent="0.3">
      <c r="A925" s="18" t="s">
        <v>8</v>
      </c>
      <c r="B925" s="18" t="s">
        <v>552</v>
      </c>
      <c r="C925" s="18" t="s">
        <v>27</v>
      </c>
      <c r="D925" s="104">
        <v>46204</v>
      </c>
      <c r="E925" s="18" t="s">
        <v>319</v>
      </c>
      <c r="F925" s="75">
        <v>0</v>
      </c>
      <c r="G925" s="107">
        <v>0</v>
      </c>
      <c r="H925" s="120">
        <f t="shared" ref="H925:H956" si="15">IF(OR(F925="",G925=""),"",F925*G925)</f>
        <v>0</v>
      </c>
      <c r="I925" s="18" t="s">
        <v>401</v>
      </c>
    </row>
    <row r="926" spans="1:9" hidden="1" x14ac:dyDescent="0.3">
      <c r="A926" s="18" t="s">
        <v>8</v>
      </c>
      <c r="B926" s="18" t="s">
        <v>308</v>
      </c>
      <c r="C926" s="18" t="s">
        <v>309</v>
      </c>
      <c r="D926" s="104">
        <v>46204</v>
      </c>
      <c r="E926" s="18" t="s">
        <v>319</v>
      </c>
      <c r="F926" s="135">
        <v>1</v>
      </c>
      <c r="G926" s="143">
        <v>10</v>
      </c>
      <c r="H926" s="120">
        <f t="shared" si="15"/>
        <v>10</v>
      </c>
      <c r="I926" s="18" t="s">
        <v>310</v>
      </c>
    </row>
    <row r="927" spans="1:9" hidden="1" x14ac:dyDescent="0.3">
      <c r="A927" s="18" t="s">
        <v>8</v>
      </c>
      <c r="B927" s="18" t="s">
        <v>308</v>
      </c>
      <c r="C927" s="18" t="s">
        <v>309</v>
      </c>
      <c r="D927" s="104">
        <v>46204</v>
      </c>
      <c r="E927" s="18" t="s">
        <v>319</v>
      </c>
      <c r="F927" s="135">
        <v>5</v>
      </c>
      <c r="G927" s="143">
        <v>50</v>
      </c>
      <c r="H927" s="120">
        <f t="shared" si="15"/>
        <v>250</v>
      </c>
      <c r="I927" s="18" t="s">
        <v>310</v>
      </c>
    </row>
    <row r="928" spans="1:9" hidden="1" x14ac:dyDescent="0.3">
      <c r="A928" s="18" t="s">
        <v>8</v>
      </c>
      <c r="B928" s="18" t="s">
        <v>341</v>
      </c>
      <c r="C928" s="18" t="s">
        <v>342</v>
      </c>
      <c r="D928" s="104">
        <v>46204</v>
      </c>
      <c r="E928" s="18" t="s">
        <v>371</v>
      </c>
      <c r="F928" s="75">
        <v>1</v>
      </c>
      <c r="G928" s="120">
        <v>90134.89</v>
      </c>
      <c r="H928" s="120">
        <f t="shared" si="15"/>
        <v>90134.89</v>
      </c>
      <c r="I928" s="18" t="s">
        <v>343</v>
      </c>
    </row>
    <row r="929" spans="1:9" hidden="1" x14ac:dyDescent="0.3">
      <c r="A929" s="18" t="s">
        <v>8</v>
      </c>
      <c r="B929" s="18" t="s">
        <v>396</v>
      </c>
      <c r="C929" s="18" t="s">
        <v>397</v>
      </c>
      <c r="D929" s="104">
        <v>46204</v>
      </c>
      <c r="E929" s="18" t="s">
        <v>371</v>
      </c>
      <c r="F929" s="75">
        <v>0</v>
      </c>
      <c r="G929" s="107">
        <v>0</v>
      </c>
      <c r="H929" s="120">
        <f t="shared" si="15"/>
        <v>0</v>
      </c>
      <c r="I929" s="18" t="s">
        <v>454</v>
      </c>
    </row>
    <row r="930" spans="1:9" hidden="1" x14ac:dyDescent="0.3">
      <c r="A930" s="18" t="s">
        <v>8</v>
      </c>
      <c r="B930" s="18" t="s">
        <v>408</v>
      </c>
      <c r="C930" s="18" t="s">
        <v>397</v>
      </c>
      <c r="D930" s="104">
        <v>46204</v>
      </c>
      <c r="E930" s="18" t="s">
        <v>371</v>
      </c>
      <c r="F930" s="75">
        <v>0</v>
      </c>
      <c r="G930" s="107">
        <v>0</v>
      </c>
      <c r="H930" s="120">
        <f t="shared" si="15"/>
        <v>0</v>
      </c>
      <c r="I930" s="18" t="s">
        <v>409</v>
      </c>
    </row>
    <row r="931" spans="1:9" x14ac:dyDescent="0.3">
      <c r="A931" s="18" t="s">
        <v>8</v>
      </c>
      <c r="B931" s="18" t="s">
        <v>483</v>
      </c>
      <c r="C931" s="18" t="s">
        <v>484</v>
      </c>
      <c r="D931" s="104">
        <v>46204</v>
      </c>
      <c r="E931" s="18" t="s">
        <v>371</v>
      </c>
      <c r="F931" s="135">
        <v>14689</v>
      </c>
      <c r="G931" s="143">
        <v>0.43</v>
      </c>
      <c r="H931" s="120">
        <f t="shared" si="15"/>
        <v>6316.2699999999995</v>
      </c>
      <c r="I931" s="18" t="s">
        <v>307</v>
      </c>
    </row>
    <row r="932" spans="1:9" hidden="1" x14ac:dyDescent="0.3">
      <c r="A932" s="18" t="s">
        <v>8</v>
      </c>
      <c r="B932" s="18" t="s">
        <v>349</v>
      </c>
      <c r="C932" s="18" t="s">
        <v>299</v>
      </c>
      <c r="D932" s="104">
        <v>46204</v>
      </c>
      <c r="E932" s="18" t="s">
        <v>371</v>
      </c>
      <c r="F932" s="135">
        <v>510</v>
      </c>
      <c r="G932" s="143">
        <v>1.86</v>
      </c>
      <c r="H932" s="120">
        <f t="shared" si="15"/>
        <v>948.6</v>
      </c>
      <c r="I932" s="18" t="s">
        <v>350</v>
      </c>
    </row>
    <row r="933" spans="1:9" hidden="1" x14ac:dyDescent="0.3">
      <c r="A933" s="18" t="s">
        <v>8</v>
      </c>
      <c r="B933" s="18" t="s">
        <v>448</v>
      </c>
      <c r="C933" s="18" t="s">
        <v>299</v>
      </c>
      <c r="D933" s="104">
        <v>46204</v>
      </c>
      <c r="E933" s="18" t="s">
        <v>371</v>
      </c>
      <c r="F933" s="75">
        <v>1</v>
      </c>
      <c r="G933" s="120">
        <v>542</v>
      </c>
      <c r="H933" s="120">
        <f t="shared" si="15"/>
        <v>542</v>
      </c>
      <c r="I933" s="18" t="s">
        <v>449</v>
      </c>
    </row>
    <row r="934" spans="1:9" hidden="1" x14ac:dyDescent="0.3">
      <c r="A934" s="18" t="s">
        <v>8</v>
      </c>
      <c r="B934" s="18" t="s">
        <v>448</v>
      </c>
      <c r="C934" s="18" t="s">
        <v>299</v>
      </c>
      <c r="D934" s="104">
        <v>46204</v>
      </c>
      <c r="E934" s="18" t="s">
        <v>371</v>
      </c>
      <c r="F934" s="75">
        <v>0</v>
      </c>
      <c r="G934" s="107">
        <v>0</v>
      </c>
      <c r="H934" s="120">
        <f t="shared" si="15"/>
        <v>0</v>
      </c>
      <c r="I934" s="18" t="s">
        <v>452</v>
      </c>
    </row>
    <row r="935" spans="1:9" hidden="1" x14ac:dyDescent="0.3">
      <c r="A935" s="18" t="s">
        <v>8</v>
      </c>
      <c r="B935" s="18" t="s">
        <v>458</v>
      </c>
      <c r="C935" s="18" t="s">
        <v>299</v>
      </c>
      <c r="D935" s="104">
        <v>46204</v>
      </c>
      <c r="E935" s="18" t="s">
        <v>371</v>
      </c>
      <c r="F935" s="75">
        <v>0</v>
      </c>
      <c r="G935" s="143"/>
      <c r="H935" s="120" t="str">
        <f t="shared" si="15"/>
        <v/>
      </c>
      <c r="I935" s="18" t="s">
        <v>313</v>
      </c>
    </row>
    <row r="936" spans="1:9" hidden="1" x14ac:dyDescent="0.3">
      <c r="A936" s="18" t="s">
        <v>8</v>
      </c>
      <c r="B936" s="18" t="s">
        <v>361</v>
      </c>
      <c r="C936" s="18" t="s">
        <v>299</v>
      </c>
      <c r="D936" s="104">
        <v>46204</v>
      </c>
      <c r="E936" s="18" t="s">
        <v>371</v>
      </c>
      <c r="F936" s="135">
        <v>6</v>
      </c>
      <c r="G936" s="143">
        <f>Comercial!B218</f>
        <v>221.78574350904805</v>
      </c>
      <c r="H936" s="120">
        <f t="shared" si="15"/>
        <v>1330.7144610542882</v>
      </c>
      <c r="I936" s="18" t="s">
        <v>561</v>
      </c>
    </row>
    <row r="937" spans="1:9" hidden="1" x14ac:dyDescent="0.3">
      <c r="A937" s="18" t="s">
        <v>8</v>
      </c>
      <c r="B937" s="18" t="s">
        <v>568</v>
      </c>
      <c r="C937" s="18" t="s">
        <v>299</v>
      </c>
      <c r="D937" s="104">
        <v>46204</v>
      </c>
      <c r="E937" s="18" t="s">
        <v>371</v>
      </c>
      <c r="F937" s="75">
        <v>0</v>
      </c>
      <c r="G937" s="143"/>
      <c r="H937" s="120" t="str">
        <f t="shared" si="15"/>
        <v/>
      </c>
      <c r="I937" s="18" t="s">
        <v>313</v>
      </c>
    </row>
    <row r="938" spans="1:9" hidden="1" x14ac:dyDescent="0.3">
      <c r="A938" s="18" t="s">
        <v>8</v>
      </c>
      <c r="B938" s="18" t="s">
        <v>476</v>
      </c>
      <c r="C938" s="18" t="s">
        <v>299</v>
      </c>
      <c r="D938" s="104">
        <v>46204</v>
      </c>
      <c r="E938" s="18" t="s">
        <v>371</v>
      </c>
      <c r="F938" s="75">
        <v>0</v>
      </c>
      <c r="G938" s="143"/>
      <c r="H938" s="120" t="str">
        <f t="shared" si="15"/>
        <v/>
      </c>
      <c r="I938" s="18" t="s">
        <v>313</v>
      </c>
    </row>
    <row r="939" spans="1:9" hidden="1" x14ac:dyDescent="0.3">
      <c r="A939" s="18" t="s">
        <v>8</v>
      </c>
      <c r="B939" s="18" t="s">
        <v>387</v>
      </c>
      <c r="C939" s="18" t="s">
        <v>11</v>
      </c>
      <c r="D939" s="104">
        <v>46204</v>
      </c>
      <c r="E939" s="18" t="s">
        <v>371</v>
      </c>
      <c r="F939" s="135">
        <v>14689</v>
      </c>
      <c r="G939" s="143">
        <v>0.2</v>
      </c>
      <c r="H939" s="120">
        <f t="shared" si="15"/>
        <v>2937.8</v>
      </c>
      <c r="I939" s="18" t="s">
        <v>307</v>
      </c>
    </row>
    <row r="940" spans="1:9" hidden="1" x14ac:dyDescent="0.3">
      <c r="A940" s="18" t="s">
        <v>8</v>
      </c>
      <c r="B940" s="18" t="s">
        <v>466</v>
      </c>
      <c r="C940" s="18" t="s">
        <v>18</v>
      </c>
      <c r="D940" s="104">
        <v>46204</v>
      </c>
      <c r="E940" s="18" t="s">
        <v>371</v>
      </c>
      <c r="F940" s="75">
        <v>0</v>
      </c>
      <c r="G940" s="107">
        <v>0</v>
      </c>
      <c r="H940" s="120">
        <f t="shared" si="15"/>
        <v>0</v>
      </c>
      <c r="I940" s="18" t="s">
        <v>492</v>
      </c>
    </row>
    <row r="941" spans="1:9" hidden="1" x14ac:dyDescent="0.3">
      <c r="A941" s="18" t="s">
        <v>8</v>
      </c>
      <c r="B941" s="18" t="s">
        <v>466</v>
      </c>
      <c r="C941" s="18" t="s">
        <v>18</v>
      </c>
      <c r="D941" s="104">
        <v>46204</v>
      </c>
      <c r="E941" s="18" t="s">
        <v>371</v>
      </c>
      <c r="F941" s="75">
        <v>0</v>
      </c>
      <c r="G941" s="107">
        <v>0</v>
      </c>
      <c r="H941" s="120">
        <f t="shared" si="15"/>
        <v>0</v>
      </c>
      <c r="I941" s="18" t="s">
        <v>467</v>
      </c>
    </row>
    <row r="942" spans="1:9" hidden="1" x14ac:dyDescent="0.3">
      <c r="A942" s="18" t="s">
        <v>8</v>
      </c>
      <c r="B942" s="18" t="s">
        <v>367</v>
      </c>
      <c r="C942" s="18" t="s">
        <v>302</v>
      </c>
      <c r="D942" s="104">
        <v>46204</v>
      </c>
      <c r="E942" s="18" t="s">
        <v>371</v>
      </c>
      <c r="F942" s="38">
        <v>19</v>
      </c>
      <c r="G942" s="107">
        <v>20</v>
      </c>
      <c r="H942" s="120">
        <f t="shared" si="15"/>
        <v>380</v>
      </c>
      <c r="I942" s="18" t="s">
        <v>368</v>
      </c>
    </row>
    <row r="943" spans="1:9" hidden="1" x14ac:dyDescent="0.3">
      <c r="A943" s="18" t="s">
        <v>8</v>
      </c>
      <c r="B943" s="18" t="s">
        <v>301</v>
      </c>
      <c r="C943" s="18" t="s">
        <v>302</v>
      </c>
      <c r="D943" s="104">
        <v>46204</v>
      </c>
      <c r="E943" s="18" t="s">
        <v>371</v>
      </c>
      <c r="F943" s="75">
        <v>1</v>
      </c>
      <c r="G943" s="107">
        <v>1598.23</v>
      </c>
      <c r="H943" s="120">
        <f t="shared" si="15"/>
        <v>1598.23</v>
      </c>
      <c r="I943" s="18" t="s">
        <v>562</v>
      </c>
    </row>
    <row r="944" spans="1:9" hidden="1" x14ac:dyDescent="0.3">
      <c r="A944" s="18" t="s">
        <v>8</v>
      </c>
      <c r="B944" s="18" t="s">
        <v>450</v>
      </c>
      <c r="C944" s="18" t="s">
        <v>302</v>
      </c>
      <c r="D944" s="104">
        <v>46204</v>
      </c>
      <c r="E944" s="18" t="s">
        <v>371</v>
      </c>
      <c r="F944" s="75">
        <v>0</v>
      </c>
      <c r="G944" s="107">
        <v>0</v>
      </c>
      <c r="H944" s="120">
        <f t="shared" si="15"/>
        <v>0</v>
      </c>
      <c r="I944" s="18" t="s">
        <v>562</v>
      </c>
    </row>
    <row r="945" spans="1:9" hidden="1" x14ac:dyDescent="0.3">
      <c r="A945" s="18" t="s">
        <v>8</v>
      </c>
      <c r="B945" s="18" t="s">
        <v>405</v>
      </c>
      <c r="C945" s="18" t="s">
        <v>315</v>
      </c>
      <c r="D945" s="104">
        <v>46204</v>
      </c>
      <c r="E945" s="18" t="s">
        <v>371</v>
      </c>
      <c r="F945" s="75">
        <v>0</v>
      </c>
      <c r="G945" s="107">
        <v>0</v>
      </c>
      <c r="H945" s="120">
        <f t="shared" si="15"/>
        <v>0</v>
      </c>
      <c r="I945" s="18" t="s">
        <v>406</v>
      </c>
    </row>
    <row r="946" spans="1:9" hidden="1" x14ac:dyDescent="0.3">
      <c r="A946" s="18" t="s">
        <v>8</v>
      </c>
      <c r="B946" s="18" t="s">
        <v>423</v>
      </c>
      <c r="C946" s="18" t="s">
        <v>315</v>
      </c>
      <c r="D946" s="104">
        <v>46204</v>
      </c>
      <c r="E946" s="18" t="s">
        <v>371</v>
      </c>
      <c r="F946" s="75">
        <v>0</v>
      </c>
      <c r="G946" s="107">
        <v>0</v>
      </c>
      <c r="H946" s="120">
        <f t="shared" si="15"/>
        <v>0</v>
      </c>
      <c r="I946" s="18" t="s">
        <v>424</v>
      </c>
    </row>
    <row r="947" spans="1:9" hidden="1" x14ac:dyDescent="0.3">
      <c r="A947" s="18" t="s">
        <v>8</v>
      </c>
      <c r="B947" s="18" t="s">
        <v>415</v>
      </c>
      <c r="C947" s="18" t="s">
        <v>315</v>
      </c>
      <c r="D947" s="104">
        <v>46204</v>
      </c>
      <c r="E947" s="18" t="s">
        <v>371</v>
      </c>
      <c r="F947" s="75">
        <v>0</v>
      </c>
      <c r="G947" s="107">
        <v>0</v>
      </c>
      <c r="H947" s="120">
        <f t="shared" si="15"/>
        <v>0</v>
      </c>
      <c r="I947" s="18" t="s">
        <v>416</v>
      </c>
    </row>
    <row r="948" spans="1:9" hidden="1" x14ac:dyDescent="0.3">
      <c r="A948" s="18" t="s">
        <v>8</v>
      </c>
      <c r="B948" s="18" t="s">
        <v>430</v>
      </c>
      <c r="C948" s="18" t="s">
        <v>315</v>
      </c>
      <c r="D948" s="104">
        <v>46204</v>
      </c>
      <c r="E948" s="18" t="s">
        <v>371</v>
      </c>
      <c r="F948" s="75">
        <v>0</v>
      </c>
      <c r="G948" s="107">
        <v>0</v>
      </c>
      <c r="H948" s="120">
        <f t="shared" si="15"/>
        <v>0</v>
      </c>
      <c r="I948" s="18" t="s">
        <v>431</v>
      </c>
    </row>
    <row r="949" spans="1:9" hidden="1" x14ac:dyDescent="0.3">
      <c r="A949" s="18" t="s">
        <v>8</v>
      </c>
      <c r="B949" s="18" t="s">
        <v>363</v>
      </c>
      <c r="C949" s="18" t="s">
        <v>364</v>
      </c>
      <c r="D949" s="104">
        <v>46204</v>
      </c>
      <c r="E949" s="18" t="s">
        <v>371</v>
      </c>
      <c r="F949" s="135">
        <v>0</v>
      </c>
      <c r="G949" s="143">
        <v>0</v>
      </c>
      <c r="H949" s="120">
        <f t="shared" si="15"/>
        <v>0</v>
      </c>
      <c r="I949" s="18" t="s">
        <v>407</v>
      </c>
    </row>
    <row r="950" spans="1:9" hidden="1" x14ac:dyDescent="0.3">
      <c r="A950" s="18" t="s">
        <v>8</v>
      </c>
      <c r="B950" s="18" t="s">
        <v>327</v>
      </c>
      <c r="C950" s="18" t="s">
        <v>23</v>
      </c>
      <c r="D950" s="104">
        <v>46204</v>
      </c>
      <c r="E950" s="18" t="s">
        <v>371</v>
      </c>
      <c r="F950" s="135">
        <v>10</v>
      </c>
      <c r="G950" s="143">
        <v>151.02000000000001</v>
      </c>
      <c r="H950" s="120">
        <f t="shared" si="15"/>
        <v>1510.2</v>
      </c>
      <c r="I950" s="18" t="s">
        <v>551</v>
      </c>
    </row>
    <row r="951" spans="1:9" hidden="1" x14ac:dyDescent="0.3">
      <c r="A951" s="18" t="s">
        <v>8</v>
      </c>
      <c r="B951" s="18" t="s">
        <v>321</v>
      </c>
      <c r="C951" s="18" t="s">
        <v>26</v>
      </c>
      <c r="D951" s="104">
        <v>46204</v>
      </c>
      <c r="E951" s="18" t="s">
        <v>371</v>
      </c>
      <c r="F951" s="38">
        <v>1</v>
      </c>
      <c r="G951" s="107">
        <v>980.4</v>
      </c>
      <c r="H951" s="120">
        <f t="shared" si="15"/>
        <v>980.4</v>
      </c>
      <c r="I951" s="18" t="s">
        <v>323</v>
      </c>
    </row>
    <row r="952" spans="1:9" hidden="1" x14ac:dyDescent="0.3">
      <c r="A952" s="18" t="s">
        <v>8</v>
      </c>
      <c r="B952" s="18" t="s">
        <v>339</v>
      </c>
      <c r="C952" s="18" t="s">
        <v>26</v>
      </c>
      <c r="D952" s="104">
        <v>46204</v>
      </c>
      <c r="E952" s="18" t="s">
        <v>371</v>
      </c>
      <c r="F952" s="75">
        <v>0</v>
      </c>
      <c r="G952" s="107">
        <v>0</v>
      </c>
      <c r="H952" s="120">
        <f t="shared" si="15"/>
        <v>0</v>
      </c>
      <c r="I952" s="18" t="s">
        <v>474</v>
      </c>
    </row>
    <row r="953" spans="1:9" hidden="1" x14ac:dyDescent="0.3">
      <c r="A953" s="18" t="s">
        <v>8</v>
      </c>
      <c r="B953" s="18" t="s">
        <v>355</v>
      </c>
      <c r="C953" s="18" t="s">
        <v>27</v>
      </c>
      <c r="D953" s="104">
        <v>46204</v>
      </c>
      <c r="E953" s="18" t="s">
        <v>371</v>
      </c>
      <c r="F953" s="135">
        <v>1</v>
      </c>
      <c r="G953" s="143">
        <v>3957</v>
      </c>
      <c r="H953" s="120">
        <f t="shared" si="15"/>
        <v>3957</v>
      </c>
      <c r="I953" s="18" t="s">
        <v>366</v>
      </c>
    </row>
    <row r="954" spans="1:9" hidden="1" x14ac:dyDescent="0.3">
      <c r="A954" s="18" t="s">
        <v>8</v>
      </c>
      <c r="B954" s="18" t="s">
        <v>355</v>
      </c>
      <c r="C954" s="18" t="s">
        <v>27</v>
      </c>
      <c r="D954" s="104">
        <v>46204</v>
      </c>
      <c r="E954" s="18" t="s">
        <v>371</v>
      </c>
      <c r="F954" s="135">
        <v>0</v>
      </c>
      <c r="G954" s="143">
        <v>0</v>
      </c>
      <c r="H954" s="120">
        <f t="shared" si="15"/>
        <v>0</v>
      </c>
      <c r="I954" s="18" t="s">
        <v>366</v>
      </c>
    </row>
    <row r="955" spans="1:9" hidden="1" x14ac:dyDescent="0.3">
      <c r="A955" s="18" t="s">
        <v>8</v>
      </c>
      <c r="B955" s="18" t="s">
        <v>453</v>
      </c>
      <c r="C955" s="18" t="s">
        <v>27</v>
      </c>
      <c r="D955" s="104">
        <v>46204</v>
      </c>
      <c r="E955" s="18" t="s">
        <v>371</v>
      </c>
      <c r="F955" s="75">
        <v>0</v>
      </c>
      <c r="G955" s="107">
        <v>0</v>
      </c>
      <c r="H955" s="120">
        <f t="shared" si="15"/>
        <v>0</v>
      </c>
      <c r="I955" s="18" t="s">
        <v>401</v>
      </c>
    </row>
    <row r="956" spans="1:9" hidden="1" x14ac:dyDescent="0.3">
      <c r="A956" s="18" t="s">
        <v>8</v>
      </c>
      <c r="B956" s="18" t="s">
        <v>462</v>
      </c>
      <c r="C956" s="18" t="s">
        <v>27</v>
      </c>
      <c r="D956" s="104">
        <v>46204</v>
      </c>
      <c r="E956" s="18" t="s">
        <v>371</v>
      </c>
      <c r="F956" s="75">
        <v>0</v>
      </c>
      <c r="G956" s="107">
        <v>0</v>
      </c>
      <c r="H956" s="120">
        <f t="shared" si="15"/>
        <v>0</v>
      </c>
      <c r="I956" s="18" t="s">
        <v>401</v>
      </c>
    </row>
    <row r="957" spans="1:9" hidden="1" x14ac:dyDescent="0.3">
      <c r="A957" s="18" t="s">
        <v>8</v>
      </c>
      <c r="B957" s="18" t="s">
        <v>308</v>
      </c>
      <c r="C957" s="18" t="s">
        <v>309</v>
      </c>
      <c r="D957" s="104">
        <v>46204</v>
      </c>
      <c r="E957" s="18" t="s">
        <v>371</v>
      </c>
      <c r="F957" s="75">
        <v>1</v>
      </c>
      <c r="G957" s="107">
        <v>10</v>
      </c>
      <c r="H957" s="120">
        <f t="shared" ref="H957:H988" si="16">IF(OR(F957="",G957=""),"",F957*G957)</f>
        <v>10</v>
      </c>
      <c r="I957" s="18" t="s">
        <v>310</v>
      </c>
    </row>
    <row r="958" spans="1:9" hidden="1" x14ac:dyDescent="0.3">
      <c r="A958" s="18" t="s">
        <v>8</v>
      </c>
      <c r="B958" s="18" t="s">
        <v>308</v>
      </c>
      <c r="C958" s="18" t="s">
        <v>309</v>
      </c>
      <c r="D958" s="104">
        <v>46204</v>
      </c>
      <c r="E958" s="18" t="s">
        <v>371</v>
      </c>
      <c r="F958" s="135">
        <v>2</v>
      </c>
      <c r="G958" s="143">
        <v>50</v>
      </c>
      <c r="H958" s="120">
        <f t="shared" si="16"/>
        <v>100</v>
      </c>
      <c r="I958" s="18" t="s">
        <v>310</v>
      </c>
    </row>
    <row r="959" spans="1:9" hidden="1" x14ac:dyDescent="0.3">
      <c r="A959" s="18" t="s">
        <v>8</v>
      </c>
      <c r="B959" s="18" t="s">
        <v>341</v>
      </c>
      <c r="C959" s="18" t="s">
        <v>342</v>
      </c>
      <c r="D959" s="104">
        <v>46204</v>
      </c>
      <c r="E959" s="18" t="s">
        <v>322</v>
      </c>
      <c r="F959" s="75">
        <v>1</v>
      </c>
      <c r="G959" s="120">
        <v>26769.64</v>
      </c>
      <c r="H959" s="120">
        <f t="shared" si="16"/>
        <v>26769.64</v>
      </c>
      <c r="I959" s="18" t="s">
        <v>343</v>
      </c>
    </row>
    <row r="960" spans="1:9" hidden="1" x14ac:dyDescent="0.3">
      <c r="A960" s="18" t="s">
        <v>8</v>
      </c>
      <c r="B960" s="18" t="s">
        <v>396</v>
      </c>
      <c r="C960" s="18" t="s">
        <v>397</v>
      </c>
      <c r="D960" s="104">
        <v>46204</v>
      </c>
      <c r="E960" s="18" t="s">
        <v>322</v>
      </c>
      <c r="F960" s="75">
        <v>0</v>
      </c>
      <c r="G960" s="107">
        <v>0</v>
      </c>
      <c r="H960" s="120">
        <f t="shared" si="16"/>
        <v>0</v>
      </c>
      <c r="I960" s="18" t="s">
        <v>427</v>
      </c>
    </row>
    <row r="961" spans="1:9" hidden="1" x14ac:dyDescent="0.3">
      <c r="A961" s="18" t="s">
        <v>8</v>
      </c>
      <c r="B961" s="18" t="s">
        <v>396</v>
      </c>
      <c r="C961" s="18" t="s">
        <v>397</v>
      </c>
      <c r="D961" s="104">
        <v>46204</v>
      </c>
      <c r="E961" s="18" t="s">
        <v>322</v>
      </c>
      <c r="F961" s="75">
        <v>0</v>
      </c>
      <c r="G961" s="107">
        <v>0</v>
      </c>
      <c r="H961" s="120">
        <f t="shared" si="16"/>
        <v>0</v>
      </c>
      <c r="I961" s="18" t="s">
        <v>472</v>
      </c>
    </row>
    <row r="962" spans="1:9" hidden="1" x14ac:dyDescent="0.3">
      <c r="A962" s="18" t="s">
        <v>8</v>
      </c>
      <c r="B962" s="18" t="s">
        <v>349</v>
      </c>
      <c r="C962" s="18" t="s">
        <v>299</v>
      </c>
      <c r="D962" s="104">
        <v>46204</v>
      </c>
      <c r="E962" s="18" t="s">
        <v>322</v>
      </c>
      <c r="F962" s="135">
        <v>154</v>
      </c>
      <c r="G962" s="143">
        <v>1.86</v>
      </c>
      <c r="H962" s="120">
        <f t="shared" si="16"/>
        <v>286.44</v>
      </c>
      <c r="I962" s="18" t="s">
        <v>569</v>
      </c>
    </row>
    <row r="963" spans="1:9" hidden="1" x14ac:dyDescent="0.3">
      <c r="A963" s="18" t="s">
        <v>8</v>
      </c>
      <c r="B963" s="18" t="s">
        <v>448</v>
      </c>
      <c r="C963" s="18" t="s">
        <v>299</v>
      </c>
      <c r="D963" s="104">
        <v>46204</v>
      </c>
      <c r="E963" s="18" t="s">
        <v>322</v>
      </c>
      <c r="F963" s="75">
        <v>1</v>
      </c>
      <c r="G963" s="120">
        <v>729</v>
      </c>
      <c r="H963" s="120">
        <f t="shared" si="16"/>
        <v>729</v>
      </c>
      <c r="I963" s="18" t="s">
        <v>493</v>
      </c>
    </row>
    <row r="964" spans="1:9" hidden="1" x14ac:dyDescent="0.3">
      <c r="A964" s="18" t="s">
        <v>8</v>
      </c>
      <c r="B964" s="18" t="s">
        <v>448</v>
      </c>
      <c r="C964" s="18" t="s">
        <v>299</v>
      </c>
      <c r="D964" s="104">
        <v>46204</v>
      </c>
      <c r="E964" s="18" t="s">
        <v>322</v>
      </c>
      <c r="F964" s="75">
        <v>35</v>
      </c>
      <c r="G964" s="120">
        <v>18.52</v>
      </c>
      <c r="H964" s="120">
        <f t="shared" si="16"/>
        <v>648.19999999999993</v>
      </c>
      <c r="I964" s="18" t="s">
        <v>452</v>
      </c>
    </row>
    <row r="965" spans="1:9" hidden="1" x14ac:dyDescent="0.3">
      <c r="A965" s="18" t="s">
        <v>8</v>
      </c>
      <c r="B965" s="18" t="s">
        <v>361</v>
      </c>
      <c r="C965" s="18" t="s">
        <v>299</v>
      </c>
      <c r="D965" s="104">
        <v>46204</v>
      </c>
      <c r="E965" s="18" t="s">
        <v>322</v>
      </c>
      <c r="F965" s="75">
        <v>0</v>
      </c>
      <c r="G965" s="143"/>
      <c r="H965" s="120" t="str">
        <f t="shared" si="16"/>
        <v/>
      </c>
      <c r="I965" s="18" t="s">
        <v>313</v>
      </c>
    </row>
    <row r="966" spans="1:9" hidden="1" x14ac:dyDescent="0.3">
      <c r="A966" s="18" t="s">
        <v>8</v>
      </c>
      <c r="B966" s="18" t="s">
        <v>502</v>
      </c>
      <c r="C966" s="18" t="s">
        <v>299</v>
      </c>
      <c r="D966" s="104">
        <v>46204</v>
      </c>
      <c r="E966" s="18" t="s">
        <v>322</v>
      </c>
      <c r="F966" s="135">
        <v>-1</v>
      </c>
      <c r="G966" s="143">
        <f>Comercial!Q218</f>
        <v>519.80692307692311</v>
      </c>
      <c r="H966" s="120">
        <f t="shared" si="16"/>
        <v>-519.80692307692311</v>
      </c>
      <c r="I966" s="18" t="s">
        <v>561</v>
      </c>
    </row>
    <row r="967" spans="1:9" hidden="1" x14ac:dyDescent="0.3">
      <c r="A967" s="18" t="s">
        <v>8</v>
      </c>
      <c r="B967" s="18" t="s">
        <v>387</v>
      </c>
      <c r="C967" s="18" t="s">
        <v>11</v>
      </c>
      <c r="D967" s="104">
        <v>46204</v>
      </c>
      <c r="E967" s="18" t="s">
        <v>322</v>
      </c>
      <c r="F967" s="135">
        <v>4805</v>
      </c>
      <c r="G967" s="143">
        <v>0.2</v>
      </c>
      <c r="H967" s="120">
        <f t="shared" si="16"/>
        <v>961</v>
      </c>
      <c r="I967" s="18" t="s">
        <v>307</v>
      </c>
    </row>
    <row r="968" spans="1:9" hidden="1" x14ac:dyDescent="0.3">
      <c r="A968" s="18" t="s">
        <v>8</v>
      </c>
      <c r="B968" s="18" t="s">
        <v>441</v>
      </c>
      <c r="C968" s="18" t="s">
        <v>442</v>
      </c>
      <c r="D968" s="104">
        <v>46204</v>
      </c>
      <c r="E968" s="18" t="s">
        <v>322</v>
      </c>
      <c r="F968" s="38">
        <v>2548</v>
      </c>
      <c r="G968" s="107">
        <v>7.1985949764521191</v>
      </c>
      <c r="H968" s="120">
        <f t="shared" si="16"/>
        <v>18342.02</v>
      </c>
      <c r="I968" s="18" t="s">
        <v>443</v>
      </c>
    </row>
    <row r="969" spans="1:9" hidden="1" x14ac:dyDescent="0.3">
      <c r="A969" s="18" t="s">
        <v>8</v>
      </c>
      <c r="B969" s="18" t="s">
        <v>466</v>
      </c>
      <c r="C969" s="18" t="s">
        <v>18</v>
      </c>
      <c r="D969" s="104">
        <v>46204</v>
      </c>
      <c r="E969" s="18" t="s">
        <v>322</v>
      </c>
      <c r="F969" s="75">
        <v>0</v>
      </c>
      <c r="G969" s="107">
        <v>0</v>
      </c>
      <c r="H969" s="120">
        <f t="shared" si="16"/>
        <v>0</v>
      </c>
      <c r="I969" s="18" t="s">
        <v>467</v>
      </c>
    </row>
    <row r="970" spans="1:9" hidden="1" x14ac:dyDescent="0.3">
      <c r="A970" s="18" t="s">
        <v>8</v>
      </c>
      <c r="B970" s="18" t="s">
        <v>414</v>
      </c>
      <c r="C970" s="18" t="s">
        <v>302</v>
      </c>
      <c r="D970" s="104">
        <v>46204</v>
      </c>
      <c r="E970" s="18" t="s">
        <v>322</v>
      </c>
      <c r="F970" s="75">
        <v>0</v>
      </c>
      <c r="G970" s="107">
        <v>0</v>
      </c>
      <c r="H970" s="120">
        <f t="shared" si="16"/>
        <v>0</v>
      </c>
      <c r="I970" s="18" t="s">
        <v>455</v>
      </c>
    </row>
    <row r="971" spans="1:9" hidden="1" x14ac:dyDescent="0.3">
      <c r="A971" s="18" t="s">
        <v>8</v>
      </c>
      <c r="B971" s="18" t="s">
        <v>367</v>
      </c>
      <c r="C971" s="18" t="s">
        <v>302</v>
      </c>
      <c r="D971" s="104">
        <v>46204</v>
      </c>
      <c r="E971" s="18" t="s">
        <v>322</v>
      </c>
      <c r="F971" s="38">
        <v>4</v>
      </c>
      <c r="G971" s="107">
        <v>20</v>
      </c>
      <c r="H971" s="120">
        <f t="shared" si="16"/>
        <v>80</v>
      </c>
      <c r="I971" s="18" t="s">
        <v>368</v>
      </c>
    </row>
    <row r="972" spans="1:9" hidden="1" x14ac:dyDescent="0.3">
      <c r="A972" s="18" t="s">
        <v>8</v>
      </c>
      <c r="B972" s="18" t="s">
        <v>301</v>
      </c>
      <c r="C972" s="18" t="s">
        <v>302</v>
      </c>
      <c r="D972" s="104">
        <v>46204</v>
      </c>
      <c r="E972" s="18" t="s">
        <v>322</v>
      </c>
      <c r="F972" s="75">
        <v>1</v>
      </c>
      <c r="G972" s="107">
        <v>415.62</v>
      </c>
      <c r="H972" s="120">
        <f t="shared" si="16"/>
        <v>415.62</v>
      </c>
      <c r="I972" s="18" t="s">
        <v>562</v>
      </c>
    </row>
    <row r="973" spans="1:9" hidden="1" x14ac:dyDescent="0.3">
      <c r="A973" s="18" t="s">
        <v>8</v>
      </c>
      <c r="B973" s="18" t="s">
        <v>450</v>
      </c>
      <c r="C973" s="18" t="s">
        <v>302</v>
      </c>
      <c r="D973" s="104">
        <v>46204</v>
      </c>
      <c r="E973" s="18" t="s">
        <v>322</v>
      </c>
      <c r="F973" s="75">
        <v>1</v>
      </c>
      <c r="G973" s="107">
        <v>108</v>
      </c>
      <c r="H973" s="120">
        <f t="shared" si="16"/>
        <v>108</v>
      </c>
      <c r="I973" s="18" t="s">
        <v>346</v>
      </c>
    </row>
    <row r="974" spans="1:9" hidden="1" x14ac:dyDescent="0.3">
      <c r="A974" s="18" t="s">
        <v>8</v>
      </c>
      <c r="B974" s="18" t="s">
        <v>434</v>
      </c>
      <c r="C974" s="18" t="s">
        <v>315</v>
      </c>
      <c r="D974" s="104">
        <v>46204</v>
      </c>
      <c r="E974" s="18" t="s">
        <v>322</v>
      </c>
      <c r="F974" s="75">
        <v>0</v>
      </c>
      <c r="G974" s="107">
        <v>0</v>
      </c>
      <c r="H974" s="120">
        <f t="shared" si="16"/>
        <v>0</v>
      </c>
      <c r="I974" s="18" t="s">
        <v>316</v>
      </c>
    </row>
    <row r="975" spans="1:9" hidden="1" x14ac:dyDescent="0.3">
      <c r="A975" s="18" t="s">
        <v>8</v>
      </c>
      <c r="B975" s="18" t="s">
        <v>423</v>
      </c>
      <c r="C975" s="18" t="s">
        <v>315</v>
      </c>
      <c r="D975" s="104">
        <v>46204</v>
      </c>
      <c r="E975" s="18" t="s">
        <v>322</v>
      </c>
      <c r="F975" s="75">
        <v>0</v>
      </c>
      <c r="G975" s="107">
        <v>0</v>
      </c>
      <c r="H975" s="120">
        <f t="shared" si="16"/>
        <v>0</v>
      </c>
      <c r="I975" s="18" t="s">
        <v>316</v>
      </c>
    </row>
    <row r="976" spans="1:9" hidden="1" x14ac:dyDescent="0.3">
      <c r="A976" s="18" t="s">
        <v>8</v>
      </c>
      <c r="B976" s="18" t="s">
        <v>440</v>
      </c>
      <c r="C976" s="18" t="s">
        <v>315</v>
      </c>
      <c r="D976" s="104">
        <v>46204</v>
      </c>
      <c r="E976" s="18" t="s">
        <v>322</v>
      </c>
      <c r="F976" s="75">
        <v>0</v>
      </c>
      <c r="G976" s="107">
        <v>0</v>
      </c>
      <c r="H976" s="120">
        <f t="shared" si="16"/>
        <v>0</v>
      </c>
      <c r="I976" s="18" t="s">
        <v>394</v>
      </c>
    </row>
    <row r="977" spans="1:9" hidden="1" x14ac:dyDescent="0.3">
      <c r="A977" s="18" t="s">
        <v>8</v>
      </c>
      <c r="B977" s="18" t="s">
        <v>430</v>
      </c>
      <c r="C977" s="18" t="s">
        <v>315</v>
      </c>
      <c r="D977" s="104">
        <v>46204</v>
      </c>
      <c r="E977" s="18" t="s">
        <v>322</v>
      </c>
      <c r="F977" s="75">
        <v>0</v>
      </c>
      <c r="G977" s="107">
        <v>0</v>
      </c>
      <c r="H977" s="120">
        <f t="shared" si="16"/>
        <v>0</v>
      </c>
      <c r="I977" s="18" t="s">
        <v>451</v>
      </c>
    </row>
    <row r="978" spans="1:9" hidden="1" x14ac:dyDescent="0.3">
      <c r="A978" s="18" t="s">
        <v>8</v>
      </c>
      <c r="B978" s="18" t="s">
        <v>363</v>
      </c>
      <c r="C978" s="18" t="s">
        <v>364</v>
      </c>
      <c r="D978" s="104">
        <v>46204</v>
      </c>
      <c r="E978" s="18" t="s">
        <v>322</v>
      </c>
      <c r="F978" s="135">
        <v>0</v>
      </c>
      <c r="G978" s="143">
        <v>0</v>
      </c>
      <c r="H978" s="120">
        <f t="shared" si="16"/>
        <v>0</v>
      </c>
      <c r="I978" s="18" t="s">
        <v>417</v>
      </c>
    </row>
    <row r="979" spans="1:9" hidden="1" x14ac:dyDescent="0.3">
      <c r="A979" s="18" t="s">
        <v>8</v>
      </c>
      <c r="B979" s="18" t="s">
        <v>327</v>
      </c>
      <c r="C979" s="18" t="s">
        <v>23</v>
      </c>
      <c r="D979" s="104">
        <v>46204</v>
      </c>
      <c r="E979" s="18" t="s">
        <v>322</v>
      </c>
      <c r="F979" s="75">
        <v>0</v>
      </c>
      <c r="G979" s="107">
        <v>0</v>
      </c>
      <c r="H979" s="120">
        <f t="shared" si="16"/>
        <v>0</v>
      </c>
      <c r="I979" s="18" t="s">
        <v>426</v>
      </c>
    </row>
    <row r="980" spans="1:9" hidden="1" x14ac:dyDescent="0.3">
      <c r="A980" s="18" t="s">
        <v>8</v>
      </c>
      <c r="B980" s="18" t="s">
        <v>321</v>
      </c>
      <c r="C980" s="18" t="s">
        <v>26</v>
      </c>
      <c r="D980" s="104">
        <v>46204</v>
      </c>
      <c r="E980" s="18" t="s">
        <v>322</v>
      </c>
      <c r="F980" s="38">
        <v>0</v>
      </c>
      <c r="G980" s="107">
        <v>0</v>
      </c>
      <c r="H980" s="120">
        <f t="shared" si="16"/>
        <v>0</v>
      </c>
      <c r="I980" s="18" t="s">
        <v>323</v>
      </c>
    </row>
    <row r="981" spans="1:9" hidden="1" x14ac:dyDescent="0.3">
      <c r="A981" s="18" t="s">
        <v>8</v>
      </c>
      <c r="B981" s="18" t="s">
        <v>355</v>
      </c>
      <c r="C981" s="18" t="s">
        <v>27</v>
      </c>
      <c r="D981" s="104">
        <v>46204</v>
      </c>
      <c r="E981" s="18" t="s">
        <v>322</v>
      </c>
      <c r="F981" s="135">
        <v>1</v>
      </c>
      <c r="G981" s="143">
        <v>1010.04</v>
      </c>
      <c r="H981" s="120">
        <f t="shared" si="16"/>
        <v>1010.04</v>
      </c>
      <c r="I981" s="18" t="s">
        <v>544</v>
      </c>
    </row>
    <row r="982" spans="1:9" hidden="1" x14ac:dyDescent="0.3">
      <c r="A982" s="18" t="s">
        <v>8</v>
      </c>
      <c r="B982" s="18" t="s">
        <v>355</v>
      </c>
      <c r="C982" s="18" t="s">
        <v>27</v>
      </c>
      <c r="D982" s="104">
        <v>46204</v>
      </c>
      <c r="E982" s="18" t="s">
        <v>322</v>
      </c>
      <c r="F982" s="75">
        <v>0</v>
      </c>
      <c r="G982" s="107">
        <v>0</v>
      </c>
      <c r="H982" s="120">
        <f t="shared" si="16"/>
        <v>0</v>
      </c>
      <c r="I982" s="18" t="s">
        <v>356</v>
      </c>
    </row>
    <row r="983" spans="1:9" hidden="1" x14ac:dyDescent="0.3">
      <c r="A983" s="18" t="s">
        <v>8</v>
      </c>
      <c r="B983" s="18" t="s">
        <v>308</v>
      </c>
      <c r="C983" s="18" t="s">
        <v>309</v>
      </c>
      <c r="D983" s="104">
        <v>46204</v>
      </c>
      <c r="E983" s="18" t="s">
        <v>322</v>
      </c>
      <c r="F983" s="135">
        <v>1</v>
      </c>
      <c r="G983" s="143">
        <v>50</v>
      </c>
      <c r="H983" s="120">
        <f t="shared" si="16"/>
        <v>50</v>
      </c>
      <c r="I983" s="18" t="s">
        <v>310</v>
      </c>
    </row>
    <row r="984" spans="1:9" hidden="1" x14ac:dyDescent="0.3">
      <c r="A984" s="18" t="s">
        <v>8</v>
      </c>
      <c r="B984" s="18" t="s">
        <v>341</v>
      </c>
      <c r="C984" s="18" t="s">
        <v>342</v>
      </c>
      <c r="D984" s="104">
        <v>46204</v>
      </c>
      <c r="E984" s="18" t="s">
        <v>325</v>
      </c>
      <c r="F984" s="75">
        <v>1</v>
      </c>
      <c r="G984" s="120">
        <v>31924.42</v>
      </c>
      <c r="H984" s="120">
        <f t="shared" si="16"/>
        <v>31924.42</v>
      </c>
      <c r="I984" s="18" t="s">
        <v>343</v>
      </c>
    </row>
    <row r="985" spans="1:9" x14ac:dyDescent="0.3">
      <c r="A985" s="18" t="s">
        <v>8</v>
      </c>
      <c r="B985" s="18" t="s">
        <v>483</v>
      </c>
      <c r="C985" s="18" t="s">
        <v>484</v>
      </c>
      <c r="D985" s="104">
        <v>46204</v>
      </c>
      <c r="E985" s="18" t="s">
        <v>325</v>
      </c>
      <c r="F985" s="135">
        <v>4806</v>
      </c>
      <c r="G985" s="143">
        <v>0.43</v>
      </c>
      <c r="H985" s="120">
        <f t="shared" si="16"/>
        <v>2066.58</v>
      </c>
      <c r="I985" s="18" t="s">
        <v>307</v>
      </c>
    </row>
    <row r="986" spans="1:9" hidden="1" x14ac:dyDescent="0.3">
      <c r="A986" s="18" t="s">
        <v>8</v>
      </c>
      <c r="B986" s="18" t="s">
        <v>557</v>
      </c>
      <c r="C986" s="18" t="s">
        <v>299</v>
      </c>
      <c r="D986" s="104">
        <v>46204</v>
      </c>
      <c r="E986" s="18" t="s">
        <v>325</v>
      </c>
      <c r="F986" s="75">
        <v>0</v>
      </c>
      <c r="G986" s="143"/>
      <c r="H986" s="120" t="str">
        <f t="shared" si="16"/>
        <v/>
      </c>
      <c r="I986" s="18" t="s">
        <v>268</v>
      </c>
    </row>
    <row r="987" spans="1:9" hidden="1" x14ac:dyDescent="0.3">
      <c r="A987" s="18" t="s">
        <v>8</v>
      </c>
      <c r="B987" s="18" t="s">
        <v>361</v>
      </c>
      <c r="C987" s="18" t="s">
        <v>299</v>
      </c>
      <c r="D987" s="104">
        <v>46204</v>
      </c>
      <c r="E987" s="18" t="s">
        <v>325</v>
      </c>
      <c r="F987" s="135">
        <v>5</v>
      </c>
      <c r="G987" s="143">
        <f>Comercial!B218</f>
        <v>221.78574350904805</v>
      </c>
      <c r="H987" s="120">
        <f t="shared" si="16"/>
        <v>1108.9287175452403</v>
      </c>
      <c r="I987" s="18" t="s">
        <v>570</v>
      </c>
    </row>
    <row r="988" spans="1:9" hidden="1" x14ac:dyDescent="0.3">
      <c r="A988" s="18" t="s">
        <v>8</v>
      </c>
      <c r="B988" s="18" t="s">
        <v>372</v>
      </c>
      <c r="C988" s="18" t="s">
        <v>299</v>
      </c>
      <c r="D988" s="104">
        <v>46204</v>
      </c>
      <c r="E988" s="18" t="s">
        <v>325</v>
      </c>
      <c r="F988" s="75">
        <v>0</v>
      </c>
      <c r="G988" s="143"/>
      <c r="H988" s="120" t="str">
        <f t="shared" si="16"/>
        <v/>
      </c>
      <c r="I988" s="18"/>
    </row>
    <row r="989" spans="1:9" hidden="1" x14ac:dyDescent="0.3">
      <c r="A989" s="18" t="s">
        <v>8</v>
      </c>
      <c r="B989" s="18" t="s">
        <v>378</v>
      </c>
      <c r="C989" s="18" t="s">
        <v>299</v>
      </c>
      <c r="D989" s="104">
        <v>46204</v>
      </c>
      <c r="E989" s="18" t="s">
        <v>325</v>
      </c>
      <c r="F989" s="75">
        <v>0</v>
      </c>
      <c r="G989" s="143"/>
      <c r="H989" s="120" t="str">
        <f t="shared" ref="H989:H1020" si="17">IF(OR(F989="",G989=""),"",F989*G989)</f>
        <v/>
      </c>
      <c r="I989" s="18"/>
    </row>
    <row r="990" spans="1:9" hidden="1" x14ac:dyDescent="0.3">
      <c r="A990" s="18" t="s">
        <v>8</v>
      </c>
      <c r="B990" s="18" t="s">
        <v>385</v>
      </c>
      <c r="C990" s="18" t="s">
        <v>299</v>
      </c>
      <c r="D990" s="104">
        <v>46204</v>
      </c>
      <c r="E990" s="18" t="s">
        <v>325</v>
      </c>
      <c r="F990" s="135">
        <v>-8</v>
      </c>
      <c r="G990" s="143">
        <v>289.27</v>
      </c>
      <c r="H990" s="120">
        <f t="shared" si="17"/>
        <v>-2314.16</v>
      </c>
      <c r="I990" s="18" t="s">
        <v>561</v>
      </c>
    </row>
    <row r="991" spans="1:9" hidden="1" x14ac:dyDescent="0.3">
      <c r="A991" s="18" t="s">
        <v>8</v>
      </c>
      <c r="B991" s="18" t="s">
        <v>387</v>
      </c>
      <c r="C991" s="18" t="s">
        <v>11</v>
      </c>
      <c r="D991" s="104">
        <v>46204</v>
      </c>
      <c r="E991" s="18" t="s">
        <v>325</v>
      </c>
      <c r="F991" s="135">
        <v>4806</v>
      </c>
      <c r="G991" s="143">
        <v>0.2</v>
      </c>
      <c r="H991" s="120">
        <f t="shared" si="17"/>
        <v>961.2</v>
      </c>
      <c r="I991" s="18" t="s">
        <v>307</v>
      </c>
    </row>
    <row r="992" spans="1:9" hidden="1" x14ac:dyDescent="0.3">
      <c r="A992" s="18" t="s">
        <v>8</v>
      </c>
      <c r="B992" s="18" t="s">
        <v>463</v>
      </c>
      <c r="C992" s="18" t="s">
        <v>442</v>
      </c>
      <c r="D992" s="104">
        <v>46204</v>
      </c>
      <c r="E992" s="18" t="s">
        <v>325</v>
      </c>
      <c r="F992" s="75">
        <v>0</v>
      </c>
      <c r="G992" s="107">
        <v>0</v>
      </c>
      <c r="H992" s="120">
        <f t="shared" si="17"/>
        <v>0</v>
      </c>
      <c r="I992" s="18" t="s">
        <v>464</v>
      </c>
    </row>
    <row r="993" spans="1:9" hidden="1" x14ac:dyDescent="0.3">
      <c r="A993" s="18" t="s">
        <v>8</v>
      </c>
      <c r="B993" s="18" t="s">
        <v>466</v>
      </c>
      <c r="C993" s="18" t="s">
        <v>18</v>
      </c>
      <c r="D993" s="104">
        <v>46204</v>
      </c>
      <c r="E993" s="18" t="s">
        <v>325</v>
      </c>
      <c r="F993" s="75">
        <v>0</v>
      </c>
      <c r="G993" s="107">
        <v>0</v>
      </c>
      <c r="H993" s="120">
        <f t="shared" si="17"/>
        <v>0</v>
      </c>
      <c r="I993" s="18" t="s">
        <v>467</v>
      </c>
    </row>
    <row r="994" spans="1:9" hidden="1" x14ac:dyDescent="0.3">
      <c r="A994" s="18" t="s">
        <v>8</v>
      </c>
      <c r="B994" s="18" t="s">
        <v>331</v>
      </c>
      <c r="C994" s="18" t="s">
        <v>302</v>
      </c>
      <c r="D994" s="104">
        <v>46204</v>
      </c>
      <c r="E994" s="18" t="s">
        <v>325</v>
      </c>
      <c r="F994" s="75">
        <v>0</v>
      </c>
      <c r="G994" s="107">
        <v>0</v>
      </c>
      <c r="H994" s="120">
        <f t="shared" si="17"/>
        <v>0</v>
      </c>
      <c r="I994" s="18" t="s">
        <v>477</v>
      </c>
    </row>
    <row r="995" spans="1:9" hidden="1" x14ac:dyDescent="0.3">
      <c r="A995" s="76" t="s">
        <v>8</v>
      </c>
      <c r="B995" s="76" t="s">
        <v>367</v>
      </c>
      <c r="C995" s="76" t="s">
        <v>302</v>
      </c>
      <c r="D995" s="121">
        <v>46204</v>
      </c>
      <c r="E995" s="76" t="s">
        <v>325</v>
      </c>
      <c r="F995" s="131">
        <v>8</v>
      </c>
      <c r="G995" s="132">
        <v>20</v>
      </c>
      <c r="H995" s="122">
        <f t="shared" si="17"/>
        <v>160</v>
      </c>
      <c r="I995" s="76" t="s">
        <v>368</v>
      </c>
    </row>
    <row r="996" spans="1:9" hidden="1" x14ac:dyDescent="0.3">
      <c r="A996" s="18" t="s">
        <v>8</v>
      </c>
      <c r="B996" s="18" t="s">
        <v>301</v>
      </c>
      <c r="C996" s="18" t="s">
        <v>302</v>
      </c>
      <c r="D996" s="104">
        <v>46204</v>
      </c>
      <c r="E996" s="18" t="s">
        <v>325</v>
      </c>
      <c r="F996" s="75">
        <v>1</v>
      </c>
      <c r="G996" s="107">
        <v>468.01</v>
      </c>
      <c r="H996" s="120">
        <f t="shared" si="17"/>
        <v>468.01</v>
      </c>
      <c r="I996" s="18" t="s">
        <v>571</v>
      </c>
    </row>
    <row r="997" spans="1:9" hidden="1" x14ac:dyDescent="0.3">
      <c r="A997" s="18" t="s">
        <v>8</v>
      </c>
      <c r="B997" s="18" t="s">
        <v>345</v>
      </c>
      <c r="C997" s="18" t="s">
        <v>302</v>
      </c>
      <c r="D997" s="104">
        <v>46204</v>
      </c>
      <c r="E997" s="18" t="s">
        <v>325</v>
      </c>
      <c r="F997" s="75">
        <v>1</v>
      </c>
      <c r="G997" s="107">
        <v>72</v>
      </c>
      <c r="H997" s="120">
        <f t="shared" si="17"/>
        <v>72</v>
      </c>
      <c r="I997" s="18" t="s">
        <v>346</v>
      </c>
    </row>
    <row r="998" spans="1:9" hidden="1" x14ac:dyDescent="0.3">
      <c r="A998" s="18" t="s">
        <v>8</v>
      </c>
      <c r="B998" s="18" t="s">
        <v>456</v>
      </c>
      <c r="C998" s="18" t="s">
        <v>315</v>
      </c>
      <c r="D998" s="104">
        <v>46204</v>
      </c>
      <c r="E998" s="18" t="s">
        <v>325</v>
      </c>
      <c r="F998" s="135">
        <v>4806</v>
      </c>
      <c r="G998" s="107">
        <v>0.62</v>
      </c>
      <c r="H998" s="120">
        <f t="shared" si="17"/>
        <v>2979.72</v>
      </c>
      <c r="I998" s="18" t="s">
        <v>307</v>
      </c>
    </row>
    <row r="999" spans="1:9" hidden="1" x14ac:dyDescent="0.3">
      <c r="A999" s="18" t="s">
        <v>8</v>
      </c>
      <c r="B999" s="18" t="s">
        <v>459</v>
      </c>
      <c r="C999" s="18" t="s">
        <v>315</v>
      </c>
      <c r="D999" s="104">
        <v>46204</v>
      </c>
      <c r="E999" s="18" t="s">
        <v>325</v>
      </c>
      <c r="F999" s="135">
        <v>1</v>
      </c>
      <c r="G999" s="143">
        <v>561.64</v>
      </c>
      <c r="H999" s="120">
        <f t="shared" si="17"/>
        <v>561.64</v>
      </c>
      <c r="I999" s="18" t="s">
        <v>460</v>
      </c>
    </row>
    <row r="1000" spans="1:9" hidden="1" x14ac:dyDescent="0.3">
      <c r="A1000" t="s">
        <v>8</v>
      </c>
      <c r="B1000" t="s">
        <v>465</v>
      </c>
      <c r="C1000" t="s">
        <v>315</v>
      </c>
      <c r="D1000" s="100">
        <v>46204</v>
      </c>
      <c r="E1000" t="s">
        <v>325</v>
      </c>
      <c r="F1000" s="75">
        <v>0</v>
      </c>
      <c r="G1000" s="107">
        <v>0</v>
      </c>
      <c r="H1000" s="123">
        <f t="shared" si="17"/>
        <v>0</v>
      </c>
      <c r="I1000" t="s">
        <v>460</v>
      </c>
    </row>
    <row r="1001" spans="1:9" hidden="1" x14ac:dyDescent="0.3">
      <c r="A1001" s="18" t="s">
        <v>8</v>
      </c>
      <c r="B1001" s="18" t="s">
        <v>572</v>
      </c>
      <c r="C1001" s="18" t="s">
        <v>315</v>
      </c>
      <c r="D1001" s="104">
        <v>46204</v>
      </c>
      <c r="E1001" s="18" t="s">
        <v>325</v>
      </c>
      <c r="F1001" s="135">
        <v>1</v>
      </c>
      <c r="G1001" s="143">
        <v>2033.5</v>
      </c>
      <c r="H1001" s="120">
        <f t="shared" si="17"/>
        <v>2033.5</v>
      </c>
      <c r="I1001" s="18" t="s">
        <v>451</v>
      </c>
    </row>
    <row r="1002" spans="1:9" hidden="1" x14ac:dyDescent="0.3">
      <c r="A1002" t="s">
        <v>8</v>
      </c>
      <c r="B1002" t="s">
        <v>478</v>
      </c>
      <c r="C1002" t="s">
        <v>315</v>
      </c>
      <c r="D1002" s="100">
        <v>46204</v>
      </c>
      <c r="E1002" t="s">
        <v>325</v>
      </c>
      <c r="F1002" s="75">
        <v>0</v>
      </c>
      <c r="G1002" s="107">
        <v>0</v>
      </c>
      <c r="H1002" s="91">
        <f t="shared" si="17"/>
        <v>0</v>
      </c>
      <c r="I1002" t="s">
        <v>394</v>
      </c>
    </row>
    <row r="1003" spans="1:9" hidden="1" x14ac:dyDescent="0.3">
      <c r="A1003" s="18" t="s">
        <v>8</v>
      </c>
      <c r="B1003" s="18" t="s">
        <v>337</v>
      </c>
      <c r="C1003" s="18" t="s">
        <v>299</v>
      </c>
      <c r="D1003" s="104">
        <v>46204</v>
      </c>
      <c r="E1003" s="18" t="s">
        <v>325</v>
      </c>
      <c r="F1003" s="135">
        <v>1</v>
      </c>
      <c r="G1003" s="143">
        <v>25.5</v>
      </c>
      <c r="H1003" s="120">
        <f t="shared" si="17"/>
        <v>25.5</v>
      </c>
      <c r="I1003" s="18" t="s">
        <v>338</v>
      </c>
    </row>
    <row r="1004" spans="1:9" hidden="1" x14ac:dyDescent="0.3">
      <c r="A1004" s="18" t="s">
        <v>8</v>
      </c>
      <c r="B1004" s="18" t="s">
        <v>352</v>
      </c>
      <c r="C1004" s="18" t="s">
        <v>318</v>
      </c>
      <c r="D1004" s="104">
        <v>46204</v>
      </c>
      <c r="E1004" s="18" t="s">
        <v>325</v>
      </c>
      <c r="F1004" s="135">
        <v>1</v>
      </c>
      <c r="G1004" s="143">
        <v>67.33</v>
      </c>
      <c r="H1004" s="120">
        <f t="shared" si="17"/>
        <v>67.33</v>
      </c>
      <c r="I1004" s="18" t="s">
        <v>353</v>
      </c>
    </row>
    <row r="1005" spans="1:9" hidden="1" x14ac:dyDescent="0.3">
      <c r="A1005" s="18" t="s">
        <v>8</v>
      </c>
      <c r="B1005" s="18" t="s">
        <v>352</v>
      </c>
      <c r="C1005" s="18" t="s">
        <v>318</v>
      </c>
      <c r="D1005" s="104">
        <v>46204</v>
      </c>
      <c r="E1005" s="18" t="s">
        <v>325</v>
      </c>
      <c r="F1005" s="75">
        <v>-1</v>
      </c>
      <c r="G1005" s="120">
        <v>510</v>
      </c>
      <c r="H1005" s="120">
        <f t="shared" si="17"/>
        <v>-510</v>
      </c>
      <c r="I1005" s="18" t="s">
        <v>519</v>
      </c>
    </row>
    <row r="1006" spans="1:9" hidden="1" x14ac:dyDescent="0.3">
      <c r="A1006" t="s">
        <v>8</v>
      </c>
      <c r="B1006" t="s">
        <v>363</v>
      </c>
      <c r="C1006" t="s">
        <v>364</v>
      </c>
      <c r="D1006" s="100">
        <v>46204</v>
      </c>
      <c r="E1006" s="18" t="s">
        <v>325</v>
      </c>
      <c r="F1006" s="135">
        <v>1</v>
      </c>
      <c r="G1006" s="143">
        <v>371.45</v>
      </c>
      <c r="H1006" s="91">
        <f t="shared" si="17"/>
        <v>371.45</v>
      </c>
      <c r="I1006" s="144" t="s">
        <v>573</v>
      </c>
    </row>
    <row r="1007" spans="1:9" hidden="1" x14ac:dyDescent="0.3">
      <c r="A1007" t="s">
        <v>8</v>
      </c>
      <c r="B1007" t="s">
        <v>321</v>
      </c>
      <c r="C1007" t="s">
        <v>26</v>
      </c>
      <c r="D1007" s="100">
        <v>46204</v>
      </c>
      <c r="E1007" s="18" t="s">
        <v>325</v>
      </c>
      <c r="F1007" s="38">
        <v>1</v>
      </c>
      <c r="G1007" s="107">
        <v>314.60000000000002</v>
      </c>
      <c r="H1007" s="91">
        <f t="shared" si="17"/>
        <v>314.60000000000002</v>
      </c>
      <c r="I1007" t="s">
        <v>323</v>
      </c>
    </row>
    <row r="1008" spans="1:9" hidden="1" x14ac:dyDescent="0.3">
      <c r="A1008" t="s">
        <v>8</v>
      </c>
      <c r="B1008" t="s">
        <v>339</v>
      </c>
      <c r="C1008" t="s">
        <v>26</v>
      </c>
      <c r="D1008" s="100">
        <v>46204</v>
      </c>
      <c r="E1008" s="18" t="s">
        <v>325</v>
      </c>
      <c r="F1008" s="75">
        <v>0</v>
      </c>
      <c r="G1008" s="107">
        <v>0</v>
      </c>
      <c r="H1008" s="91">
        <f t="shared" si="17"/>
        <v>0</v>
      </c>
      <c r="I1008" t="s">
        <v>340</v>
      </c>
    </row>
    <row r="1009" spans="1:9" hidden="1" x14ac:dyDescent="0.3">
      <c r="A1009" s="18" t="s">
        <v>8</v>
      </c>
      <c r="B1009" s="18" t="s">
        <v>355</v>
      </c>
      <c r="C1009" s="18" t="s">
        <v>27</v>
      </c>
      <c r="D1009" s="104">
        <v>46204</v>
      </c>
      <c r="E1009" s="18" t="s">
        <v>325</v>
      </c>
      <c r="F1009" s="135">
        <v>1</v>
      </c>
      <c r="G1009" s="143">
        <v>6035.94</v>
      </c>
      <c r="H1009" s="120">
        <f t="shared" si="17"/>
        <v>6035.94</v>
      </c>
      <c r="I1009" s="18" t="s">
        <v>544</v>
      </c>
    </row>
    <row r="1010" spans="1:9" hidden="1" x14ac:dyDescent="0.3">
      <c r="A1010" s="18" t="s">
        <v>8</v>
      </c>
      <c r="B1010" s="18" t="s">
        <v>355</v>
      </c>
      <c r="C1010" s="18" t="s">
        <v>27</v>
      </c>
      <c r="D1010" s="104">
        <v>46204</v>
      </c>
      <c r="E1010" s="18" t="s">
        <v>325</v>
      </c>
      <c r="F1010" s="135">
        <v>-1</v>
      </c>
      <c r="G1010" s="143">
        <v>1333.53</v>
      </c>
      <c r="H1010" s="120">
        <f t="shared" si="17"/>
        <v>-1333.53</v>
      </c>
      <c r="I1010" s="18" t="s">
        <v>356</v>
      </c>
    </row>
    <row r="1011" spans="1:9" hidden="1" x14ac:dyDescent="0.3">
      <c r="A1011" t="s">
        <v>8</v>
      </c>
      <c r="B1011" t="s">
        <v>503</v>
      </c>
      <c r="C1011" t="s">
        <v>27</v>
      </c>
      <c r="D1011" s="100">
        <v>46204</v>
      </c>
      <c r="E1011" s="18" t="s">
        <v>325</v>
      </c>
      <c r="F1011" s="75">
        <v>0</v>
      </c>
      <c r="G1011" s="107">
        <v>0</v>
      </c>
      <c r="H1011" s="91">
        <f t="shared" si="17"/>
        <v>0</v>
      </c>
      <c r="I1011" t="s">
        <v>380</v>
      </c>
    </row>
    <row r="1012" spans="1:9" hidden="1" x14ac:dyDescent="0.3">
      <c r="A1012" t="s">
        <v>8</v>
      </c>
      <c r="B1012" t="s">
        <v>433</v>
      </c>
      <c r="C1012" t="s">
        <v>27</v>
      </c>
      <c r="D1012" s="100">
        <v>46204</v>
      </c>
      <c r="E1012" s="18" t="s">
        <v>325</v>
      </c>
      <c r="F1012" s="75">
        <v>0</v>
      </c>
      <c r="G1012" s="107">
        <v>0</v>
      </c>
      <c r="H1012" s="91">
        <f t="shared" si="17"/>
        <v>0</v>
      </c>
      <c r="I1012" t="s">
        <v>401</v>
      </c>
    </row>
    <row r="1013" spans="1:9" hidden="1" x14ac:dyDescent="0.3">
      <c r="A1013" s="18" t="s">
        <v>8</v>
      </c>
      <c r="B1013" s="18" t="s">
        <v>308</v>
      </c>
      <c r="C1013" s="18" t="s">
        <v>309</v>
      </c>
      <c r="D1013" s="104">
        <v>46204</v>
      </c>
      <c r="E1013" s="18" t="s">
        <v>325</v>
      </c>
      <c r="F1013" s="135">
        <v>1</v>
      </c>
      <c r="G1013" s="143">
        <v>90</v>
      </c>
      <c r="H1013" s="120">
        <f t="shared" si="17"/>
        <v>90</v>
      </c>
      <c r="I1013" s="18" t="s">
        <v>310</v>
      </c>
    </row>
    <row r="1014" spans="1:9" hidden="1" x14ac:dyDescent="0.3">
      <c r="A1014" s="18" t="s">
        <v>8</v>
      </c>
      <c r="B1014" s="18" t="s">
        <v>308</v>
      </c>
      <c r="C1014" s="18" t="s">
        <v>309</v>
      </c>
      <c r="D1014" s="104">
        <v>46204</v>
      </c>
      <c r="E1014" s="18" t="s">
        <v>325</v>
      </c>
      <c r="F1014" s="135">
        <v>2</v>
      </c>
      <c r="G1014" s="143">
        <v>10</v>
      </c>
      <c r="H1014" s="120">
        <f t="shared" si="17"/>
        <v>20</v>
      </c>
      <c r="I1014" s="18" t="s">
        <v>310</v>
      </c>
    </row>
    <row r="1015" spans="1:9" hidden="1" x14ac:dyDescent="0.3">
      <c r="A1015" s="18" t="s">
        <v>8</v>
      </c>
      <c r="B1015" s="18" t="s">
        <v>308</v>
      </c>
      <c r="C1015" s="18" t="s">
        <v>309</v>
      </c>
      <c r="D1015" s="104">
        <v>46204</v>
      </c>
      <c r="E1015" s="18" t="s">
        <v>325</v>
      </c>
      <c r="F1015" s="135">
        <v>3</v>
      </c>
      <c r="G1015" s="143">
        <v>50</v>
      </c>
      <c r="H1015" s="120">
        <f t="shared" si="17"/>
        <v>150</v>
      </c>
      <c r="I1015" s="18" t="s">
        <v>310</v>
      </c>
    </row>
    <row r="1016" spans="1:9" hidden="1" x14ac:dyDescent="0.3">
      <c r="A1016" t="s">
        <v>8</v>
      </c>
      <c r="B1016" t="s">
        <v>349</v>
      </c>
      <c r="C1016" t="s">
        <v>299</v>
      </c>
      <c r="D1016" s="104">
        <v>46204</v>
      </c>
      <c r="E1016" s="18" t="s">
        <v>325</v>
      </c>
      <c r="F1016" s="63">
        <v>268</v>
      </c>
      <c r="G1016" s="95">
        <v>1.86</v>
      </c>
      <c r="H1016" s="91">
        <f t="shared" si="17"/>
        <v>498.48</v>
      </c>
      <c r="I1016" t="s">
        <v>350</v>
      </c>
    </row>
    <row r="1017" spans="1:9" hidden="1" x14ac:dyDescent="0.3">
      <c r="A1017" t="s">
        <v>8</v>
      </c>
      <c r="B1017" t="s">
        <v>327</v>
      </c>
      <c r="C1017" t="s">
        <v>23</v>
      </c>
      <c r="D1017" s="104">
        <v>46204</v>
      </c>
      <c r="E1017" s="18" t="s">
        <v>325</v>
      </c>
      <c r="F1017" s="63">
        <v>12</v>
      </c>
      <c r="G1017" s="95">
        <v>157.32</v>
      </c>
      <c r="H1017" s="91">
        <f t="shared" si="17"/>
        <v>1887.84</v>
      </c>
      <c r="I1017" t="s">
        <v>551</v>
      </c>
    </row>
    <row r="1018" spans="1:9" hidden="1" x14ac:dyDescent="0.3">
      <c r="A1018" t="s">
        <v>8</v>
      </c>
      <c r="B1018" t="s">
        <v>441</v>
      </c>
      <c r="C1018" t="s">
        <v>442</v>
      </c>
      <c r="D1018" s="104">
        <v>46204</v>
      </c>
      <c r="E1018" t="s">
        <v>319</v>
      </c>
      <c r="F1018" s="63">
        <v>727</v>
      </c>
      <c r="G1018" s="95">
        <v>7.2044429160935346</v>
      </c>
      <c r="H1018" s="91">
        <f t="shared" si="17"/>
        <v>5237.6299999999992</v>
      </c>
      <c r="I1018" t="s">
        <v>443</v>
      </c>
    </row>
    <row r="1019" spans="1:9" hidden="1" x14ac:dyDescent="0.3">
      <c r="A1019" t="s">
        <v>8</v>
      </c>
      <c r="B1019" t="s">
        <v>441</v>
      </c>
      <c r="C1019" t="s">
        <v>442</v>
      </c>
      <c r="D1019" s="104">
        <v>46204</v>
      </c>
      <c r="E1019" t="s">
        <v>371</v>
      </c>
      <c r="F1019" s="63">
        <v>2981</v>
      </c>
      <c r="G1019" s="95">
        <v>7.19</v>
      </c>
      <c r="H1019" s="91">
        <f t="shared" si="17"/>
        <v>21433.39</v>
      </c>
      <c r="I1019" t="s">
        <v>443</v>
      </c>
    </row>
    <row r="1020" spans="1:9" hidden="1" x14ac:dyDescent="0.3">
      <c r="A1020" t="s">
        <v>8</v>
      </c>
      <c r="B1020" t="s">
        <v>441</v>
      </c>
      <c r="C1020" t="s">
        <v>442</v>
      </c>
      <c r="D1020" s="104">
        <v>46205</v>
      </c>
      <c r="E1020" t="s">
        <v>325</v>
      </c>
      <c r="F1020" s="63">
        <v>1</v>
      </c>
      <c r="G1020" s="95">
        <v>800</v>
      </c>
      <c r="H1020" s="91">
        <f t="shared" si="17"/>
        <v>800</v>
      </c>
      <c r="I1020" t="s">
        <v>443</v>
      </c>
    </row>
    <row r="1021" spans="1:9" hidden="1" x14ac:dyDescent="0.3">
      <c r="A1021" t="s">
        <v>8</v>
      </c>
      <c r="B1021" s="144" t="s">
        <v>574</v>
      </c>
      <c r="C1021" t="s">
        <v>299</v>
      </c>
      <c r="D1021" s="104">
        <v>46206</v>
      </c>
      <c r="E1021" t="s">
        <v>33</v>
      </c>
      <c r="F1021" s="144">
        <v>1</v>
      </c>
      <c r="G1021" s="139">
        <v>1366.75</v>
      </c>
      <c r="H1021" s="91">
        <f t="shared" ref="H1021:H1024" si="18">IF(OR(F1021="",G1021=""),"",F1021*G1021)</f>
        <v>1366.75</v>
      </c>
      <c r="I1021" t="s">
        <v>575</v>
      </c>
    </row>
    <row r="1022" spans="1:9" hidden="1" x14ac:dyDescent="0.3">
      <c r="A1022" t="s">
        <v>8</v>
      </c>
      <c r="B1022" s="144" t="s">
        <v>574</v>
      </c>
      <c r="C1022" t="s">
        <v>299</v>
      </c>
      <c r="D1022" s="104">
        <v>46207</v>
      </c>
      <c r="E1022" t="s">
        <v>306</v>
      </c>
      <c r="F1022" s="144">
        <v>1</v>
      </c>
      <c r="G1022" s="139">
        <v>1366.75</v>
      </c>
      <c r="H1022" s="91">
        <f t="shared" si="18"/>
        <v>1366.75</v>
      </c>
      <c r="I1022" t="s">
        <v>575</v>
      </c>
    </row>
    <row r="1023" spans="1:9" hidden="1" x14ac:dyDescent="0.3">
      <c r="A1023" t="s">
        <v>8</v>
      </c>
      <c r="B1023" s="144" t="s">
        <v>574</v>
      </c>
      <c r="C1023" t="s">
        <v>299</v>
      </c>
      <c r="D1023" s="104">
        <v>46208</v>
      </c>
      <c r="E1023" t="s">
        <v>312</v>
      </c>
      <c r="F1023" s="144">
        <v>1</v>
      </c>
      <c r="G1023" s="139">
        <v>1366.75</v>
      </c>
      <c r="H1023" s="91">
        <f t="shared" si="18"/>
        <v>1366.75</v>
      </c>
      <c r="I1023" t="s">
        <v>575</v>
      </c>
    </row>
    <row r="1024" spans="1:9" hidden="1" x14ac:dyDescent="0.3">
      <c r="A1024" t="s">
        <v>8</v>
      </c>
      <c r="B1024" s="144" t="s">
        <v>574</v>
      </c>
      <c r="C1024" t="s">
        <v>299</v>
      </c>
      <c r="D1024" s="104">
        <v>46209</v>
      </c>
      <c r="E1024" t="s">
        <v>319</v>
      </c>
      <c r="F1024" s="144">
        <v>1</v>
      </c>
      <c r="G1024" s="139">
        <v>1366.75</v>
      </c>
      <c r="H1024" s="91">
        <f t="shared" si="18"/>
        <v>1366.75</v>
      </c>
      <c r="I1024" t="s">
        <v>575</v>
      </c>
    </row>
    <row r="1025" spans="1:9" hidden="1" x14ac:dyDescent="0.3">
      <c r="A1025" t="s">
        <v>8</v>
      </c>
      <c r="B1025" s="144" t="s">
        <v>574</v>
      </c>
      <c r="C1025" t="s">
        <v>299</v>
      </c>
      <c r="D1025" s="104">
        <v>46210</v>
      </c>
      <c r="E1025" t="s">
        <v>371</v>
      </c>
      <c r="F1025" s="144">
        <v>1</v>
      </c>
      <c r="G1025" s="139">
        <v>1366.75</v>
      </c>
      <c r="H1025" s="91">
        <f t="shared" ref="H1025:H1027" si="19">IF(OR(F1025="",G1025=""),"",F1025*G1025)</f>
        <v>1366.75</v>
      </c>
      <c r="I1025" t="s">
        <v>575</v>
      </c>
    </row>
    <row r="1026" spans="1:9" hidden="1" x14ac:dyDescent="0.3">
      <c r="A1026" t="s">
        <v>8</v>
      </c>
      <c r="B1026" s="144" t="s">
        <v>574</v>
      </c>
      <c r="C1026" t="s">
        <v>299</v>
      </c>
      <c r="D1026" s="104">
        <v>46211</v>
      </c>
      <c r="E1026" t="s">
        <v>322</v>
      </c>
      <c r="F1026" s="144">
        <v>1</v>
      </c>
      <c r="G1026" s="139">
        <v>1366.75</v>
      </c>
      <c r="H1026" s="91">
        <f t="shared" si="19"/>
        <v>1366.75</v>
      </c>
      <c r="I1026" t="s">
        <v>575</v>
      </c>
    </row>
    <row r="1027" spans="1:9" hidden="1" x14ac:dyDescent="0.3">
      <c r="A1027" t="s">
        <v>8</v>
      </c>
      <c r="B1027" s="144" t="s">
        <v>574</v>
      </c>
      <c r="C1027" t="s">
        <v>299</v>
      </c>
      <c r="D1027" s="104">
        <v>46212</v>
      </c>
      <c r="E1027" t="s">
        <v>325</v>
      </c>
      <c r="F1027" s="144">
        <v>1</v>
      </c>
      <c r="G1027" s="139">
        <v>1366.75</v>
      </c>
      <c r="H1027" s="91">
        <f t="shared" si="19"/>
        <v>1366.75</v>
      </c>
      <c r="I1027" t="s">
        <v>575</v>
      </c>
    </row>
    <row r="1028" spans="1:9" x14ac:dyDescent="0.3">
      <c r="A1028" s="18" t="s">
        <v>254</v>
      </c>
      <c r="B1028" s="18"/>
      <c r="C1028" s="18"/>
      <c r="D1028" s="18"/>
      <c r="E1028" s="18"/>
      <c r="F1028" s="18"/>
      <c r="G1028" s="18"/>
      <c r="H1028" s="145">
        <f>SUBTOTAL(109,ReembolsoGeral[Valor total])</f>
        <v>10001.799999999999</v>
      </c>
      <c r="I1028" s="18"/>
    </row>
  </sheetData>
  <conditionalFormatting sqref="F1:H1048576">
    <cfRule type="cellIs" dxfId="0" priority="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47"/>
  <sheetViews>
    <sheetView topLeftCell="A71" zoomScaleNormal="100" workbookViewId="0"/>
  </sheetViews>
  <sheetFormatPr defaultColWidth="8.6640625" defaultRowHeight="14.4" x14ac:dyDescent="0.3"/>
  <cols>
    <col min="1" max="1" width="120" customWidth="1"/>
  </cols>
  <sheetData>
    <row r="1" spans="1:1" ht="15" customHeight="1" x14ac:dyDescent="0.3">
      <c r="A1" s="3" t="s">
        <v>576</v>
      </c>
    </row>
    <row r="3" spans="1:1" ht="15" customHeight="1" x14ac:dyDescent="0.3">
      <c r="A3" s="4" t="s">
        <v>7</v>
      </c>
    </row>
    <row r="4" spans="1:1" ht="15" customHeight="1" x14ac:dyDescent="0.3">
      <c r="A4" s="30" t="s">
        <v>577</v>
      </c>
    </row>
    <row r="5" spans="1:1" ht="15" customHeight="1" x14ac:dyDescent="0.3">
      <c r="A5" s="30" t="s">
        <v>578</v>
      </c>
    </row>
    <row r="6" spans="1:1" ht="15" customHeight="1" x14ac:dyDescent="0.3">
      <c r="A6" s="30" t="s">
        <v>579</v>
      </c>
    </row>
    <row r="7" spans="1:1" ht="15" customHeight="1" x14ac:dyDescent="0.3">
      <c r="A7" s="30" t="s">
        <v>580</v>
      </c>
    </row>
    <row r="8" spans="1:1" ht="15" customHeight="1" x14ac:dyDescent="0.3">
      <c r="A8" s="30" t="s">
        <v>581</v>
      </c>
    </row>
    <row r="10" spans="1:1" ht="15" customHeight="1" x14ac:dyDescent="0.3">
      <c r="A10" s="4" t="s">
        <v>68</v>
      </c>
    </row>
    <row r="11" spans="1:1" ht="15" customHeight="1" x14ac:dyDescent="0.3">
      <c r="A11" s="30" t="s">
        <v>582</v>
      </c>
    </row>
    <row r="12" spans="1:1" ht="15" customHeight="1" x14ac:dyDescent="0.3">
      <c r="A12" s="30" t="s">
        <v>583</v>
      </c>
    </row>
    <row r="13" spans="1:1" ht="15" customHeight="1" x14ac:dyDescent="0.3">
      <c r="A13" s="30" t="s">
        <v>584</v>
      </c>
    </row>
    <row r="14" spans="1:1" ht="15" customHeight="1" x14ac:dyDescent="0.3">
      <c r="A14" s="30" t="s">
        <v>585</v>
      </c>
    </row>
    <row r="15" spans="1:1" ht="15" customHeight="1" x14ac:dyDescent="0.3">
      <c r="A15" s="30" t="s">
        <v>586</v>
      </c>
    </row>
    <row r="16" spans="1:1" ht="15" customHeight="1" x14ac:dyDescent="0.3">
      <c r="A16" s="30" t="s">
        <v>587</v>
      </c>
    </row>
    <row r="17" spans="1:1" ht="15" customHeight="1" x14ac:dyDescent="0.3">
      <c r="A17" s="30" t="s">
        <v>588</v>
      </c>
    </row>
    <row r="18" spans="1:1" ht="15" customHeight="1" x14ac:dyDescent="0.3">
      <c r="A18" s="30" t="s">
        <v>589</v>
      </c>
    </row>
    <row r="20" spans="1:1" ht="15" customHeight="1" x14ac:dyDescent="0.3">
      <c r="A20" s="4" t="s">
        <v>9</v>
      </c>
    </row>
    <row r="21" spans="1:1" ht="15" customHeight="1" x14ac:dyDescent="0.3">
      <c r="A21" s="30" t="s">
        <v>590</v>
      </c>
    </row>
    <row r="22" spans="1:1" ht="15" customHeight="1" x14ac:dyDescent="0.3">
      <c r="A22" s="30" t="s">
        <v>591</v>
      </c>
    </row>
    <row r="23" spans="1:1" ht="15" customHeight="1" x14ac:dyDescent="0.3">
      <c r="A23" s="30" t="s">
        <v>592</v>
      </c>
    </row>
    <row r="24" spans="1:1" ht="15" customHeight="1" x14ac:dyDescent="0.3">
      <c r="A24" s="30" t="s">
        <v>593</v>
      </c>
    </row>
    <row r="25" spans="1:1" ht="15" customHeight="1" x14ac:dyDescent="0.3">
      <c r="A25" s="30" t="s">
        <v>594</v>
      </c>
    </row>
    <row r="27" spans="1:1" ht="15" customHeight="1" x14ac:dyDescent="0.3">
      <c r="A27" s="4" t="s">
        <v>10</v>
      </c>
    </row>
    <row r="28" spans="1:1" ht="15" customHeight="1" x14ac:dyDescent="0.3">
      <c r="A28" s="30" t="s">
        <v>595</v>
      </c>
    </row>
    <row r="29" spans="1:1" ht="15" customHeight="1" x14ac:dyDescent="0.3">
      <c r="A29" s="30" t="s">
        <v>596</v>
      </c>
    </row>
    <row r="30" spans="1:1" ht="15" customHeight="1" x14ac:dyDescent="0.3">
      <c r="A30" s="30" t="s">
        <v>597</v>
      </c>
    </row>
    <row r="31" spans="1:1" ht="15" customHeight="1" x14ac:dyDescent="0.3">
      <c r="A31" s="30" t="s">
        <v>598</v>
      </c>
    </row>
    <row r="32" spans="1:1" ht="15" customHeight="1" x14ac:dyDescent="0.3">
      <c r="A32" s="30" t="s">
        <v>599</v>
      </c>
    </row>
    <row r="33" spans="1:1" ht="15" customHeight="1" x14ac:dyDescent="0.3">
      <c r="A33" s="30" t="s">
        <v>600</v>
      </c>
    </row>
    <row r="34" spans="1:1" ht="15" customHeight="1" x14ac:dyDescent="0.3">
      <c r="A34" s="30" t="s">
        <v>601</v>
      </c>
    </row>
    <row r="36" spans="1:1" ht="15" customHeight="1" x14ac:dyDescent="0.3">
      <c r="A36" s="4" t="s">
        <v>11</v>
      </c>
    </row>
    <row r="37" spans="1:1" ht="15" customHeight="1" x14ac:dyDescent="0.3">
      <c r="A37" s="30" t="s">
        <v>582</v>
      </c>
    </row>
    <row r="38" spans="1:1" ht="15" customHeight="1" x14ac:dyDescent="0.3">
      <c r="A38" s="30" t="s">
        <v>583</v>
      </c>
    </row>
    <row r="39" spans="1:1" ht="15" customHeight="1" x14ac:dyDescent="0.3">
      <c r="A39" s="30" t="s">
        <v>584</v>
      </c>
    </row>
    <row r="40" spans="1:1" ht="15" customHeight="1" x14ac:dyDescent="0.3">
      <c r="A40" s="30" t="s">
        <v>602</v>
      </c>
    </row>
    <row r="41" spans="1:1" ht="15" customHeight="1" x14ac:dyDescent="0.3">
      <c r="A41" s="30" t="s">
        <v>603</v>
      </c>
    </row>
    <row r="42" spans="1:1" ht="15" customHeight="1" x14ac:dyDescent="0.3">
      <c r="A42" s="30" t="s">
        <v>587</v>
      </c>
    </row>
    <row r="43" spans="1:1" ht="15" customHeight="1" x14ac:dyDescent="0.3">
      <c r="A43" s="30" t="s">
        <v>604</v>
      </c>
    </row>
    <row r="45" spans="1:1" ht="15" customHeight="1" x14ac:dyDescent="0.3">
      <c r="A45" s="4" t="s">
        <v>12</v>
      </c>
    </row>
    <row r="46" spans="1:1" ht="15" customHeight="1" x14ac:dyDescent="0.3">
      <c r="A46" s="30" t="s">
        <v>605</v>
      </c>
    </row>
    <row r="47" spans="1:1" ht="15" customHeight="1" x14ac:dyDescent="0.3">
      <c r="A47" s="30" t="s">
        <v>606</v>
      </c>
    </row>
    <row r="48" spans="1:1" ht="15" customHeight="1" x14ac:dyDescent="0.3">
      <c r="A48" s="30" t="s">
        <v>607</v>
      </c>
    </row>
    <row r="49" spans="1:1" ht="15" customHeight="1" x14ac:dyDescent="0.3">
      <c r="A49" s="30" t="s">
        <v>608</v>
      </c>
    </row>
    <row r="50" spans="1:1" ht="15" customHeight="1" x14ac:dyDescent="0.3">
      <c r="A50" s="30" t="s">
        <v>609</v>
      </c>
    </row>
    <row r="51" spans="1:1" ht="15" customHeight="1" x14ac:dyDescent="0.3">
      <c r="A51" s="30" t="s">
        <v>610</v>
      </c>
    </row>
    <row r="52" spans="1:1" ht="15" customHeight="1" x14ac:dyDescent="0.3">
      <c r="A52" s="30" t="s">
        <v>611</v>
      </c>
    </row>
    <row r="53" spans="1:1" ht="15" customHeight="1" x14ac:dyDescent="0.3">
      <c r="A53" s="30" t="s">
        <v>612</v>
      </c>
    </row>
    <row r="54" spans="1:1" ht="15" customHeight="1" x14ac:dyDescent="0.3">
      <c r="A54" s="30" t="s">
        <v>613</v>
      </c>
    </row>
    <row r="55" spans="1:1" ht="15" customHeight="1" x14ac:dyDescent="0.3">
      <c r="A55" s="30" t="s">
        <v>614</v>
      </c>
    </row>
    <row r="56" spans="1:1" ht="15" customHeight="1" x14ac:dyDescent="0.3">
      <c r="A56" s="30" t="s">
        <v>615</v>
      </c>
    </row>
    <row r="57" spans="1:1" ht="15" customHeight="1" x14ac:dyDescent="0.3">
      <c r="A57" s="30" t="s">
        <v>616</v>
      </c>
    </row>
    <row r="58" spans="1:1" ht="15" customHeight="1" x14ac:dyDescent="0.3">
      <c r="A58" s="30" t="s">
        <v>617</v>
      </c>
    </row>
    <row r="59" spans="1:1" ht="15" customHeight="1" x14ac:dyDescent="0.3">
      <c r="A59" s="30" t="s">
        <v>618</v>
      </c>
    </row>
    <row r="60" spans="1:1" ht="15" customHeight="1" x14ac:dyDescent="0.3">
      <c r="A60" s="30" t="s">
        <v>619</v>
      </c>
    </row>
    <row r="61" spans="1:1" ht="15" customHeight="1" x14ac:dyDescent="0.3">
      <c r="A61" s="30" t="s">
        <v>620</v>
      </c>
    </row>
    <row r="62" spans="1:1" ht="15" customHeight="1" x14ac:dyDescent="0.3">
      <c r="A62" s="30" t="s">
        <v>621</v>
      </c>
    </row>
    <row r="63" spans="1:1" ht="15" customHeight="1" x14ac:dyDescent="0.3">
      <c r="A63" s="30" t="s">
        <v>622</v>
      </c>
    </row>
    <row r="64" spans="1:1" ht="15" customHeight="1" x14ac:dyDescent="0.3">
      <c r="A64" s="30" t="s">
        <v>623</v>
      </c>
    </row>
    <row r="65" spans="1:1" ht="15" customHeight="1" x14ac:dyDescent="0.3">
      <c r="A65" s="30" t="s">
        <v>624</v>
      </c>
    </row>
    <row r="66" spans="1:1" ht="15" customHeight="1" x14ac:dyDescent="0.3">
      <c r="A66" s="30" t="s">
        <v>625</v>
      </c>
    </row>
    <row r="67" spans="1:1" ht="15" customHeight="1" x14ac:dyDescent="0.3">
      <c r="A67" s="30" t="s">
        <v>626</v>
      </c>
    </row>
    <row r="68" spans="1:1" ht="15" customHeight="1" x14ac:dyDescent="0.3">
      <c r="A68" s="30" t="s">
        <v>627</v>
      </c>
    </row>
    <row r="69" spans="1:1" ht="15" customHeight="1" x14ac:dyDescent="0.3">
      <c r="A69" s="30" t="s">
        <v>628</v>
      </c>
    </row>
    <row r="70" spans="1:1" ht="15" customHeight="1" x14ac:dyDescent="0.3">
      <c r="A70" s="30" t="s">
        <v>629</v>
      </c>
    </row>
    <row r="71" spans="1:1" ht="15" customHeight="1" x14ac:dyDescent="0.3">
      <c r="A71" s="30" t="s">
        <v>630</v>
      </c>
    </row>
    <row r="72" spans="1:1" ht="15" customHeight="1" x14ac:dyDescent="0.3">
      <c r="A72" s="30" t="s">
        <v>631</v>
      </c>
    </row>
    <row r="73" spans="1:1" ht="15" customHeight="1" x14ac:dyDescent="0.3">
      <c r="A73" s="30" t="s">
        <v>590</v>
      </c>
    </row>
    <row r="74" spans="1:1" ht="15" customHeight="1" x14ac:dyDescent="0.3">
      <c r="A74" s="30" t="s">
        <v>632</v>
      </c>
    </row>
    <row r="75" spans="1:1" ht="15" customHeight="1" x14ac:dyDescent="0.3">
      <c r="A75" s="30" t="s">
        <v>591</v>
      </c>
    </row>
    <row r="76" spans="1:1" ht="15" customHeight="1" x14ac:dyDescent="0.3">
      <c r="A76" s="30" t="s">
        <v>633</v>
      </c>
    </row>
    <row r="77" spans="1:1" ht="15" customHeight="1" x14ac:dyDescent="0.3">
      <c r="A77" s="30" t="s">
        <v>634</v>
      </c>
    </row>
    <row r="79" spans="1:1" ht="15" customHeight="1" x14ac:dyDescent="0.3">
      <c r="A79" s="4" t="s">
        <v>13</v>
      </c>
    </row>
    <row r="80" spans="1:1" ht="15" customHeight="1" x14ac:dyDescent="0.3">
      <c r="A80" s="30" t="s">
        <v>635</v>
      </c>
    </row>
    <row r="81" spans="1:1" ht="15" customHeight="1" x14ac:dyDescent="0.3">
      <c r="A81" s="30" t="s">
        <v>636</v>
      </c>
    </row>
    <row r="82" spans="1:1" ht="15" customHeight="1" x14ac:dyDescent="0.3">
      <c r="A82" s="30" t="s">
        <v>637</v>
      </c>
    </row>
    <row r="83" spans="1:1" ht="15" customHeight="1" x14ac:dyDescent="0.3">
      <c r="A83" s="30" t="s">
        <v>638</v>
      </c>
    </row>
    <row r="84" spans="1:1" ht="15" customHeight="1" x14ac:dyDescent="0.3">
      <c r="A84" s="30" t="s">
        <v>639</v>
      </c>
    </row>
    <row r="85" spans="1:1" ht="15" customHeight="1" x14ac:dyDescent="0.3">
      <c r="A85" s="30" t="s">
        <v>640</v>
      </c>
    </row>
    <row r="86" spans="1:1" ht="15" customHeight="1" x14ac:dyDescent="0.3">
      <c r="A86" s="30" t="s">
        <v>582</v>
      </c>
    </row>
    <row r="87" spans="1:1" ht="15" customHeight="1" x14ac:dyDescent="0.3">
      <c r="A87" s="30" t="s">
        <v>641</v>
      </c>
    </row>
    <row r="88" spans="1:1" ht="15" customHeight="1" x14ac:dyDescent="0.3">
      <c r="A88" s="30" t="s">
        <v>584</v>
      </c>
    </row>
    <row r="89" spans="1:1" ht="15" customHeight="1" x14ac:dyDescent="0.3">
      <c r="A89" s="30" t="s">
        <v>642</v>
      </c>
    </row>
    <row r="90" spans="1:1" ht="15" customHeight="1" x14ac:dyDescent="0.3">
      <c r="A90" s="30" t="s">
        <v>603</v>
      </c>
    </row>
    <row r="91" spans="1:1" ht="15" customHeight="1" x14ac:dyDescent="0.3">
      <c r="A91" s="30" t="s">
        <v>643</v>
      </c>
    </row>
    <row r="92" spans="1:1" ht="15" customHeight="1" x14ac:dyDescent="0.3">
      <c r="A92" s="30" t="s">
        <v>644</v>
      </c>
    </row>
    <row r="94" spans="1:1" ht="15" customHeight="1" x14ac:dyDescent="0.3">
      <c r="A94" s="4" t="s">
        <v>14</v>
      </c>
    </row>
    <row r="95" spans="1:1" ht="15" customHeight="1" x14ac:dyDescent="0.3">
      <c r="A95" s="30" t="s">
        <v>645</v>
      </c>
    </row>
    <row r="96" spans="1:1" ht="15" customHeight="1" x14ac:dyDescent="0.3">
      <c r="A96" s="30" t="s">
        <v>646</v>
      </c>
    </row>
    <row r="97" spans="1:1" ht="15" customHeight="1" x14ac:dyDescent="0.3">
      <c r="A97" s="30" t="s">
        <v>647</v>
      </c>
    </row>
    <row r="98" spans="1:1" ht="15" customHeight="1" x14ac:dyDescent="0.3">
      <c r="A98" s="30" t="s">
        <v>648</v>
      </c>
    </row>
    <row r="99" spans="1:1" ht="15" customHeight="1" x14ac:dyDescent="0.3">
      <c r="A99" s="30" t="s">
        <v>649</v>
      </c>
    </row>
    <row r="100" spans="1:1" ht="15" customHeight="1" x14ac:dyDescent="0.3">
      <c r="A100" s="30" t="s">
        <v>650</v>
      </c>
    </row>
    <row r="101" spans="1:1" ht="15" customHeight="1" x14ac:dyDescent="0.3">
      <c r="A101" s="30" t="s">
        <v>651</v>
      </c>
    </row>
    <row r="103" spans="1:1" ht="15" customHeight="1" x14ac:dyDescent="0.3">
      <c r="A103" s="4" t="s">
        <v>15</v>
      </c>
    </row>
    <row r="104" spans="1:1" ht="15" customHeight="1" x14ac:dyDescent="0.3">
      <c r="A104" s="30" t="s">
        <v>652</v>
      </c>
    </row>
    <row r="105" spans="1:1" ht="15" customHeight="1" x14ac:dyDescent="0.3">
      <c r="A105" s="30" t="s">
        <v>653</v>
      </c>
    </row>
    <row r="106" spans="1:1" ht="15" customHeight="1" x14ac:dyDescent="0.3">
      <c r="A106" s="30" t="s">
        <v>654</v>
      </c>
    </row>
    <row r="107" spans="1:1" ht="15" customHeight="1" x14ac:dyDescent="0.3">
      <c r="A107" s="30" t="s">
        <v>655</v>
      </c>
    </row>
    <row r="108" spans="1:1" ht="15" customHeight="1" x14ac:dyDescent="0.3">
      <c r="A108" s="30" t="s">
        <v>656</v>
      </c>
    </row>
    <row r="109" spans="1:1" ht="15" customHeight="1" x14ac:dyDescent="0.3">
      <c r="A109" s="30" t="s">
        <v>657</v>
      </c>
    </row>
    <row r="111" spans="1:1" ht="15" customHeight="1" x14ac:dyDescent="0.3">
      <c r="A111" s="4" t="s">
        <v>16</v>
      </c>
    </row>
    <row r="112" spans="1:1" ht="15" customHeight="1" x14ac:dyDescent="0.3">
      <c r="A112" s="30" t="s">
        <v>658</v>
      </c>
    </row>
    <row r="113" spans="1:1" ht="15" customHeight="1" x14ac:dyDescent="0.3">
      <c r="A113" s="30" t="s">
        <v>659</v>
      </c>
    </row>
    <row r="114" spans="1:1" ht="15" customHeight="1" x14ac:dyDescent="0.3">
      <c r="A114" s="30" t="s">
        <v>660</v>
      </c>
    </row>
    <row r="115" spans="1:1" ht="15" customHeight="1" x14ac:dyDescent="0.3">
      <c r="A115" s="30" t="s">
        <v>661</v>
      </c>
    </row>
    <row r="116" spans="1:1" ht="15" customHeight="1" x14ac:dyDescent="0.3">
      <c r="A116" s="30" t="s">
        <v>662</v>
      </c>
    </row>
    <row r="117" spans="1:1" ht="15" customHeight="1" x14ac:dyDescent="0.3">
      <c r="A117" s="30" t="s">
        <v>663</v>
      </c>
    </row>
    <row r="119" spans="1:1" ht="15" customHeight="1" x14ac:dyDescent="0.3">
      <c r="A119" s="4" t="s">
        <v>17</v>
      </c>
    </row>
    <row r="120" spans="1:1" ht="15" customHeight="1" x14ac:dyDescent="0.3">
      <c r="A120" s="30" t="s">
        <v>658</v>
      </c>
    </row>
    <row r="121" spans="1:1" ht="15" customHeight="1" x14ac:dyDescent="0.3">
      <c r="A121" s="30" t="s">
        <v>659</v>
      </c>
    </row>
    <row r="122" spans="1:1" ht="15" customHeight="1" x14ac:dyDescent="0.3">
      <c r="A122" s="30" t="s">
        <v>660</v>
      </c>
    </row>
    <row r="123" spans="1:1" ht="15" customHeight="1" x14ac:dyDescent="0.3">
      <c r="A123" s="30" t="s">
        <v>664</v>
      </c>
    </row>
    <row r="124" spans="1:1" ht="15" customHeight="1" x14ac:dyDescent="0.3">
      <c r="A124" s="30" t="s">
        <v>662</v>
      </c>
    </row>
    <row r="125" spans="1:1" ht="15" customHeight="1" x14ac:dyDescent="0.3">
      <c r="A125" s="30" t="s">
        <v>665</v>
      </c>
    </row>
    <row r="127" spans="1:1" ht="15" customHeight="1" x14ac:dyDescent="0.3">
      <c r="A127" s="4" t="s">
        <v>18</v>
      </c>
    </row>
    <row r="128" spans="1:1" ht="15" customHeight="1" x14ac:dyDescent="0.3">
      <c r="A128" s="30" t="s">
        <v>666</v>
      </c>
    </row>
    <row r="129" spans="1:1" ht="15" customHeight="1" x14ac:dyDescent="0.3">
      <c r="A129" s="30" t="s">
        <v>667</v>
      </c>
    </row>
    <row r="130" spans="1:1" ht="15" customHeight="1" x14ac:dyDescent="0.3">
      <c r="A130" s="30" t="s">
        <v>668</v>
      </c>
    </row>
    <row r="131" spans="1:1" ht="15" customHeight="1" x14ac:dyDescent="0.3">
      <c r="A131" s="30" t="s">
        <v>669</v>
      </c>
    </row>
    <row r="132" spans="1:1" ht="15" customHeight="1" x14ac:dyDescent="0.3">
      <c r="A132" s="30" t="s">
        <v>670</v>
      </c>
    </row>
    <row r="133" spans="1:1" ht="15" customHeight="1" x14ac:dyDescent="0.3">
      <c r="A133" s="30" t="s">
        <v>671</v>
      </c>
    </row>
    <row r="134" spans="1:1" ht="15" customHeight="1" x14ac:dyDescent="0.3">
      <c r="A134" s="30" t="s">
        <v>672</v>
      </c>
    </row>
    <row r="135" spans="1:1" ht="15" customHeight="1" x14ac:dyDescent="0.3">
      <c r="A135" s="30" t="s">
        <v>673</v>
      </c>
    </row>
    <row r="136" spans="1:1" ht="15" customHeight="1" x14ac:dyDescent="0.3">
      <c r="A136" s="30" t="s">
        <v>674</v>
      </c>
    </row>
    <row r="137" spans="1:1" ht="15" customHeight="1" x14ac:dyDescent="0.3">
      <c r="A137" s="30" t="s">
        <v>645</v>
      </c>
    </row>
    <row r="138" spans="1:1" ht="15" customHeight="1" x14ac:dyDescent="0.3">
      <c r="A138" s="30" t="s">
        <v>646</v>
      </c>
    </row>
    <row r="139" spans="1:1" ht="15" customHeight="1" x14ac:dyDescent="0.3">
      <c r="A139" s="30" t="s">
        <v>647</v>
      </c>
    </row>
    <row r="140" spans="1:1" ht="15" customHeight="1" x14ac:dyDescent="0.3">
      <c r="A140" s="30" t="s">
        <v>675</v>
      </c>
    </row>
    <row r="141" spans="1:1" ht="15" customHeight="1" x14ac:dyDescent="0.3">
      <c r="A141" s="30" t="s">
        <v>676</v>
      </c>
    </row>
    <row r="142" spans="1:1" ht="15" customHeight="1" x14ac:dyDescent="0.3">
      <c r="A142" s="30" t="s">
        <v>677</v>
      </c>
    </row>
    <row r="143" spans="1:1" ht="15" customHeight="1" x14ac:dyDescent="0.3">
      <c r="A143" s="30" t="s">
        <v>678</v>
      </c>
    </row>
    <row r="145" spans="1:1" ht="15" customHeight="1" x14ac:dyDescent="0.3">
      <c r="A145" s="4" t="s">
        <v>19</v>
      </c>
    </row>
    <row r="146" spans="1:1" ht="15" customHeight="1" x14ac:dyDescent="0.3">
      <c r="A146" s="30" t="s">
        <v>679</v>
      </c>
    </row>
    <row r="147" spans="1:1" ht="15" customHeight="1" x14ac:dyDescent="0.3">
      <c r="A147" s="30" t="s">
        <v>658</v>
      </c>
    </row>
    <row r="148" spans="1:1" ht="15" customHeight="1" x14ac:dyDescent="0.3">
      <c r="A148" s="30" t="s">
        <v>680</v>
      </c>
    </row>
    <row r="149" spans="1:1" ht="15" customHeight="1" x14ac:dyDescent="0.3">
      <c r="A149" s="30" t="s">
        <v>659</v>
      </c>
    </row>
    <row r="150" spans="1:1" ht="15" customHeight="1" x14ac:dyDescent="0.3">
      <c r="A150" s="30" t="s">
        <v>681</v>
      </c>
    </row>
    <row r="151" spans="1:1" ht="15" customHeight="1" x14ac:dyDescent="0.3">
      <c r="A151" s="30" t="s">
        <v>664</v>
      </c>
    </row>
    <row r="152" spans="1:1" ht="15" customHeight="1" x14ac:dyDescent="0.3">
      <c r="A152" s="30" t="s">
        <v>682</v>
      </c>
    </row>
    <row r="153" spans="1:1" ht="15" customHeight="1" x14ac:dyDescent="0.3">
      <c r="A153" s="30" t="s">
        <v>683</v>
      </c>
    </row>
    <row r="155" spans="1:1" ht="15" customHeight="1" x14ac:dyDescent="0.3">
      <c r="A155" s="4" t="s">
        <v>20</v>
      </c>
    </row>
    <row r="156" spans="1:1" ht="15" customHeight="1" x14ac:dyDescent="0.3">
      <c r="A156" s="30" t="s">
        <v>645</v>
      </c>
    </row>
    <row r="157" spans="1:1" ht="15" customHeight="1" x14ac:dyDescent="0.3">
      <c r="A157" s="30" t="s">
        <v>646</v>
      </c>
    </row>
    <row r="158" spans="1:1" ht="15" customHeight="1" x14ac:dyDescent="0.3">
      <c r="A158" s="30" t="s">
        <v>647</v>
      </c>
    </row>
    <row r="159" spans="1:1" ht="15" customHeight="1" x14ac:dyDescent="0.3">
      <c r="A159" s="30" t="s">
        <v>675</v>
      </c>
    </row>
    <row r="160" spans="1:1" ht="15" customHeight="1" x14ac:dyDescent="0.3">
      <c r="A160" s="30" t="s">
        <v>684</v>
      </c>
    </row>
    <row r="161" spans="1:1" ht="15" customHeight="1" x14ac:dyDescent="0.3">
      <c r="A161" s="30" t="s">
        <v>685</v>
      </c>
    </row>
    <row r="162" spans="1:1" ht="15" customHeight="1" x14ac:dyDescent="0.3">
      <c r="A162" s="30" t="s">
        <v>678</v>
      </c>
    </row>
    <row r="164" spans="1:1" ht="15" customHeight="1" x14ac:dyDescent="0.3">
      <c r="A164" s="4" t="s">
        <v>21</v>
      </c>
    </row>
    <row r="165" spans="1:1" ht="15" customHeight="1" x14ac:dyDescent="0.3">
      <c r="A165" s="30" t="s">
        <v>686</v>
      </c>
    </row>
    <row r="166" spans="1:1" ht="15" customHeight="1" x14ac:dyDescent="0.3">
      <c r="A166" s="30" t="s">
        <v>577</v>
      </c>
    </row>
    <row r="167" spans="1:1" ht="15" customHeight="1" x14ac:dyDescent="0.3">
      <c r="A167" s="30" t="s">
        <v>687</v>
      </c>
    </row>
    <row r="168" spans="1:1" ht="15" customHeight="1" x14ac:dyDescent="0.3">
      <c r="A168" s="30" t="s">
        <v>578</v>
      </c>
    </row>
    <row r="169" spans="1:1" ht="15" customHeight="1" x14ac:dyDescent="0.3">
      <c r="A169" s="30" t="s">
        <v>688</v>
      </c>
    </row>
    <row r="170" spans="1:1" ht="15" customHeight="1" x14ac:dyDescent="0.3">
      <c r="A170" s="30" t="s">
        <v>580</v>
      </c>
    </row>
    <row r="171" spans="1:1" ht="15" customHeight="1" x14ac:dyDescent="0.3">
      <c r="A171" s="30" t="s">
        <v>689</v>
      </c>
    </row>
    <row r="172" spans="1:1" ht="15" customHeight="1" x14ac:dyDescent="0.3">
      <c r="A172" s="30" t="s">
        <v>690</v>
      </c>
    </row>
    <row r="174" spans="1:1" ht="15" customHeight="1" x14ac:dyDescent="0.3">
      <c r="A174" s="4" t="s">
        <v>22</v>
      </c>
    </row>
    <row r="175" spans="1:1" ht="15" customHeight="1" x14ac:dyDescent="0.3">
      <c r="A175" s="30" t="s">
        <v>691</v>
      </c>
    </row>
    <row r="176" spans="1:1" ht="15" customHeight="1" x14ac:dyDescent="0.3">
      <c r="A176" s="30" t="s">
        <v>590</v>
      </c>
    </row>
    <row r="177" spans="1:1" ht="15" customHeight="1" x14ac:dyDescent="0.3">
      <c r="A177" s="30" t="s">
        <v>632</v>
      </c>
    </row>
    <row r="178" spans="1:1" ht="15" customHeight="1" x14ac:dyDescent="0.3">
      <c r="A178" s="30" t="s">
        <v>591</v>
      </c>
    </row>
    <row r="179" spans="1:1" ht="15" customHeight="1" x14ac:dyDescent="0.3">
      <c r="A179" s="30" t="s">
        <v>692</v>
      </c>
    </row>
    <row r="180" spans="1:1" ht="15" customHeight="1" x14ac:dyDescent="0.3">
      <c r="A180" s="30" t="s">
        <v>693</v>
      </c>
    </row>
    <row r="181" spans="1:1" ht="15" customHeight="1" x14ac:dyDescent="0.3">
      <c r="A181" s="30" t="s">
        <v>694</v>
      </c>
    </row>
    <row r="182" spans="1:1" ht="15" customHeight="1" x14ac:dyDescent="0.3">
      <c r="A182" s="30" t="s">
        <v>695</v>
      </c>
    </row>
    <row r="184" spans="1:1" ht="15" customHeight="1" x14ac:dyDescent="0.3">
      <c r="A184" s="4" t="s">
        <v>23</v>
      </c>
    </row>
    <row r="185" spans="1:1" ht="15" customHeight="1" x14ac:dyDescent="0.3">
      <c r="A185" s="30" t="s">
        <v>696</v>
      </c>
    </row>
    <row r="186" spans="1:1" ht="15" customHeight="1" x14ac:dyDescent="0.3">
      <c r="A186" s="30" t="s">
        <v>697</v>
      </c>
    </row>
    <row r="187" spans="1:1" ht="15" customHeight="1" x14ac:dyDescent="0.3">
      <c r="A187" s="30" t="s">
        <v>698</v>
      </c>
    </row>
    <row r="188" spans="1:1" ht="15" customHeight="1" x14ac:dyDescent="0.3">
      <c r="A188" s="30" t="s">
        <v>699</v>
      </c>
    </row>
    <row r="189" spans="1:1" ht="15" customHeight="1" x14ac:dyDescent="0.3">
      <c r="A189" s="30" t="s">
        <v>700</v>
      </c>
    </row>
    <row r="190" spans="1:1" ht="15" customHeight="1" x14ac:dyDescent="0.3">
      <c r="A190" s="30" t="s">
        <v>701</v>
      </c>
    </row>
    <row r="191" spans="1:1" ht="15" customHeight="1" x14ac:dyDescent="0.3">
      <c r="A191" s="30" t="s">
        <v>702</v>
      </c>
    </row>
    <row r="193" spans="1:1" ht="15" customHeight="1" x14ac:dyDescent="0.3">
      <c r="A193" s="4" t="s">
        <v>24</v>
      </c>
    </row>
    <row r="194" spans="1:1" ht="15" customHeight="1" x14ac:dyDescent="0.3">
      <c r="A194" s="30" t="s">
        <v>703</v>
      </c>
    </row>
    <row r="195" spans="1:1" ht="15" customHeight="1" x14ac:dyDescent="0.3">
      <c r="A195" s="30" t="s">
        <v>704</v>
      </c>
    </row>
    <row r="196" spans="1:1" ht="15" customHeight="1" x14ac:dyDescent="0.3">
      <c r="A196" s="30" t="s">
        <v>705</v>
      </c>
    </row>
    <row r="197" spans="1:1" ht="15" customHeight="1" x14ac:dyDescent="0.3">
      <c r="A197" s="30" t="s">
        <v>706</v>
      </c>
    </row>
    <row r="198" spans="1:1" ht="15" customHeight="1" x14ac:dyDescent="0.3">
      <c r="A198" s="30" t="s">
        <v>707</v>
      </c>
    </row>
    <row r="199" spans="1:1" ht="15" customHeight="1" x14ac:dyDescent="0.3">
      <c r="A199" s="30" t="s">
        <v>708</v>
      </c>
    </row>
    <row r="200" spans="1:1" ht="15" customHeight="1" x14ac:dyDescent="0.3">
      <c r="A200" s="30" t="s">
        <v>709</v>
      </c>
    </row>
    <row r="201" spans="1:1" ht="15" customHeight="1" x14ac:dyDescent="0.3">
      <c r="A201" s="30" t="s">
        <v>710</v>
      </c>
    </row>
    <row r="203" spans="1:1" ht="15" customHeight="1" x14ac:dyDescent="0.3">
      <c r="A203" s="4" t="s">
        <v>25</v>
      </c>
    </row>
    <row r="204" spans="1:1" ht="15" customHeight="1" x14ac:dyDescent="0.3">
      <c r="A204" s="30" t="s">
        <v>711</v>
      </c>
    </row>
    <row r="205" spans="1:1" ht="15" customHeight="1" x14ac:dyDescent="0.3">
      <c r="A205" s="30" t="s">
        <v>712</v>
      </c>
    </row>
    <row r="206" spans="1:1" ht="15" customHeight="1" x14ac:dyDescent="0.3">
      <c r="A206" s="30" t="s">
        <v>713</v>
      </c>
    </row>
    <row r="207" spans="1:1" ht="15" customHeight="1" x14ac:dyDescent="0.3">
      <c r="A207" s="30" t="s">
        <v>714</v>
      </c>
    </row>
    <row r="208" spans="1:1" ht="15" customHeight="1" x14ac:dyDescent="0.3">
      <c r="A208" s="30" t="s">
        <v>715</v>
      </c>
    </row>
    <row r="209" spans="1:1" ht="15" customHeight="1" x14ac:dyDescent="0.3">
      <c r="A209" s="30" t="s">
        <v>716</v>
      </c>
    </row>
    <row r="210" spans="1:1" ht="15" customHeight="1" x14ac:dyDescent="0.3">
      <c r="A210" s="30" t="s">
        <v>717</v>
      </c>
    </row>
    <row r="211" spans="1:1" ht="15" customHeight="1" x14ac:dyDescent="0.3">
      <c r="A211" s="30" t="s">
        <v>718</v>
      </c>
    </row>
    <row r="212" spans="1:1" ht="15" customHeight="1" x14ac:dyDescent="0.3">
      <c r="A212" s="30" t="s">
        <v>719</v>
      </c>
    </row>
    <row r="213" spans="1:1" ht="15" customHeight="1" x14ac:dyDescent="0.3">
      <c r="A213" s="30" t="s">
        <v>720</v>
      </c>
    </row>
    <row r="214" spans="1:1" ht="15" customHeight="1" x14ac:dyDescent="0.3">
      <c r="A214" s="30" t="s">
        <v>721</v>
      </c>
    </row>
    <row r="215" spans="1:1" ht="15" customHeight="1" x14ac:dyDescent="0.3">
      <c r="A215" s="30" t="s">
        <v>722</v>
      </c>
    </row>
    <row r="216" spans="1:1" ht="15" customHeight="1" x14ac:dyDescent="0.3">
      <c r="A216" s="30" t="s">
        <v>723</v>
      </c>
    </row>
    <row r="217" spans="1:1" ht="15" customHeight="1" x14ac:dyDescent="0.3">
      <c r="A217" s="30" t="s">
        <v>724</v>
      </c>
    </row>
    <row r="218" spans="1:1" ht="15" customHeight="1" x14ac:dyDescent="0.3">
      <c r="A218" s="30" t="s">
        <v>725</v>
      </c>
    </row>
    <row r="219" spans="1:1" ht="15" customHeight="1" x14ac:dyDescent="0.3">
      <c r="A219" s="30" t="s">
        <v>726</v>
      </c>
    </row>
    <row r="220" spans="1:1" ht="15" customHeight="1" x14ac:dyDescent="0.3">
      <c r="A220" s="30" t="s">
        <v>727</v>
      </c>
    </row>
    <row r="222" spans="1:1" ht="15" customHeight="1" x14ac:dyDescent="0.3">
      <c r="A222" s="4" t="s">
        <v>26</v>
      </c>
    </row>
    <row r="223" spans="1:1" ht="15" customHeight="1" x14ac:dyDescent="0.3">
      <c r="A223" s="30" t="s">
        <v>590</v>
      </c>
    </row>
    <row r="224" spans="1:1" ht="15" customHeight="1" x14ac:dyDescent="0.3">
      <c r="A224" s="30" t="s">
        <v>591</v>
      </c>
    </row>
    <row r="225" spans="1:1" ht="15" customHeight="1" x14ac:dyDescent="0.3">
      <c r="A225" s="30" t="s">
        <v>728</v>
      </c>
    </row>
    <row r="226" spans="1:1" ht="15" customHeight="1" x14ac:dyDescent="0.3">
      <c r="A226" s="30" t="s">
        <v>729</v>
      </c>
    </row>
    <row r="227" spans="1:1" ht="15" customHeight="1" x14ac:dyDescent="0.3">
      <c r="A227" s="30" t="s">
        <v>730</v>
      </c>
    </row>
    <row r="229" spans="1:1" ht="15" customHeight="1" x14ac:dyDescent="0.3">
      <c r="A229" s="4" t="s">
        <v>27</v>
      </c>
    </row>
    <row r="230" spans="1:1" ht="15" customHeight="1" x14ac:dyDescent="0.3">
      <c r="A230" s="30" t="s">
        <v>731</v>
      </c>
    </row>
    <row r="231" spans="1:1" ht="15" customHeight="1" x14ac:dyDescent="0.3">
      <c r="A231" s="30" t="s">
        <v>732</v>
      </c>
    </row>
    <row r="232" spans="1:1" ht="15" customHeight="1" x14ac:dyDescent="0.3">
      <c r="A232" s="30" t="s">
        <v>733</v>
      </c>
    </row>
    <row r="233" spans="1:1" ht="15" customHeight="1" x14ac:dyDescent="0.3">
      <c r="A233" s="30" t="s">
        <v>734</v>
      </c>
    </row>
    <row r="234" spans="1:1" ht="15" customHeight="1" x14ac:dyDescent="0.3">
      <c r="A234" s="30" t="s">
        <v>735</v>
      </c>
    </row>
    <row r="235" spans="1:1" ht="15" customHeight="1" x14ac:dyDescent="0.3">
      <c r="A235" s="30" t="s">
        <v>736</v>
      </c>
    </row>
    <row r="236" spans="1:1" ht="15" customHeight="1" x14ac:dyDescent="0.3">
      <c r="A236" s="30" t="s">
        <v>737</v>
      </c>
    </row>
    <row r="237" spans="1:1" ht="15" customHeight="1" x14ac:dyDescent="0.3">
      <c r="A237" s="30" t="s">
        <v>738</v>
      </c>
    </row>
    <row r="238" spans="1:1" ht="15" customHeight="1" x14ac:dyDescent="0.3">
      <c r="A238" s="30" t="s">
        <v>739</v>
      </c>
    </row>
    <row r="240" spans="1:1" ht="15" customHeight="1" x14ac:dyDescent="0.3">
      <c r="A240" s="4" t="s">
        <v>28</v>
      </c>
    </row>
    <row r="241" spans="1:1" ht="15" customHeight="1" x14ac:dyDescent="0.3">
      <c r="A241" s="30" t="s">
        <v>704</v>
      </c>
    </row>
    <row r="242" spans="1:1" ht="15" customHeight="1" x14ac:dyDescent="0.3">
      <c r="A242" s="30" t="s">
        <v>705</v>
      </c>
    </row>
    <row r="243" spans="1:1" ht="15" customHeight="1" x14ac:dyDescent="0.3">
      <c r="A243" s="30" t="s">
        <v>706</v>
      </c>
    </row>
    <row r="244" spans="1:1" ht="15" customHeight="1" x14ac:dyDescent="0.3">
      <c r="A244" s="30" t="s">
        <v>740</v>
      </c>
    </row>
    <row r="245" spans="1:1" ht="15" customHeight="1" x14ac:dyDescent="0.3">
      <c r="A245" s="30" t="s">
        <v>741</v>
      </c>
    </row>
    <row r="246" spans="1:1" ht="15" customHeight="1" x14ac:dyDescent="0.3">
      <c r="A246" s="30" t="s">
        <v>742</v>
      </c>
    </row>
    <row r="247" spans="1:1" ht="15" customHeight="1" x14ac:dyDescent="0.3">
      <c r="A247" s="30" t="s">
        <v>743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Base Setores</vt:lpstr>
      <vt:lpstr>Comercial</vt:lpstr>
      <vt:lpstr>Reembolso Geral</vt:lpstr>
      <vt:lpstr>Parâmetros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Débora Carla</cp:lastModifiedBy>
  <cp:revision/>
  <dcterms:created xsi:type="dcterms:W3CDTF">2026-07-14T10:51:26Z</dcterms:created>
  <dcterms:modified xsi:type="dcterms:W3CDTF">2026-08-28T13:11:46Z</dcterms:modified>
  <cp:category/>
  <cp:contentStatus/>
</cp:coreProperties>
</file>