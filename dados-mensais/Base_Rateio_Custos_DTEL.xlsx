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<sst xmlns="http://schemas.openxmlformats.org/spreadsheetml/2006/main" count="12498" uniqueCount="386">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</sst>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29086.34</v>
      </c>
      <c r="F47" s="21" t="n">
        <f aca="false">IFERROR(D47*E47,0)</f>
        <v>942.7412392755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942.7412392755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29086.34</v>
      </c>
      <c r="F48" s="22" t="n">
        <f aca="false">IFERROR(D48*E48,0)</f>
        <v>887.285872259295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887.285872259295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29086.34</v>
      </c>
      <c r="F49" s="21" t="n">
        <f aca="false">IFERROR(D49*E49,0)</f>
        <v>1164.56270734032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1164.56270734032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29086.34</v>
      </c>
      <c r="F50" s="22" t="n">
        <f aca="false">IFERROR(D50*E50,0)</f>
        <v>305.004518589133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305.004518589133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29086.34</v>
      </c>
      <c r="F51" s="21" t="n">
        <f aca="false">IFERROR(D51*E51,0)</f>
        <v>1164.56270734032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1164.56270734032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29086.34</v>
      </c>
      <c r="F52" s="22" t="n">
        <f aca="false">IFERROR(D52*E52,0)</f>
        <v>499.098303145853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499.098303145853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29086.34</v>
      </c>
      <c r="F53" s="21" t="n">
        <f aca="false">IFERROR(D53*E53,0)</f>
        <v>471.37061963775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471.37061963775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29086.34</v>
      </c>
      <c r="F54" s="22" t="n">
        <f aca="false">IFERROR(D54*E54,0)</f>
        <v>23651.7140324118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23651.7140324118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43118.9397</v>
      </c>
      <c r="F55" s="21" t="n">
        <f aca="false">IFERROR(D55*E55,0)</f>
        <v>1397.56334585319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1397.56334585319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43118.9397</v>
      </c>
      <c r="F56" s="22" t="n">
        <f aca="false">IFERROR(D56*E56,0)</f>
        <v>1315.35373727359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1315.35373727359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43118.9397</v>
      </c>
      <c r="F57" s="21" t="n">
        <f aca="false">IFERROR(D57*E57,0)</f>
        <v>1726.40178017159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1726.40178017159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43118.9397</v>
      </c>
      <c r="F58" s="22" t="n">
        <f aca="false">IFERROR(D58*E58,0)</f>
        <v>452.152847187798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452.152847187798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43118.9397</v>
      </c>
      <c r="F59" s="21" t="n">
        <f aca="false">IFERROR(D59*E59,0)</f>
        <v>1726.40178017159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1726.40178017159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43118.9397</v>
      </c>
      <c r="F60" s="22" t="n">
        <f aca="false">IFERROR(D60*E60,0)</f>
        <v>739.886477216397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739.886477216397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43118.9397</v>
      </c>
      <c r="F61" s="21" t="n">
        <f aca="false">IFERROR(D61*E61,0)</f>
        <v>698.781672926597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698.781672926597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43118.9397</v>
      </c>
      <c r="F62" s="22" t="n">
        <f aca="false">IFERROR(D62*E62,0)</f>
        <v>35062.3980591992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35062.3980591992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24338.6</v>
      </c>
      <c r="F63" s="21" t="n">
        <f aca="false">IFERROR(D63*E63,0)</f>
        <v>805.070117992435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805.070117992435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24338.6</v>
      </c>
      <c r="F64" s="22" t="n">
        <f aca="false">IFERROR(D64*E64,0)</f>
        <v>1676.09477784678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1676.09477784678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24338.6</v>
      </c>
      <c r="F65" s="21" t="n">
        <f aca="false">IFERROR(D65*E65,0)</f>
        <v>1803.88170270423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1803.88170270423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24338.6</v>
      </c>
      <c r="F66" s="22" t="n">
        <f aca="false">IFERROR(D66*E66,0)</f>
        <v>462.681104273697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462.681104273697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24338.6</v>
      </c>
      <c r="F67" s="21" t="n">
        <f aca="false">IFERROR(D67*E67,0)</f>
        <v>803.696065036978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803.696065036978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24338.6</v>
      </c>
      <c r="F68" s="22" t="n">
        <f aca="false">IFERROR(D68*E68,0)</f>
        <v>593.21613504206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593.21613504206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24338.6</v>
      </c>
      <c r="F69" s="21" t="n">
        <f aca="false">IFERROR(D69*E69,0)</f>
        <v>598.962174673968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598.962174673968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24338.6</v>
      </c>
      <c r="F70" s="22" t="n">
        <f aca="false">IFERROR(D70*E70,0)</f>
        <v>17594.9979224299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17594.9979224299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16782.38</v>
      </c>
      <c r="F71" s="21" t="n">
        <f aca="false">IFERROR(D71*E71,0)</f>
        <v>555.12612257048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555.12612257048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16782.38</v>
      </c>
      <c r="F72" s="22" t="n">
        <f aca="false">IFERROR(D72*E72,0)</f>
        <v>1155.73038210251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1155.73038210251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16782.38</v>
      </c>
      <c r="F73" s="21" t="n">
        <f aca="false">IFERROR(D73*E73,0)</f>
        <v>1243.84427246552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1243.84427246552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16782.38</v>
      </c>
      <c r="F74" s="22" t="n">
        <f aca="false">IFERROR(D74*E74,0)</f>
        <v>319.036021412111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319.036021412111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16782.38</v>
      </c>
      <c r="F75" s="21" t="n">
        <f aca="false">IFERROR(D75*E75,0)</f>
        <v>554.178661383781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554.178661383781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16782.38</v>
      </c>
      <c r="F76" s="22" t="n">
        <f aca="false">IFERROR(D76*E76,0)</f>
        <v>409.04483414852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409.04483414852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16782.38</v>
      </c>
      <c r="F77" s="21" t="n">
        <f aca="false">IFERROR(D77*E77,0)</f>
        <v>413.006944565625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413.006944565625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16782.38</v>
      </c>
      <c r="F78" s="22" t="n">
        <f aca="false">IFERROR(D78*E78,0)</f>
        <v>12132.4127613514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12132.4127613514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58437.36</v>
      </c>
      <c r="F79" s="21" t="n">
        <f aca="false">IFERROR(D79*E79,0)</f>
        <v>1932.98596921624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1932.98596921624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58437.36</v>
      </c>
      <c r="F80" s="22" t="n">
        <f aca="false">IFERROR(D80*E80,0)</f>
        <v>4024.32982698891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4024.32982698891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58437.36</v>
      </c>
      <c r="F81" s="21" t="n">
        <f aca="false">IFERROR(D81*E81,0)</f>
        <v>4331.14823606699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4331.14823606699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58437.36</v>
      </c>
      <c r="F82" s="22" t="n">
        <f aca="false">IFERROR(D82*E82,0)</f>
        <v>1110.90458184282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1110.90458184282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58437.36</v>
      </c>
      <c r="F83" s="21" t="n">
        <f aca="false">IFERROR(D83*E83,0)</f>
        <v>1929.68684653798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1929.68684653798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58437.36</v>
      </c>
      <c r="F84" s="22" t="n">
        <f aca="false">IFERROR(D84*E84,0)</f>
        <v>1424.32123627741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1424.32123627741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58437.36</v>
      </c>
      <c r="F85" s="21" t="n">
        <f aca="false">IFERROR(D85*E85,0)</f>
        <v>1438.11756747741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1438.11756747741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58437.36</v>
      </c>
      <c r="F86" s="22" t="n">
        <f aca="false">IFERROR(D86*E86,0)</f>
        <v>42245.8657355923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42245.8657355923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188065.5656</v>
      </c>
      <c r="F87" s="21" t="n">
        <f aca="false">IFERROR(D87*E87,0)</f>
        <v>6220.81660768927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6220.81660768927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188065.5656</v>
      </c>
      <c r="F88" s="22" t="n">
        <f aca="false">IFERROR(D88*E88,0)</f>
        <v>12951.267221408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12951.267221408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188065.5656</v>
      </c>
      <c r="F89" s="21" t="n">
        <f aca="false">IFERROR(D89*E89,0)</f>
        <v>13938.6831080901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13938.6831080901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188065.5656</v>
      </c>
      <c r="F90" s="22" t="n">
        <f aca="false">IFERROR(D90*E90,0)</f>
        <v>3575.15976957037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3575.15976957037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188065.5656</v>
      </c>
      <c r="F91" s="21" t="n">
        <f aca="false">IFERROR(D91*E91,0)</f>
        <v>6210.19923256365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6210.19923256365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188065.5656</v>
      </c>
      <c r="F92" s="22" t="n">
        <f aca="false">IFERROR(D92*E92,0)</f>
        <v>4583.8104065037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4583.8104065037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188065.5656</v>
      </c>
      <c r="F93" s="21" t="n">
        <f aca="false">IFERROR(D93*E93,0)</f>
        <v>4628.21033884717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4628.21033884717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188065.5656</v>
      </c>
      <c r="F94" s="22" t="n">
        <f aca="false">IFERROR(D94*E94,0)</f>
        <v>135957.418915328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135957.418915328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51457.6439</v>
      </c>
      <c r="F95" s="21" t="n">
        <f aca="false">IFERROR(D95*E95,0)</f>
        <v>1702.11152022654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1702.11152022654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51457.6439</v>
      </c>
      <c r="F96" s="22" t="n">
        <f aca="false">IFERROR(D96*E96,0)</f>
        <v>3543.66677709848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3543.66677709848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51457.6439</v>
      </c>
      <c r="F97" s="21" t="n">
        <f aca="false">IFERROR(D97*E97,0)</f>
        <v>3813.83901684895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3813.83901684895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51457.6439</v>
      </c>
      <c r="F98" s="22" t="n">
        <f aca="false">IFERROR(D98*E98,0)</f>
        <v>978.218940406379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978.218940406379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51457.6439</v>
      </c>
      <c r="F99" s="21" t="n">
        <f aca="false">IFERROR(D99*E99,0)</f>
        <v>1699.20644237976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1699.20644237976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51457.6439</v>
      </c>
      <c r="F100" s="22" t="n">
        <f aca="false">IFERROR(D100*E100,0)</f>
        <v>1254.2013358504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1254.2013358504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51457.6439</v>
      </c>
      <c r="F101" s="21" t="n">
        <f aca="false">IFERROR(D101*E101,0)</f>
        <v>1266.34984320966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1266.34984320966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51457.6439</v>
      </c>
      <c r="F102" s="22" t="n">
        <f aca="false">IFERROR(D102*E102,0)</f>
        <v>37200.0500239798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37200.0500239798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60348.1686</v>
      </c>
      <c r="F103" s="21" t="n">
        <f aca="false">IFERROR(D103*E103,0)</f>
        <v>1996.191531782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1996.191531782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60348.1686</v>
      </c>
      <c r="F104" s="22" t="n">
        <f aca="false">IFERROR(D104*E104,0)</f>
        <v>4155.91900286282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4155.91900286282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60348.1686</v>
      </c>
      <c r="F105" s="21" t="n">
        <f aca="false">IFERROR(D105*E105,0)</f>
        <v>4472.76988525428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4472.76988525428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60348.1686</v>
      </c>
      <c r="F106" s="22" t="n">
        <f aca="false">IFERROR(D106*E106,0)</f>
        <v>1147.22939235384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1147.22939235384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60348.1686</v>
      </c>
      <c r="F107" s="21" t="n">
        <f aca="false">IFERROR(D107*E107,0)</f>
        <v>1992.78453304661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1992.78453304661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60348.1686</v>
      </c>
      <c r="F108" s="22" t="n">
        <f aca="false">IFERROR(D108*E108,0)</f>
        <v>1470.89427221609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1470.89427221609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60348.1686</v>
      </c>
      <c r="F109" s="21" t="n">
        <f aca="false">IFERROR(D109*E109,0)</f>
        <v>1485.14172147319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1485.14172147319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60348.1686</v>
      </c>
      <c r="F110" s="22" t="n">
        <f aca="false">IFERROR(D110*E110,0)</f>
        <v>43627.2382610112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43627.2382610112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35473.06</v>
      </c>
      <c r="F111" s="21" t="n">
        <f aca="false">IFERROR(D111*E111,0)</f>
        <v>1173.37482845163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1173.37482845163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35473.06</v>
      </c>
      <c r="F112" s="22" t="n">
        <f aca="false">IFERROR(D112*E112,0)</f>
        <v>2442.87718357857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2442.87718357857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35473.06</v>
      </c>
      <c r="F113" s="21" t="n">
        <f aca="false">IFERROR(D113*E113,0)</f>
        <v>2629.12426651201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2629.12426651201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35473.06</v>
      </c>
      <c r="F114" s="22" t="n">
        <f aca="false">IFERROR(D114*E114,0)</f>
        <v>674.349164404161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674.349164404161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35473.06</v>
      </c>
      <c r="F115" s="21" t="n">
        <f aca="false">IFERROR(D115*E115,0)</f>
        <v>1171.37217164589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1171.37217164589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35473.06</v>
      </c>
      <c r="F116" s="22" t="n">
        <f aca="false">IFERROR(D116*E116,0)</f>
        <v>864.601560949072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864.601560949072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35473.06</v>
      </c>
      <c r="F117" s="21" t="n">
        <f aca="false">IFERROR(D117*E117,0)</f>
        <v>872.97630759124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872.97630759124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35473.06</v>
      </c>
      <c r="F118" s="22" t="n">
        <f aca="false">IFERROR(D118*E118,0)</f>
        <v>25644.3845168674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25644.3845168674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28942.0106607408</v>
      </c>
      <c r="F127" s="21" t="n">
        <f aca="false">IFERROR(D127*E127,0)</f>
        <v>957.341339994121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957.341339994121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28942.0106607408</v>
      </c>
      <c r="F128" s="22" t="n">
        <f aca="false">IFERROR(D128*E128,0)</f>
        <v>1993.11188518869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1993.11188518869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28942.0106607408</v>
      </c>
      <c r="F129" s="21" t="n">
        <f aca="false">IFERROR(D129*E129,0)</f>
        <v>2145.06847026456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2145.06847026456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28942.0106607408</v>
      </c>
      <c r="F130" s="22" t="n">
        <f aca="false">IFERROR(D130*E130,0)</f>
        <v>550.192757694061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550.192757694061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28942.0106607408</v>
      </c>
      <c r="F131" s="21" t="n">
        <f aca="false">IFERROR(D131*E131,0)</f>
        <v>955.707398219111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955.707398219111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28942.0106607408</v>
      </c>
      <c r="F132" s="22" t="n">
        <f aca="false">IFERROR(D132*E132,0)</f>
        <v>705.41722631995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705.41722631995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28942.0106607408</v>
      </c>
      <c r="F133" s="21" t="n">
        <f aca="false">IFERROR(D133*E133,0)</f>
        <v>712.250073742717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712.250073742717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28942.0106607408</v>
      </c>
      <c r="F134" s="22" t="n">
        <f aca="false">IFERROR(D134*E134,0)</f>
        <v>20922.9215093176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20922.9215093176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53040.89</v>
      </c>
      <c r="F143" s="21" t="n">
        <f aca="false">IFERROR(D143*E143,0)</f>
        <v>1719.1518207817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1719.1518207817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53040.89</v>
      </c>
      <c r="F144" s="22" t="n">
        <f aca="false">IFERROR(D144*E144,0)</f>
        <v>1618.02524308866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1618.02524308866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53040.89</v>
      </c>
      <c r="F145" s="21" t="n">
        <f aca="false">IFERROR(D145*E145,0)</f>
        <v>2123.65813155386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2123.65813155386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53040.89</v>
      </c>
      <c r="F146" s="22" t="n">
        <f aca="false">IFERROR(D146*E146,0)</f>
        <v>556.196177311725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556.196177311725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53040.89</v>
      </c>
      <c r="F147" s="21" t="n">
        <f aca="false">IFERROR(D147*E147,0)</f>
        <v>2123.65813155386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2123.65813155386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53040.89</v>
      </c>
      <c r="F148" s="22" t="n">
        <f aca="false">IFERROR(D148*E148,0)</f>
        <v>910.139199237369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910.139199237369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53040.89</v>
      </c>
      <c r="F149" s="21" t="n">
        <f aca="false">IFERROR(D149*E149,0)</f>
        <v>859.575910390848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859.575910390848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53040.89</v>
      </c>
      <c r="F150" s="22" t="n">
        <f aca="false">IFERROR(D150*E150,0)</f>
        <v>43130.485386082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43130.485386082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65455.37</v>
      </c>
      <c r="F151" s="21" t="n">
        <f aca="false">IFERROR(D151*E151,0)</f>
        <v>2165.12710053736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2165.12710053736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65455.37</v>
      </c>
      <c r="F152" s="22" t="n">
        <f aca="false">IFERROR(D152*E152,0)</f>
        <v>4507.63001319011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4507.63001319011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65455.37</v>
      </c>
      <c r="F153" s="21" t="n">
        <f aca="false">IFERROR(D153*E153,0)</f>
        <v>4851.29564916369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4851.29564916369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65455.37</v>
      </c>
      <c r="F154" s="22" t="n">
        <f aca="false">IFERROR(D154*E154,0)</f>
        <v>1244.31819711255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1244.31819711255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65455.37</v>
      </c>
      <c r="F155" s="21" t="n">
        <f aca="false">IFERROR(D155*E155,0)</f>
        <v>2161.43177111829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2161.43177111829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65455.37</v>
      </c>
      <c r="F156" s="22" t="n">
        <f aca="false">IFERROR(D156*E156,0)</f>
        <v>1595.37449192427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1595.37449192427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65455.37</v>
      </c>
      <c r="F157" s="21" t="n">
        <f aca="false">IFERROR(D157*E157,0)</f>
        <v>1610.82768767674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1610.82768767674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65455.37</v>
      </c>
      <c r="F158" s="22" t="n">
        <f aca="false">IFERROR(D158*E158,0)</f>
        <v>47319.365089277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47319.365089277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135611.14</v>
      </c>
      <c r="F175" s="21" t="n">
        <f aca="false">IFERROR(D175*E175,0)</f>
        <v>4485.73362810057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4485.73362810057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135611.14</v>
      </c>
      <c r="F176" s="22" t="n">
        <f aca="false">IFERROR(D176*E176,0)</f>
        <v>9338.95637266928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9338.95637266928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135611.14</v>
      </c>
      <c r="F177" s="21" t="n">
        <f aca="false">IFERROR(D177*E177,0)</f>
        <v>10050.9665358263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10050.9665358263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135611.14</v>
      </c>
      <c r="F178" s="22" t="n">
        <f aca="false">IFERROR(D178*E178,0)</f>
        <v>2577.9918321931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2577.9918321931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135611.14</v>
      </c>
      <c r="F179" s="21" t="n">
        <f aca="false">IFERROR(D179*E179,0)</f>
        <v>4478.07760484082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4478.07760484082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135611.14</v>
      </c>
      <c r="F180" s="22" t="n">
        <f aca="false">IFERROR(D180*E180,0)</f>
        <v>3305.31404186961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3305.31404186961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135611.14</v>
      </c>
      <c r="F181" s="21" t="n">
        <f aca="false">IFERROR(D181*E181,0)</f>
        <v>3337.33013913766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3337.33013913766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135611.14</v>
      </c>
      <c r="F182" s="22" t="n">
        <f aca="false">IFERROR(D182*E182,0)</f>
        <v>98036.7698453627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98036.7698453627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126268.959</v>
      </c>
      <c r="F199" s="21" t="n">
        <f aca="false">IFERROR(D199*E199,0)</f>
        <v>4176.71376829037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4176.71376829037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126268.959</v>
      </c>
      <c r="F200" s="22" t="n">
        <f aca="false">IFERROR(D200*E200,0)</f>
        <v>8695.60051868427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8695.60051868427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126268.959</v>
      </c>
      <c r="F201" s="21" t="n">
        <f aca="false">IFERROR(D201*E201,0)</f>
        <v>9358.56067150988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9358.56067150988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126268.959</v>
      </c>
      <c r="F202" s="22" t="n">
        <f aca="false">IFERROR(D202*E202,0)</f>
        <v>2400.39531384756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2400.39531384756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126268.959</v>
      </c>
      <c r="F203" s="21" t="n">
        <f aca="false">IFERROR(D203*E203,0)</f>
        <v>4169.58516449654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4169.58516449654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126268.959</v>
      </c>
      <c r="F204" s="22" t="n">
        <f aca="false">IFERROR(D204*E204,0)</f>
        <v>3077.61267426082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3077.61267426082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126268.959</v>
      </c>
      <c r="F205" s="21" t="n">
        <f aca="false">IFERROR(D205*E205,0)</f>
        <v>3107.42319921681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3107.42319921681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126268.959</v>
      </c>
      <c r="F206" s="22" t="n">
        <f aca="false">IFERROR(D206*E206,0)</f>
        <v>91283.0676896938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91283.0676896938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139554.1668</v>
      </c>
      <c r="F215" s="21" t="n">
        <f aca="false">IFERROR(D215*E215,0)</f>
        <v>4616.16072954122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4616.16072954122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139554.1668</v>
      </c>
      <c r="F216" s="22" t="n">
        <f aca="false">IFERROR(D216*E216,0)</f>
        <v>9610.49568176635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9610.49568176635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139554.1668</v>
      </c>
      <c r="F217" s="21" t="n">
        <f aca="false">IFERROR(D217*E217,0)</f>
        <v>10343.2082382164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10343.2082382164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139554.1668</v>
      </c>
      <c r="F218" s="22" t="n">
        <f aca="false">IFERROR(D218*E218,0)</f>
        <v>2652.94947125224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2652.94947125224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139554.1668</v>
      </c>
      <c r="F219" s="21" t="n">
        <f aca="false">IFERROR(D219*E219,0)</f>
        <v>4608.28209990197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4608.28209990197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139554.1668</v>
      </c>
      <c r="F220" s="22" t="n">
        <f aca="false">IFERROR(D220*E220,0)</f>
        <v>3401.4192869808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3401.4192869808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139554.1668</v>
      </c>
      <c r="F221" s="21" t="n">
        <f aca="false">IFERROR(D221*E221,0)</f>
        <v>3434.36628365402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3434.36628365402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139554.1668</v>
      </c>
      <c r="F222" s="22" t="n">
        <f aca="false">IFERROR(D222*E222,0)</f>
        <v>100887.285008687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100887.285008687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143950.1104</v>
      </c>
      <c r="F223" s="21" t="n">
        <f aca="false">IFERROR(D223*E223,0)</f>
        <v>4761.56937394723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4761.56937394723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143950.1104</v>
      </c>
      <c r="F224" s="22" t="n">
        <f aca="false">IFERROR(D224*E224,0)</f>
        <v>9913.22542430162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9913.22542430162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143950.1104</v>
      </c>
      <c r="F225" s="21" t="n">
        <f aca="false">IFERROR(D225*E225,0)</f>
        <v>10669.0183598405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10669.0183598405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143950.1104</v>
      </c>
      <c r="F226" s="22" t="n">
        <f aca="false">IFERROR(D226*E226,0)</f>
        <v>2736.5171390381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2736.5171390381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143950.1104</v>
      </c>
      <c r="F227" s="21" t="n">
        <f aca="false">IFERROR(D227*E227,0)</f>
        <v>4753.44256818875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4753.44256818875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143950.1104</v>
      </c>
      <c r="F228" s="22" t="n">
        <f aca="false">IFERROR(D228*E228,0)</f>
        <v>3508.56368609393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3508.56368609393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143950.1104</v>
      </c>
      <c r="F229" s="21" t="n">
        <f aca="false">IFERROR(D229*E229,0)</f>
        <v>3542.54851017486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3542.54851017486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143950.1104</v>
      </c>
      <c r="F230" s="22" t="n">
        <f aca="false">IFERROR(D230*E230,0)</f>
        <v>104065.225338415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104065.225338415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22895.05</v>
      </c>
      <c r="F247" s="21" t="n">
        <f aca="false">IFERROR(D247*E247,0)</f>
        <v>760.994064577398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760.994064577398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22895.05</v>
      </c>
      <c r="F248" s="22" t="n">
        <f aca="false">IFERROR(D248*E248,0)</f>
        <v>760.994064577398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760.994064577398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22895.05</v>
      </c>
      <c r="F249" s="21" t="n">
        <f aca="false">IFERROR(D249*E249,0)</f>
        <v>913.192877492877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913.192877492877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22895.05</v>
      </c>
      <c r="F250" s="22" t="n">
        <f aca="false">IFERROR(D250*E250,0)</f>
        <v>239.169563152896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239.169563152896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22895.05</v>
      </c>
      <c r="F251" s="21" t="n">
        <f aca="false">IFERROR(D251*E251,0)</f>
        <v>913.192877492877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913.192877492877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22895.05</v>
      </c>
      <c r="F252" s="22" t="n">
        <f aca="false">IFERROR(D252*E252,0)</f>
        <v>391.368376068376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391.368376068376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22895.05</v>
      </c>
      <c r="F253" s="21" t="n">
        <f aca="false">IFERROR(D253*E253,0)</f>
        <v>434.853751187084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434.853751187084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22895.05</v>
      </c>
      <c r="F254" s="22" t="n">
        <f aca="false">IFERROR(D254*E254,0)</f>
        <v>18481.2844254511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18481.2844254511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38462.9303</v>
      </c>
      <c r="F255" s="21" t="n">
        <f aca="false">IFERROR(D255*E255,0)</f>
        <v>1278.44497673314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1278.44497673314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38462.9303</v>
      </c>
      <c r="F256" s="22" t="n">
        <f aca="false">IFERROR(D256*E256,0)</f>
        <v>1278.44497673314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1278.44497673314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38462.9303</v>
      </c>
      <c r="F257" s="21" t="n">
        <f aca="false">IFERROR(D257*E257,0)</f>
        <v>1534.13397207977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1534.13397207977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38462.9303</v>
      </c>
      <c r="F258" s="22" t="n">
        <f aca="false">IFERROR(D258*E258,0)</f>
        <v>401.796992687559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401.796992687559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38462.9303</v>
      </c>
      <c r="F259" s="21" t="n">
        <f aca="false">IFERROR(D259*E259,0)</f>
        <v>1534.13397207977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1534.13397207977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38462.9303</v>
      </c>
      <c r="F260" s="22" t="n">
        <f aca="false">IFERROR(D260*E260,0)</f>
        <v>657.485988034188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657.485988034188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38462.9303</v>
      </c>
      <c r="F261" s="21" t="n">
        <f aca="false">IFERROR(D261*E261,0)</f>
        <v>730.539986704653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730.539986704653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38462.9303</v>
      </c>
      <c r="F262" s="22" t="n">
        <f aca="false">IFERROR(D262*E262,0)</f>
        <v>31047.9494349478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31047.9494349478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20765.83</v>
      </c>
      <c r="F263" s="21" t="n">
        <f aca="false">IFERROR(D263*E263,0)</f>
        <v>681.604856606752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681.604856606752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20765.83</v>
      </c>
      <c r="F264" s="22" t="n">
        <f aca="false">IFERROR(D264*E264,0)</f>
        <v>1454.5968611853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1454.5968611853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20765.83</v>
      </c>
      <c r="F265" s="21" t="n">
        <f aca="false">IFERROR(D265*E265,0)</f>
        <v>1555.42662420882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1555.42662420882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20765.83</v>
      </c>
      <c r="F266" s="22" t="n">
        <f aca="false">IFERROR(D266*E266,0)</f>
        <v>396.155688951377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396.155688951377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20765.83</v>
      </c>
      <c r="F267" s="21" t="n">
        <f aca="false">IFERROR(D267*E267,0)</f>
        <v>694.195010009042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694.195010009042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20765.83</v>
      </c>
      <c r="F268" s="22" t="n">
        <f aca="false">IFERROR(D268*E268,0)</f>
        <v>513.374358558907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513.374358558907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20765.83</v>
      </c>
      <c r="F269" s="21" t="n">
        <f aca="false">IFERROR(D269*E269,0)</f>
        <v>519.018220428899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519.018220428899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20765.83</v>
      </c>
      <c r="F270" s="22" t="n">
        <f aca="false">IFERROR(D270*E270,0)</f>
        <v>14951.4583800509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14951.4583800509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16368.2</v>
      </c>
      <c r="F271" s="21" t="n">
        <f aca="false">IFERROR(D271*E271,0)</f>
        <v>537.259749016082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537.259749016082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16368.2</v>
      </c>
      <c r="F272" s="22" t="n">
        <f aca="false">IFERROR(D272*E272,0)</f>
        <v>1146.55336883974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1146.55336883974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16368.2</v>
      </c>
      <c r="F273" s="21" t="n">
        <f aca="false">IFERROR(D273*E273,0)</f>
        <v>1226.03016929132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1226.03016929132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16368.2</v>
      </c>
      <c r="F274" s="22" t="n">
        <f aca="false">IFERROR(D274*E274,0)</f>
        <v>312.260841386736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312.260841386736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16368.2</v>
      </c>
      <c r="F275" s="21" t="n">
        <f aca="false">IFERROR(D275*E275,0)</f>
        <v>547.183655208099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547.183655208099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16368.2</v>
      </c>
      <c r="F276" s="22" t="n">
        <f aca="false">IFERROR(D276*E276,0)</f>
        <v>404.65583007103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404.65583007103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16368.2</v>
      </c>
      <c r="F277" s="21" t="n">
        <f aca="false">IFERROR(D277*E277,0)</f>
        <v>409.104477674348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409.104477674348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16368.2</v>
      </c>
      <c r="F278" s="22" t="n">
        <f aca="false">IFERROR(D278*E278,0)</f>
        <v>11785.1519085127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11785.1519085127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58374.15</v>
      </c>
      <c r="F279" s="21" t="n">
        <f aca="false">IFERROR(D279*E279,0)</f>
        <v>1916.03726604191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1916.03726604191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58374.15</v>
      </c>
      <c r="F280" s="22" t="n">
        <f aca="false">IFERROR(D280*E280,0)</f>
        <v>4088.96997444166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4088.96997444166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58374.15</v>
      </c>
      <c r="F281" s="21" t="n">
        <f aca="false">IFERROR(D281*E281,0)</f>
        <v>4372.40924516665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4372.40924516665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58374.15</v>
      </c>
      <c r="F282" s="22" t="n">
        <f aca="false">IFERROR(D282*E282,0)</f>
        <v>1113.62038551799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1113.62038551799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58374.15</v>
      </c>
      <c r="F283" s="21" t="n">
        <f aca="false">IFERROR(D283*E283,0)</f>
        <v>1951.4290371981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1951.4290371981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58374.15</v>
      </c>
      <c r="F284" s="22" t="n">
        <f aca="false">IFERROR(D284*E284,0)</f>
        <v>1443.12997904112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1443.12997904112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58374.15</v>
      </c>
      <c r="F285" s="21" t="n">
        <f aca="false">IFERROR(D285*E285,0)</f>
        <v>1458.99525576631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1458.99525576631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58374.15</v>
      </c>
      <c r="F286" s="22" t="n">
        <f aca="false">IFERROR(D286*E286,0)</f>
        <v>42029.5588568263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42029.5588568263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161605.5371</v>
      </c>
      <c r="F287" s="21" t="n">
        <f aca="false">IFERROR(D287*E287,0)</f>
        <v>5304.44094658882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5304.44094658882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161605.5371</v>
      </c>
      <c r="F288" s="22" t="n">
        <f aca="false">IFERROR(D288*E288,0)</f>
        <v>11320.0824149974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11320.0824149974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161605.5371</v>
      </c>
      <c r="F289" s="21" t="n">
        <f aca="false">IFERROR(D289*E289,0)</f>
        <v>12104.7680263638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12104.7680263638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161605.5371</v>
      </c>
      <c r="F290" s="22" t="n">
        <f aca="false">IFERROR(D290*E290,0)</f>
        <v>3082.99513615433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3082.99513615433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161605.5371</v>
      </c>
      <c r="F291" s="21" t="n">
        <f aca="false">IFERROR(D291*E291,0)</f>
        <v>5402.42106598441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5402.42106598441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161605.5371</v>
      </c>
      <c r="F292" s="22" t="n">
        <f aca="false">IFERROR(D292*E292,0)</f>
        <v>3995.22383397534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3995.22383397534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161605.5371</v>
      </c>
      <c r="F293" s="21" t="n">
        <f aca="false">IFERROR(D293*E293,0)</f>
        <v>4039.14595646302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4039.14595646302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161605.5371</v>
      </c>
      <c r="F294" s="22" t="n">
        <f aca="false">IFERROR(D294*E294,0)</f>
        <v>116356.459719473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116356.459719473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52211.2772</v>
      </c>
      <c r="F295" s="21" t="n">
        <f aca="false">IFERROR(D295*E295,0)</f>
        <v>1713.75091239606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1713.75091239606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52211.2772</v>
      </c>
      <c r="F296" s="22" t="n">
        <f aca="false">IFERROR(D296*E296,0)</f>
        <v>3657.27543438406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3657.27543438406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52211.2772</v>
      </c>
      <c r="F297" s="21" t="n">
        <f aca="false">IFERROR(D297*E297,0)</f>
        <v>3910.7904976987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3910.7904976987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52211.2772</v>
      </c>
      <c r="F298" s="22" t="n">
        <f aca="false">IFERROR(D298*E298,0)</f>
        <v>996.049495262038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996.049495262038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52211.2772</v>
      </c>
      <c r="F299" s="21" t="n">
        <f aca="false">IFERROR(D299*E299,0)</f>
        <v>1745.4061840263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1745.4061840263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52211.2772</v>
      </c>
      <c r="F300" s="22" t="n">
        <f aca="false">IFERROR(D300*E300,0)</f>
        <v>1290.77098975053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1290.77098975053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52211.2772</v>
      </c>
      <c r="F301" s="21" t="n">
        <f aca="false">IFERROR(D301*E301,0)</f>
        <v>1304.96128392961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1304.96128392961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52211.2772</v>
      </c>
      <c r="F302" s="22" t="n">
        <f aca="false">IFERROR(D302*E302,0)</f>
        <v>37592.2724025527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37592.2724025527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46827.301</v>
      </c>
      <c r="F303" s="21" t="n">
        <f aca="false">IFERROR(D303*E303,0)</f>
        <v>1537.0305826151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1537.0305826151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46827.301</v>
      </c>
      <c r="F304" s="22" t="n">
        <f aca="false">IFERROR(D304*E304,0)</f>
        <v>3280.14074334516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3280.14074334516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46827.301</v>
      </c>
      <c r="F305" s="21" t="n">
        <f aca="false">IFERROR(D305*E305,0)</f>
        <v>3507.51357953138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3507.51357953138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46827.301</v>
      </c>
      <c r="F306" s="22" t="n">
        <f aca="false">IFERROR(D306*E306,0)</f>
        <v>893.337838621836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893.337838621836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46827.301</v>
      </c>
      <c r="F307" s="21" t="n">
        <f aca="false">IFERROR(D307*E307,0)</f>
        <v>1565.42159337678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1565.42159337678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46827.301</v>
      </c>
      <c r="F308" s="22" t="n">
        <f aca="false">IFERROR(D308*E308,0)</f>
        <v>1157.66793881679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1157.66793881679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46827.301</v>
      </c>
      <c r="F309" s="21" t="n">
        <f aca="false">IFERROR(D309*E309,0)</f>
        <v>1170.39494364099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1170.39494364099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46827.301</v>
      </c>
      <c r="F310" s="22" t="n">
        <f aca="false">IFERROR(D310*E310,0)</f>
        <v>33715.793780052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33715.793780052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24839.91</v>
      </c>
      <c r="F311" s="21" t="n">
        <f aca="false">IFERROR(D311*E311,0)</f>
        <v>815.329957611837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815.329957611837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24839.91</v>
      </c>
      <c r="F312" s="22" t="n">
        <f aca="false">IFERROR(D312*E312,0)</f>
        <v>1739.97644775698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1739.97644775698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24839.91</v>
      </c>
      <c r="F313" s="21" t="n">
        <f aca="false">IFERROR(D313*E313,0)</f>
        <v>1860.58815645466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1860.58815645466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24839.91</v>
      </c>
      <c r="F314" s="22" t="n">
        <f aca="false">IFERROR(D314*E314,0)</f>
        <v>473.878080459109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473.878080459109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24839.91</v>
      </c>
      <c r="F315" s="21" t="n">
        <f aca="false">IFERROR(D315*E315,0)</f>
        <v>830.390192497661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830.390192497661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24839.91</v>
      </c>
      <c r="F316" s="22" t="n">
        <f aca="false">IFERROR(D316*E316,0)</f>
        <v>614.094060430572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614.094060430572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24839.91</v>
      </c>
      <c r="F317" s="21" t="n">
        <f aca="false">IFERROR(D317*E317,0)</f>
        <v>620.845200206976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620.845200206976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24839.91</v>
      </c>
      <c r="F318" s="22" t="n">
        <f aca="false">IFERROR(D318*E318,0)</f>
        <v>17884.8079045822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17884.8079045822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27847.0633777778</v>
      </c>
      <c r="F327" s="21" t="n">
        <f aca="false">IFERROR(D327*E327,0)</f>
        <v>914.034914112721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914.034914112721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27847.0633777778</v>
      </c>
      <c r="F328" s="22" t="n">
        <f aca="false">IFERROR(D328*E328,0)</f>
        <v>1950.62036925775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1950.62036925775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27847.0633777778</v>
      </c>
      <c r="F329" s="21" t="n">
        <f aca="false">IFERROR(D329*E329,0)</f>
        <v>2085.83349588366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2085.83349588366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27847.0633777778</v>
      </c>
      <c r="F330" s="22" t="n">
        <f aca="false">IFERROR(D330*E330,0)</f>
        <v>531.246407087808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531.246407087808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27847.0633777778</v>
      </c>
      <c r="F331" s="21" t="n">
        <f aca="false">IFERROR(D331*E331,0)</f>
        <v>930.918361570854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930.918361570854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27847.0633777778</v>
      </c>
      <c r="F332" s="22" t="n">
        <f aca="false">IFERROR(D332*E332,0)</f>
        <v>688.43712480146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688.43712480146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27847.0633777778</v>
      </c>
      <c r="F333" s="21" t="n">
        <f aca="false">IFERROR(D333*E333,0)</f>
        <v>696.005566765451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696.005566765451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27847.0633777778</v>
      </c>
      <c r="F334" s="22" t="n">
        <f aca="false">IFERROR(D334*E334,0)</f>
        <v>20049.9671382981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20049.9671382981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55101.84</v>
      </c>
      <c r="F343" s="21" t="n">
        <f aca="false">IFERROR(D343*E343,0)</f>
        <v>1831.49515669516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1831.49515669516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55101.84</v>
      </c>
      <c r="F344" s="22" t="n">
        <f aca="false">IFERROR(D344*E344,0)</f>
        <v>1831.49515669516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1831.49515669516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55101.84</v>
      </c>
      <c r="F345" s="21" t="n">
        <f aca="false">IFERROR(D345*E345,0)</f>
        <v>2197.79418803419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2197.79418803419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55101.84</v>
      </c>
      <c r="F346" s="22" t="n">
        <f aca="false">IFERROR(D346*E346,0)</f>
        <v>575.612763532764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575.612763532764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55101.84</v>
      </c>
      <c r="F347" s="21" t="n">
        <f aca="false">IFERROR(D347*E347,0)</f>
        <v>2197.79418803419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2197.79418803419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55101.84</v>
      </c>
      <c r="F348" s="22" t="n">
        <f aca="false">IFERROR(D348*E348,0)</f>
        <v>941.911794871795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941.911794871795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55101.84</v>
      </c>
      <c r="F349" s="21" t="n">
        <f aca="false">IFERROR(D349*E349,0)</f>
        <v>1046.56866096866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1046.56866096866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55101.84</v>
      </c>
      <c r="F350" s="22" t="n">
        <f aca="false">IFERROR(D350*E350,0)</f>
        <v>44479.1680911681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44479.1680911681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57947.29</v>
      </c>
      <c r="F351" s="21" t="n">
        <f aca="false">IFERROR(D351*E351,0)</f>
        <v>1902.0262754342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1902.0262754342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57947.29</v>
      </c>
      <c r="F352" s="22" t="n">
        <f aca="false">IFERROR(D352*E352,0)</f>
        <v>4059.06944958108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4059.06944958108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57947.29</v>
      </c>
      <c r="F353" s="21" t="n">
        <f aca="false">IFERROR(D353*E353,0)</f>
        <v>4340.4360753579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4340.4360753579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57947.29</v>
      </c>
      <c r="F354" s="22" t="n">
        <f aca="false">IFERROR(D354*E354,0)</f>
        <v>1105.47705498963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1105.47705498963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57947.29</v>
      </c>
      <c r="F355" s="21" t="n">
        <f aca="false">IFERROR(D355*E355,0)</f>
        <v>1937.15924485305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1937.15924485305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57947.29</v>
      </c>
      <c r="F356" s="22" t="n">
        <f aca="false">IFERROR(D356*E356,0)</f>
        <v>1432.57711509614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1432.57711509614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57947.29</v>
      </c>
      <c r="F357" s="21" t="n">
        <f aca="false">IFERROR(D357*E357,0)</f>
        <v>1448.32637724942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1448.32637724942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57947.29</v>
      </c>
      <c r="F358" s="22" t="n">
        <f aca="false">IFERROR(D358*E358,0)</f>
        <v>41722.2184074386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41722.2184074386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122051.21</v>
      </c>
      <c r="F375" s="21" t="n">
        <f aca="false">IFERROR(D375*E375,0)</f>
        <v>4006.13399467927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4006.13399467927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122051.21</v>
      </c>
      <c r="F376" s="22" t="n">
        <f aca="false">IFERROR(D376*E376,0)</f>
        <v>8549.39614596999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8549.39614596999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122051.21</v>
      </c>
      <c r="F377" s="21" t="n">
        <f aca="false">IFERROR(D377*E377,0)</f>
        <v>9142.02329263512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9142.02329263512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122051.21</v>
      </c>
      <c r="F378" s="22" t="n">
        <f aca="false">IFERROR(D378*E378,0)</f>
        <v>2328.40590455085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2328.40590455085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122051.21</v>
      </c>
      <c r="F379" s="21" t="n">
        <f aca="false">IFERROR(D379*E379,0)</f>
        <v>4080.13264808417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4080.13264808417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122051.21</v>
      </c>
      <c r="F380" s="22" t="n">
        <f aca="false">IFERROR(D380*E380,0)</f>
        <v>3017.35888452754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3017.35888452754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122051.21</v>
      </c>
      <c r="F381" s="21" t="n">
        <f aca="false">IFERROR(D381*E381,0)</f>
        <v>3050.53069467456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3050.53069467456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122051.21</v>
      </c>
      <c r="F382" s="22" t="n">
        <f aca="false">IFERROR(D382*E382,0)</f>
        <v>87877.2284348785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87877.2284348785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56892.621</v>
      </c>
      <c r="F399" s="21" t="n">
        <f aca="false">IFERROR(D399*E399,0)</f>
        <v>1867.40846759736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1867.40846759736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56892.621</v>
      </c>
      <c r="F400" s="22" t="n">
        <f aca="false">IFERROR(D400*E400,0)</f>
        <v>3985.19240171016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3985.19240171016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56892.621</v>
      </c>
      <c r="F401" s="21" t="n">
        <f aca="false">IFERROR(D401*E401,0)</f>
        <v>4261.43801737862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4261.43801737862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56892.621</v>
      </c>
      <c r="F402" s="22" t="n">
        <f aca="false">IFERROR(D402*E402,0)</f>
        <v>1085.3568322819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1085.3568322819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56892.621</v>
      </c>
      <c r="F403" s="21" t="n">
        <f aca="false">IFERROR(D403*E403,0)</f>
        <v>1901.90199980139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1901.90199980139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56892.621</v>
      </c>
      <c r="F404" s="22" t="n">
        <f aca="false">IFERROR(D404*E404,0)</f>
        <v>1406.50351142285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1406.50351142285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56892.621</v>
      </c>
      <c r="F405" s="21" t="n">
        <f aca="false">IFERROR(D405*E405,0)</f>
        <v>1421.96612930742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1421.96612930742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56892.621</v>
      </c>
      <c r="F406" s="22" t="n">
        <f aca="false">IFERROR(D406*E406,0)</f>
        <v>40962.8536405003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40962.8536405003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44676.8079</v>
      </c>
      <c r="F407" s="21" t="n">
        <f aca="false">IFERROR(D407*E407,0)</f>
        <v>1466.44411720249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1466.44411720249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44676.8079</v>
      </c>
      <c r="F408" s="22" t="n">
        <f aca="false">IFERROR(D408*E408,0)</f>
        <v>3129.50383101078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3129.50383101078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44676.8079</v>
      </c>
      <c r="F409" s="21" t="n">
        <f aca="false">IFERROR(D409*E409,0)</f>
        <v>3346.43481586446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3346.43481586446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44676.8079</v>
      </c>
      <c r="F410" s="22" t="n">
        <f aca="false">IFERROR(D410*E410,0)</f>
        <v>852.312265571509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852.312265571509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44676.8079</v>
      </c>
      <c r="F411" s="21" t="n">
        <f aca="false">IFERROR(D411*E411,0)</f>
        <v>1493.53130153298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1493.53130153298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44676.8079</v>
      </c>
      <c r="F412" s="22" t="n">
        <f aca="false">IFERROR(D412*E412,0)</f>
        <v>1104.50329209678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1104.50329209678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44676.8079</v>
      </c>
      <c r="F413" s="21" t="n">
        <f aca="false">IFERROR(D413*E413,0)</f>
        <v>1116.64582300355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1116.64582300355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44676.8079</v>
      </c>
      <c r="F414" s="22" t="n">
        <f aca="false">IFERROR(D414*E414,0)</f>
        <v>32167.4324537175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32167.4324537175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124871.9361</v>
      </c>
      <c r="F415" s="21" t="n">
        <f aca="false">IFERROR(D415*E415,0)</f>
        <v>4098.71977665463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4098.71977665463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124871.9361</v>
      </c>
      <c r="F416" s="22" t="n">
        <f aca="false">IFERROR(D416*E416,0)</f>
        <v>8746.98128132569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8746.98128132569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124871.9361</v>
      </c>
      <c r="F417" s="21" t="n">
        <f aca="false">IFERROR(D417*E417,0)</f>
        <v>9353.30463682125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9353.30463682125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124871.9361</v>
      </c>
      <c r="F418" s="22" t="n">
        <f aca="false">IFERROR(D418*E418,0)</f>
        <v>2382.2177045843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2382.2177045843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124871.9361</v>
      </c>
      <c r="F419" s="21" t="n">
        <f aca="false">IFERROR(D419*E419,0)</f>
        <v>4174.42861329347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4174.42861329347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124871.9361</v>
      </c>
      <c r="F420" s="22" t="n">
        <f aca="false">IFERROR(D420*E420,0)</f>
        <v>3087.09308018732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3087.09308018732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124871.9361</v>
      </c>
      <c r="F421" s="21" t="n">
        <f aca="false">IFERROR(D421*E421,0)</f>
        <v>3121.03152419784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3121.03152419784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124871.9361</v>
      </c>
      <c r="F422" s="22" t="n">
        <f aca="false">IFERROR(D422*E422,0)</f>
        <v>89908.1594829355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89908.1594829355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115147.13</v>
      </c>
      <c r="F423" s="21" t="n">
        <f aca="false">IFERROR(D423*E423,0)</f>
        <v>3779.5187108981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3779.5187108981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115147.13</v>
      </c>
      <c r="F424" s="22" t="n">
        <f aca="false">IFERROR(D424*E424,0)</f>
        <v>8065.78180946756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8065.78180946756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115147.13</v>
      </c>
      <c r="F425" s="21" t="n">
        <f aca="false">IFERROR(D425*E425,0)</f>
        <v>8624.88577163704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8624.88577163704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115147.13</v>
      </c>
      <c r="F426" s="22" t="n">
        <f aca="false">IFERROR(D426*E426,0)</f>
        <v>2196.69479216211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2196.69479216211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115147.13</v>
      </c>
      <c r="F427" s="21" t="n">
        <f aca="false">IFERROR(D427*E427,0)</f>
        <v>3849.33147689558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3849.33147689558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115147.13</v>
      </c>
      <c r="F428" s="22" t="n">
        <f aca="false">IFERROR(D428*E428,0)</f>
        <v>2846.67571696624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2846.67571696624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115147.13</v>
      </c>
      <c r="F429" s="21" t="n">
        <f aca="false">IFERROR(D429*E429,0)</f>
        <v>2877.97109482718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2877.97109482718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115147.13</v>
      </c>
      <c r="F430" s="22" t="n">
        <f aca="false">IFERROR(D430*E430,0)</f>
        <v>82906.2706271462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82906.2706271462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31716.6</v>
      </c>
      <c r="F447" s="21" t="n">
        <f aca="false">IFERROR(D447*E447,0)</f>
        <v>989.325137614679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989.325137614679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31716.6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31716.6</v>
      </c>
      <c r="F449" s="21" t="n">
        <f aca="false">IFERROR(D449*E449,0)</f>
        <v>1367.59651376147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1367.59651376147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31716.6</v>
      </c>
      <c r="F450" s="22" t="n">
        <f aca="false">IFERROR(D450*E450,0)</f>
        <v>320.075779816514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320.075779816514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31716.6</v>
      </c>
      <c r="F451" s="21" t="n">
        <f aca="false">IFERROR(D451*E451,0)</f>
        <v>1454.88990825688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1454.88990825688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31716.6</v>
      </c>
      <c r="F452" s="22" t="n">
        <f aca="false">IFERROR(D452*E452,0)</f>
        <v>523.760366972477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523.760366972477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31716.6</v>
      </c>
      <c r="F453" s="21" t="n">
        <f aca="false">IFERROR(D453*E453,0)</f>
        <v>698.347155963303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698.347155963303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31716.6</v>
      </c>
      <c r="F454" s="22" t="n">
        <f aca="false">IFERROR(D454*E454,0)</f>
        <v>26362.6051376147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26362.6051376147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45621.1801</v>
      </c>
      <c r="F455" s="21" t="n">
        <f aca="false">IFERROR(D455*E455,0)</f>
        <v>1423.04598477064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1423.04598477064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45621.1801</v>
      </c>
      <c r="F457" s="21" t="n">
        <f aca="false">IFERROR(D457*E457,0)</f>
        <v>1967.15180247706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1967.15180247706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45621.1801</v>
      </c>
      <c r="F458" s="22" t="n">
        <f aca="false">IFERROR(D458*E458,0)</f>
        <v>460.397230366973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460.397230366973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45621.1801</v>
      </c>
      <c r="F459" s="21" t="n">
        <f aca="false">IFERROR(D459*E459,0)</f>
        <v>2092.71468348624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2092.71468348624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45621.1801</v>
      </c>
      <c r="F460" s="22" t="n">
        <f aca="false">IFERROR(D460*E460,0)</f>
        <v>753.377286055046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753.377286055046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45621.1801</v>
      </c>
      <c r="F461" s="21" t="n">
        <f aca="false">IFERROR(D461*E461,0)</f>
        <v>1004.50304807339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1004.50304807339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45621.1801</v>
      </c>
      <c r="F462" s="22" t="n">
        <f aca="false">IFERROR(D462*E462,0)</f>
        <v>37919.9900647706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37919.9900647706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28102.4898</v>
      </c>
      <c r="F463" s="21" t="n">
        <f aca="false">IFERROR(D463*E463,0)</f>
        <v>918.846016955596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918.846016955596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28102.4898</v>
      </c>
      <c r="F464" s="22" t="n">
        <f aca="false">IFERROR(D464*E464,0)</f>
        <v>1887.06536269114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1887.06536269114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28102.4898</v>
      </c>
      <c r="F465" s="21" t="n">
        <f aca="false">IFERROR(D465*E465,0)</f>
        <v>2048.7141990074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2048.7141990074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28102.4898</v>
      </c>
      <c r="F466" s="22" t="n">
        <f aca="false">IFERROR(D466*E466,0)</f>
        <v>525.114640837556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525.114640837556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28102.4898</v>
      </c>
      <c r="F467" s="21" t="n">
        <f aca="false">IFERROR(D467*E467,0)</f>
        <v>916.056563352209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916.056563352209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28102.4898</v>
      </c>
      <c r="F468" s="22" t="n">
        <f aca="false">IFERROR(D468*E468,0)</f>
        <v>670.166228213667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670.166228213667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28102.4898</v>
      </c>
      <c r="F469" s="21" t="n">
        <f aca="false">IFERROR(D469*E469,0)</f>
        <v>670.305700893837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670.305700893837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28102.4898</v>
      </c>
      <c r="F470" s="22" t="n">
        <f aca="false">IFERROR(D470*E470,0)</f>
        <v>20466.2210880486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20466.2210880486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11205.9601</v>
      </c>
      <c r="F471" s="21" t="n">
        <f aca="false">IFERROR(D471*E471,0)</f>
        <v>366.392866871473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366.392866871473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11205.9601</v>
      </c>
      <c r="F472" s="22" t="n">
        <f aca="false">IFERROR(D472*E472,0)</f>
        <v>752.473510742415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752.473510742415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11205.9601</v>
      </c>
      <c r="F473" s="21" t="n">
        <f aca="false">IFERROR(D473*E473,0)</f>
        <v>816.931515099434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816.931515099434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11205.9601</v>
      </c>
      <c r="F474" s="22" t="n">
        <f aca="false">IFERROR(D474*E474,0)</f>
        <v>209.391187579098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209.391187579098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11205.9601</v>
      </c>
      <c r="F475" s="21" t="n">
        <f aca="false">IFERROR(D475*E475,0)</f>
        <v>365.280563086192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365.280563086192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11205.9601</v>
      </c>
      <c r="F476" s="22" t="n">
        <f aca="false">IFERROR(D476*E476,0)</f>
        <v>267.230984413696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267.230984413696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11205.9601</v>
      </c>
      <c r="F477" s="21" t="n">
        <f aca="false">IFERROR(D477*E477,0)</f>
        <v>267.28659960296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267.28659960296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11205.9601</v>
      </c>
      <c r="F478" s="22" t="n">
        <f aca="false">IFERROR(D478*E478,0)</f>
        <v>8160.97287260473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8160.97287260473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63432.31</v>
      </c>
      <c r="F479" s="21" t="n">
        <f aca="false">IFERROR(D479*E479,0)</f>
        <v>2073.99863160141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2073.99863160141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63432.31</v>
      </c>
      <c r="F480" s="22" t="n">
        <f aca="false">IFERROR(D480*E480,0)</f>
        <v>4259.44163411765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4259.44163411765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63432.31</v>
      </c>
      <c r="F481" s="21" t="n">
        <f aca="false">IFERROR(D481*E481,0)</f>
        <v>4624.31176375123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4624.31176375123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63432.31</v>
      </c>
      <c r="F482" s="22" t="n">
        <f aca="false">IFERROR(D482*E482,0)</f>
        <v>1185.27699574671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1185.27699574671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63432.31</v>
      </c>
      <c r="F483" s="21" t="n">
        <f aca="false">IFERROR(D483*E483,0)</f>
        <v>2067.70233945933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2067.70233945933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63432.31</v>
      </c>
      <c r="F484" s="22" t="n">
        <f aca="false">IFERROR(D484*E484,0)</f>
        <v>1512.68418713491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1512.68418713491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63432.31</v>
      </c>
      <c r="F485" s="21" t="n">
        <f aca="false">IFERROR(D485*E485,0)</f>
        <v>1512.99900174201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1512.99900174201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63432.31</v>
      </c>
      <c r="F486" s="22" t="n">
        <f aca="false">IFERROR(D486*E486,0)</f>
        <v>46195.8954464467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46195.8954464467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169118.6915</v>
      </c>
      <c r="F487" s="21" t="n">
        <f aca="false">IFERROR(D487*E487,0)</f>
        <v>5529.54692567906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5529.54692567906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169118.6915</v>
      </c>
      <c r="F488" s="22" t="n">
        <f aca="false">IFERROR(D488*E488,0)</f>
        <v>11356.2188683117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11356.2188683117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169118.6915</v>
      </c>
      <c r="F489" s="21" t="n">
        <f aca="false">IFERROR(D489*E489,0)</f>
        <v>12329.0095311627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12329.0095311627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169118.6915</v>
      </c>
      <c r="F490" s="22" t="n">
        <f aca="false">IFERROR(D490*E490,0)</f>
        <v>3160.10081590493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3160.10081590493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169118.6915</v>
      </c>
      <c r="F491" s="21" t="n">
        <f aca="false">IFERROR(D491*E491,0)</f>
        <v>5512.76020155739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5512.76020155739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169118.6915</v>
      </c>
      <c r="F492" s="22" t="n">
        <f aca="false">IFERROR(D492*E492,0)</f>
        <v>4033.01047023192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4033.01047023192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169118.6915</v>
      </c>
      <c r="F493" s="21" t="n">
        <f aca="false">IFERROR(D493*E493,0)</f>
        <v>4033.84980643801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4033.84980643801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169118.6915</v>
      </c>
      <c r="F494" s="22" t="n">
        <f aca="false">IFERROR(D494*E494,0)</f>
        <v>123164.194880714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123164.194880714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49674.8765</v>
      </c>
      <c r="F495" s="21" t="n">
        <f aca="false">IFERROR(D495*E495,0)</f>
        <v>1624.18215395229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1624.18215395229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49674.8765</v>
      </c>
      <c r="F496" s="22" t="n">
        <f aca="false">IFERROR(D496*E496,0)</f>
        <v>3335.63821235192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3335.63821235192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49674.8765</v>
      </c>
      <c r="F497" s="21" t="n">
        <f aca="false">IFERROR(D497*E497,0)</f>
        <v>3621.37396165834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3621.37396165834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49674.8765</v>
      </c>
      <c r="F498" s="22" t="n">
        <f aca="false">IFERROR(D498*E498,0)</f>
        <v>928.209746452695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928.209746452695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49674.8765</v>
      </c>
      <c r="F499" s="21" t="n">
        <f aca="false">IFERROR(D499*E499,0)</f>
        <v>1619.25142488746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1619.25142488746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49674.8765</v>
      </c>
      <c r="F500" s="22" t="n">
        <f aca="false">IFERROR(D500*E500,0)</f>
        <v>1184.60765782343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1184.60765782343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49674.8765</v>
      </c>
      <c r="F501" s="21" t="n">
        <f aca="false">IFERROR(D501*E501,0)</f>
        <v>1184.85419427667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1184.85419427667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49674.8765</v>
      </c>
      <c r="F502" s="22" t="n">
        <f aca="false">IFERROR(D502*E502,0)</f>
        <v>36176.7591485972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36176.7591485972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59228.036</v>
      </c>
      <c r="F503" s="21" t="n">
        <f aca="false">IFERROR(D503*E503,0)</f>
        <v>1936.53464009807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1936.53464009807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59228.036</v>
      </c>
      <c r="F504" s="22" t="n">
        <f aca="false">IFERROR(D504*E504,0)</f>
        <v>3977.12715247827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3977.12715247827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59228.036</v>
      </c>
      <c r="F505" s="21" t="n">
        <f aca="false">IFERROR(D505*E505,0)</f>
        <v>4317.81380212516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4317.81380212516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59228.036</v>
      </c>
      <c r="F506" s="22" t="n">
        <f aca="false">IFERROR(D506*E506,0)</f>
        <v>1106.71720096679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1106.71720096679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59228.036</v>
      </c>
      <c r="F507" s="21" t="n">
        <f aca="false">IFERROR(D507*E507,0)</f>
        <v>1930.65566426292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1930.65566426292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59228.036</v>
      </c>
      <c r="F508" s="22" t="n">
        <f aca="false">IFERROR(D508*E508,0)</f>
        <v>1412.42394439454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1412.42394439454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59228.036</v>
      </c>
      <c r="F509" s="21" t="n">
        <f aca="false">IFERROR(D509*E509,0)</f>
        <v>1412.7178931863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1412.7178931863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59228.036</v>
      </c>
      <c r="F510" s="22" t="n">
        <f aca="false">IFERROR(D510*E510,0)</f>
        <v>43134.045702488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43134.045702488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34107.57</v>
      </c>
      <c r="F511" s="21" t="n">
        <f aca="false">IFERROR(D511*E511,0)</f>
        <v>1115.18961720375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1115.18961720375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34107.57</v>
      </c>
      <c r="F512" s="22" t="n">
        <f aca="false">IFERROR(D512*E512,0)</f>
        <v>2290.30290236288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2290.30290236288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34107.57</v>
      </c>
      <c r="F513" s="21" t="n">
        <f aca="false">IFERROR(D513*E513,0)</f>
        <v>2486.49366835243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2486.49366835243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34107.57</v>
      </c>
      <c r="F514" s="22" t="n">
        <f aca="false">IFERROR(D514*E514,0)</f>
        <v>637.323756644217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637.323756644217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34107.57</v>
      </c>
      <c r="F515" s="21" t="n">
        <f aca="false">IFERROR(D515*E515,0)</f>
        <v>1111.80409924016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1111.80409924016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34107.57</v>
      </c>
      <c r="F516" s="22" t="n">
        <f aca="false">IFERROR(D516*E516,0)</f>
        <v>813.370690750455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813.370690750455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34107.57</v>
      </c>
      <c r="F517" s="21" t="n">
        <f aca="false">IFERROR(D517*E517,0)</f>
        <v>813.539966648634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813.539966648634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34107.57</v>
      </c>
      <c r="F518" s="22" t="n">
        <f aca="false">IFERROR(D518*E518,0)</f>
        <v>24839.5452987975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24839.5452987975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28043.2633777778</v>
      </c>
      <c r="F527" s="21" t="n">
        <f aca="false">IFERROR(D527*E527,0)</f>
        <v>916.90953507998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916.90953507998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28043.2633777778</v>
      </c>
      <c r="F528" s="22" t="n">
        <f aca="false">IFERROR(D528*E528,0)</f>
        <v>1883.08834390287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1883.08834390287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28043.2633777778</v>
      </c>
      <c r="F529" s="21" t="n">
        <f aca="false">IFERROR(D529*E529,0)</f>
        <v>2044.39650285213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2044.39650285213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28043.2633777778</v>
      </c>
      <c r="F530" s="22" t="n">
        <f aca="false">IFERROR(D530*E530,0)</f>
        <v>524.007953791154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524.007953791154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28043.2633777778</v>
      </c>
      <c r="F531" s="21" t="n">
        <f aca="false">IFERROR(D531*E531,0)</f>
        <v>914.125960292244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914.125960292244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28043.2633777778</v>
      </c>
      <c r="F532" s="22" t="n">
        <f aca="false">IFERROR(D532*E532,0)</f>
        <v>668.753842753385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668.753842753385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28043.2633777778</v>
      </c>
      <c r="F533" s="21" t="n">
        <f aca="false">IFERROR(D533*E533,0)</f>
        <v>668.893021492772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668.893021492772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28043.2633777778</v>
      </c>
      <c r="F534" s="22" t="n">
        <f aca="false">IFERROR(D534*E534,0)</f>
        <v>20423.0882176133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20423.0882176133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29638.05</v>
      </c>
      <c r="F535" s="21" t="n">
        <f aca="false">IFERROR(D535*E535,0)</f>
        <v>969.053076316064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969.053076316064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29638.05</v>
      </c>
      <c r="F536" s="22" t="n">
        <f aca="false">IFERROR(D536*E536,0)</f>
        <v>1990.17731064911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1990.17731064911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29638.05</v>
      </c>
      <c r="F537" s="21" t="n">
        <f aca="false">IFERROR(D537*E537,0)</f>
        <v>2160.65887037138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2160.65887037138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29638.05</v>
      </c>
      <c r="F538" s="22" t="n">
        <f aca="false">IFERROR(D538*E538,0)</f>
        <v>553.807655180629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553.807655180629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29638.05</v>
      </c>
      <c r="F539" s="21" t="n">
        <f aca="false">IFERROR(D539*E539,0)</f>
        <v>966.111202981771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966.111202981771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29638.05</v>
      </c>
      <c r="F540" s="22" t="n">
        <f aca="false">IFERROR(D540*E540,0)</f>
        <v>706.785068563857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706.785068563857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29638.05</v>
      </c>
      <c r="F541" s="21" t="n">
        <f aca="false">IFERROR(D541*E541,0)</f>
        <v>706.932162230571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706.932162230571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29638.05</v>
      </c>
      <c r="F542" s="22" t="n">
        <f aca="false">IFERROR(D542*E542,0)</f>
        <v>21584.5246537066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21584.5246537066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69224.39</v>
      </c>
      <c r="F543" s="21" t="n">
        <f aca="false">IFERROR(D543*E543,0)</f>
        <v>2159.29289908257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2159.29289908257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69224.39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69224.39</v>
      </c>
      <c r="F545" s="21" t="n">
        <f aca="false">IFERROR(D545*E545,0)</f>
        <v>2984.90488990826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2984.90488990826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69224.39</v>
      </c>
      <c r="F546" s="22" t="n">
        <f aca="false">IFERROR(D546*E546,0)</f>
        <v>698.59476146789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698.59476146789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69224.39</v>
      </c>
      <c r="F547" s="21" t="n">
        <f aca="false">IFERROR(D547*E547,0)</f>
        <v>3175.43073394495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3175.43073394495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69224.39</v>
      </c>
      <c r="F548" s="22" t="n">
        <f aca="false">IFERROR(D548*E548,0)</f>
        <v>1143.15506422018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1143.15506422018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69224.39</v>
      </c>
      <c r="F549" s="21" t="n">
        <f aca="false">IFERROR(D549*E549,0)</f>
        <v>1524.20675229358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1524.20675229358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69224.39</v>
      </c>
      <c r="F550" s="22" t="n">
        <f aca="false">IFERROR(D550*E550,0)</f>
        <v>57538.8048990826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57538.8048990826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87262.4</v>
      </c>
      <c r="F551" s="21" t="n">
        <f aca="false">IFERROR(D551*E551,0)</f>
        <v>2853.15319890218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2853.15319890218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87262.4</v>
      </c>
      <c r="F552" s="22" t="n">
        <f aca="false">IFERROR(D552*E552,0)</f>
        <v>5859.61790849219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5859.61790849219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87262.4</v>
      </c>
      <c r="F553" s="21" t="n">
        <f aca="false">IFERROR(D553*E553,0)</f>
        <v>6361.56152681758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6361.56152681758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87262.4</v>
      </c>
      <c r="F554" s="22" t="n">
        <f aca="false">IFERROR(D554*E554,0)</f>
        <v>1630.55886367133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1630.55886367133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87262.4</v>
      </c>
      <c r="F555" s="21" t="n">
        <f aca="false">IFERROR(D555*E555,0)</f>
        <v>2844.49153163169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2844.49153163169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87262.4</v>
      </c>
      <c r="F556" s="22" t="n">
        <f aca="false">IFERROR(D556*E556,0)</f>
        <v>2080.96556173725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2080.96556173725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87262.4</v>
      </c>
      <c r="F557" s="21" t="n">
        <f aca="false">IFERROR(D557*E557,0)</f>
        <v>2081.39864510077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2081.39864510077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87262.4</v>
      </c>
      <c r="F558" s="22" t="n">
        <f aca="false">IFERROR(D558*E558,0)</f>
        <v>63550.652763647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63550.652763647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120130.34</v>
      </c>
      <c r="F567" s="21" t="n">
        <f aca="false">IFERROR(D567*E567,0)</f>
        <v>3927.81156438749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3927.81156438749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120130.34</v>
      </c>
      <c r="F568" s="22" t="n">
        <f aca="false">IFERROR(D568*E568,0)</f>
        <v>8066.68039862823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8066.68039862823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120130.34</v>
      </c>
      <c r="F569" s="21" t="n">
        <f aca="false">IFERROR(D569*E569,0)</f>
        <v>8757.68428495566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8757.68428495566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120130.34</v>
      </c>
      <c r="F570" s="22" t="n">
        <f aca="false">IFERROR(D570*E570,0)</f>
        <v>2244.71926835442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2244.71926835442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120130.34</v>
      </c>
      <c r="F571" s="21" t="n">
        <f aca="false">IFERROR(D571*E571,0)</f>
        <v>3915.88742484776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3915.88742484776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120130.34</v>
      </c>
      <c r="F572" s="22" t="n">
        <f aca="false">IFERROR(D572*E572,0)</f>
        <v>2864.77452442045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2864.77452442045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120130.34</v>
      </c>
      <c r="F573" s="21" t="n">
        <f aca="false">IFERROR(D573*E573,0)</f>
        <v>2865.37073139743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2865.37073139743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120130.34</v>
      </c>
      <c r="F574" s="22" t="n">
        <f aca="false">IFERROR(D574*E574,0)</f>
        <v>87487.4118030086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87487.4118030086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124199.39</v>
      </c>
      <c r="F575" s="21" t="n">
        <f aca="false">IFERROR(D575*E575,0)</f>
        <v>4060.85423825382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4060.85423825382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124199.39</v>
      </c>
      <c r="F576" s="22" t="n">
        <f aca="false">IFERROR(D576*E576,0)</f>
        <v>8339.91466963785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8339.91466963785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124199.39</v>
      </c>
      <c r="F577" s="21" t="n">
        <f aca="false">IFERROR(D577*E577,0)</f>
        <v>9054.32421155287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9054.32421155287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124199.39</v>
      </c>
      <c r="F578" s="22" t="n">
        <f aca="false">IFERROR(D578*E578,0)</f>
        <v>2320.75230829169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2320.75230829169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124199.39</v>
      </c>
      <c r="F579" s="21" t="n">
        <f aca="false">IFERROR(D579*E579,0)</f>
        <v>4048.52620474364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4048.52620474364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124199.39</v>
      </c>
      <c r="F580" s="22" t="n">
        <f aca="false">IFERROR(D580*E580,0)</f>
        <v>2961.81005082113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2961.81005082113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124199.39</v>
      </c>
      <c r="F581" s="21" t="n">
        <f aca="false">IFERROR(D581*E581,0)</f>
        <v>2962.42645249664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2962.42645249664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124199.39</v>
      </c>
      <c r="F582" s="22" t="n">
        <f aca="false">IFERROR(D582*E582,0)</f>
        <v>90450.7818642024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90450.7818642024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628474.68</v>
      </c>
      <c r="F591" s="21" t="n">
        <f aca="false">IFERROR(D591*E591,0)</f>
        <v>20548.7649167457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20548.7649167457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628474.68</v>
      </c>
      <c r="F592" s="22" t="n">
        <f aca="false">IFERROR(D592*E592,0)</f>
        <v>42201.6984401288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42201.6984401288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628474.68</v>
      </c>
      <c r="F593" s="21" t="n">
        <f aca="false">IFERROR(D593*E593,0)</f>
        <v>45816.7589347415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45816.7589347415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628474.68</v>
      </c>
      <c r="F594" s="22" t="n">
        <f aca="false">IFERROR(D594*E594,0)</f>
        <v>11743.4881468651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11743.4881468651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628474.68</v>
      </c>
      <c r="F595" s="21" t="n">
        <f aca="false">IFERROR(D595*E595,0)</f>
        <v>20486.382509591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20486.382509591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628474.68</v>
      </c>
      <c r="F596" s="22" t="n">
        <f aca="false">IFERROR(D596*E596,0)</f>
        <v>14987.3733189075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14987.3733189075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628474.68</v>
      </c>
      <c r="F597" s="21" t="n">
        <f aca="false">IFERROR(D597*E597,0)</f>
        <v>14990.4924392653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14990.4924392653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628474.68</v>
      </c>
      <c r="F598" s="22" t="n">
        <f aca="false">IFERROR(D598*E598,0)</f>
        <v>457699.721293755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457699.721293755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113174.545</v>
      </c>
      <c r="F599" s="21" t="n">
        <f aca="false">IFERROR(D599*E599,0)</f>
        <v>3700.38315587297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3700.38315587297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113174.545</v>
      </c>
      <c r="F600" s="22" t="n">
        <f aca="false">IFERROR(D600*E600,0)</f>
        <v>7599.60292941124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7599.60292941124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113174.545</v>
      </c>
      <c r="F601" s="21" t="n">
        <f aca="false">IFERROR(D601*E601,0)</f>
        <v>8250.59626238889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8250.59626238889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113174.545</v>
      </c>
      <c r="F602" s="22" t="n">
        <f aca="false">IFERROR(D602*E602,0)</f>
        <v>2114.74538279625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2114.74538279625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113174.545</v>
      </c>
      <c r="F603" s="21" t="n">
        <f aca="false">IFERROR(D603*E603,0)</f>
        <v>3689.14944866024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3689.14944866024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113174.545</v>
      </c>
      <c r="F604" s="22" t="n">
        <f aca="false">IFERROR(D604*E604,0)</f>
        <v>2698.89815785817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2698.89815785817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113174.545</v>
      </c>
      <c r="F605" s="21" t="n">
        <f aca="false">IFERROR(D605*E605,0)</f>
        <v>2699.4598432188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2699.4598432188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113174.545</v>
      </c>
      <c r="F606" s="22" t="n">
        <f aca="false">IFERROR(D606*E606,0)</f>
        <v>82421.7098197934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82421.7098197934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219948.0165</v>
      </c>
      <c r="F615" s="21" t="n">
        <f aca="false">IFERROR(D615*E615,0)</f>
        <v>7191.47521577639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7191.47521577639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219948.0165</v>
      </c>
      <c r="F616" s="22" t="n">
        <f aca="false">IFERROR(D616*E616,0)</f>
        <v>14769.377606171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14769.377606171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219948.0165</v>
      </c>
      <c r="F617" s="21" t="n">
        <f aca="false">IFERROR(D617*E617,0)</f>
        <v>16034.5445422798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16034.5445422798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219948.0165</v>
      </c>
      <c r="F618" s="22" t="n">
        <f aca="false">IFERROR(D618*E618,0)</f>
        <v>4109.8822385243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4109.8822385243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219948.0165</v>
      </c>
      <c r="F619" s="21" t="n">
        <f aca="false">IFERROR(D619*E619,0)</f>
        <v>7169.64317201265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7169.64317201265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219948.0165</v>
      </c>
      <c r="F620" s="22" t="n">
        <f aca="false">IFERROR(D620*E620,0)</f>
        <v>5245.14851423885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5245.14851423885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219948.0165</v>
      </c>
      <c r="F621" s="21" t="n">
        <f aca="false">IFERROR(D621*E621,0)</f>
        <v>5246.24011642704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5246.24011642704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219948.0165</v>
      </c>
      <c r="F622" s="22" t="n">
        <f aca="false">IFERROR(D622*E622,0)</f>
        <v>160181.70509457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160181.70509457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125853.5699</v>
      </c>
      <c r="F623" s="21" t="n">
        <f aca="false">IFERROR(D623*E623,0)</f>
        <v>4114.93971691639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4114.93971691639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125853.5699</v>
      </c>
      <c r="F624" s="22" t="n">
        <f aca="false">IFERROR(D624*E624,0)</f>
        <v>8450.991859423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8450.991859423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125853.5699</v>
      </c>
      <c r="F625" s="21" t="n">
        <f aca="false">IFERROR(D625*E625,0)</f>
        <v>9174.91643925089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9174.91643925089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125853.5699</v>
      </c>
      <c r="F626" s="22" t="n">
        <f aca="false">IFERROR(D626*E626,0)</f>
        <v>2351.6618145401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2351.6618145401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125853.5699</v>
      </c>
      <c r="F627" s="21" t="n">
        <f aca="false">IFERROR(D627*E627,0)</f>
        <v>4102.44748948191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4102.44748948191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125853.5699</v>
      </c>
      <c r="F628" s="22" t="n">
        <f aca="false">IFERROR(D628*E628,0)</f>
        <v>3001.25764113285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3001.25764113285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125853.5699</v>
      </c>
      <c r="F629" s="21" t="n">
        <f aca="false">IFERROR(D629*E629,0)</f>
        <v>3001.88225250458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3001.88225250458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125853.5699</v>
      </c>
      <c r="F630" s="22" t="n">
        <f aca="false">IFERROR(D630*E630,0)</f>
        <v>91655.4726867503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91655.4726867503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84256.12</v>
      </c>
      <c r="F660" s="1" t="n">
        <f aca="false">IFERROR(D660*E660,0)</f>
        <v>2765.57116141475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2765.57116141475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84256.12</v>
      </c>
      <c r="F661" s="1" t="n">
        <f aca="false">IFERROR(D661*E661,0)</f>
        <v>5901.94023969435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5901.94023969435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84256.12</v>
      </c>
      <c r="F662" s="1" t="n">
        <f aca="false">IFERROR(D662*E662,0)</f>
        <v>6311.0510054514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6311.0510054514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84256.12</v>
      </c>
      <c r="F663" s="1" t="n">
        <f aca="false">IFERROR(D663*E663,0)</f>
        <v>1607.37814317896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1607.37814317896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84256.12</v>
      </c>
      <c r="F664" s="1" t="n">
        <f aca="false">IFERROR(D664*E664,0)</f>
        <v>2816.6549599377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2816.6549599377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84256.12</v>
      </c>
      <c r="F665" s="1" t="n">
        <f aca="false">IFERROR(D665*E665,0)</f>
        <v>2082.98592253054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2082.98592253054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84256.12</v>
      </c>
      <c r="F666" s="1" t="n">
        <f aca="false">IFERROR(D666*E666,0)</f>
        <v>2105.88555635117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2105.88555635117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84256.12</v>
      </c>
      <c r="F667" s="1" t="n">
        <f aca="false">IFERROR(D667*E667,0)</f>
        <v>60664.6530114411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60664.6530114411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95776.24</v>
      </c>
      <c r="F668" s="1" t="n">
        <f aca="false">IFERROR(D668*E668,0)</f>
        <v>3168.07823119127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3168.07823119127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95776.24</v>
      </c>
      <c r="F669" s="1" t="n">
        <f aca="false">IFERROR(D669*E669,0)</f>
        <v>6595.69801491457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6595.69801491457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95776.24</v>
      </c>
      <c r="F670" s="1" t="n">
        <f aca="false">IFERROR(D670*E670,0)</f>
        <v>7098.5597729454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7098.5597729454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95776.24</v>
      </c>
      <c r="F671" s="1" t="n">
        <f aca="false">IFERROR(D671*E671,0)</f>
        <v>1820.72331548991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1820.72331548991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95776.24</v>
      </c>
      <c r="F672" s="1" t="n">
        <f aca="false">IFERROR(D672*E672,0)</f>
        <v>3162.67111551352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3162.67111551352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95776.24</v>
      </c>
      <c r="F673" s="1" t="n">
        <f aca="false">IFERROR(D673*E673,0)</f>
        <v>2334.39930487623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2334.39930487623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95776.24</v>
      </c>
      <c r="F674" s="1" t="n">
        <f aca="false">IFERROR(D674*E674,0)</f>
        <v>2357.01087952865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2357.01087952865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95776.24</v>
      </c>
      <c r="F675" s="1" t="n">
        <f aca="false">IFERROR(D675*E675,0)</f>
        <v>69239.0993655405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69239.0993655405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79935.01</v>
      </c>
      <c r="F676" s="1" t="n">
        <f aca="false">IFERROR(D676*E676,0)</f>
        <v>2613.57502756947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2613.57502756947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79935.01</v>
      </c>
      <c r="F677" s="1" t="n">
        <f aca="false">IFERROR(D677*E677,0)</f>
        <v>5367.58805753111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5367.58805753111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79935.01</v>
      </c>
      <c r="F678" s="1" t="n">
        <f aca="false">IFERROR(D678*E678,0)</f>
        <v>5827.38366423314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5827.38366423314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79935.01</v>
      </c>
      <c r="F679" s="1" t="n">
        <f aca="false">IFERROR(D679*E679,0)</f>
        <v>1493.64146612008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1493.64146612008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79935.01</v>
      </c>
      <c r="F680" s="1" t="n">
        <f aca="false">IFERROR(D680*E680,0)</f>
        <v>2605.64067715183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2605.64067715183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79935.01</v>
      </c>
      <c r="F681" s="1" t="n">
        <f aca="false">IFERROR(D681*E681,0)</f>
        <v>1906.22768783717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1906.22768783717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79935.01</v>
      </c>
      <c r="F682" s="1" t="n">
        <f aca="false">IFERROR(D682*E682,0)</f>
        <v>1906.62440535806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1906.62440535806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79935.01</v>
      </c>
      <c r="F683" s="1" t="n">
        <f aca="false">IFERROR(D683*E683,0)</f>
        <v>58214.3290141991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58214.3290141991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29435.8901</v>
      </c>
      <c r="F724" s="1" t="n">
        <f aca="false">IFERROR(D724*E724,0)</f>
        <v>962.4432057948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962.4432057948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29435.8901</v>
      </c>
      <c r="F725" s="1" t="n">
        <f aca="false">IFERROR(D725*E725,0)</f>
        <v>1976.60239441464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1976.60239441464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29435.8901</v>
      </c>
      <c r="F726" s="1" t="n">
        <f aca="false">IFERROR(D726*E726,0)</f>
        <v>2145.92110654521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2145.92110654521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29435.8901</v>
      </c>
      <c r="F727" s="1" t="n">
        <f aca="false">IFERROR(D727*E727,0)</f>
        <v>550.030156317156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550.030156317156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29435.8901</v>
      </c>
      <c r="F728" s="1" t="n">
        <f aca="false">IFERROR(D728*E728,0)</f>
        <v>959.521398855532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959.521398855532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29435.8901</v>
      </c>
      <c r="F729" s="1" t="n">
        <f aca="false">IFERROR(D729*E729,0)</f>
        <v>701.964117159079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701.964117159079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29435.8901</v>
      </c>
      <c r="F730" s="1" t="n">
        <f aca="false">IFERROR(D730*E730,0)</f>
        <v>702.110207506043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702.110207506043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29435.8901</v>
      </c>
      <c r="F731" s="1" t="n">
        <f aca="false">IFERROR(D731*E731,0)</f>
        <v>21437.2975134075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21437.2975134075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61230.91</v>
      </c>
      <c r="F844" s="1" t="n">
        <f aca="false">IFERROR(D844*E844,0)</f>
        <v>2002.02110803957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2002.02110803957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61230.91</v>
      </c>
      <c r="F845" s="1" t="n">
        <f aca="false">IFERROR(D845*E845,0)</f>
        <v>4111.61894228526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4111.61894228526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61230.91</v>
      </c>
      <c r="F846" s="1" t="n">
        <f aca="false">IFERROR(D846*E846,0)</f>
        <v>4463.82635944037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4463.82635944037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61230.91</v>
      </c>
      <c r="F847" s="1" t="n">
        <f aca="false">IFERROR(D847*E847,0)</f>
        <v>1144.14229990421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1144.14229990421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61230.91</v>
      </c>
      <c r="F848" s="1" t="n">
        <f aca="false">IFERROR(D848*E848,0)</f>
        <v>1995.94332689798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1995.94332689798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61230.91</v>
      </c>
      <c r="F849" s="1" t="n">
        <f aca="false">IFERROR(D849*E849,0)</f>
        <v>1460.18691926687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1460.18691926687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61230.91</v>
      </c>
      <c r="F850" s="1" t="n">
        <f aca="false">IFERROR(D850*E850,0)</f>
        <v>1460.49080832395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1460.49080832395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61230.91</v>
      </c>
      <c r="F851" s="1" t="n">
        <f aca="false">IFERROR(D851*E851,0)</f>
        <v>44592.6802358418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44592.6802358418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27200.18</v>
      </c>
      <c r="F852" s="1" t="n">
        <f aca="false">IFERROR(D852*E852,0)</f>
        <v>892.802011216399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892.802011216399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27200.18</v>
      </c>
      <c r="F853" s="1" t="n">
        <f aca="false">IFERROR(D853*E853,0)</f>
        <v>1905.30773157997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1905.30773157997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27200.18</v>
      </c>
      <c r="F854" s="1" t="n">
        <f aca="false">IFERROR(D854*E854,0)</f>
        <v>2037.37987623284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2037.37987623284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27200.18</v>
      </c>
      <c r="F855" s="1" t="n">
        <f aca="false">IFERROR(D855*E855,0)</f>
        <v>518.905627538194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518.905627538194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27200.18</v>
      </c>
      <c r="F856" s="1" t="n">
        <f aca="false">IFERROR(D856*E856,0)</f>
        <v>909.293258557339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909.293258557339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27200.18</v>
      </c>
      <c r="F857" s="1" t="n">
        <f aca="false">IFERROR(D857*E857,0)</f>
        <v>672.444826919358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672.444826919358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27200.18</v>
      </c>
      <c r="F858" s="1" t="n">
        <f aca="false">IFERROR(D858*E858,0)</f>
        <v>679.83745503771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679.83745503771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27200.18</v>
      </c>
      <c r="F859" s="1" t="n">
        <f aca="false">IFERROR(D859*E859,0)</f>
        <v>19584.2092129182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19584.2092129182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35576.53</v>
      </c>
      <c r="F860" s="1" t="n">
        <f aca="false">IFERROR(D860*E860,0)</f>
        <v>1176.79740021453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1176.79740021453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35576.53</v>
      </c>
      <c r="F861" s="1" t="n">
        <f aca="false">IFERROR(D861*E861,0)</f>
        <v>2450.0027177779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2450.0027177779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35576.53</v>
      </c>
      <c r="F862" s="1" t="n">
        <f aca="false">IFERROR(D862*E862,0)</f>
        <v>2636.79305764128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2636.79305764128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35576.53</v>
      </c>
      <c r="F863" s="1" t="n">
        <f aca="false">IFERROR(D863*E863,0)</f>
        <v>676.316147462316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676.316147462316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35576.53</v>
      </c>
      <c r="F864" s="1" t="n">
        <f aca="false">IFERROR(D864*E864,0)</f>
        <v>1174.78890193643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1174.78890193643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35576.53</v>
      </c>
      <c r="F865" s="1" t="n">
        <f aca="false">IFERROR(D865*E865,0)</f>
        <v>867.123483881895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867.123483881895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35576.53</v>
      </c>
      <c r="F866" s="1" t="n">
        <f aca="false">IFERROR(D866*E866,0)</f>
        <v>875.522658499407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875.522658499407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35576.53</v>
      </c>
      <c r="F867" s="1" t="n">
        <f aca="false">IFERROR(D867*E867,0)</f>
        <v>25719.1856325862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25719.1856325862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30725.96</v>
      </c>
      <c r="F868" s="1" t="n">
        <f aca="false">IFERROR(D868*E868,0)</f>
        <v>1004.62365306639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1004.62365306639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30725.96</v>
      </c>
      <c r="F869" s="1" t="n">
        <f aca="false">IFERROR(D869*E869,0)</f>
        <v>2063.22981572378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2063.22981572378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30725.96</v>
      </c>
      <c r="F870" s="1" t="n">
        <f aca="false">IFERROR(D870*E870,0)</f>
        <v>2239.96916209657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2239.96916209657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30725.96</v>
      </c>
      <c r="F871" s="1" t="n">
        <f aca="false">IFERROR(D871*E871,0)</f>
        <v>574.136013022914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574.136013022914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30725.96</v>
      </c>
      <c r="F872" s="1" t="n">
        <f aca="false">IFERROR(D872*E872,0)</f>
        <v>1001.57379376746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1001.57379376746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30725.96</v>
      </c>
      <c r="F873" s="1" t="n">
        <f aca="false">IFERROR(D873*E873,0)</f>
        <v>732.728696567092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732.728696567092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30725.96</v>
      </c>
      <c r="F874" s="1" t="n">
        <f aca="false">IFERROR(D874*E874,0)</f>
        <v>732.881189532039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732.881189532039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30725.96</v>
      </c>
      <c r="F875" s="1" t="n">
        <f aca="false">IFERROR(D875*E875,0)</f>
        <v>22376.8176762238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22376.8176762238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34510.5803</v>
      </c>
      <c r="F892" s="1" t="n">
        <f aca="false">IFERROR(D892*E892,0)</f>
        <v>1128.36654250761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1128.36654250761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34510.5803</v>
      </c>
      <c r="F893" s="1" t="n">
        <f aca="false">IFERROR(D893*E893,0)</f>
        <v>2317.36480269094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2317.36480269094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34510.5803</v>
      </c>
      <c r="F894" s="1" t="n">
        <f aca="false">IFERROR(D894*E894,0)</f>
        <v>2515.87373146543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2515.87373146543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34510.5803</v>
      </c>
      <c r="F895" s="1" t="n">
        <f aca="false">IFERROR(D895*E895,0)</f>
        <v>644.854285449474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644.854285449474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34510.5803</v>
      </c>
      <c r="F896" s="1" t="n">
        <f aca="false">IFERROR(D896*E896,0)</f>
        <v>1124.94102173497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1124.94102173497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34510.5803</v>
      </c>
      <c r="F897" s="1" t="n">
        <f aca="false">IFERROR(D897*E897,0)</f>
        <v>822.981365626753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822.981365626753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34510.5803</v>
      </c>
      <c r="F898" s="1" t="n">
        <f aca="false">IFERROR(D898*E898,0)</f>
        <v>823.152641665385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823.152641665385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34510.5803</v>
      </c>
      <c r="F899" s="1" t="n">
        <f aca="false">IFERROR(D899*E899,0)</f>
        <v>25133.0459088595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25133.0459088595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29086.34</v>
      </c>
      <c r="E6" s="21" t="n">
        <f aca="false">IFERROR(D6/IF(B6="Clientes",SUMIFS(PARÂMETROS!$B$8:$B$33,PARÂMETROS!$G$8:$G$33,F6),SUMIFS(PARÂMETROS!$C$8:$C$33,PARÂMETROS!$G$8:$G$33,F6)),0)</f>
        <v>27.727683508103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43118.9397</v>
      </c>
      <c r="E7" s="21" t="n">
        <f aca="false">IFERROR(D7/IF(B7="Clientes",SUMIFS(PARÂMETROS!$B$8:$B$33,PARÂMETROS!$G$8:$G$33,F7),SUMIFS(PARÂMETROS!$C$8:$C$33,PARÂMETROS!$G$8:$G$33,F7)),0)</f>
        <v>41.1048042897998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24338.6</v>
      </c>
      <c r="E8" s="21" t="n">
        <f aca="false">IFERROR(D8/IF(B8="Clientes",SUMIFS(PARÂMETROS!$B$8:$B$33,PARÂMETROS!$G$8:$G$33,F8),SUMIFS(PARÂMETROS!$C$8:$C$33,PARÂMETROS!$G$8:$G$33,F8)),0)</f>
        <v>0.124913905041495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16782.38</v>
      </c>
      <c r="E9" s="21" t="n">
        <f aca="false">IFERROR(D9/IF(B9="Clientes",SUMIFS(PARÂMETROS!$B$8:$B$33,PARÂMETROS!$G$8:$G$33,F9),SUMIFS(PARÂMETROS!$C$8:$C$33,PARÂMETROS!$G$8:$G$33,F9)),0)</f>
        <v>0.0861328351544577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58437.36</v>
      </c>
      <c r="E10" s="21" t="n">
        <f aca="false">IFERROR(D10/IF(B10="Clientes",SUMIFS(PARÂMETROS!$B$8:$B$33,PARÂMETROS!$G$8:$G$33,F10),SUMIFS(PARÂMETROS!$C$8:$C$33,PARÂMETROS!$G$8:$G$33,F10)),0)</f>
        <v>0.299920243478082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188065.5656</v>
      </c>
      <c r="E11" s="21" t="n">
        <f aca="false">IFERROR(D11/IF(B11="Clientes",SUMIFS(PARÂMETROS!$B$8:$B$33,PARÂMETROS!$G$8:$G$33,F11),SUMIFS(PARÂMETROS!$C$8:$C$33,PARÂMETROS!$G$8:$G$33,F11)),0)</f>
        <v>0.96521592051036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51457.6439</v>
      </c>
      <c r="E12" s="21" t="n">
        <f aca="false">IFERROR(D12/IF(B12="Clientes",SUMIFS(PARÂMETROS!$B$8:$B$33,PARÂMETROS!$G$8:$G$33,F12),SUMIFS(PARÂMETROS!$C$8:$C$33,PARÂMETROS!$G$8:$G$33,F12)),0)</f>
        <v>0.264097986070837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60348.1686</v>
      </c>
      <c r="E13" s="21" t="n">
        <f aca="false">IFERROR(D13/IF(B13="Clientes",SUMIFS(PARÂMETROS!$B$8:$B$33,PARÂMETROS!$G$8:$G$33,F13),SUMIFS(PARÂMETROS!$C$8:$C$33,PARÂMETROS!$G$8:$G$33,F13)),0)</f>
        <v>0.309727157762917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35473.06</v>
      </c>
      <c r="E14" s="21" t="n">
        <f aca="false">IFERROR(D14/IF(B14="Clientes",SUMIFS(PARÂMETROS!$B$8:$B$33,PARÂMETROS!$G$8:$G$33,F14),SUMIFS(PARÂMETROS!$C$8:$C$33,PARÂMETROS!$G$8:$G$33,F14)),0)</f>
        <v>0.182059709612355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28942.0106607408</v>
      </c>
      <c r="E16" s="21" t="n">
        <f aca="false">IFERROR(D16/IF(B16="Clientes",SUMIFS(PARÂMETROS!$B$8:$B$33,PARÂMETROS!$G$8:$G$33,F16),SUMIFS(PARÂMETROS!$C$8:$C$33,PARÂMETROS!$G$8:$G$33,F16)),0)</f>
        <v>0.148540161364487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53040.89</v>
      </c>
      <c r="E18" s="21" t="n">
        <f aca="false">IFERROR(D18/IF(B18="Clientes",SUMIFS(PARÂMETROS!$B$8:$B$33,PARÂMETROS!$G$8:$G$33,F18),SUMIFS(PARÂMETROS!$C$8:$C$33,PARÂMETROS!$G$8:$G$33,F18)),0)</f>
        <v>50.5632888465205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65455.37</v>
      </c>
      <c r="E19" s="21" t="n">
        <f aca="false">IFERROR(D19/IF(B19="Clientes",SUMIFS(PARÂMETROS!$B$8:$B$33,PARÂMETROS!$G$8:$G$33,F19),SUMIFS(PARÂMETROS!$C$8:$C$33,PARÂMETROS!$G$8:$G$33,F19)),0)</f>
        <v>0.33593903809734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135611.14</v>
      </c>
      <c r="E22" s="21" t="n">
        <f aca="false">IFERROR(D22/IF(B22="Clientes",SUMIFS(PARÂMETROS!$B$8:$B$33,PARÂMETROS!$G$8:$G$33,F22),SUMIFS(PARÂMETROS!$C$8:$C$33,PARÂMETROS!$G$8:$G$33,F22)),0)</f>
        <v>0.696002114522975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126268.959</v>
      </c>
      <c r="E25" s="21" t="n">
        <f aca="false">IFERROR(D25/IF(B25="Clientes",SUMIFS(PARÂMETROS!$B$8:$B$33,PARÂMETROS!$G$8:$G$33,F25),SUMIFS(PARÂMETROS!$C$8:$C$33,PARÂMETROS!$G$8:$G$33,F25)),0)</f>
        <v>0.648054890347613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139554.1668</v>
      </c>
      <c r="E27" s="21" t="n">
        <f aca="false">IFERROR(D27/IF(B27="Clientes",SUMIFS(PARÂMETROS!$B$8:$B$33,PARÂMETROS!$G$8:$G$33,F27),SUMIFS(PARÂMETROS!$C$8:$C$33,PARÂMETROS!$G$8:$G$33,F27)),0)</f>
        <v>0.716239058113456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143950.1104</v>
      </c>
      <c r="E28" s="21" t="n">
        <f aca="false">IFERROR(D28/IF(B28="Clientes",SUMIFS(PARÂMETROS!$B$8:$B$33,PARÂMETROS!$G$8:$G$33,F28),SUMIFS(PARÂMETROS!$C$8:$C$33,PARÂMETROS!$G$8:$G$33,F28)),0)</f>
        <v>0.738800523498406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35576.53</v>
      </c>
      <c r="E30" s="21" t="n">
        <f aca="false">IFERROR(D30/IF(B30="Clientes",SUMIFS(PARÂMETROS!$B$8:$B$33,PARÂMETROS!$G$8:$G$33,F30),SUMIFS(PARÂMETROS!$C$8:$C$33,PARÂMETROS!$G$8:$G$33,F30)),0)</f>
        <v>0.182590752554621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95776.24</v>
      </c>
      <c r="E34" s="21" t="n">
        <f aca="false">IFERROR(D34/IF(B34="Clientes",SUMIFS(PARÂMETROS!$B$8:$B$33,PARÂMETROS!$G$8:$G$33,F34),SUMIFS(PARÂMETROS!$C$8:$C$33,PARÂMETROS!$G$8:$G$33,F34)),0)</f>
        <v>0.491555970704619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2476140.77416174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22895.05</v>
      </c>
      <c r="E43" s="21" t="n">
        <f aca="false">IFERROR(D43/IF(B43="Clientes",SUMIFS(PARÂMETROS!$B$8:$B$33,PARÂMETROS!$G$8:$G$33,F43),SUMIFS(PARÂMETROS!$C$8:$C$33,PARÂMETROS!$G$8:$G$33,F43)),0)</f>
        <v>21.7426875593542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38462.9303</v>
      </c>
      <c r="E44" s="21" t="n">
        <f aca="false">IFERROR(D44/IF(B44="Clientes",SUMIFS(PARÂMETROS!$B$8:$B$33,PARÂMETROS!$G$8:$G$33,F44),SUMIFS(PARÂMETROS!$C$8:$C$33,PARÂMETROS!$G$8:$G$33,F44)),0)</f>
        <v>36.5269993352327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20765.83</v>
      </c>
      <c r="E45" s="21" t="n">
        <f aca="false">IFERROR(D45/IF(B45="Clientes",SUMIFS(PARÂMETROS!$B$8:$B$33,PARÂMETROS!$G$8:$G$33,F45),SUMIFS(PARÂMETROS!$C$8:$C$33,PARÂMETROS!$G$8:$G$33,F45)),0)</f>
        <v>0.108535805192158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16368.2</v>
      </c>
      <c r="E46" s="21" t="n">
        <f aca="false">IFERROR(D46/IF(B46="Clientes",SUMIFS(PARÂMETROS!$B$8:$B$33,PARÂMETROS!$G$8:$G$33,F46),SUMIFS(PARÂMETROS!$C$8:$C$33,PARÂMETROS!$G$8:$G$33,F46)),0)</f>
        <v>0.0855509154484208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58374.15</v>
      </c>
      <c r="E47" s="21" t="n">
        <f aca="false">IFERROR(D47/IF(B47="Clientes",SUMIFS(PARÂMETROS!$B$8:$B$33,PARÂMETROS!$G$8:$G$33,F47),SUMIFS(PARÂMETROS!$C$8:$C$33,PARÂMETROS!$G$8:$G$33,F47)),0)</f>
        <v>0.30510147548438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161605.5371</v>
      </c>
      <c r="E48" s="21" t="n">
        <f aca="false">IFERROR(D48/IF(B48="Clientes",SUMIFS(PARÂMETROS!$B$8:$B$33,PARÂMETROS!$G$8:$G$33,F48),SUMIFS(PARÂMETROS!$C$8:$C$33,PARÂMETROS!$G$8:$G$33,F48)),0)</f>
        <v>0.844656201686118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52211.2772</v>
      </c>
      <c r="E49" s="21" t="n">
        <f aca="false">IFERROR(D49/IF(B49="Clientes",SUMIFS(PARÂMETROS!$B$8:$B$33,PARÂMETROS!$G$8:$G$33,F49),SUMIFS(PARÂMETROS!$C$8:$C$33,PARÂMETROS!$G$8:$G$33,F49)),0)</f>
        <v>0.272890272674531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46827.301</v>
      </c>
      <c r="E50" s="21" t="n">
        <f aca="false">IFERROR(D50/IF(B50="Clientes",SUMIFS(PARÂMETROS!$B$8:$B$33,PARÂMETROS!$G$8:$G$33,F50),SUMIFS(PARÂMETROS!$C$8:$C$33,PARÂMETROS!$G$8:$G$33,F50)),0)</f>
        <v>0.244750092773106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24839.91</v>
      </c>
      <c r="E51" s="21" t="n">
        <f aca="false">IFERROR(D51/IF(B51="Clientes",SUMIFS(PARÂMETROS!$B$8:$B$33,PARÂMETROS!$G$8:$G$33,F51),SUMIFS(PARÂMETROS!$C$8:$C$33,PARÂMETROS!$G$8:$G$33,F51)),0)</f>
        <v>0.129829611084687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27847.0633777778</v>
      </c>
      <c r="E53" s="21" t="n">
        <f aca="false">IFERROR(D53/IF(B53="Clientes",SUMIFS(PARÂMETROS!$B$8:$B$33,PARÂMETROS!$G$8:$G$33,F53),SUMIFS(PARÂMETROS!$C$8:$C$33,PARÂMETROS!$G$8:$G$33,F53)),0)</f>
        <v>0.145546960845975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55101.84</v>
      </c>
      <c r="E55" s="21" t="n">
        <f aca="false">IFERROR(D55/IF(B55="Clientes",SUMIFS(PARÂMETROS!$B$8:$B$33,PARÂMETROS!$G$8:$G$33,F55),SUMIFS(PARÂMETROS!$C$8:$C$33,PARÂMETROS!$G$8:$G$33,F55)),0)</f>
        <v>52.3284330484331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57947.29</v>
      </c>
      <c r="E56" s="21" t="n">
        <f aca="false">IFERROR(D56/IF(B56="Clientes",SUMIFS(PARÂMETROS!$B$8:$B$33,PARÂMETROS!$G$8:$G$33,F56),SUMIFS(PARÂMETROS!$C$8:$C$33,PARÂMETROS!$G$8:$G$33,F56)),0)</f>
        <v>0.302870426024555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122051.21</v>
      </c>
      <c r="E59" s="21" t="n">
        <f aca="false">IFERROR(D59/IF(B59="Clientes",SUMIFS(PARÂMETROS!$B$8:$B$33,PARÂMETROS!$G$8:$G$33,F59),SUMIFS(PARÂMETROS!$C$8:$C$33,PARÂMETROS!$G$8:$G$33,F59)),0)</f>
        <v>0.637919425904342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56892.621</v>
      </c>
      <c r="E62" s="21" t="n">
        <f aca="false">IFERROR(D62/IF(B62="Clientes",SUMIFS(PARÂMETROS!$B$8:$B$33,PARÂMETROS!$G$8:$G$33,F62),SUMIFS(PARÂMETROS!$C$8:$C$33,PARÂMETROS!$G$8:$G$33,F62)),0)</f>
        <v>0.297358036241618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44676.8079</v>
      </c>
      <c r="E63" s="21" t="n">
        <f aca="false">IFERROR(D63/IF(B63="Clientes",SUMIFS(PARÂMETROS!$B$8:$B$33,PARÂMETROS!$G$8:$G$33,F63),SUMIFS(PARÂMETROS!$C$8:$C$33,PARÂMETROS!$G$8:$G$33,F63)),0)</f>
        <v>0.233510209745619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124871.9361</v>
      </c>
      <c r="E64" s="21" t="n">
        <f aca="false">IFERROR(D64/IF(B64="Clientes",SUMIFS(PARÂMETROS!$B$8:$B$33,PARÂMETROS!$G$8:$G$33,F64),SUMIFS(PARÂMETROS!$C$8:$C$33,PARÂMETROS!$G$8:$G$33,F64)),0)</f>
        <v>0.652662384817616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115147.13</v>
      </c>
      <c r="E65" s="21" t="n">
        <f aca="false">IFERROR(D65/IF(B65="Clientes",SUMIFS(PARÂMETROS!$B$8:$B$33,PARÂMETROS!$G$8:$G$33,F65),SUMIFS(PARÂMETROS!$C$8:$C$33,PARÂMETROS!$G$8:$G$33,F65)),0)</f>
        <v>0.601834189633455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27200.18</v>
      </c>
      <c r="E67" s="21" t="n">
        <f aca="false">IFERROR(D67/IF(B67="Clientes",SUMIFS(PARÂMETROS!$B$8:$B$33,PARÂMETROS!$G$8:$G$33,F67),SUMIFS(PARÂMETROS!$C$8:$C$33,PARÂMETROS!$G$8:$G$33,F67)),0)</f>
        <v>0.14216592535293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84256.12</v>
      </c>
      <c r="E71" s="21" t="n">
        <f aca="false">IFERROR(D71/IF(B71="Clientes",SUMIFS(PARÂMETROS!$B$8:$B$33,PARÂMETROS!$G$8:$G$33,F71),SUMIFS(PARÂMETROS!$C$8:$C$33,PARÂMETROS!$G$8:$G$33,F71)),0)</f>
        <v>0.440377573473686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2123513.14397778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31716.6</v>
      </c>
      <c r="E79" s="21" t="n">
        <f aca="false">IFERROR(D79/IF(B79="Clientes",SUMIFS(PARÂMETROS!$B$8:$B$33,PARÂMETROS!$G$8:$G$33,F79),SUMIFS(PARÂMETROS!$C$8:$C$33,PARÂMETROS!$G$8:$G$33,F79)),0)</f>
        <v>29.0977981651376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45621.1801</v>
      </c>
      <c r="E80" s="21" t="n">
        <f aca="false">IFERROR(D80/IF(B80="Clientes",SUMIFS(PARÂMETROS!$B$8:$B$33,PARÂMETROS!$G$8:$G$33,F80),SUMIFS(PARÂMETROS!$C$8:$C$33,PARÂMETROS!$G$8:$G$33,F80)),0)</f>
        <v>41.8542936697248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28102.4898</v>
      </c>
      <c r="E81" s="21" t="n">
        <f aca="false">IFERROR(D81/IF(B81="Clientes",SUMIFS(PARÂMETROS!$B$8:$B$33,PARÂMETROS!$G$8:$G$33,F81),SUMIFS(PARÂMETROS!$C$8:$C$33,PARÂMETROS!$G$8:$G$33,F81)),0)</f>
        <v>0.139472680169338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11205.9601</v>
      </c>
      <c r="E82" s="21" t="n">
        <f aca="false">IFERROR(D82/IF(B82="Clientes",SUMIFS(PARÂMETROS!$B$8:$B$33,PARÂMETROS!$G$8:$G$33,F82),SUMIFS(PARÂMETROS!$C$8:$C$33,PARÂMETROS!$G$8:$G$33,F82)),0)</f>
        <v>0.0556151892640366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63432.31</v>
      </c>
      <c r="E83" s="21" t="n">
        <f aca="false">IFERROR(D83/IF(B83="Clientes",SUMIFS(PARÂMETROS!$B$8:$B$33,PARÂMETROS!$G$8:$G$33,F83),SUMIFS(PARÂMETROS!$C$8:$C$33,PARÂMETROS!$G$8:$G$33,F83)),0)</f>
        <v>0.314814607104039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169118.6915</v>
      </c>
      <c r="E84" s="21" t="n">
        <f aca="false">IFERROR(D84/IF(B84="Clientes",SUMIFS(PARÂMETROS!$B$8:$B$33,PARÂMETROS!$G$8:$G$33,F84),SUMIFS(PARÂMETROS!$C$8:$C$33,PARÂMETROS!$G$8:$G$33,F84)),0)</f>
        <v>0.839336206083647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49674.8765</v>
      </c>
      <c r="E85" s="21" t="n">
        <f aca="false">IFERROR(D85/IF(B85="Clientes",SUMIFS(PARÂMETROS!$B$8:$B$33,PARÂMETROS!$G$8:$G$33,F85),SUMIFS(PARÂMETROS!$C$8:$C$33,PARÂMETROS!$G$8:$G$33,F85)),0)</f>
        <v>0.246536453241088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59228.036</v>
      </c>
      <c r="E86" s="21" t="n">
        <f aca="false">IFERROR(D86/IF(B86="Clientes",SUMIFS(PARÂMETROS!$B$8:$B$33,PARÂMETROS!$G$8:$G$33,F86),SUMIFS(PARÂMETROS!$C$8:$C$33,PARÂMETROS!$G$8:$G$33,F86)),0)</f>
        <v>0.293948791757448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34107.57</v>
      </c>
      <c r="E87" s="21" t="n">
        <f aca="false">IFERROR(D87/IF(B87="Clientes",SUMIFS(PARÂMETROS!$B$8:$B$33,PARÂMETROS!$G$8:$G$33,F87),SUMIFS(PARÂMETROS!$C$8:$C$33,PARÂMETROS!$G$8:$G$33,F87)),0)</f>
        <v>0.169275898179075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28043.2633777778</v>
      </c>
      <c r="E89" s="21" t="n">
        <f aca="false">IFERROR(D89/IF(B89="Clientes",SUMIFS(PARÂMETROS!$B$8:$B$33,PARÂMETROS!$G$8:$G$33,F89),SUMIFS(PARÂMETROS!$C$8:$C$33,PARÂMETROS!$G$8:$G$33,F89)),0)</f>
        <v>0.139178739386761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29638.05</v>
      </c>
      <c r="E90" s="21" t="n">
        <f aca="false">IFERROR(D90/IF(B90="Clientes",SUMIFS(PARÂMETROS!$B$8:$B$33,PARÂMETROS!$G$8:$G$33,F90),SUMIFS(PARÂMETROS!$C$8:$C$33,PARÂMETROS!$G$8:$G$33,F90)),0)</f>
        <v>0.147093666714642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69224.39</v>
      </c>
      <c r="E91" s="21" t="n">
        <f aca="false">IFERROR(D91/IF(B91="Clientes",SUMIFS(PARÂMETROS!$B$8:$B$33,PARÂMETROS!$G$8:$G$33,F91),SUMIFS(PARÂMETROS!$C$8:$C$33,PARÂMETROS!$G$8:$G$33,F91)),0)</f>
        <v>63.5086146788991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87262.4</v>
      </c>
      <c r="E92" s="21" t="n">
        <f aca="false">IFERROR(D92/IF(B92="Clientes",SUMIFS(PARÂMETROS!$B$8:$B$33,PARÂMETROS!$G$8:$G$33,F92),SUMIFS(PARÂMETROS!$C$8:$C$33,PARÂMETROS!$G$8:$G$33,F92)),0)</f>
        <v>0.433083363524922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120130.34</v>
      </c>
      <c r="E94" s="21" t="n">
        <f aca="false">IFERROR(D94/IF(B94="Clientes",SUMIFS(PARÂMETROS!$B$8:$B$33,PARÂMETROS!$G$8:$G$33,F94),SUMIFS(PARÂMETROS!$C$8:$C$33,PARÂMETROS!$G$8:$G$33,F94)),0)</f>
        <v>0.596206976986565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124199.39</v>
      </c>
      <c r="E95" s="21" t="n">
        <f aca="false">IFERROR(D95/IF(B95="Clientes",SUMIFS(PARÂMETROS!$B$8:$B$33,PARÂMETROS!$G$8:$G$33,F95),SUMIFS(PARÂMETROS!$C$8:$C$33,PARÂMETROS!$G$8:$G$33,F95)),0)</f>
        <v>0.61640167550908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628474.68</v>
      </c>
      <c r="E97" s="21" t="n">
        <f aca="false">IFERROR(D97/IF(B97="Clientes",SUMIFS(PARÂMETROS!$B$8:$B$33,PARÂMETROS!$G$8:$G$33,F97),SUMIFS(PARÂMETROS!$C$8:$C$33,PARÂMETROS!$G$8:$G$33,F97)),0)</f>
        <v>3.1191203577331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113174.545</v>
      </c>
      <c r="E98" s="21" t="n">
        <f aca="false">IFERROR(D98/IF(B98="Clientes",SUMIFS(PARÂMETROS!$B$8:$B$33,PARÂMETROS!$G$8:$G$33,F98),SUMIFS(PARÂMETROS!$C$8:$C$33,PARÂMETROS!$G$8:$G$33,F98)),0)</f>
        <v>0.561685360636455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219948.0165</v>
      </c>
      <c r="E100" s="21" t="n">
        <f aca="false">IFERROR(D100/IF(B100="Clientes",SUMIFS(PARÂMETROS!$B$8:$B$33,PARÂMETROS!$G$8:$G$33,F100),SUMIFS(PARÂMETROS!$C$8:$C$33,PARÂMETROS!$G$8:$G$33,F100)),0)</f>
        <v>1.09160218818707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125853.5699</v>
      </c>
      <c r="E101" s="21" t="n">
        <f aca="false">IFERROR(D101/IF(B101="Clientes",SUMIFS(PARÂMETROS!$B$8:$B$33,PARÂMETROS!$G$8:$G$33,F101),SUMIFS(PARÂMETROS!$C$8:$C$33,PARÂMETROS!$G$8:$G$33,F101)),0)</f>
        <v>0.624611371723799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30725.96</v>
      </c>
      <c r="E103" s="21" t="n">
        <f aca="false">IFERROR(D103/IF(B103="Clientes",SUMIFS(PARÂMETROS!$B$8:$B$33,PARÂMETROS!$G$8:$G$33,F103),SUMIFS(PARÂMETROS!$C$8:$C$33,PARÂMETROS!$G$8:$G$33,F103)),0)</f>
        <v>0.152492964946325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61230.91</v>
      </c>
      <c r="E105" s="21" t="n">
        <f aca="false">IFERROR(D105/IF(B105="Clientes",SUMIFS(PARÂMETROS!$B$8:$B$33,PARÂMETROS!$G$8:$G$33,F105),SUMIFS(PARÂMETROS!$C$8:$C$33,PARÂMETROS!$G$8:$G$33,F105)),0)</f>
        <v>0.303889057079473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34510.5803</v>
      </c>
      <c r="E106" s="21" t="n">
        <f aca="false">IFERROR(D106/IF(B106="Clientes",SUMIFS(PARÂMETROS!$B$8:$B$33,PARÂMETROS!$G$8:$G$33,F106),SUMIFS(PARÂMETROS!$C$8:$C$33,PARÂMETROS!$G$8:$G$33,F106)),0)</f>
        <v>0.171276038631998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79935.01</v>
      </c>
      <c r="E107" s="21" t="n">
        <f aca="false">IFERROR(D107/IF(B107="Clientes",SUMIFS(PARÂMETROS!$B$8:$B$33,PARÂMETROS!$G$8:$G$33,F107),SUMIFS(PARÂMETROS!$C$8:$C$33,PARÂMETROS!$G$8:$G$33,F107)),0)</f>
        <v>0.396717520881826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29435.8901</v>
      </c>
      <c r="E111" s="21" t="n">
        <f aca="false">IFERROR(D111/IF(B111="Clientes",SUMIFS(PARÂMETROS!$B$8:$B$33,PARÂMETROS!$G$8:$G$33,F111),SUMIFS(PARÂMETROS!$C$8:$C$33,PARÂMETROS!$G$8:$G$33,F111)),0)</f>
        <v>0.146090346963388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3069288.92317778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29781.87</v>
      </c>
      <c r="E119" s="1" t="n">
        <f aca="false">IFERROR(D119/IF(B119="Clientes",SUMIFS(PARÂMETROS!$B$8:$B$33,PARÂMETROS!$G$8:$G$33,F119),SUMIFS(PARÂMETROS!$C$8:$C$33,PARÂMETROS!$G$8:$G$33,F119)),0)</f>
        <v>27.3228165137615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9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8</v>
      </c>
      <c r="E169" s="36" t="n">
        <v>89.275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8</v>
      </c>
      <c r="E170" s="39" t="n">
        <v>206.25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8</v>
      </c>
      <c r="E369" s="36" t="n">
        <v>47.66</v>
      </c>
      <c r="F369" s="37" t="n">
        <f aca="false">IFERROR(D369*E369,0)</f>
        <v>381.28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10</v>
      </c>
      <c r="E405" s="36" t="n">
        <v>47.66</v>
      </c>
      <c r="F405" s="37" t="n">
        <f aca="false">IFERROR(D405*E405,0)</f>
        <v>476.6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7</v>
      </c>
      <c r="E723" s="36" t="n">
        <v>3.1429</v>
      </c>
      <c r="F723" s="37" t="n">
        <f aca="false">IFERROR(D723*E723,0)</f>
        <v>22.0003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7</v>
      </c>
      <c r="E724" s="39" t="n">
        <v>133.1771</v>
      </c>
      <c r="F724" s="22" t="n">
        <f aca="false">IFERROR(D724*E724,0)</f>
        <v>932.2397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7</v>
      </c>
      <c r="E1230" s="39" t="n">
        <v>64.57</v>
      </c>
      <c r="F1230" s="22" t="n">
        <f aca="false">IFERROR(D1230*E1230,0)</f>
        <v>451.99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10</v>
      </c>
      <c r="E1457" s="36" t="n">
        <v>64.57</v>
      </c>
      <c r="F1457" s="37" t="n">
        <f aca="false">IFERROR(D1457*E1457,0)</f>
        <v>645.7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fals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fals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80341.8745218441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80341.8745218441</v>
      </c>
      <c r="F4" s="11" t="n">
        <f aca="false">IFERROR(B4/B$12,0)</f>
        <v>0.033020522645065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159514.589033641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159514.589033641</v>
      </c>
      <c r="F5" s="16" t="n">
        <f aca="false">IFERROR(B5/B$12,0)</f>
        <v>0.0655605203482211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173187.00951091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173187.00951091</v>
      </c>
      <c r="F6" s="11" t="n">
        <f aca="false">IFERROR(B6/B$12,0)</f>
        <v>0.0711798872433731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44466.5033977832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44466.5033977832</v>
      </c>
      <c r="F7" s="16" t="n">
        <f aca="false">IFERROR(B7/B$12,0)</f>
        <v>0.0182757396579556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81815.1109308475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81815.1109308475</v>
      </c>
      <c r="F8" s="11" t="n">
        <f aca="false">IFERROR(B8/B$12,0)</f>
        <v>0.0336260230331821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57790.4408245382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57790.4408245382</v>
      </c>
      <c r="F9" s="16" t="n">
        <f aca="false">IFERROR(B9/B$12,0)</f>
        <v>0.0237518799663569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58115.5245616775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58115.5245616775</v>
      </c>
      <c r="F10" s="11" t="n">
        <f aca="false">IFERROR(B10/B$12,0)</f>
        <v>0.0238854894317526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1777858.0713805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1777858.0713805</v>
      </c>
      <c r="F11" s="16" t="n">
        <f aca="false">IFERROR(B11/B$12,0)</f>
        <v>0.730699937674094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2433089.12416174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2433089.12416174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68926.7044753675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68926.7044753675</v>
      </c>
      <c r="F14" s="11" t="n">
        <f aca="false">IFERROR(B14/B$22,0)</f>
        <v>0.0328611054629961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139908.253275971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139908.253275971</v>
      </c>
      <c r="F15" s="16" t="n">
        <f aca="false">IFERROR(B15/B$22,0)</f>
        <v>0.066701866874954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150434.542435887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150434.542435887</v>
      </c>
      <c r="F16" s="11" t="n">
        <f aca="false">IFERROR(B16/B$22,0)</f>
        <v>0.0717203209103066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38369.4120838475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38369.4120838475</v>
      </c>
      <c r="F17" s="16" t="n">
        <f aca="false">IFERROR(B17/B$22,0)</f>
        <v>0.0182927837133294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71350.2136331918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71350.2136331918</v>
      </c>
      <c r="F18" s="11" t="n">
        <f aca="false">IFERROR(B18/B$22,0)</f>
        <v>0.0340165239706989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50400.6456229948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50400.6456229948</v>
      </c>
      <c r="F19" s="16" t="n">
        <f aca="false">IFERROR(B19/B$22,0)</f>
        <v>0.02402872651212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51281.0168847939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51281.0168847939</v>
      </c>
      <c r="F20" s="11" t="n">
        <f aca="false">IFERROR(B20/B$22,0)</f>
        <v>0.0244484473315146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1526845.51556572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1526845.51556572</v>
      </c>
      <c r="F21" s="16" t="n">
        <f aca="false">IFERROR(B21/B$22,0)</f>
        <v>0.727930225224081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2097516.30397778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2097516.30397778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98715.5330822598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98715.5330822598</v>
      </c>
      <c r="F24" s="11" t="n">
        <f aca="false">IFERROR(B24/B$32,0)</f>
        <v>0.0325609531398243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185259.458896637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185259.458896637</v>
      </c>
      <c r="F25" s="16" t="n">
        <f aca="false">IFERROR(B25/B$32,0)</f>
        <v>0.0611071466819306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212892.020665042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212892.020665042</v>
      </c>
      <c r="F26" s="11" t="n">
        <f aca="false">IFERROR(B26/B$32,0)</f>
        <v>0.0702216448848078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54305.2772807046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54305.2772807046</v>
      </c>
      <c r="F27" s="16" t="n">
        <f aca="false">IFERROR(B27/B$32,0)</f>
        <v>0.0179123946715531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102446.09507135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102446.09507135</v>
      </c>
      <c r="F28" s="11" t="n">
        <f aca="false">IFERROR(B28/B$32,0)</f>
        <v>0.0337914652012924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70297.4024020659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70297.4024020659</v>
      </c>
      <c r="F29" s="16" t="n">
        <f aca="false">IFERROR(B29/B$32,0)</f>
        <v>0.0231873379395891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71812.7493564462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71812.7493564462</v>
      </c>
      <c r="F30" s="11" t="n">
        <f aca="false">IFERROR(B30/B$32,0)</f>
        <v>0.0236871695226393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2235986.55642327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2235986.55642327</v>
      </c>
      <c r="F31" s="16" t="n">
        <f aca="false">IFERROR(B31/B$32,0)</f>
        <v>0.737531887958364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3031715.09317778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3031715.09317778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264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265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265</v>
      </c>
      <c r="B12" s="47" t="s">
        <v>266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265</v>
      </c>
      <c r="B13" s="47" t="s">
        <v>267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268</v>
      </c>
      <c r="B14" s="47" t="s">
        <v>269</v>
      </c>
      <c r="C14" s="47" t="n">
        <v>8</v>
      </c>
      <c r="D14" s="47" t="n">
        <v>7</v>
      </c>
      <c r="E14" s="47" t="n">
        <v>0</v>
      </c>
      <c r="F14" s="47" t="s">
        <v>270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268</v>
      </c>
      <c r="B15" s="47" t="s">
        <v>271</v>
      </c>
      <c r="C15" s="47" t="n">
        <v>2</v>
      </c>
      <c r="D15" s="47" t="n">
        <v>1</v>
      </c>
      <c r="E15" s="47" t="n">
        <v>0</v>
      </c>
      <c r="F15" s="47" t="s">
        <v>270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268</v>
      </c>
      <c r="B16" s="47" t="s">
        <v>272</v>
      </c>
      <c r="C16" s="47" t="n">
        <v>11</v>
      </c>
      <c r="D16" s="47" t="n">
        <v>9</v>
      </c>
      <c r="E16" s="47" t="n">
        <v>1</v>
      </c>
      <c r="F16" s="47" t="s">
        <v>273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274</v>
      </c>
      <c r="B17" s="47" t="s">
        <v>275</v>
      </c>
      <c r="C17" s="47" t="n">
        <v>1</v>
      </c>
      <c r="D17" s="47" t="n">
        <v>0</v>
      </c>
      <c r="E17" s="47" t="n">
        <v>0</v>
      </c>
      <c r="F17" s="47" t="s">
        <v>270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276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277</v>
      </c>
      <c r="E20" s="46" t="s">
        <v>251</v>
      </c>
      <c r="F20" s="46" t="s">
        <v>142</v>
      </c>
      <c r="G20" s="46" t="s">
        <v>278</v>
      </c>
      <c r="H20" s="46" t="s">
        <v>279</v>
      </c>
      <c r="I20" s="46" t="s">
        <v>280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281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282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281</v>
      </c>
      <c r="D22" s="47" t="s">
        <v>283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284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281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285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281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285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285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284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286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285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286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285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287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284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287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284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288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285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289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290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281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291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281</v>
      </c>
      <c r="D34" s="47" t="s">
        <v>283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284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281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285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281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285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285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284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286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285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286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285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287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284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287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284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288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285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281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292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281</v>
      </c>
      <c r="D45" s="47" t="s">
        <v>283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284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281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285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281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285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285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284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286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285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286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285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287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284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287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284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288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285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289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293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281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294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281</v>
      </c>
      <c r="D57" s="47" t="s">
        <v>283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284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281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285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281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285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285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284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286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285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286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285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287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284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287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284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288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285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289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295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264</v>
      </c>
      <c r="C68" s="47" t="s">
        <v>281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296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264</v>
      </c>
      <c r="C69" s="47" t="s">
        <v>281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285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264</v>
      </c>
      <c r="C70" s="47" t="s">
        <v>281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285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264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285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264</v>
      </c>
      <c r="C72" s="47" t="s">
        <v>286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285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264</v>
      </c>
      <c r="C73" s="47" t="s">
        <v>286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285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264</v>
      </c>
      <c r="C74" s="47" t="s">
        <v>288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285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264</v>
      </c>
      <c r="C75" s="47" t="s">
        <v>289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293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281</v>
      </c>
      <c r="D76" s="47" t="s">
        <v>220</v>
      </c>
      <c r="E76" s="47" t="s">
        <v>265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281</v>
      </c>
      <c r="D77" s="47" t="s">
        <v>283</v>
      </c>
      <c r="E77" s="47" t="s">
        <v>265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284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281</v>
      </c>
      <c r="D78" s="47" t="s">
        <v>180</v>
      </c>
      <c r="E78" s="47" t="s">
        <v>265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285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281</v>
      </c>
      <c r="D79" s="47" t="s">
        <v>181</v>
      </c>
      <c r="E79" s="47" t="s">
        <v>265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285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285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284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286</v>
      </c>
      <c r="D82" s="47" t="s">
        <v>157</v>
      </c>
      <c r="E82" s="47" t="s">
        <v>265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285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286</v>
      </c>
      <c r="D83" s="47" t="s">
        <v>158</v>
      </c>
      <c r="E83" s="47" t="s">
        <v>265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285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287</v>
      </c>
      <c r="D84" s="47" t="s">
        <v>183</v>
      </c>
      <c r="E84" s="47" t="s">
        <v>265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284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287</v>
      </c>
      <c r="D85" s="47" t="s">
        <v>185</v>
      </c>
      <c r="E85" s="47" t="s">
        <v>265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284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288</v>
      </c>
      <c r="D86" s="47" t="s">
        <v>179</v>
      </c>
      <c r="E86" s="47" t="s">
        <v>265</v>
      </c>
      <c r="F86" s="47" t="n">
        <v>18</v>
      </c>
      <c r="G86" s="48" t="n">
        <v>30</v>
      </c>
      <c r="H86" s="48" t="n">
        <f aca="false">F86*G86</f>
        <v>540</v>
      </c>
      <c r="I86" s="47" t="s">
        <v>285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289</v>
      </c>
      <c r="D87" s="47" t="s">
        <v>186</v>
      </c>
      <c r="E87" s="47" t="s">
        <v>265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298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266</v>
      </c>
      <c r="C88" s="47" t="s">
        <v>281</v>
      </c>
      <c r="D88" s="47" t="s">
        <v>220</v>
      </c>
      <c r="E88" s="47" t="s">
        <v>265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296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266</v>
      </c>
      <c r="C89" s="47" t="s">
        <v>281</v>
      </c>
      <c r="D89" s="47" t="s">
        <v>180</v>
      </c>
      <c r="E89" s="47" t="s">
        <v>265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285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266</v>
      </c>
      <c r="C90" s="47" t="s">
        <v>281</v>
      </c>
      <c r="D90" s="47" t="s">
        <v>181</v>
      </c>
      <c r="E90" s="47" t="s">
        <v>265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285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266</v>
      </c>
      <c r="C91" s="47" t="s">
        <v>44</v>
      </c>
      <c r="D91" s="47" t="s">
        <v>182</v>
      </c>
      <c r="E91" s="47" t="s">
        <v>265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285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266</v>
      </c>
      <c r="C92" s="47" t="s">
        <v>286</v>
      </c>
      <c r="D92" s="47" t="s">
        <v>157</v>
      </c>
      <c r="E92" s="47" t="s">
        <v>265</v>
      </c>
      <c r="F92" s="47" t="n">
        <v>2</v>
      </c>
      <c r="G92" s="48" t="n">
        <v>10.05</v>
      </c>
      <c r="H92" s="48" t="n">
        <f aca="false">F92*G92</f>
        <v>20.1</v>
      </c>
      <c r="I92" s="47" t="s">
        <v>285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266</v>
      </c>
      <c r="C93" s="47" t="s">
        <v>286</v>
      </c>
      <c r="D93" s="47" t="s">
        <v>158</v>
      </c>
      <c r="E93" s="47" t="s">
        <v>265</v>
      </c>
      <c r="F93" s="47" t="n">
        <v>2</v>
      </c>
      <c r="G93" s="48" t="n">
        <v>2.07</v>
      </c>
      <c r="H93" s="48" t="n">
        <f aca="false">F93*G93</f>
        <v>4.14</v>
      </c>
      <c r="I93" s="47" t="s">
        <v>285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266</v>
      </c>
      <c r="C94" s="47" t="s">
        <v>288</v>
      </c>
      <c r="D94" s="47" t="s">
        <v>179</v>
      </c>
      <c r="E94" s="47" t="s">
        <v>265</v>
      </c>
      <c r="F94" s="47" t="n">
        <v>2</v>
      </c>
      <c r="G94" s="48" t="n">
        <v>30</v>
      </c>
      <c r="H94" s="48" t="n">
        <f aca="false">F94*G94</f>
        <v>60</v>
      </c>
      <c r="I94" s="47" t="s">
        <v>285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266</v>
      </c>
      <c r="C95" s="47" t="s">
        <v>289</v>
      </c>
      <c r="D95" s="47" t="s">
        <v>186</v>
      </c>
      <c r="E95" s="47" t="s">
        <v>265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293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267</v>
      </c>
      <c r="C96" s="47" t="s">
        <v>281</v>
      </c>
      <c r="D96" s="47" t="s">
        <v>220</v>
      </c>
      <c r="E96" s="47" t="s">
        <v>265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299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267</v>
      </c>
      <c r="C97" s="47" t="s">
        <v>281</v>
      </c>
      <c r="D97" s="47" t="s">
        <v>180</v>
      </c>
      <c r="E97" s="47" t="s">
        <v>265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285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267</v>
      </c>
      <c r="C98" s="47" t="s">
        <v>281</v>
      </c>
      <c r="D98" s="47" t="s">
        <v>181</v>
      </c>
      <c r="E98" s="47" t="s">
        <v>265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285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267</v>
      </c>
      <c r="C99" s="47" t="s">
        <v>44</v>
      </c>
      <c r="D99" s="47" t="s">
        <v>182</v>
      </c>
      <c r="E99" s="47" t="s">
        <v>265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285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267</v>
      </c>
      <c r="C100" s="47" t="s">
        <v>286</v>
      </c>
      <c r="D100" s="47" t="s">
        <v>157</v>
      </c>
      <c r="E100" s="47" t="s">
        <v>265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285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267</v>
      </c>
      <c r="C101" s="47" t="s">
        <v>286</v>
      </c>
      <c r="D101" s="47" t="s">
        <v>158</v>
      </c>
      <c r="E101" s="47" t="s">
        <v>265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285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267</v>
      </c>
      <c r="C102" s="47" t="s">
        <v>287</v>
      </c>
      <c r="D102" s="47" t="s">
        <v>185</v>
      </c>
      <c r="E102" s="47" t="s">
        <v>265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284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267</v>
      </c>
      <c r="C103" s="47" t="s">
        <v>288</v>
      </c>
      <c r="D103" s="47" t="s">
        <v>179</v>
      </c>
      <c r="E103" s="47" t="s">
        <v>265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285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267</v>
      </c>
      <c r="C104" s="47" t="s">
        <v>289</v>
      </c>
      <c r="D104" s="47" t="s">
        <v>186</v>
      </c>
      <c r="E104" s="47" t="s">
        <v>265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293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269</v>
      </c>
      <c r="C105" s="47" t="s">
        <v>281</v>
      </c>
      <c r="D105" s="47" t="s">
        <v>220</v>
      </c>
      <c r="E105" s="47" t="s">
        <v>268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300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269</v>
      </c>
      <c r="C106" s="47" t="s">
        <v>281</v>
      </c>
      <c r="D106" s="47" t="s">
        <v>180</v>
      </c>
      <c r="E106" s="47" t="s">
        <v>268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285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269</v>
      </c>
      <c r="C107" s="47" t="s">
        <v>281</v>
      </c>
      <c r="D107" s="47" t="s">
        <v>181</v>
      </c>
      <c r="E107" s="47" t="s">
        <v>268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285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269</v>
      </c>
      <c r="C108" s="47" t="s">
        <v>44</v>
      </c>
      <c r="D108" s="47" t="s">
        <v>182</v>
      </c>
      <c r="E108" s="47" t="s">
        <v>268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285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269</v>
      </c>
      <c r="C109" s="47" t="s">
        <v>44</v>
      </c>
      <c r="D109" s="47" t="s">
        <v>221</v>
      </c>
      <c r="E109" s="47" t="s">
        <v>268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284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269</v>
      </c>
      <c r="C110" s="47" t="s">
        <v>286</v>
      </c>
      <c r="D110" s="47" t="s">
        <v>157</v>
      </c>
      <c r="E110" s="47" t="s">
        <v>268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285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269</v>
      </c>
      <c r="C111" s="47" t="s">
        <v>286</v>
      </c>
      <c r="D111" s="47" t="s">
        <v>158</v>
      </c>
      <c r="E111" s="47" t="s">
        <v>268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285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269</v>
      </c>
      <c r="C112" s="47" t="s">
        <v>287</v>
      </c>
      <c r="D112" s="47" t="s">
        <v>183</v>
      </c>
      <c r="E112" s="47" t="s">
        <v>268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284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269</v>
      </c>
      <c r="C113" s="47" t="s">
        <v>287</v>
      </c>
      <c r="D113" s="47" t="s">
        <v>185</v>
      </c>
      <c r="E113" s="47" t="s">
        <v>268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284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269</v>
      </c>
      <c r="C114" s="47" t="s">
        <v>288</v>
      </c>
      <c r="D114" s="47" t="s">
        <v>179</v>
      </c>
      <c r="E114" s="47" t="s">
        <v>268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285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272</v>
      </c>
      <c r="C115" s="47" t="s">
        <v>281</v>
      </c>
      <c r="D115" s="47" t="s">
        <v>220</v>
      </c>
      <c r="E115" s="47" t="s">
        <v>268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301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272</v>
      </c>
      <c r="C116" s="47" t="s">
        <v>281</v>
      </c>
      <c r="D116" s="47" t="s">
        <v>283</v>
      </c>
      <c r="E116" s="47" t="s">
        <v>268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284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272</v>
      </c>
      <c r="C117" s="47" t="s">
        <v>281</v>
      </c>
      <c r="D117" s="47" t="s">
        <v>180</v>
      </c>
      <c r="E117" s="47" t="s">
        <v>268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285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272</v>
      </c>
      <c r="C118" s="47" t="s">
        <v>281</v>
      </c>
      <c r="D118" s="47" t="s">
        <v>181</v>
      </c>
      <c r="E118" s="47" t="s">
        <v>268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285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272</v>
      </c>
      <c r="C119" s="47" t="s">
        <v>44</v>
      </c>
      <c r="D119" s="47" t="s">
        <v>182</v>
      </c>
      <c r="E119" s="47" t="s">
        <v>268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285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272</v>
      </c>
      <c r="C120" s="47" t="s">
        <v>44</v>
      </c>
      <c r="D120" s="47" t="s">
        <v>221</v>
      </c>
      <c r="E120" s="47" t="s">
        <v>268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284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272</v>
      </c>
      <c r="C121" s="47" t="s">
        <v>286</v>
      </c>
      <c r="D121" s="47" t="s">
        <v>157</v>
      </c>
      <c r="E121" s="47" t="s">
        <v>268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285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272</v>
      </c>
      <c r="C122" s="47" t="s">
        <v>286</v>
      </c>
      <c r="D122" s="47" t="s">
        <v>158</v>
      </c>
      <c r="E122" s="47" t="s">
        <v>268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285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272</v>
      </c>
      <c r="C123" s="47" t="s">
        <v>288</v>
      </c>
      <c r="D123" s="47" t="s">
        <v>179</v>
      </c>
      <c r="E123" s="47" t="s">
        <v>268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285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272</v>
      </c>
      <c r="C124" s="47" t="s">
        <v>289</v>
      </c>
      <c r="D124" s="47" t="s">
        <v>186</v>
      </c>
      <c r="E124" s="47" t="s">
        <v>268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293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275</v>
      </c>
      <c r="C125" s="47" t="s">
        <v>281</v>
      </c>
      <c r="D125" s="47" t="s">
        <v>220</v>
      </c>
      <c r="E125" s="47" t="s">
        <v>274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302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275</v>
      </c>
      <c r="C126" s="47" t="s">
        <v>281</v>
      </c>
      <c r="D126" s="47" t="s">
        <v>180</v>
      </c>
      <c r="E126" s="47" t="s">
        <v>274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285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275</v>
      </c>
      <c r="C127" s="47" t="s">
        <v>281</v>
      </c>
      <c r="D127" s="47" t="s">
        <v>181</v>
      </c>
      <c r="E127" s="47" t="s">
        <v>274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285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275</v>
      </c>
      <c r="C128" s="47" t="s">
        <v>44</v>
      </c>
      <c r="D128" s="47" t="s">
        <v>182</v>
      </c>
      <c r="E128" s="47" t="s">
        <v>274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285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275</v>
      </c>
      <c r="C129" s="47" t="s">
        <v>286</v>
      </c>
      <c r="D129" s="47" t="s">
        <v>157</v>
      </c>
      <c r="E129" s="47" t="s">
        <v>274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285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275</v>
      </c>
      <c r="C130" s="47" t="s">
        <v>286</v>
      </c>
      <c r="D130" s="47" t="s">
        <v>158</v>
      </c>
      <c r="E130" s="47" t="s">
        <v>274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285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275</v>
      </c>
      <c r="C131" s="47" t="s">
        <v>288</v>
      </c>
      <c r="D131" s="47" t="s">
        <v>179</v>
      </c>
      <c r="E131" s="47" t="s">
        <v>274</v>
      </c>
      <c r="F131" s="47" t="n">
        <v>1</v>
      </c>
      <c r="G131" s="48" t="n">
        <v>30</v>
      </c>
      <c r="H131" s="48" t="n">
        <f aca="false">F131*G131</f>
        <v>30</v>
      </c>
      <c r="I131" s="47" t="s">
        <v>285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281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303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281</v>
      </c>
      <c r="D133" s="47" t="s">
        <v>283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284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281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285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281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285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284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285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286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285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286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285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287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284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287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284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287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284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288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285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304</v>
      </c>
      <c r="D144" s="47" t="s">
        <v>305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306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289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307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281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291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281</v>
      </c>
      <c r="D147" s="47" t="s">
        <v>283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284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281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285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281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285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284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285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286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285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286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285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287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284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287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284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287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284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288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285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281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292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281</v>
      </c>
      <c r="D159" s="47" t="s">
        <v>308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281</v>
      </c>
      <c r="D160" s="47" t="s">
        <v>283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284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281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285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281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285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284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285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286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285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286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285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287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284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287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284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287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284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288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285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304</v>
      </c>
      <c r="D171" s="47" t="s">
        <v>305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306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289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293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281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310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281</v>
      </c>
      <c r="D174" s="47" t="s">
        <v>283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284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281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285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281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285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284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285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286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285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286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285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287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284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287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284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287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284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288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285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304</v>
      </c>
      <c r="D185" s="47" t="s">
        <v>305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306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289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311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264</v>
      </c>
      <c r="C187" s="47" t="s">
        <v>281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296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264</v>
      </c>
      <c r="C188" s="47" t="s">
        <v>281</v>
      </c>
      <c r="D188" s="47" t="s">
        <v>308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264</v>
      </c>
      <c r="C189" s="47" t="s">
        <v>281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285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264</v>
      </c>
      <c r="C190" s="47" t="s">
        <v>281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285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264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285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264</v>
      </c>
      <c r="C192" s="47" t="s">
        <v>286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285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264</v>
      </c>
      <c r="C193" s="47" t="s">
        <v>286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285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264</v>
      </c>
      <c r="C194" s="47" t="s">
        <v>287</v>
      </c>
      <c r="D194" s="47" t="s">
        <v>312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284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264</v>
      </c>
      <c r="C195" s="47" t="s">
        <v>288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285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264</v>
      </c>
      <c r="C196" s="47" t="s">
        <v>304</v>
      </c>
      <c r="D196" s="47" t="s">
        <v>313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306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264</v>
      </c>
      <c r="C197" s="47" t="s">
        <v>289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293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281</v>
      </c>
      <c r="D198" s="47" t="s">
        <v>220</v>
      </c>
      <c r="E198" s="47" t="s">
        <v>265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314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281</v>
      </c>
      <c r="D199" s="47" t="s">
        <v>308</v>
      </c>
      <c r="E199" s="47" t="s">
        <v>265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281</v>
      </c>
      <c r="D200" s="47" t="s">
        <v>283</v>
      </c>
      <c r="E200" s="47" t="s">
        <v>265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284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281</v>
      </c>
      <c r="D201" s="47" t="s">
        <v>180</v>
      </c>
      <c r="E201" s="47" t="s">
        <v>265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285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281</v>
      </c>
      <c r="D202" s="47" t="s">
        <v>181</v>
      </c>
      <c r="E202" s="47" t="s">
        <v>265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285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284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285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286</v>
      </c>
      <c r="D205" s="47" t="s">
        <v>157</v>
      </c>
      <c r="E205" s="47" t="s">
        <v>265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285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286</v>
      </c>
      <c r="D206" s="47" t="s">
        <v>158</v>
      </c>
      <c r="E206" s="47" t="s">
        <v>265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285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287</v>
      </c>
      <c r="D207" s="47" t="s">
        <v>183</v>
      </c>
      <c r="E207" s="47" t="s">
        <v>265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284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287</v>
      </c>
      <c r="D208" s="47" t="s">
        <v>184</v>
      </c>
      <c r="E208" s="47" t="s">
        <v>265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284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287</v>
      </c>
      <c r="D209" s="47" t="s">
        <v>185</v>
      </c>
      <c r="E209" s="47" t="s">
        <v>265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284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288</v>
      </c>
      <c r="D210" s="47" t="s">
        <v>179</v>
      </c>
      <c r="E210" s="47" t="s">
        <v>265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285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304</v>
      </c>
      <c r="D211" s="47" t="s">
        <v>305</v>
      </c>
      <c r="E211" s="47" t="s">
        <v>265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306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289</v>
      </c>
      <c r="D212" s="47" t="s">
        <v>186</v>
      </c>
      <c r="E212" s="47" t="s">
        <v>265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315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266</v>
      </c>
      <c r="C213" s="47" t="s">
        <v>281</v>
      </c>
      <c r="D213" s="47" t="s">
        <v>220</v>
      </c>
      <c r="E213" s="47" t="s">
        <v>265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296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266</v>
      </c>
      <c r="C214" s="47" t="s">
        <v>281</v>
      </c>
      <c r="D214" s="47" t="s">
        <v>308</v>
      </c>
      <c r="E214" s="47" t="s">
        <v>265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266</v>
      </c>
      <c r="C215" s="47" t="s">
        <v>281</v>
      </c>
      <c r="D215" s="47" t="s">
        <v>180</v>
      </c>
      <c r="E215" s="47" t="s">
        <v>265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285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266</v>
      </c>
      <c r="C216" s="47" t="s">
        <v>281</v>
      </c>
      <c r="D216" s="47" t="s">
        <v>181</v>
      </c>
      <c r="E216" s="47" t="s">
        <v>265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285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266</v>
      </c>
      <c r="C217" s="47" t="s">
        <v>44</v>
      </c>
      <c r="D217" s="47" t="s">
        <v>182</v>
      </c>
      <c r="E217" s="47" t="s">
        <v>265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285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266</v>
      </c>
      <c r="C218" s="47" t="s">
        <v>286</v>
      </c>
      <c r="D218" s="47" t="s">
        <v>157</v>
      </c>
      <c r="E218" s="47" t="s">
        <v>265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285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266</v>
      </c>
      <c r="C219" s="47" t="s">
        <v>286</v>
      </c>
      <c r="D219" s="47" t="s">
        <v>158</v>
      </c>
      <c r="E219" s="47" t="s">
        <v>265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285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266</v>
      </c>
      <c r="C220" s="47" t="s">
        <v>288</v>
      </c>
      <c r="D220" s="47" t="s">
        <v>179</v>
      </c>
      <c r="E220" s="47" t="s">
        <v>265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285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266</v>
      </c>
      <c r="C221" s="47" t="s">
        <v>289</v>
      </c>
      <c r="D221" s="47" t="s">
        <v>186</v>
      </c>
      <c r="E221" s="47" t="s">
        <v>265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293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267</v>
      </c>
      <c r="C222" s="47" t="s">
        <v>281</v>
      </c>
      <c r="D222" s="47" t="s">
        <v>220</v>
      </c>
      <c r="E222" s="47" t="s">
        <v>265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299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267</v>
      </c>
      <c r="C223" s="47" t="s">
        <v>281</v>
      </c>
      <c r="D223" s="47" t="s">
        <v>180</v>
      </c>
      <c r="E223" s="47" t="s">
        <v>265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285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267</v>
      </c>
      <c r="C224" s="47" t="s">
        <v>281</v>
      </c>
      <c r="D224" s="47" t="s">
        <v>181</v>
      </c>
      <c r="E224" s="47" t="s">
        <v>265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285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267</v>
      </c>
      <c r="C225" s="47" t="s">
        <v>44</v>
      </c>
      <c r="D225" s="47" t="s">
        <v>182</v>
      </c>
      <c r="E225" s="47" t="s">
        <v>265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285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267</v>
      </c>
      <c r="C226" s="47" t="s">
        <v>286</v>
      </c>
      <c r="D226" s="47" t="s">
        <v>157</v>
      </c>
      <c r="E226" s="47" t="s">
        <v>265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285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267</v>
      </c>
      <c r="C227" s="47" t="s">
        <v>286</v>
      </c>
      <c r="D227" s="47" t="s">
        <v>158</v>
      </c>
      <c r="E227" s="47" t="s">
        <v>265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285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267</v>
      </c>
      <c r="C228" s="47" t="s">
        <v>288</v>
      </c>
      <c r="D228" s="47" t="s">
        <v>179</v>
      </c>
      <c r="E228" s="47" t="s">
        <v>265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285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267</v>
      </c>
      <c r="C229" s="47" t="s">
        <v>289</v>
      </c>
      <c r="D229" s="47" t="s">
        <v>186</v>
      </c>
      <c r="E229" s="47" t="s">
        <v>265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293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269</v>
      </c>
      <c r="C230" s="47" t="s">
        <v>281</v>
      </c>
      <c r="D230" s="47" t="s">
        <v>220</v>
      </c>
      <c r="E230" s="47" t="s">
        <v>268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300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269</v>
      </c>
      <c r="C231" s="47" t="s">
        <v>281</v>
      </c>
      <c r="D231" s="47" t="s">
        <v>180</v>
      </c>
      <c r="E231" s="47" t="s">
        <v>268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285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269</v>
      </c>
      <c r="C232" s="47" t="s">
        <v>281</v>
      </c>
      <c r="D232" s="47" t="s">
        <v>181</v>
      </c>
      <c r="E232" s="47" t="s">
        <v>268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285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269</v>
      </c>
      <c r="C233" s="47" t="s">
        <v>44</v>
      </c>
      <c r="D233" s="47" t="s">
        <v>182</v>
      </c>
      <c r="E233" s="47" t="s">
        <v>268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285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269</v>
      </c>
      <c r="C234" s="47" t="s">
        <v>286</v>
      </c>
      <c r="D234" s="47" t="s">
        <v>157</v>
      </c>
      <c r="E234" s="47" t="s">
        <v>268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285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269</v>
      </c>
      <c r="C235" s="47" t="s">
        <v>286</v>
      </c>
      <c r="D235" s="47" t="s">
        <v>158</v>
      </c>
      <c r="E235" s="47" t="s">
        <v>268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285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269</v>
      </c>
      <c r="C236" s="47" t="s">
        <v>287</v>
      </c>
      <c r="D236" s="47" t="s">
        <v>183</v>
      </c>
      <c r="E236" s="47" t="s">
        <v>268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284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269</v>
      </c>
      <c r="C237" s="47" t="s">
        <v>287</v>
      </c>
      <c r="D237" s="47" t="s">
        <v>185</v>
      </c>
      <c r="E237" s="47" t="s">
        <v>268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284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269</v>
      </c>
      <c r="C238" s="47" t="s">
        <v>288</v>
      </c>
      <c r="D238" s="47" t="s">
        <v>179</v>
      </c>
      <c r="E238" s="47" t="s">
        <v>268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285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272</v>
      </c>
      <c r="C239" s="47" t="s">
        <v>281</v>
      </c>
      <c r="D239" s="47" t="s">
        <v>220</v>
      </c>
      <c r="E239" s="47" t="s">
        <v>268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301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272</v>
      </c>
      <c r="C240" s="47" t="s">
        <v>281</v>
      </c>
      <c r="D240" s="47" t="s">
        <v>308</v>
      </c>
      <c r="E240" s="47" t="s">
        <v>268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272</v>
      </c>
      <c r="C241" s="47" t="s">
        <v>281</v>
      </c>
      <c r="D241" s="47" t="s">
        <v>283</v>
      </c>
      <c r="E241" s="47" t="s">
        <v>268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284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272</v>
      </c>
      <c r="C242" s="47" t="s">
        <v>281</v>
      </c>
      <c r="D242" s="47" t="s">
        <v>180</v>
      </c>
      <c r="E242" s="47" t="s">
        <v>268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285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272</v>
      </c>
      <c r="C243" s="47" t="s">
        <v>281</v>
      </c>
      <c r="D243" s="47" t="s">
        <v>181</v>
      </c>
      <c r="E243" s="47" t="s">
        <v>268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285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272</v>
      </c>
      <c r="C244" s="47" t="s">
        <v>44</v>
      </c>
      <c r="D244" s="47" t="s">
        <v>182</v>
      </c>
      <c r="E244" s="47" t="s">
        <v>268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285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272</v>
      </c>
      <c r="C245" s="47" t="s">
        <v>286</v>
      </c>
      <c r="D245" s="47" t="s">
        <v>157</v>
      </c>
      <c r="E245" s="47" t="s">
        <v>268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285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272</v>
      </c>
      <c r="C246" s="47" t="s">
        <v>286</v>
      </c>
      <c r="D246" s="47" t="s">
        <v>158</v>
      </c>
      <c r="E246" s="47" t="s">
        <v>268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285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272</v>
      </c>
      <c r="C247" s="47" t="s">
        <v>287</v>
      </c>
      <c r="D247" s="47" t="s">
        <v>312</v>
      </c>
      <c r="E247" s="47" t="s">
        <v>268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284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272</v>
      </c>
      <c r="C248" s="47" t="s">
        <v>288</v>
      </c>
      <c r="D248" s="47" t="s">
        <v>179</v>
      </c>
      <c r="E248" s="47" t="s">
        <v>268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285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272</v>
      </c>
      <c r="C249" s="47" t="s">
        <v>304</v>
      </c>
      <c r="D249" s="47" t="s">
        <v>316</v>
      </c>
      <c r="E249" s="47" t="s">
        <v>268</v>
      </c>
      <c r="F249" s="47" t="n">
        <v>2</v>
      </c>
      <c r="G249" s="48" t="n">
        <v>50</v>
      </c>
      <c r="H249" s="48" t="n">
        <f aca="false">F249*G249</f>
        <v>100</v>
      </c>
      <c r="I249" s="47" t="s">
        <v>306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272</v>
      </c>
      <c r="C250" s="47" t="s">
        <v>289</v>
      </c>
      <c r="D250" s="47" t="s">
        <v>186</v>
      </c>
      <c r="E250" s="47" t="s">
        <v>268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293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275</v>
      </c>
      <c r="C251" s="47" t="s">
        <v>281</v>
      </c>
      <c r="D251" s="47" t="s">
        <v>220</v>
      </c>
      <c r="E251" s="47" t="s">
        <v>274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302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275</v>
      </c>
      <c r="C252" s="47" t="s">
        <v>281</v>
      </c>
      <c r="D252" s="47" t="s">
        <v>180</v>
      </c>
      <c r="E252" s="47" t="s">
        <v>274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285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275</v>
      </c>
      <c r="C253" s="47" t="s">
        <v>281</v>
      </c>
      <c r="D253" s="47" t="s">
        <v>181</v>
      </c>
      <c r="E253" s="47" t="s">
        <v>274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285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275</v>
      </c>
      <c r="C254" s="47" t="s">
        <v>44</v>
      </c>
      <c r="D254" s="47" t="s">
        <v>182</v>
      </c>
      <c r="E254" s="47" t="s">
        <v>274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285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275</v>
      </c>
      <c r="C255" s="47" t="s">
        <v>286</v>
      </c>
      <c r="D255" s="47" t="s">
        <v>157</v>
      </c>
      <c r="E255" s="47" t="s">
        <v>274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285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275</v>
      </c>
      <c r="C256" s="47" t="s">
        <v>286</v>
      </c>
      <c r="D256" s="47" t="s">
        <v>158</v>
      </c>
      <c r="E256" s="47" t="s">
        <v>274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285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275</v>
      </c>
      <c r="C257" s="47" t="s">
        <v>288</v>
      </c>
      <c r="D257" s="47" t="s">
        <v>179</v>
      </c>
      <c r="E257" s="47" t="s">
        <v>274</v>
      </c>
      <c r="F257" s="47" t="n">
        <v>1</v>
      </c>
      <c r="G257" s="48" t="n">
        <v>30</v>
      </c>
      <c r="H257" s="48" t="n">
        <f aca="false">F257*G257</f>
        <v>30</v>
      </c>
      <c r="I257" s="47" t="s">
        <v>285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281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317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281</v>
      </c>
      <c r="D259" s="47" t="s">
        <v>283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318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281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319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281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319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319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318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287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318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287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318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288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319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286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319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286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319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289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320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281</v>
      </c>
      <c r="D270" s="47" t="s">
        <v>308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321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281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322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281</v>
      </c>
      <c r="D272" s="47" t="s">
        <v>283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318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281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319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281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319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319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318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287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318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287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318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288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319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286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319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286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319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281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323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281</v>
      </c>
      <c r="D283" s="47" t="s">
        <v>283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318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281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319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281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319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319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318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287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318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287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318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288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319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286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319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286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319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289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293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281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324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281</v>
      </c>
      <c r="D295" s="47" t="s">
        <v>283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318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281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319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281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319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319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318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287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318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287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318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288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319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286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319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286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319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281</v>
      </c>
      <c r="D305" s="47" t="s">
        <v>308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321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281</v>
      </c>
      <c r="D306" s="47" t="s">
        <v>220</v>
      </c>
      <c r="E306" s="47" t="s">
        <v>265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325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318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281</v>
      </c>
      <c r="D308" s="47" t="s">
        <v>180</v>
      </c>
      <c r="E308" s="47" t="s">
        <v>265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319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319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318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287</v>
      </c>
      <c r="D312" s="47" t="s">
        <v>183</v>
      </c>
      <c r="E312" s="47" t="s">
        <v>265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318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287</v>
      </c>
      <c r="D313" s="47" t="s">
        <v>185</v>
      </c>
      <c r="E313" s="47" t="s">
        <v>265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318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288</v>
      </c>
      <c r="D314" s="47" t="s">
        <v>179</v>
      </c>
      <c r="E314" s="47" t="s">
        <v>265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319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286</v>
      </c>
      <c r="D315" s="47" t="s">
        <v>157</v>
      </c>
      <c r="E315" s="47" t="s">
        <v>265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319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286</v>
      </c>
      <c r="D316" s="47" t="s">
        <v>158</v>
      </c>
      <c r="E316" s="47" t="s">
        <v>265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319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289</v>
      </c>
      <c r="D317" s="47" t="s">
        <v>186</v>
      </c>
      <c r="E317" s="47" t="s">
        <v>265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326</v>
      </c>
    </row>
    <row r="318" customFormat="false" ht="14.25" hidden="false" customHeight="true" outlineLevel="0" collapsed="false">
      <c r="A318" s="47" t="s">
        <v>21</v>
      </c>
      <c r="B318" s="47" t="s">
        <v>269</v>
      </c>
      <c r="C318" s="47" t="s">
        <v>281</v>
      </c>
      <c r="D318" s="47" t="s">
        <v>220</v>
      </c>
      <c r="E318" s="47" t="s">
        <v>268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327</v>
      </c>
    </row>
    <row r="319" customFormat="false" ht="14.25" hidden="false" customHeight="true" outlineLevel="0" collapsed="false">
      <c r="A319" s="47" t="s">
        <v>21</v>
      </c>
      <c r="B319" s="47" t="s">
        <v>269</v>
      </c>
      <c r="C319" s="47" t="s">
        <v>281</v>
      </c>
      <c r="D319" s="47" t="s">
        <v>180</v>
      </c>
      <c r="E319" s="47" t="s">
        <v>268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319</v>
      </c>
    </row>
    <row r="320" customFormat="false" ht="14.25" hidden="false" customHeight="true" outlineLevel="0" collapsed="false">
      <c r="A320" s="47" t="s">
        <v>21</v>
      </c>
      <c r="B320" s="47" t="s">
        <v>269</v>
      </c>
      <c r="C320" s="47" t="s">
        <v>281</v>
      </c>
      <c r="D320" s="47" t="s">
        <v>181</v>
      </c>
      <c r="E320" s="47" t="s">
        <v>268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319</v>
      </c>
    </row>
    <row r="321" customFormat="false" ht="14.25" hidden="false" customHeight="true" outlineLevel="0" collapsed="false">
      <c r="A321" s="47" t="s">
        <v>21</v>
      </c>
      <c r="B321" s="47" t="s">
        <v>269</v>
      </c>
      <c r="C321" s="47" t="s">
        <v>44</v>
      </c>
      <c r="D321" s="47" t="s">
        <v>182</v>
      </c>
      <c r="E321" s="47" t="s">
        <v>268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319</v>
      </c>
    </row>
    <row r="322" customFormat="false" ht="14.25" hidden="false" customHeight="true" outlineLevel="0" collapsed="false">
      <c r="A322" s="47" t="s">
        <v>21</v>
      </c>
      <c r="B322" s="47" t="s">
        <v>269</v>
      </c>
      <c r="C322" s="47" t="s">
        <v>44</v>
      </c>
      <c r="D322" s="47" t="s">
        <v>221</v>
      </c>
      <c r="E322" s="47" t="s">
        <v>268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328</v>
      </c>
    </row>
    <row r="323" customFormat="false" ht="14.25" hidden="false" customHeight="true" outlineLevel="0" collapsed="false">
      <c r="A323" s="47" t="s">
        <v>21</v>
      </c>
      <c r="B323" s="47" t="s">
        <v>269</v>
      </c>
      <c r="C323" s="47" t="s">
        <v>288</v>
      </c>
      <c r="D323" s="47" t="s">
        <v>179</v>
      </c>
      <c r="E323" s="47" t="s">
        <v>268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319</v>
      </c>
    </row>
    <row r="324" customFormat="false" ht="15" hidden="false" customHeight="true" outlineLevel="0" collapsed="false">
      <c r="A324" s="47" t="s">
        <v>21</v>
      </c>
      <c r="B324" s="47" t="s">
        <v>269</v>
      </c>
      <c r="C324" s="47" t="s">
        <v>286</v>
      </c>
      <c r="D324" s="47" t="s">
        <v>157</v>
      </c>
      <c r="E324" s="47" t="s">
        <v>268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319</v>
      </c>
    </row>
    <row r="325" customFormat="false" ht="14.25" hidden="false" customHeight="true" outlineLevel="0" collapsed="false">
      <c r="A325" s="47" t="s">
        <v>21</v>
      </c>
      <c r="B325" s="47" t="s">
        <v>269</v>
      </c>
      <c r="C325" s="47" t="s">
        <v>286</v>
      </c>
      <c r="D325" s="47" t="s">
        <v>158</v>
      </c>
      <c r="E325" s="47" t="s">
        <v>268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319</v>
      </c>
    </row>
    <row r="326" customFormat="false" ht="14.25" hidden="false" customHeight="true" outlineLevel="0" collapsed="false">
      <c r="A326" s="47" t="s">
        <v>21</v>
      </c>
      <c r="B326" s="47" t="s">
        <v>269</v>
      </c>
      <c r="C326" s="47" t="s">
        <v>289</v>
      </c>
      <c r="D326" s="47" t="s">
        <v>186</v>
      </c>
      <c r="E326" s="47" t="s">
        <v>268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293</v>
      </c>
    </row>
    <row r="327" customFormat="false" ht="14.25" hidden="false" customHeight="true" outlineLevel="0" collapsed="false">
      <c r="A327" s="47" t="s">
        <v>21</v>
      </c>
      <c r="B327" s="47" t="s">
        <v>269</v>
      </c>
      <c r="C327" s="47" t="s">
        <v>281</v>
      </c>
      <c r="D327" s="47" t="s">
        <v>308</v>
      </c>
      <c r="E327" s="47" t="s">
        <v>268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321</v>
      </c>
    </row>
    <row r="328" customFormat="false" ht="14.25" hidden="false" customHeight="true" outlineLevel="0" collapsed="false">
      <c r="A328" s="47" t="s">
        <v>21</v>
      </c>
      <c r="B328" s="47" t="s">
        <v>264</v>
      </c>
      <c r="C328" s="47" t="s">
        <v>281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329</v>
      </c>
    </row>
    <row r="329" customFormat="false" ht="14.25" hidden="false" customHeight="true" outlineLevel="0" collapsed="false">
      <c r="A329" s="47" t="s">
        <v>21</v>
      </c>
      <c r="B329" s="47" t="s">
        <v>264</v>
      </c>
      <c r="C329" s="47" t="s">
        <v>281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319</v>
      </c>
    </row>
    <row r="330" customFormat="false" ht="14.25" hidden="false" customHeight="true" outlineLevel="0" collapsed="false">
      <c r="A330" s="47" t="s">
        <v>21</v>
      </c>
      <c r="B330" s="47" t="s">
        <v>264</v>
      </c>
      <c r="C330" s="47" t="s">
        <v>281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319</v>
      </c>
    </row>
    <row r="331" customFormat="false" ht="14.25" hidden="false" customHeight="true" outlineLevel="0" collapsed="false">
      <c r="A331" s="47" t="s">
        <v>21</v>
      </c>
      <c r="B331" s="47" t="s">
        <v>264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319</v>
      </c>
    </row>
    <row r="332" customFormat="false" ht="14.25" hidden="false" customHeight="true" outlineLevel="0" collapsed="false">
      <c r="A332" s="47" t="s">
        <v>21</v>
      </c>
      <c r="B332" s="47" t="s">
        <v>264</v>
      </c>
      <c r="C332" s="47" t="s">
        <v>288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319</v>
      </c>
    </row>
    <row r="333" customFormat="false" ht="14.25" hidden="false" customHeight="true" outlineLevel="0" collapsed="false">
      <c r="A333" s="47" t="s">
        <v>21</v>
      </c>
      <c r="B333" s="47" t="s">
        <v>264</v>
      </c>
      <c r="C333" s="47" t="s">
        <v>286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319</v>
      </c>
    </row>
    <row r="334" customFormat="false" ht="14.25" hidden="false" customHeight="true" outlineLevel="0" collapsed="false">
      <c r="A334" s="47" t="s">
        <v>21</v>
      </c>
      <c r="B334" s="47" t="s">
        <v>264</v>
      </c>
      <c r="C334" s="47" t="s">
        <v>286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319</v>
      </c>
    </row>
    <row r="335" customFormat="false" ht="14.25" hidden="false" customHeight="true" outlineLevel="0" collapsed="false">
      <c r="A335" s="47" t="s">
        <v>21</v>
      </c>
      <c r="B335" s="47" t="s">
        <v>264</v>
      </c>
      <c r="C335" s="47" t="s">
        <v>289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293</v>
      </c>
    </row>
    <row r="336" customFormat="false" ht="14.25" hidden="false" customHeight="true" outlineLevel="0" collapsed="false">
      <c r="A336" s="47" t="s">
        <v>21</v>
      </c>
      <c r="B336" s="47" t="s">
        <v>272</v>
      </c>
      <c r="C336" s="47" t="s">
        <v>281</v>
      </c>
      <c r="D336" s="47" t="s">
        <v>220</v>
      </c>
      <c r="E336" s="47" t="s">
        <v>268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330</v>
      </c>
    </row>
    <row r="337" customFormat="false" ht="14.25" hidden="false" customHeight="true" outlineLevel="0" collapsed="false">
      <c r="A337" s="47" t="s">
        <v>21</v>
      </c>
      <c r="B337" s="47" t="s">
        <v>272</v>
      </c>
      <c r="C337" s="47" t="s">
        <v>281</v>
      </c>
      <c r="D337" s="47" t="s">
        <v>283</v>
      </c>
      <c r="E337" s="47" t="s">
        <v>268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328</v>
      </c>
    </row>
    <row r="338" customFormat="false" ht="14.25" hidden="false" customHeight="true" outlineLevel="0" collapsed="false">
      <c r="A338" s="47" t="s">
        <v>21</v>
      </c>
      <c r="B338" s="47" t="s">
        <v>272</v>
      </c>
      <c r="C338" s="47" t="s">
        <v>281</v>
      </c>
      <c r="D338" s="47" t="s">
        <v>180</v>
      </c>
      <c r="E338" s="47" t="s">
        <v>268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319</v>
      </c>
    </row>
    <row r="339" customFormat="false" ht="14.25" hidden="false" customHeight="true" outlineLevel="0" collapsed="false">
      <c r="A339" s="47" t="s">
        <v>21</v>
      </c>
      <c r="B339" s="47" t="s">
        <v>272</v>
      </c>
      <c r="C339" s="47" t="s">
        <v>281</v>
      </c>
      <c r="D339" s="47" t="s">
        <v>181</v>
      </c>
      <c r="E339" s="47" t="s">
        <v>268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319</v>
      </c>
    </row>
    <row r="340" customFormat="false" ht="14.25" hidden="false" customHeight="true" outlineLevel="0" collapsed="false">
      <c r="A340" s="47" t="s">
        <v>21</v>
      </c>
      <c r="B340" s="47" t="s">
        <v>272</v>
      </c>
      <c r="C340" s="47" t="s">
        <v>44</v>
      </c>
      <c r="D340" s="47" t="s">
        <v>182</v>
      </c>
      <c r="E340" s="47" t="s">
        <v>268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319</v>
      </c>
    </row>
    <row r="341" customFormat="false" ht="14.25" hidden="false" customHeight="true" outlineLevel="0" collapsed="false">
      <c r="A341" s="47" t="s">
        <v>21</v>
      </c>
      <c r="B341" s="47" t="s">
        <v>272</v>
      </c>
      <c r="C341" s="47" t="s">
        <v>288</v>
      </c>
      <c r="D341" s="47" t="s">
        <v>179</v>
      </c>
      <c r="E341" s="47" t="s">
        <v>268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319</v>
      </c>
    </row>
    <row r="342" customFormat="false" ht="14.25" hidden="false" customHeight="true" outlineLevel="0" collapsed="false">
      <c r="A342" s="47" t="s">
        <v>21</v>
      </c>
      <c r="B342" s="47" t="s">
        <v>272</v>
      </c>
      <c r="C342" s="47" t="s">
        <v>286</v>
      </c>
      <c r="D342" s="47" t="s">
        <v>157</v>
      </c>
      <c r="E342" s="47" t="s">
        <v>268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319</v>
      </c>
    </row>
    <row r="343" customFormat="false" ht="14.25" hidden="false" customHeight="true" outlineLevel="0" collapsed="false">
      <c r="A343" s="47" t="s">
        <v>21</v>
      </c>
      <c r="B343" s="47" t="s">
        <v>272</v>
      </c>
      <c r="C343" s="47" t="s">
        <v>286</v>
      </c>
      <c r="D343" s="47" t="s">
        <v>158</v>
      </c>
      <c r="E343" s="47" t="s">
        <v>268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319</v>
      </c>
    </row>
    <row r="344" customFormat="false" ht="14.25" hidden="false" customHeight="true" outlineLevel="0" collapsed="false">
      <c r="A344" s="47" t="s">
        <v>21</v>
      </c>
      <c r="B344" s="47" t="s">
        <v>272</v>
      </c>
      <c r="C344" s="47" t="s">
        <v>289</v>
      </c>
      <c r="D344" s="47" t="s">
        <v>186</v>
      </c>
      <c r="E344" s="47" t="s">
        <v>268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293</v>
      </c>
    </row>
    <row r="345" customFormat="false" ht="14.25" hidden="false" customHeight="true" outlineLevel="0" collapsed="false">
      <c r="A345" s="47" t="s">
        <v>21</v>
      </c>
      <c r="B345" s="47" t="s">
        <v>272</v>
      </c>
      <c r="C345" s="47" t="s">
        <v>281</v>
      </c>
      <c r="D345" s="47" t="s">
        <v>308</v>
      </c>
      <c r="E345" s="47" t="s">
        <v>268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321</v>
      </c>
    </row>
    <row r="346" customFormat="false" ht="14.25" hidden="false" customHeight="true" outlineLevel="0" collapsed="false">
      <c r="A346" s="47" t="s">
        <v>21</v>
      </c>
      <c r="B346" s="47" t="s">
        <v>267</v>
      </c>
      <c r="C346" s="47" t="s">
        <v>281</v>
      </c>
      <c r="D346" s="47" t="s">
        <v>220</v>
      </c>
      <c r="E346" s="47" t="s">
        <v>265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331</v>
      </c>
    </row>
    <row r="347" customFormat="false" ht="14.25" hidden="false" customHeight="true" outlineLevel="0" collapsed="false">
      <c r="A347" s="47" t="s">
        <v>21</v>
      </c>
      <c r="B347" s="47" t="s">
        <v>267</v>
      </c>
      <c r="C347" s="47" t="s">
        <v>281</v>
      </c>
      <c r="D347" s="47" t="s">
        <v>180</v>
      </c>
      <c r="E347" s="47" t="s">
        <v>265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319</v>
      </c>
    </row>
    <row r="348" customFormat="false" ht="14.25" hidden="false" customHeight="true" outlineLevel="0" collapsed="false">
      <c r="A348" s="47" t="s">
        <v>21</v>
      </c>
      <c r="B348" s="47" t="s">
        <v>267</v>
      </c>
      <c r="C348" s="47" t="s">
        <v>281</v>
      </c>
      <c r="D348" s="47" t="s">
        <v>181</v>
      </c>
      <c r="E348" s="47" t="s">
        <v>265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319</v>
      </c>
    </row>
    <row r="349" customFormat="false" ht="15" hidden="false" customHeight="true" outlineLevel="0" collapsed="false">
      <c r="A349" s="47" t="s">
        <v>21</v>
      </c>
      <c r="B349" s="47" t="s">
        <v>267</v>
      </c>
      <c r="C349" s="47" t="s">
        <v>44</v>
      </c>
      <c r="D349" s="47" t="s">
        <v>182</v>
      </c>
      <c r="E349" s="47" t="s">
        <v>265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319</v>
      </c>
    </row>
    <row r="350" customFormat="false" ht="14.25" hidden="false" customHeight="true" outlineLevel="0" collapsed="false">
      <c r="A350" s="47" t="s">
        <v>21</v>
      </c>
      <c r="B350" s="47" t="s">
        <v>267</v>
      </c>
      <c r="C350" s="47" t="s">
        <v>288</v>
      </c>
      <c r="D350" s="47" t="s">
        <v>179</v>
      </c>
      <c r="E350" s="47" t="s">
        <v>265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319</v>
      </c>
    </row>
    <row r="351" customFormat="false" ht="14.25" hidden="false" customHeight="true" outlineLevel="0" collapsed="false">
      <c r="A351" s="47" t="s">
        <v>21</v>
      </c>
      <c r="B351" s="47" t="s">
        <v>267</v>
      </c>
      <c r="C351" s="47" t="s">
        <v>286</v>
      </c>
      <c r="D351" s="47" t="s">
        <v>157</v>
      </c>
      <c r="E351" s="47" t="s">
        <v>265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319</v>
      </c>
    </row>
    <row r="352" customFormat="false" ht="14.25" hidden="false" customHeight="true" outlineLevel="0" collapsed="false">
      <c r="A352" s="47" t="s">
        <v>21</v>
      </c>
      <c r="B352" s="47" t="s">
        <v>267</v>
      </c>
      <c r="C352" s="47" t="s">
        <v>286</v>
      </c>
      <c r="D352" s="47" t="s">
        <v>158</v>
      </c>
      <c r="E352" s="47" t="s">
        <v>265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319</v>
      </c>
    </row>
    <row r="353" customFormat="false" ht="14.25" hidden="false" customHeight="true" outlineLevel="0" collapsed="false">
      <c r="A353" s="47" t="s">
        <v>21</v>
      </c>
      <c r="B353" s="47" t="s">
        <v>267</v>
      </c>
      <c r="C353" s="47" t="s">
        <v>289</v>
      </c>
      <c r="D353" s="47" t="s">
        <v>186</v>
      </c>
      <c r="E353" s="47" t="s">
        <v>265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49" t="s">
        <v>348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349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350</v>
      </c>
      <c r="E393" s="46" t="s">
        <v>351</v>
      </c>
      <c r="F393" s="46" t="s">
        <v>352</v>
      </c>
      <c r="G393" s="46" t="s">
        <v>353</v>
      </c>
      <c r="H393" s="46" t="s">
        <v>354</v>
      </c>
      <c r="I393" s="46" t="s">
        <v>355</v>
      </c>
      <c r="J393" s="46" t="s">
        <v>356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264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265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265</v>
      </c>
      <c r="C400" s="47" t="s">
        <v>266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265</v>
      </c>
      <c r="C401" s="47" t="s">
        <v>267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268</v>
      </c>
      <c r="C402" s="47" t="s">
        <v>269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268</v>
      </c>
      <c r="C403" s="47" t="s">
        <v>271</v>
      </c>
      <c r="D403" s="47" t="s">
        <v>357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358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268</v>
      </c>
      <c r="C404" s="47" t="s">
        <v>272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274</v>
      </c>
      <c r="C405" s="47" t="s">
        <v>275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358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264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265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265</v>
      </c>
      <c r="C412" s="47" t="s">
        <v>266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265</v>
      </c>
      <c r="C413" s="47" t="s">
        <v>267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268</v>
      </c>
      <c r="C414" s="47" t="s">
        <v>269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268</v>
      </c>
      <c r="C415" s="47" t="s">
        <v>271</v>
      </c>
      <c r="D415" s="47" t="s">
        <v>357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358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268</v>
      </c>
      <c r="C416" s="47" t="s">
        <v>272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274</v>
      </c>
      <c r="C417" s="47" t="s">
        <v>275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265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359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268</v>
      </c>
      <c r="C424" s="47" t="s">
        <v>269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264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268</v>
      </c>
      <c r="C426" s="47" t="s">
        <v>272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274</v>
      </c>
      <c r="C427" s="47" t="s">
        <v>275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265</v>
      </c>
      <c r="C428" s="47" t="s">
        <v>267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360</v>
      </c>
      <c r="B1" s="54"/>
      <c r="C1" s="54"/>
      <c r="D1" s="54"/>
    </row>
    <row r="2" customFormat="false" ht="15" hidden="false" customHeight="true" outlineLevel="0" collapsed="false">
      <c r="A2" s="55" t="s">
        <v>361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277</v>
      </c>
      <c r="D4" s="56" t="s">
        <v>279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304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281</v>
      </c>
      <c r="C7" s="40" t="s">
        <v>220</v>
      </c>
      <c r="D7" s="57" t="n">
        <f aca="false">'CUSTOS MENSAIS'!F274</f>
        <v>0</v>
      </c>
    </row>
    <row r="8" customFormat="false" ht="15" hidden="false" customHeight="true" outlineLevel="0" collapsed="false">
      <c r="A8" s="41" t="s">
        <v>11</v>
      </c>
      <c r="B8" s="41" t="s">
        <v>288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281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281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287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287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287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289</v>
      </c>
      <c r="C16" s="41" t="s">
        <v>186</v>
      </c>
      <c r="D16" s="58" t="n">
        <f aca="false">'CUSTOS MENSAIS'!F298</f>
        <v>692.28</v>
      </c>
    </row>
    <row r="17" customFormat="false" ht="15" hidden="false" customHeight="true" outlineLevel="0" collapsed="false">
      <c r="A17" s="40" t="s">
        <v>11</v>
      </c>
      <c r="B17" s="40" t="s">
        <v>286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286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281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304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304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304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304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362</v>
      </c>
      <c r="D24" s="60" t="n">
        <f aca="false">SUM(D5:D23)</f>
        <v>64334.1664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304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281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288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281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281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287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287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287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289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286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286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281</v>
      </c>
      <c r="C40" s="40" t="s">
        <v>187</v>
      </c>
      <c r="D40" s="57" t="n">
        <f aca="false">'CUSTOS MENSAIS'!F339</f>
        <v>285.96</v>
      </c>
    </row>
    <row r="41" customFormat="false" ht="15" hidden="false" customHeight="true" outlineLevel="0" collapsed="false">
      <c r="A41" s="41" t="s">
        <v>20</v>
      </c>
      <c r="B41" s="41" t="s">
        <v>304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304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304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304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363</v>
      </c>
      <c r="D45" s="60" t="n">
        <f aca="false">SUM(D26:D44)</f>
        <v>154516.9248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364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365</v>
      </c>
      <c r="C49" s="62" t="s">
        <v>366</v>
      </c>
      <c r="D49" s="62" t="s">
        <v>367</v>
      </c>
      <c r="E49" s="62" t="s">
        <v>368</v>
      </c>
      <c r="F49" s="62" t="s">
        <v>369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143950.1104</v>
      </c>
      <c r="F50" s="57" t="n">
        <f aca="false">IFERROR(E50/C50,0)</f>
        <v>782.337556521739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55101.84</v>
      </c>
      <c r="F51" s="58" t="n">
        <f aca="false">IFERROR(E51/C51,0)</f>
        <v>382.651666666667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370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371</v>
      </c>
      <c r="C54" s="62" t="s">
        <v>372</v>
      </c>
      <c r="D54" s="62" t="s">
        <v>373</v>
      </c>
      <c r="E54" s="62" t="s">
        <v>374</v>
      </c>
      <c r="F54" s="62" t="s">
        <v>375</v>
      </c>
      <c r="G54" s="63" t="s">
        <v>376</v>
      </c>
      <c r="H54" s="63" t="s">
        <v>377</v>
      </c>
      <c r="I54" s="62" t="s">
        <v>378</v>
      </c>
      <c r="J54" s="62" t="s">
        <v>379</v>
      </c>
      <c r="K54" s="62" t="s">
        <v>380</v>
      </c>
      <c r="L54" s="62" t="s">
        <v>381</v>
      </c>
      <c r="M54" s="62" t="s">
        <v>356</v>
      </c>
      <c r="O54" s="1" t="s">
        <v>382</v>
      </c>
    </row>
    <row r="55" customFormat="false" ht="14.25" hidden="false" customHeight="true" outlineLevel="0" collapsed="false">
      <c r="A55" s="40" t="s">
        <v>11</v>
      </c>
      <c r="B55" s="40" t="s">
        <v>383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384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385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383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384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385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2026-08-25T14:47:28Z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