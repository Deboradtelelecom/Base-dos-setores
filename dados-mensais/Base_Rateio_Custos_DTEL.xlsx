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<sst xmlns="http://schemas.openxmlformats.org/spreadsheetml/2006/main" count="17678" uniqueCount="655">
  <si>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</si>
  <si>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</si>
  <si>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</si>
  <si>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</si>
  <si>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</si>
  <si>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</si>
  <si>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</si>
  <si>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</si>
  <si>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</si>
  <si>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</si>
  <si>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</si>
  <si>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</si>
  <si>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</si>
  <si>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</si>
  <si>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</si>
  <si>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</si>
  <si>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</si>
  <si>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</si>
  <si>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</si>
  <si>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</si>
  <si>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</si>
  <si>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</si>
  <si>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</si>
  <si>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</si>
  <si>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</si>
  <si>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</si>
  <si>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</si>
  <si>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</si>
  <si>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</si>
  <si>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</si>
  <si>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</si>
  <si>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</si>
  <si>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</si>
  <si>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</si>
  <si>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</si>
  <si>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</si>
  <si>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</si>
  <si>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</si>
  <si>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</si>
  <si>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</si>
  <si>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</si>
  <si>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</si>
  <si>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</si>
  <si>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</si>
  <si>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</si>
  <si>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</si>
  <si>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</si>
  <si>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</si>
  <si>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</si>
  <si>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</si>
  <si>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</si>
  <si>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</si>
  <si>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</si>
  <si>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</si>
  <si>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</si>
  <si>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</si>
  <si>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</si>
  <si>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</si>
  <si>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</si>
  <si>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</si>
  <si>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</si>
  <si>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</si>
  <si>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</si>
  <si>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</si>
  <si>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</si>
  <si>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</si>
  <si>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</si>
  <si>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</si>
  <si>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</si>
  <si>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</si>
  <si>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</si>
  <si>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</si>
  <si>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</si>
  <si>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</si>
  <si>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</si>
  <si>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</si>
  <si>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</si>
  <si>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</si>
  <si>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</si>
  <si>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</si>
  <si>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</si>
  <si>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</si>
  <si>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</si>
  <si>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</si>
  <si>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</si>
  <si>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</si>
  <si>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</si>
  <si>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</si>
  <si>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</si>
  <si>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</si>
  <si>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</si>
  <si>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</si>
  <si>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</si>
  <si>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</si>
  <si>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</si>
  <si>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</si>
  <si>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</si>
  <si>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</si>
  <si>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</si>
  <si>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</si>
  <si>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</si>
  <si>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</si>
  <si>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</si>
  <si>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</si>
  <si>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</si>
  <si>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</si>
  <si>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</si>
  <si>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</si>
  <si>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</si>
  <si>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</si>
  <si>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</si>
  <si>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</si>
  <si>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</si>
  <si>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</si>
  <si>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</si>
  <si>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</si>
  <si>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</si>
  <si>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</si>
  <si>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</si>
  <si>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</si>
  <si>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</si>
  <si>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</si>
  <si>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</si>
  <si>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</si>
  <si>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</si>
  <si>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</si>
  <si>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</si>
  <si>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</si>
  <si>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</si>
  <si>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</si>
  <si>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</si>
  <si>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</si>
  <si>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</si>
  <si>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</si>
  <si>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</si>
  <si>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</si>
  <si>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</si>
  <si>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</si>
  <si>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</si>
  <si>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</si>
  <si>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</si>
  <si>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</si>
  <si>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</si>
  <si>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</si>
  <si>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</si>
  <si>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</si>
  <si>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</si>
  <si>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</si>
  <si>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</si>
  <si>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</si>
  <si>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</si>
  <si>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</si>
  <si>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</si>
  <si>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</si>
  <si>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</si>
  <si>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</si>
  <si>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</si>
  <si>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</si>
  <si>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</si>
  <si>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</si>
  <si>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</si>
  <si>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</si>
  <si>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</si>
  <si>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</si>
  <si>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</si>
  <si>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</si>
  <si>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</si>
  <si>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</si>
  <si>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</si>
  <si>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</si>
  <si>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</si>
  <si>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</si>
  <si>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</si>
  <si>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</si>
  <si>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</si>
  <si>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</si>
  <si>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</si>
  <si>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</si>
  <si>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</si>
  <si>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</si>
  <si>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</si>
  <si>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</si>
  <si>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</si>
  <si>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</si>
  <si>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</si>
  <si>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</si>
  <si>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</si>
  <si>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</si>
  <si>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</si>
  <si>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</si>
  <si>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</si>
  <si>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</si>
  <si>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</si>
  <si>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</si>
  <si>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</si>
  <si>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</si>
  <si>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</si>
  <si>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</si>
  <si>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</si>
  <si>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</si>
  <si>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</si>
  <si>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</si>
  <si>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</si>
  <si>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</si>
  <si>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</si>
  <si>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</si>
  <si>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</si>
  <si>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</si>
  <si>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</si>
  <si>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</si>
  <si>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</si>
  <si>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</si>
  <si>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</si>
  <si>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</si>
  <si>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</si>
  <si>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</si>
  <si>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</si>
  <si>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</si>
  <si>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</si>
  <si>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</si>
  <si>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</si>
  <si>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</si>
  <si>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</si>
  <si>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</si>
  <si>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</si>
  <si>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</si>
  <si>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</si>
  <si>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</si>
  <si>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</si>
  <si>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</si>
  <si>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</si>
  <si>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</si>
  <si>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</si>
  <si>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</si>
  <si>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</si>
  <si>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</si>
  <si>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</si>
  <si>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</si>
  <si>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</si>
  <si>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</si>
  <si>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</si>
  <si>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</si>
  <si>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</si>
  <si>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</si>
  <si>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</si>
  <si>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</si>
  <si>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</si>
  <si>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</si>
  <si>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</si>
  <si>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</si>
  <si>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</si>
  <si>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</si>
  <si>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</si>
  <si>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</si>
  <si>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</si>
  <si>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</si>
  <si>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</si>
  <si>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</si>
  <si>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</si>
  <si>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</si>
  <si>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</si>
  <si>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</si>
  <si>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</si>
  <si>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</si>
  <si>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</si>
  <si>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</si>
  <si>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</si>
  <si>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</si>
  <si>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</si>
  <si>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</si>
  <si>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</si>
  <si>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</si>
  <si>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</si>
  <si>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</si>
  <si>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</si>
  <si>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</si>
  <si>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</si>
  <si>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</si>
  <si>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</si>
  <si>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</si>
  <si>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</si>
  <si>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</si>
  <si>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</si>
  <si>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</si>
  <si>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</si>
  <si>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</si>
  <si>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</si>
  <si>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</si>
  <si>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</si>
  <si>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</si>
  <si>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</si>
  <si>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</si>
  <si>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</si>
  <si>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</si>
  <si>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</si>
  <si>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</si>
  <si>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</si>
  <si>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</si>
  <si>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</si>
  <si>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</si>
  <si>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</si>
  <si>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</si>
  <si>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</si>
  <si>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</si>
  <si>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</si>
  <si>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</si>
  <si>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</si>
  <si>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</si>
  <si>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</si>
  <si>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</si>
  <si>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</si>
  <si>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</si>
  <si>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</si>
  <si>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</si>
  <si>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</si>
  <si>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</si>
  <si>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</si>
  <si>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</si>
  <si>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</si>
  <si>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</si>
  <si>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</si>
  <si>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</si>
  <si>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</si>
  <si>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</si>
  <si>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</si>
  <si>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</si>
  <si>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</si>
  <si>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</si>
  <si>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</si>
  <si>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</si>
  <si>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</si>
  <si>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</si>
  <si>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</si>
  <si>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</si>
  <si>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</si>
  <si>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</si>
  <si>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</si>
  <si>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</si>
  <si>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</si>
  <si>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</si>
  <si>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</si>
  <si>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</si>
  <si>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</si>
  <si>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</si>
  <si>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</si>
  <si>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</si>
  <si>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</si>
  <si>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</si>
  <si>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</si>
  <si>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</si>
  <si>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</si>
  <si>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</si>
  <si>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</si>
  <si>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</si>
  <si>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</si>
  <si>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</si>
  <si>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</si>
  <si>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</si>
  <si>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</si>
  <si>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</si>
  <si>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</si>
  <si>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</si>
  <si>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</si>
  <si>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</si>
  <si>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</si>
  <si>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</si>
  <si>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</si>
  <si>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</si>
  <si>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</si>
  <si>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</si>
  <si>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</si>
  <si>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</si>
  <si>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</si>
  <si>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</si>
  <si>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</si>
  <si>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</si>
  <si>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</si>
  <si>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</si>
  <si>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</si>
  <si>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</si>
  <si>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</si>
  <si>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</si>
  <si>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</si>
  <si>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</si>
  <si>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</si>
  <si>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</si>
  <si>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</si>
  <si>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</si>
  <si>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</si>
  <si>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</si>
  <si>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</si>
  <si>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</si>
  <si>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</si>
  <si>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</si>
  <si>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</si>
  <si>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</si>
  <si>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</si>
  <si>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</si>
  <si>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</si>
  <si>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</si>
  <si>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</si>
  <si>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</si>
  <si>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</si>
  <si>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</si>
  <si>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Reembolso por receita recebida</t>
  </si>
  <si>
    <t xml:space="preserve">Taxa de administração de 6% e 1% de utilização da marca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</si>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</sst>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  <numFmt numFmtId="170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71344.0911</v>
      </c>
      <c r="F39" s="21" t="n">
        <f aca="false">IFERROR(D39*E39,0)</f>
        <v>2359.91371072864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2359.91371072864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71344.0911</v>
      </c>
      <c r="F40" s="22" t="n">
        <f aca="false">IFERROR(D40*E40,0)</f>
        <v>4913.16092638586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4913.16092638586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71344.0911</v>
      </c>
      <c r="F41" s="21" t="n">
        <f aca="false">IFERROR(D41*E41,0)</f>
        <v>5287.74459218499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5287.74459218499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71344.0911</v>
      </c>
      <c r="F42" s="22" t="n">
        <f aca="false">IFERROR(D42*E42,0)</f>
        <v>1356.26383002931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1356.26383002931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71344.0911</v>
      </c>
      <c r="F43" s="21" t="n">
        <f aca="false">IFERROR(D43*E43,0)</f>
        <v>2355.88592937596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2355.88592937596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71344.0911</v>
      </c>
      <c r="F44" s="22" t="n">
        <f aca="false">IFERROR(D44*E44,0)</f>
        <v>1738.90305853379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1738.90305853379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71344.0911</v>
      </c>
      <c r="F45" s="21" t="n">
        <f aca="false">IFERROR(D45*E45,0)</f>
        <v>1755.74650782681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1755.74650782681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71344.0911</v>
      </c>
      <c r="F46" s="22" t="n">
        <f aca="false">IFERROR(D46*E46,0)</f>
        <v>51576.4725449346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51576.4725449346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29039.374356</v>
      </c>
      <c r="F47" s="21" t="n">
        <f aca="false">IFERROR(D47*E47,0)</f>
        <v>941.218997239276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941.218997239276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29039.374356</v>
      </c>
      <c r="F48" s="22" t="n">
        <f aca="false">IFERROR(D48*E48,0)</f>
        <v>885.853173872259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885.853173872259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29039.374356</v>
      </c>
      <c r="F49" s="21" t="n">
        <f aca="false">IFERROR(D49*E49,0)</f>
        <v>1162.68229070734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1162.68229070734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29039.374356</v>
      </c>
      <c r="F50" s="22" t="n">
        <f aca="false">IFERROR(D50*E50,0)</f>
        <v>304.512028518589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304.512028518589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29039.374356</v>
      </c>
      <c r="F51" s="21" t="n">
        <f aca="false">IFERROR(D51*E51,0)</f>
        <v>1162.68229070734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1162.68229070734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29039.374356</v>
      </c>
      <c r="F52" s="22" t="n">
        <f aca="false">IFERROR(D52*E52,0)</f>
        <v>498.292410303146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498.292410303146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29039.374356</v>
      </c>
      <c r="F53" s="21" t="n">
        <f aca="false">IFERROR(D53*E53,0)</f>
        <v>470.609498619638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470.609498619638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29039.374356</v>
      </c>
      <c r="F54" s="22" t="n">
        <f aca="false">IFERROR(D54*E54,0)</f>
        <v>23613.5236660324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23613.5236660324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43116.2952</v>
      </c>
      <c r="F55" s="21" t="n">
        <f aca="false">IFERROR(D55*E55,0)</f>
        <v>1397.47763279314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1397.47763279314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43116.2952</v>
      </c>
      <c r="F56" s="22" t="n">
        <f aca="false">IFERROR(D56*E56,0)</f>
        <v>1315.27306615825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1315.27306615825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43116.2952</v>
      </c>
      <c r="F57" s="21" t="n">
        <f aca="false">IFERROR(D57*E57,0)</f>
        <v>1726.2958993327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1726.2958993327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43116.2952</v>
      </c>
      <c r="F58" s="22" t="n">
        <f aca="false">IFERROR(D58*E58,0)</f>
        <v>452.125116491897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452.125116491897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43116.2952</v>
      </c>
      <c r="F59" s="21" t="n">
        <f aca="false">IFERROR(D59*E59,0)</f>
        <v>1726.2958993327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1726.2958993327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43116.2952</v>
      </c>
      <c r="F60" s="22" t="n">
        <f aca="false">IFERROR(D60*E60,0)</f>
        <v>739.841099714013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739.841099714013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43116.2952</v>
      </c>
      <c r="F61" s="21" t="n">
        <f aca="false">IFERROR(D61*E61,0)</f>
        <v>698.738816396568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698.738816396568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43116.2952</v>
      </c>
      <c r="F62" s="22" t="n">
        <f aca="false">IFERROR(D62*E62,0)</f>
        <v>35060.2476697807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35060.2476697807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24292.39292</v>
      </c>
      <c r="F63" s="21" t="n">
        <f aca="false">IFERROR(D63*E63,0)</f>
        <v>803.541684173411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803.541684173411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24292.39292</v>
      </c>
      <c r="F64" s="22" t="n">
        <f aca="false">IFERROR(D64*E64,0)</f>
        <v>1672.91269483923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1672.91269483923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24292.39292</v>
      </c>
      <c r="F65" s="21" t="n">
        <f aca="false">IFERROR(D65*E65,0)</f>
        <v>1800.45701491827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1800.45701491827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24292.39292</v>
      </c>
      <c r="F66" s="22" t="n">
        <f aca="false">IFERROR(D66*E66,0)</f>
        <v>461.802699484611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461.802699484611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24292.39292</v>
      </c>
      <c r="F67" s="21" t="n">
        <f aca="false">IFERROR(D67*E67,0)</f>
        <v>802.170239871486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802.170239871486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24292.39292</v>
      </c>
      <c r="F68" s="22" t="n">
        <f aca="false">IFERROR(D68*E68,0)</f>
        <v>592.089908167499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592.089908167499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24292.39292</v>
      </c>
      <c r="F69" s="21" t="n">
        <f aca="false">IFERROR(D69*E69,0)</f>
        <v>597.82503888464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597.82503888464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24292.39292</v>
      </c>
      <c r="F70" s="22" t="n">
        <f aca="false">IFERROR(D70*E70,0)</f>
        <v>17561.5936396609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17561.5936396609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69774.5655</v>
      </c>
      <c r="F79" s="21" t="n">
        <f aca="false">IFERROR(D79*E79,0)</f>
        <v>2307.99707789092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2307.99707789092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69774.5655</v>
      </c>
      <c r="F80" s="22" t="n">
        <f aca="false">IFERROR(D80*E80,0)</f>
        <v>4805.07444393178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4805.07444393178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69774.5655</v>
      </c>
      <c r="F81" s="21" t="n">
        <f aca="false">IFERROR(D81*E81,0)</f>
        <v>5171.4175022223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5171.4175022223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69774.5655</v>
      </c>
      <c r="F82" s="22" t="n">
        <f aca="false">IFERROR(D82*E82,0)</f>
        <v>1326.42686990038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1326.42686990038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69774.5655</v>
      </c>
      <c r="F83" s="21" t="n">
        <f aca="false">IFERROR(D83*E83,0)</f>
        <v>2304.05790522113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2304.05790522113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69774.5655</v>
      </c>
      <c r="F84" s="22" t="n">
        <f aca="false">IFERROR(D84*E84,0)</f>
        <v>1700.64827353048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1700.64827353048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69774.5655</v>
      </c>
      <c r="F85" s="21" t="n">
        <f aca="false">IFERROR(D85*E85,0)</f>
        <v>1717.12117742233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1717.12117742233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69774.5655</v>
      </c>
      <c r="F86" s="22" t="n">
        <f aca="false">IFERROR(D86*E86,0)</f>
        <v>50441.8222498807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50441.8222498807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35426.094356</v>
      </c>
      <c r="F111" s="21" t="n">
        <f aca="false">IFERROR(D111*E111,0)</f>
        <v>1171.82130291784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1171.82130291784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35426.094356</v>
      </c>
      <c r="F112" s="22" t="n">
        <f aca="false">IFERROR(D112*E112,0)</f>
        <v>2439.64286152855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2439.64286152855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35426.094356</v>
      </c>
      <c r="F113" s="21" t="n">
        <f aca="false">IFERROR(D113*E113,0)</f>
        <v>2625.64335693351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2625.64335693351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35426.094356</v>
      </c>
      <c r="F114" s="22" t="n">
        <f aca="false">IFERROR(D114*E114,0)</f>
        <v>673.456339178847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673.456339178847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35426.094356</v>
      </c>
      <c r="F115" s="21" t="n">
        <f aca="false">IFERROR(D115*E115,0)</f>
        <v>1169.8212975909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1169.8212975909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35426.094356</v>
      </c>
      <c r="F116" s="22" t="n">
        <f aca="false">IFERROR(D116*E116,0)</f>
        <v>863.456845237673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863.456845237673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35426.094356</v>
      </c>
      <c r="F117" s="21" t="n">
        <f aca="false">IFERROR(D117*E117,0)</f>
        <v>871.820503877584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871.820503877584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35426.094356</v>
      </c>
      <c r="F118" s="22" t="n">
        <f aca="false">IFERROR(D118*E118,0)</f>
        <v>25610.4318487351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25610.4318487351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28893.5277887408</v>
      </c>
      <c r="F127" s="21" t="n">
        <f aca="false">IFERROR(D127*E127,0)</f>
        <v>955.73762772301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955.73762772301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28893.5277887408</v>
      </c>
      <c r="F128" s="22" t="n">
        <f aca="false">IFERROR(D128*E128,0)</f>
        <v>1989.77307816716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1989.77307816716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28893.5277887408</v>
      </c>
      <c r="F129" s="21" t="n">
        <f aca="false">IFERROR(D129*E129,0)</f>
        <v>2141.47510968937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2141.47510968937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28893.5277887408</v>
      </c>
      <c r="F130" s="22" t="n">
        <f aca="false">IFERROR(D130*E130,0)</f>
        <v>549.271089695272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549.271089695272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28893.5277887408</v>
      </c>
      <c r="F131" s="21" t="n">
        <f aca="false">IFERROR(D131*E131,0)</f>
        <v>954.106423082986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954.106423082986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28893.5277887408</v>
      </c>
      <c r="F132" s="22" t="n">
        <f aca="false">IFERROR(D132*E132,0)</f>
        <v>704.235530497529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704.235530497529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28893.5277887408</v>
      </c>
      <c r="F133" s="21" t="n">
        <f aca="false">IFERROR(D133*E133,0)</f>
        <v>711.056931719447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711.056931719447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28893.5277887408</v>
      </c>
      <c r="F134" s="22" t="n">
        <f aca="false">IFERROR(D134*E134,0)</f>
        <v>20887.871998166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20887.871998166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63973.3607</v>
      </c>
      <c r="F151" s="21" t="n">
        <f aca="false">IFERROR(D151*E151,0)</f>
        <v>2116.10532434576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2116.10532434576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63973.3607</v>
      </c>
      <c r="F152" s="22" t="n">
        <f aca="false">IFERROR(D152*E152,0)</f>
        <v>4405.5704021833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4405.5704021833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63973.3607</v>
      </c>
      <c r="F153" s="21" t="n">
        <f aca="false">IFERROR(D153*E153,0)</f>
        <v>4741.45492457363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4741.45492457363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63973.3607</v>
      </c>
      <c r="F154" s="22" t="n">
        <f aca="false">IFERROR(D154*E154,0)</f>
        <v>1216.14493737419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1216.14493737419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63973.3607</v>
      </c>
      <c r="F155" s="21" t="n">
        <f aca="false">IFERROR(D155*E155,0)</f>
        <v>2112.49366281468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2112.49366281468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63973.3607</v>
      </c>
      <c r="F156" s="22" t="n">
        <f aca="false">IFERROR(D156*E156,0)</f>
        <v>1559.25278282669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1559.25278282669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63973.3607</v>
      </c>
      <c r="F157" s="21" t="n">
        <f aca="false">IFERROR(D157*E157,0)</f>
        <v>1574.35609468392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1574.35609468392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63973.3607</v>
      </c>
      <c r="F158" s="22" t="n">
        <f aca="false">IFERROR(D158*E158,0)</f>
        <v>46247.9825711978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46247.9825711978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44372.1304</v>
      </c>
      <c r="F183" s="21" t="n">
        <f aca="false">IFERROR(D183*E183,0)</f>
        <v>1467.73751393686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1467.73751393686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44372.1304</v>
      </c>
      <c r="F184" s="22" t="n">
        <f aca="false">IFERROR(D184*E184,0)</f>
        <v>3055.71791497359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3055.71791497359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44372.1304</v>
      </c>
      <c r="F185" s="21" t="n">
        <f aca="false">IFERROR(D185*E185,0)</f>
        <v>3288.68850872959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3288.68850872959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44372.1304</v>
      </c>
      <c r="F186" s="22" t="n">
        <f aca="false">IFERROR(D186*E186,0)</f>
        <v>843.522071624847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843.522071624847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44372.1304</v>
      </c>
      <c r="F187" s="21" t="n">
        <f aca="false">IFERROR(D187*E187,0)</f>
        <v>1465.23245378895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1465.23245378895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44372.1304</v>
      </c>
      <c r="F188" s="22" t="n">
        <f aca="false">IFERROR(D188*E188,0)</f>
        <v>1081.50278567667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1081.50278567667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44372.1304</v>
      </c>
      <c r="F189" s="21" t="n">
        <f aca="false">IFERROR(D189*E189,0)</f>
        <v>1091.97849174977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1091.97849174977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44372.1304</v>
      </c>
      <c r="F190" s="22" t="n">
        <f aca="false">IFERROR(D190*E190,0)</f>
        <v>32077.7506595197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32077.7506595197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76917.6512</v>
      </c>
      <c r="F191" s="21" t="n">
        <f aca="false">IFERROR(D191*E191,0)</f>
        <v>2544.27545246173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2544.27545246173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76917.6512</v>
      </c>
      <c r="F192" s="22" t="n">
        <f aca="false">IFERROR(D192*E192,0)</f>
        <v>5296.98805603281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5296.98805603281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76917.6512</v>
      </c>
      <c r="F193" s="21" t="n">
        <f aca="false">IFERROR(D193*E193,0)</f>
        <v>5700.83503630718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5700.83503630718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76917.6512</v>
      </c>
      <c r="F194" s="22" t="n">
        <f aca="false">IFERROR(D194*E194,0)</f>
        <v>1462.21819641866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1462.21819641866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76917.6512</v>
      </c>
      <c r="F195" s="21" t="n">
        <f aca="false">IFERROR(D195*E195,0)</f>
        <v>2539.93301181361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2539.93301181361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76917.6512</v>
      </c>
      <c r="F196" s="22" t="n">
        <f aca="false">IFERROR(D196*E196,0)</f>
        <v>1874.75005798925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1874.75005798925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76917.6512</v>
      </c>
      <c r="F197" s="21" t="n">
        <f aca="false">IFERROR(D197*E197,0)</f>
        <v>1892.90935524499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1892.90935524499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76917.6512</v>
      </c>
      <c r="F198" s="22" t="n">
        <f aca="false">IFERROR(D198*E198,0)</f>
        <v>55605.7420337318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55605.7420337318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143907.30844</v>
      </c>
      <c r="F223" s="21" t="n">
        <f aca="false">IFERROR(D223*E223,0)</f>
        <v>4760.15357439477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4760.15357439477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143907.30844</v>
      </c>
      <c r="F224" s="22" t="n">
        <f aca="false">IFERROR(D224*E224,0)</f>
        <v>9910.2778372737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9910.2778372737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143907.30844</v>
      </c>
      <c r="F225" s="21" t="n">
        <f aca="false">IFERROR(D225*E225,0)</f>
        <v>10665.8460462118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10665.8460462118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143907.30844</v>
      </c>
      <c r="F226" s="22" t="n">
        <f aca="false">IFERROR(D226*E226,0)</f>
        <v>2735.70346618436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2735.70346618436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143907.30844</v>
      </c>
      <c r="F227" s="21" t="n">
        <f aca="false">IFERROR(D227*E227,0)</f>
        <v>4752.02918505135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4752.02918505135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143907.30844</v>
      </c>
      <c r="F228" s="22" t="n">
        <f aca="false">IFERROR(D228*E228,0)</f>
        <v>3507.52045380927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3507.52045380927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143907.30844</v>
      </c>
      <c r="F229" s="21" t="n">
        <f aca="false">IFERROR(D229*E229,0)</f>
        <v>3541.49517288176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3541.49517288176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143907.30844</v>
      </c>
      <c r="F230" s="22" t="n">
        <f aca="false">IFERROR(D230*E230,0)</f>
        <v>104034.282704193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104034.282704193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22848.187644</v>
      </c>
      <c r="F247" s="21" t="n">
        <f aca="false">IFERROR(D247*E247,0)</f>
        <v>759.436436410256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759.436436410256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22848.187644</v>
      </c>
      <c r="F248" s="22" t="n">
        <f aca="false">IFERROR(D248*E248,0)</f>
        <v>759.436436410256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759.436436410256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22848.187644</v>
      </c>
      <c r="F249" s="21" t="n">
        <f aca="false">IFERROR(D249*E249,0)</f>
        <v>911.323723692308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911.323723692308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22848.187644</v>
      </c>
      <c r="F250" s="22" t="n">
        <f aca="false">IFERROR(D250*E250,0)</f>
        <v>238.680022871795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238.680022871795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22848.187644</v>
      </c>
      <c r="F251" s="21" t="n">
        <f aca="false">IFERROR(D251*E251,0)</f>
        <v>911.323723692308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911.323723692308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22848.187644</v>
      </c>
      <c r="F252" s="22" t="n">
        <f aca="false">IFERROR(D252*E252,0)</f>
        <v>390.567310153846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390.567310153846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22848.187644</v>
      </c>
      <c r="F253" s="21" t="n">
        <f aca="false">IFERROR(D253*E253,0)</f>
        <v>433.963677948718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433.963677948718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22848.187644</v>
      </c>
      <c r="F254" s="22" t="n">
        <f aca="false">IFERROR(D254*E254,0)</f>
        <v>18443.4563128205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18443.4563128205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38460.6359</v>
      </c>
      <c r="F255" s="21" t="n">
        <f aca="false">IFERROR(D255*E255,0)</f>
        <v>1278.36871462488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1278.36871462488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38460.6359</v>
      </c>
      <c r="F256" s="22" t="n">
        <f aca="false">IFERROR(D256*E256,0)</f>
        <v>1278.36871462488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1278.36871462488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38460.6359</v>
      </c>
      <c r="F257" s="21" t="n">
        <f aca="false">IFERROR(D257*E257,0)</f>
        <v>1534.04245754986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1534.04245754986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38460.6359</v>
      </c>
      <c r="F258" s="22" t="n">
        <f aca="false">IFERROR(D258*E258,0)</f>
        <v>401.773024596391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401.773024596391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38460.6359</v>
      </c>
      <c r="F259" s="21" t="n">
        <f aca="false">IFERROR(D259*E259,0)</f>
        <v>1534.04245754986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1534.04245754986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38460.6359</v>
      </c>
      <c r="F260" s="22" t="n">
        <f aca="false">IFERROR(D260*E260,0)</f>
        <v>657.446767521368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657.446767521368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38460.6359</v>
      </c>
      <c r="F261" s="21" t="n">
        <f aca="false">IFERROR(D261*E261,0)</f>
        <v>730.496408357075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730.496408357075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38460.6359</v>
      </c>
      <c r="F262" s="22" t="n">
        <f aca="false">IFERROR(D262*E262,0)</f>
        <v>31046.0973551757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31046.0973551757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20719.749555</v>
      </c>
      <c r="F263" s="21" t="n">
        <f aca="false">IFERROR(D263*E263,0)</f>
        <v>680.092340367016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680.092340367016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20719.749555</v>
      </c>
      <c r="F264" s="22" t="n">
        <f aca="false">IFERROR(D264*E264,0)</f>
        <v>1451.36903592337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1451.36903592337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20719.749555</v>
      </c>
      <c r="F265" s="21" t="n">
        <f aca="false">IFERROR(D265*E265,0)</f>
        <v>1551.97505251588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1551.97505251588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20719.749555</v>
      </c>
      <c r="F266" s="22" t="n">
        <f aca="false">IFERROR(D266*E266,0)</f>
        <v>395.276599098664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395.276599098664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20719.749555</v>
      </c>
      <c r="F267" s="21" t="n">
        <f aca="false">IFERROR(D267*E267,0)</f>
        <v>692.654555571247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692.654555571247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20719.749555</v>
      </c>
      <c r="F268" s="22" t="n">
        <f aca="false">IFERROR(D268*E268,0)</f>
        <v>512.235154448405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512.235154448405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20719.749555</v>
      </c>
      <c r="F269" s="21" t="n">
        <f aca="false">IFERROR(D269*E269,0)</f>
        <v>517.866492298578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517.866492298578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20719.749555</v>
      </c>
      <c r="F270" s="22" t="n">
        <f aca="false">IFERROR(D270*E270,0)</f>
        <v>14918.2803247768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14918.2803247768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56447.5492</v>
      </c>
      <c r="F351" s="21" t="n">
        <f aca="false">IFERROR(D351*E351,0)</f>
        <v>1852.79970404595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1852.79970404595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56447.5492</v>
      </c>
      <c r="F352" s="22" t="n">
        <f aca="false">IFERROR(D352*E352,0)</f>
        <v>3954.01618369807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3954.01618369807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56447.5492</v>
      </c>
      <c r="F353" s="21" t="n">
        <f aca="false">IFERROR(D353*E353,0)</f>
        <v>4228.10072590487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4228.10072590487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56447.5492</v>
      </c>
      <c r="F354" s="22" t="n">
        <f aca="false">IFERROR(D354*E354,0)</f>
        <v>1076.86607002671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1076.86607002671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56447.5492</v>
      </c>
      <c r="F355" s="21" t="n">
        <f aca="false">IFERROR(D355*E355,0)</f>
        <v>1887.0233928468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1887.0233928468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56447.5492</v>
      </c>
      <c r="F356" s="22" t="n">
        <f aca="false">IFERROR(D356*E356,0)</f>
        <v>1395.50041403461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1395.50041403461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56447.5492</v>
      </c>
      <c r="F357" s="21" t="n">
        <f aca="false">IFERROR(D357*E357,0)</f>
        <v>1410.84206763499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1410.84206763499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56447.5492</v>
      </c>
      <c r="F358" s="22" t="n">
        <f aca="false">IFERROR(D358*E358,0)</f>
        <v>40642.400641808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40642.400641808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76065.2762</v>
      </c>
      <c r="F439" s="21" t="n">
        <f aca="false">IFERROR(D439*E439,0)</f>
        <v>2487.04924589982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2487.04924589982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76065.2762</v>
      </c>
      <c r="F440" s="22" t="n">
        <f aca="false">IFERROR(D440*E440,0)</f>
        <v>5107.73775000372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5107.73775000372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76065.2762</v>
      </c>
      <c r="F441" s="21" t="n">
        <f aca="false">IFERROR(D441*E441,0)</f>
        <v>5545.27419141202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5545.27419141202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76065.2762</v>
      </c>
      <c r="F442" s="22" t="n">
        <f aca="false">IFERROR(D442*E442,0)</f>
        <v>1421.33278852653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1421.33278852653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76065.2762</v>
      </c>
      <c r="F443" s="21" t="n">
        <f aca="false">IFERROR(D443*E443,0)</f>
        <v>2479.49900532331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2479.49900532331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76065.2762</v>
      </c>
      <c r="F444" s="22" t="n">
        <f aca="false">IFERROR(D444*E444,0)</f>
        <v>1813.94529850465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1813.94529850465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76065.2762</v>
      </c>
      <c r="F445" s="21" t="n">
        <f aca="false">IFERROR(D445*E445,0)</f>
        <v>1814.32281053347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1814.32281053347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76065.2762</v>
      </c>
      <c r="F446" s="22" t="n">
        <f aca="false">IFERROR(D446*E446,0)</f>
        <v>55396.1151097965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55396.1151097965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31850.405852</v>
      </c>
      <c r="F447" s="21" t="n">
        <f aca="false">IFERROR(D447*E447,0)</f>
        <v>993.49889813578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993.49889813578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31850.405852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31850.405852</v>
      </c>
      <c r="F449" s="21" t="n">
        <f aca="false">IFERROR(D449*E449,0)</f>
        <v>1373.36612389358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1373.36612389358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31850.405852</v>
      </c>
      <c r="F450" s="22" t="n">
        <f aca="false">IFERROR(D450*E450,0)</f>
        <v>321.426114102752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321.426114102752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31850.405852</v>
      </c>
      <c r="F451" s="21" t="n">
        <f aca="false">IFERROR(D451*E451,0)</f>
        <v>1461.02779137615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1461.02779137615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31850.405852</v>
      </c>
      <c r="F452" s="22" t="n">
        <f aca="false">IFERROR(D452*E452,0)</f>
        <v>525.970004895413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525.970004895413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31850.405852</v>
      </c>
      <c r="F453" s="21" t="n">
        <f aca="false">IFERROR(D453*E453,0)</f>
        <v>701.293339860551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701.293339860551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31850.405852</v>
      </c>
      <c r="F454" s="22" t="n">
        <f aca="false">IFERROR(D454*E454,0)</f>
        <v>26473.8235797358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26473.8235797358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45618.7608</v>
      </c>
      <c r="F455" s="21" t="n">
        <f aca="false">IFERROR(D455*E455,0)</f>
        <v>1422.97052036697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1422.97052036697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45618.7608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45618.7608</v>
      </c>
      <c r="F457" s="21" t="n">
        <f aca="false">IFERROR(D457*E457,0)</f>
        <v>1967.0474840367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1967.0474840367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45618.7608</v>
      </c>
      <c r="F458" s="22" t="n">
        <f aca="false">IFERROR(D458*E458,0)</f>
        <v>460.372815412844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460.372815412844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45618.7608</v>
      </c>
      <c r="F459" s="21" t="n">
        <f aca="false">IFERROR(D459*E459,0)</f>
        <v>2092.60370642202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2092.60370642202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45618.7608</v>
      </c>
      <c r="F460" s="22" t="n">
        <f aca="false">IFERROR(D460*E460,0)</f>
        <v>753.337334311927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753.337334311927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45618.7608</v>
      </c>
      <c r="F461" s="21" t="n">
        <f aca="false">IFERROR(D461*E461,0)</f>
        <v>1004.44977908257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1004.44977908257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45618.7608</v>
      </c>
      <c r="F462" s="22" t="n">
        <f aca="false">IFERROR(D462*E462,0)</f>
        <v>37917.979160367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37917.979160367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28191.295652</v>
      </c>
      <c r="F463" s="21" t="n">
        <f aca="false">IFERROR(D463*E463,0)</f>
        <v>921.74963524612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921.74963524612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28191.295652</v>
      </c>
      <c r="F464" s="22" t="n">
        <f aca="false">IFERROR(D464*E464,0)</f>
        <v>1893.02862247723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1893.02862247723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28191.295652</v>
      </c>
      <c r="F465" s="21" t="n">
        <f aca="false">IFERROR(D465*E465,0)</f>
        <v>2055.18828052979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2055.18828052979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28191.295652</v>
      </c>
      <c r="F466" s="22" t="n">
        <f aca="false">IFERROR(D466*E466,0)</f>
        <v>526.774040179363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526.774040179363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28191.295652</v>
      </c>
      <c r="F467" s="21" t="n">
        <f aca="false">IFERROR(D467*E467,0)</f>
        <v>918.951366772392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918.951366772392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28191.295652</v>
      </c>
      <c r="F468" s="22" t="n">
        <f aca="false">IFERROR(D468*E468,0)</f>
        <v>672.284000813237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672.284000813237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28191.295652</v>
      </c>
      <c r="F469" s="21" t="n">
        <f aca="false">IFERROR(D469*E469,0)</f>
        <v>672.423914236924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672.423914236924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28191.295652</v>
      </c>
      <c r="F470" s="22" t="n">
        <f aca="false">IFERROR(D470*E470,0)</f>
        <v>20530.8957917449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20530.8957917449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74930.4181</v>
      </c>
      <c r="F479" s="21" t="n">
        <f aca="false">IFERROR(D479*E479,0)</f>
        <v>2449.9436423602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2449.9436423602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74930.4181</v>
      </c>
      <c r="F480" s="22" t="n">
        <f aca="false">IFERROR(D480*E480,0)</f>
        <v>5031.53270812592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5031.53270812592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74930.4181</v>
      </c>
      <c r="F481" s="21" t="n">
        <f aca="false">IFERROR(D481*E481,0)</f>
        <v>5462.54131187448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5462.54131187448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74930.4181</v>
      </c>
      <c r="F482" s="22" t="n">
        <f aca="false">IFERROR(D482*E482,0)</f>
        <v>1400.12717266032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1400.12717266032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74930.4181</v>
      </c>
      <c r="F483" s="21" t="n">
        <f aca="false">IFERROR(D483*E483,0)</f>
        <v>2442.50604781752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2442.50604781752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74930.4181</v>
      </c>
      <c r="F484" s="22" t="n">
        <f aca="false">IFERROR(D484*E484,0)</f>
        <v>1786.8820888799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1786.8820888799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74930.4181</v>
      </c>
      <c r="F485" s="21" t="n">
        <f aca="false">IFERROR(D485*E485,0)</f>
        <v>1787.25396860703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1787.25396860703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74930.4181</v>
      </c>
      <c r="F486" s="22" t="n">
        <f aca="false">IFERROR(D486*E486,0)</f>
        <v>54569.6311596746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54569.6311596746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34286.73816</v>
      </c>
      <c r="F511" s="21" t="n">
        <f aca="false">IFERROR(D511*E511,0)</f>
        <v>1121.04774405844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1121.04774405844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34286.73816</v>
      </c>
      <c r="F512" s="22" t="n">
        <f aca="false">IFERROR(D512*E512,0)</f>
        <v>2302.33393702349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2302.33393702349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34286.73816</v>
      </c>
      <c r="F513" s="21" t="n">
        <f aca="false">IFERROR(D513*E513,0)</f>
        <v>2499.55529940414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2499.55529940414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34286.73816</v>
      </c>
      <c r="F514" s="22" t="n">
        <f aca="false">IFERROR(D514*E514,0)</f>
        <v>640.671638794785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640.671638794785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34286.73816</v>
      </c>
      <c r="F515" s="21" t="n">
        <f aca="false">IFERROR(D515*E515,0)</f>
        <v>1117.64444186033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1117.64444186033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34286.73816</v>
      </c>
      <c r="F516" s="22" t="n">
        <f aca="false">IFERROR(D516*E516,0)</f>
        <v>817.643353096664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817.643353096664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34286.73816</v>
      </c>
      <c r="F517" s="21" t="n">
        <f aca="false">IFERROR(D517*E517,0)</f>
        <v>817.81351820657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817.81351820657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34286.73816</v>
      </c>
      <c r="F518" s="22" t="n">
        <f aca="false">IFERROR(D518*E518,0)</f>
        <v>24970.0282275556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24970.0282275556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20171.717592</v>
      </c>
      <c r="F519" s="21" t="n">
        <f aca="false">IFERROR(D519*E519,0)</f>
        <v>659.539510430223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659.539510430223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20171.717592</v>
      </c>
      <c r="F520" s="22" t="n">
        <f aca="false">IFERROR(D520*E520,0)</f>
        <v>1354.5187577597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1354.5187577597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20171.717592</v>
      </c>
      <c r="F521" s="21" t="n">
        <f aca="false">IFERROR(D521*E521,0)</f>
        <v>1470.54885681687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1470.54885681687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20171.717592</v>
      </c>
      <c r="F522" s="22" t="n">
        <f aca="false">IFERROR(D522*E522,0)</f>
        <v>376.922625496325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376.922625496325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20171.717592</v>
      </c>
      <c r="F523" s="21" t="n">
        <f aca="false">IFERROR(D523*E523,0)</f>
        <v>657.537265407666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657.537265407666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20171.717592</v>
      </c>
      <c r="F524" s="22" t="n">
        <f aca="false">IFERROR(D524*E524,0)</f>
        <v>481.039366669281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481.039366669281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20171.717592</v>
      </c>
      <c r="F525" s="21" t="n">
        <f aca="false">IFERROR(D525*E525,0)</f>
        <v>481.139478920408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481.139478920408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20171.717592</v>
      </c>
      <c r="F526" s="22" t="n">
        <f aca="false">IFERROR(D526*E526,0)</f>
        <v>14690.4717304995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14690.4717304995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27994.5286617778</v>
      </c>
      <c r="F527" s="21" t="n">
        <f aca="false">IFERROR(D527*E527,0)</f>
        <v>915.316092648268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915.316092648268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27994.5286617778</v>
      </c>
      <c r="F528" s="22" t="n">
        <f aca="false">IFERROR(D528*E528,0)</f>
        <v>1879.81583690514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1879.81583690514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27994.5286617778</v>
      </c>
      <c r="F529" s="21" t="n">
        <f aca="false">IFERROR(D529*E529,0)</f>
        <v>2040.84366801919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2040.84366801919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27994.5286617778</v>
      </c>
      <c r="F530" s="22" t="n">
        <f aca="false">IFERROR(D530*E530,0)</f>
        <v>523.097311599989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523.097311599989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27994.5286617778</v>
      </c>
      <c r="F531" s="21" t="n">
        <f aca="false">IFERROR(D531*E531,0)</f>
        <v>912.537355269251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912.537355269251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27994.5286617778</v>
      </c>
      <c r="F532" s="22" t="n">
        <f aca="false">IFERROR(D532*E532,0)</f>
        <v>667.591655308884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667.591655308884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27994.5286617778</v>
      </c>
      <c r="F533" s="21" t="n">
        <f aca="false">IFERROR(D533*E533,0)</f>
        <v>667.730592177835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667.730592177835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27994.5286617778</v>
      </c>
      <c r="F534" s="22" t="n">
        <f aca="false">IFERROR(D534*E534,0)</f>
        <v>20387.5961498492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20387.5961498492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85756.759</v>
      </c>
      <c r="F551" s="21" t="n">
        <f aca="false">IFERROR(D551*E551,0)</f>
        <v>2803.92438516857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2803.92438516857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85756.759</v>
      </c>
      <c r="F552" s="22" t="n">
        <f aca="false">IFERROR(D552*E552,0)</f>
        <v>5758.51501689902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5758.51501689902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85756.759</v>
      </c>
      <c r="F553" s="21" t="n">
        <f aca="false">IFERROR(D553*E553,0)</f>
        <v>6251.79801058608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6251.79801058608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85756.759</v>
      </c>
      <c r="F554" s="22" t="n">
        <f aca="false">IFERROR(D554*E554,0)</f>
        <v>1602.42491046747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1602.42491046747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85756.759</v>
      </c>
      <c r="F555" s="21" t="n">
        <f aca="false">IFERROR(D555*E555,0)</f>
        <v>2795.41216784869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2795.41216784869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85756.759</v>
      </c>
      <c r="F556" s="22" t="n">
        <f aca="false">IFERROR(D556*E556,0)</f>
        <v>2045.06021110124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2045.06021110124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85756.759</v>
      </c>
      <c r="F557" s="21" t="n">
        <f aca="false">IFERROR(D557*E557,0)</f>
        <v>2045.48582196723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2045.48582196723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85756.759</v>
      </c>
      <c r="F558" s="22" t="n">
        <f aca="false">IFERROR(D558*E558,0)</f>
        <v>62454.1384759617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62454.1384759617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120265.34</v>
      </c>
      <c r="F567" s="21" t="n">
        <f aca="false">IFERROR(D567*E567,0)</f>
        <v>3932.22555806463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3932.22555806463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120265.34</v>
      </c>
      <c r="F568" s="22" t="n">
        <f aca="false">IFERROR(D568*E568,0)</f>
        <v>8075.74556779211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8075.74556779211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120265.34</v>
      </c>
      <c r="F569" s="21" t="n">
        <f aca="false">IFERROR(D569*E569,0)</f>
        <v>8767.52599004422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8767.52599004422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120265.34</v>
      </c>
      <c r="F570" s="22" t="n">
        <f aca="false">IFERROR(D570*E570,0)</f>
        <v>2247.24183760069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2247.24183760069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120265.34</v>
      </c>
      <c r="F571" s="21" t="n">
        <f aca="false">IFERROR(D571*E571,0)</f>
        <v>3920.28801842266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3920.28801842266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120265.34</v>
      </c>
      <c r="F572" s="22" t="n">
        <f aca="false">IFERROR(D572*E572,0)</f>
        <v>2867.99389898308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2867.99389898308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120265.34</v>
      </c>
      <c r="F573" s="21" t="n">
        <f aca="false">IFERROR(D573*E573,0)</f>
        <v>2868.59077596518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2868.59077596518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120265.34</v>
      </c>
      <c r="F574" s="22" t="n">
        <f aca="false">IFERROR(D574*E574,0)</f>
        <v>87585.7283531274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87585.7283531274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627085.5364</v>
      </c>
      <c r="F591" s="21" t="n">
        <f aca="false">IFERROR(D591*E591,0)</f>
        <v>20503.3451310639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20503.3451310639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627085.5364</v>
      </c>
      <c r="F592" s="22" t="n">
        <f aca="false">IFERROR(D592*E592,0)</f>
        <v>42108.4182791887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42108.4182791887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627085.5364</v>
      </c>
      <c r="F593" s="21" t="n">
        <f aca="false">IFERROR(D593*E593,0)</f>
        <v>45715.4882559499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45715.4882559499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627085.5364</v>
      </c>
      <c r="F594" s="22" t="n">
        <f aca="false">IFERROR(D594*E594,0)</f>
        <v>11717.5310289095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11717.5310289095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627085.5364</v>
      </c>
      <c r="F595" s="21" t="n">
        <f aca="false">IFERROR(D595*E595,0)</f>
        <v>20441.100610326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20441.100610326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627085.5364</v>
      </c>
      <c r="F596" s="22" t="n">
        <f aca="false">IFERROR(D596*E596,0)</f>
        <v>14954.2461072802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14954.2461072802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627085.5364</v>
      </c>
      <c r="F597" s="21" t="n">
        <f aca="false">IFERROR(D597*E597,0)</f>
        <v>14957.3583333171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14957.3583333171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627085.5364</v>
      </c>
      <c r="F598" s="22" t="n">
        <f aca="false">IFERROR(D598*E598,0)</f>
        <v>456688.048653965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456688.048653965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125810.553912</v>
      </c>
      <c r="F623" s="21" t="n">
        <f aca="false">IFERROR(D623*E623,0)</f>
        <v>4113.53325544196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4113.53325544196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125810.553912</v>
      </c>
      <c r="F624" s="22" t="n">
        <f aca="false">IFERROR(D624*E624,0)</f>
        <v>8448.10336158618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8448.10336158618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125810.553912</v>
      </c>
      <c r="F625" s="21" t="n">
        <f aca="false">IFERROR(D625*E625,0)</f>
        <v>9171.78050837689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9171.78050837689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125810.553912</v>
      </c>
      <c r="F626" s="22" t="n">
        <f aca="false">IFERROR(D626*E626,0)</f>
        <v>2350.85803077398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2350.85803077398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125810.553912</v>
      </c>
      <c r="F627" s="21" t="n">
        <f aca="false">IFERROR(D627*E627,0)</f>
        <v>4101.04529777517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4101.04529777517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125810.553912</v>
      </c>
      <c r="F628" s="22" t="n">
        <f aca="false">IFERROR(D628*E628,0)</f>
        <v>3000.23182944727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3000.23182944727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125810.553912</v>
      </c>
      <c r="F629" s="21" t="n">
        <f aca="false">IFERROR(D629*E629,0)</f>
        <v>3000.85622733061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3000.85622733061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125810.553912</v>
      </c>
      <c r="F630" s="22" t="n">
        <f aca="false">IFERROR(D630*E630,0)</f>
        <v>91624.145401268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91624.145401268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83174.8484</v>
      </c>
      <c r="F660" s="1" t="n">
        <v>0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83174.8484</v>
      </c>
      <c r="F661" s="1" t="n">
        <v>0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83174.8484</v>
      </c>
      <c r="F662" s="1" t="n">
        <v>7542.682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83174.8484</v>
      </c>
      <c r="F663" s="1" t="n">
        <v>1921.0655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83174.8484</v>
      </c>
      <c r="F664" s="1" t="n">
        <v>3366.3383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83174.8484</v>
      </c>
      <c r="F665" s="1" t="n">
        <v>0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83174.8484</v>
      </c>
      <c r="F666" s="1" t="n">
        <v>2516.8589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83174.8484</v>
      </c>
      <c r="F667" s="1" t="n">
        <f aca="false">IFERROR(D667*E667,0)</f>
        <v>59886.134294639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94756.2315</v>
      </c>
      <c r="F668" s="1" t="n">
        <v>0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94756.2315</v>
      </c>
      <c r="F669" s="1" t="n">
        <v>0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94756.2315</v>
      </c>
      <c r="F670" s="1" t="n">
        <v>8141.6567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94756.2315</v>
      </c>
      <c r="F671" s="1" t="n">
        <v>2088.2693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94756.2315</v>
      </c>
      <c r="F672" s="1" t="n">
        <v>3627.4094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94756.2315</v>
      </c>
      <c r="F673" s="1" t="n">
        <v>0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94756.2315</v>
      </c>
      <c r="F674" s="1" t="n">
        <v>2703.3615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94756.2315</v>
      </c>
      <c r="F675" s="1" t="n">
        <f aca="false">IFERROR(D675*E675,0)</f>
        <v>68501.7090703567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78661.7006</v>
      </c>
      <c r="F676" s="1" t="n">
        <v>0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78661.7006</v>
      </c>
      <c r="F677" s="1" t="n">
        <v>0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78661.7006</v>
      </c>
      <c r="F678" s="1" t="n">
        <v>6316.27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78661.7006</v>
      </c>
      <c r="F679" s="1" t="n">
        <v>1618.95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78661.7006</v>
      </c>
      <c r="F680" s="1" t="n">
        <v>0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78661.7006</v>
      </c>
      <c r="F681" s="1" t="n">
        <v>0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78661.7006</v>
      </c>
      <c r="F682" s="1" t="n">
        <v>2066.58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78661.7006</v>
      </c>
      <c r="F683" s="1" t="n">
        <f aca="false">IFERROR(D683*E683,0)</f>
        <v>57287.0150331479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23028.1392</v>
      </c>
      <c r="F684" s="1" t="n">
        <f aca="false">IFERROR(D684*E684,0)</f>
        <v>765.417732193732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765.417732193732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23028.1392</v>
      </c>
      <c r="F685" s="1" t="n">
        <f aca="false">IFERROR(D685*E685,0)</f>
        <v>765.417732193732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765.417732193732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23028.1392</v>
      </c>
      <c r="F686" s="1" t="n">
        <f aca="false">IFERROR(D686*E686,0)</f>
        <v>918.501278632479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918.501278632479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23028.1392</v>
      </c>
      <c r="F687" s="1" t="n">
        <f aca="false">IFERROR(D687*E687,0)</f>
        <v>240.559858689459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240.559858689459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23028.1392</v>
      </c>
      <c r="F688" s="1" t="n">
        <f aca="false">IFERROR(D688*E688,0)</f>
        <v>918.501278632479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918.501278632479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23028.1392</v>
      </c>
      <c r="F689" s="1" t="n">
        <f aca="false">IFERROR(D689*E689,0)</f>
        <v>393.643405128205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393.643405128205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23028.1392</v>
      </c>
      <c r="F690" s="1" t="n">
        <f aca="false">IFERROR(D690*E690,0)</f>
        <v>437.381561253561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437.381561253561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23028.1392</v>
      </c>
      <c r="F691" s="1" t="n">
        <f aca="false">IFERROR(D691*E691,0)</f>
        <v>18588.7163532764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18588.7163532764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33312.8607</v>
      </c>
      <c r="F692" s="1" t="n">
        <f aca="false">IFERROR(D692*E692,0)</f>
        <v>1079.73047073403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1079.73047073403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33312.8607</v>
      </c>
      <c r="F693" s="1" t="n">
        <f aca="false">IFERROR(D693*E693,0)</f>
        <v>1016.21691363203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1016.21691363203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33312.8607</v>
      </c>
      <c r="F694" s="1" t="n">
        <f aca="false">IFERROR(D694*E694,0)</f>
        <v>1333.78469914204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1333.78469914204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33312.8607</v>
      </c>
      <c r="F695" s="1" t="n">
        <f aca="false">IFERROR(D695*E695,0)</f>
        <v>349.32456406101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349.32456406101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33312.8607</v>
      </c>
      <c r="F696" s="1" t="n">
        <f aca="false">IFERROR(D696*E696,0)</f>
        <v>1333.78469914204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1333.78469914204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33312.8607</v>
      </c>
      <c r="F697" s="1" t="n">
        <f aca="false">IFERROR(D697*E697,0)</f>
        <v>571.622013918017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571.622013918017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33312.8607</v>
      </c>
      <c r="F698" s="1" t="n">
        <f aca="false">IFERROR(D698*E698,0)</f>
        <v>539.865235367016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539.865235367016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33312.8607</v>
      </c>
      <c r="F699" s="1" t="n">
        <f aca="false">IFERROR(D699*E699,0)</f>
        <v>27088.5321040038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27088.5321040038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23131.4345</v>
      </c>
      <c r="F700" s="1" t="n">
        <f aca="false">IFERROR(D700*E700,0)</f>
        <v>721.53098440367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721.53098440367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23131.4345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23131.4345</v>
      </c>
      <c r="F702" s="1" t="n">
        <f aca="false">IFERROR(D702*E702,0)</f>
        <v>997.410478440367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997.410478440367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23131.4345</v>
      </c>
      <c r="F703" s="1" t="n">
        <f aca="false">IFERROR(D703*E703,0)</f>
        <v>233.436494954128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233.436494954128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23131.4345</v>
      </c>
      <c r="F704" s="1" t="n">
        <f aca="false">IFERROR(D704*E704,0)</f>
        <v>1061.07497706422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1061.07497706422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23131.4345</v>
      </c>
      <c r="F705" s="1" t="n">
        <f aca="false">IFERROR(D705*E705,0)</f>
        <v>381.986991743119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381.986991743119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23131.4345</v>
      </c>
      <c r="F706" s="1" t="n">
        <f aca="false">IFERROR(D706*E706,0)</f>
        <v>509.315988990826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509.315988990826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23131.4345</v>
      </c>
      <c r="F707" s="1" t="n">
        <f aca="false">IFERROR(D707*E707,0)</f>
        <v>19226.6785844037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19226.6785844037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29568.365733</v>
      </c>
      <c r="F708" s="1" t="n">
        <f aca="false">IFERROR(D708*E708,0)</f>
        <v>970.533885981801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29568.365733</v>
      </c>
      <c r="F709" s="1" t="n">
        <f aca="false">IFERROR(D709*E709,0)</f>
        <v>2071.19349361912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29568.365733</v>
      </c>
      <c r="F710" s="1" t="n">
        <f aca="false">IFERROR(D710*E710,0)</f>
        <v>2214.76450955497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29568.365733</v>
      </c>
      <c r="F711" s="1" t="n">
        <f aca="false">IFERROR(D711*E711,0)</f>
        <v>564.084185323818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29568.365733</v>
      </c>
      <c r="F712" s="1" t="n">
        <f aca="false">IFERROR(D712*E712,0)</f>
        <v>988.460945022229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29568.365733</v>
      </c>
      <c r="F713" s="1" t="n">
        <f aca="false">IFERROR(D713*E713,0)</f>
        <v>730.9912867347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29568.365733</v>
      </c>
      <c r="F714" s="1" t="n">
        <f aca="false">IFERROR(D714*E714,0)</f>
        <v>739.02755458041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29568.365733</v>
      </c>
      <c r="F715" s="1" t="n">
        <f aca="false">IFERROR(D715*E715,0)</f>
        <v>21289.309872183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29497.635592</v>
      </c>
      <c r="F716" s="1" t="n">
        <f aca="false">IFERROR(D716*E716,0)</f>
        <v>975.720253693692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975.720253693692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29497.635592</v>
      </c>
      <c r="F717" s="1" t="n">
        <f aca="false">IFERROR(D717*E717,0)</f>
        <v>2031.37538620046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2031.37538620046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29497.635592</v>
      </c>
      <c r="F718" s="1" t="n">
        <f aca="false">IFERROR(D718*E718,0)</f>
        <v>2186.24921390079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2186.24921390079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29497.635592</v>
      </c>
      <c r="F719" s="1" t="n">
        <f aca="false">IFERROR(D719*E719,0)</f>
        <v>560.755286218997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560.755286218997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29497.635592</v>
      </c>
      <c r="F720" s="1" t="n">
        <f aca="false">IFERROR(D720*E720,0)</f>
        <v>974.05494371842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974.05494371842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29497.635592</v>
      </c>
      <c r="F721" s="1" t="n">
        <f aca="false">IFERROR(D721*E721,0)</f>
        <v>718.959733869875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718.959733869875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29497.635592</v>
      </c>
      <c r="F722" s="1" t="n">
        <f aca="false">IFERROR(D722*E722,0)</f>
        <v>725.923757402832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725.923757402832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29497.635592</v>
      </c>
      <c r="F723" s="1" t="n">
        <f aca="false">IFERROR(D723*E723,0)</f>
        <v>21324.5970169949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21324.5970169949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29387.792976</v>
      </c>
      <c r="F724" s="1" t="n">
        <f aca="false">IFERROR(D724*E724,0)</f>
        <v>960.870610230174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960.870610230174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29387.792976</v>
      </c>
      <c r="F725" s="1" t="n">
        <f aca="false">IFERROR(D725*E725,0)</f>
        <v>1973.37270133793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1973.37270133793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29387.792976</v>
      </c>
      <c r="F726" s="1" t="n">
        <f aca="false">IFERROR(D726*E726,0)</f>
        <v>2142.41475313768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2142.41475313768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29387.792976</v>
      </c>
      <c r="F727" s="1" t="n">
        <f aca="false">IFERROR(D727*E727,0)</f>
        <v>549.131427977627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549.131427977627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29387.792976</v>
      </c>
      <c r="F728" s="1" t="n">
        <f aca="false">IFERROR(D728*E728,0)</f>
        <v>957.953577412232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957.953577412232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29387.792976</v>
      </c>
      <c r="F729" s="1" t="n">
        <f aca="false">IFERROR(D729*E729,0)</f>
        <v>700.817134510623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700.817134510623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29387.792976</v>
      </c>
      <c r="F730" s="1" t="n">
        <f aca="false">IFERROR(D730*E730,0)</f>
        <v>700.962986151521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700.962986151521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29387.792976</v>
      </c>
      <c r="F731" s="1" t="n">
        <f aca="false">IFERROR(D731*E731,0)</f>
        <v>21402.2697852422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21402.2697852422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9882.542222</v>
      </c>
      <c r="F732" s="1" t="n">
        <f aca="false">IFERROR(D732*E732,0)</f>
        <v>324.378499397158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9882.542222</v>
      </c>
      <c r="F733" s="1" t="n">
        <f aca="false">IFERROR(D733*E733,0)</f>
        <v>692.248510974635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9882.542222</v>
      </c>
      <c r="F734" s="1" t="n">
        <f aca="false">IFERROR(D734*E734,0)</f>
        <v>740.233801729406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9882.542222</v>
      </c>
      <c r="F735" s="1" t="n">
        <f aca="false">IFERROR(D735*E735,0)</f>
        <v>188.532089617775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9882.542222</v>
      </c>
      <c r="F736" s="1" t="n">
        <f aca="false">IFERROR(D736*E736,0)</f>
        <v>330.370204163092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9882.542222</v>
      </c>
      <c r="F737" s="1" t="n">
        <f aca="false">IFERROR(D737*E737,0)</f>
        <v>244.316927093719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9882.542222</v>
      </c>
      <c r="F738" s="1" t="n">
        <f aca="false">IFERROR(D738*E738,0)</f>
        <v>247.002863712931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9882.542222</v>
      </c>
      <c r="F739" s="1" t="n">
        <f aca="false">IFERROR(D739*E739,0)</f>
        <v>7115.45932531128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13630.672728</v>
      </c>
      <c r="F740" s="1" t="n">
        <f aca="false">IFERROR(D740*E740,0)</f>
        <v>450.874220433682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450.874220433682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13630.672728</v>
      </c>
      <c r="F741" s="1" t="n">
        <f aca="false">IFERROR(D741*E741,0)</f>
        <v>938.685847909876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938.685847909876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13630.672728</v>
      </c>
      <c r="F742" s="1" t="n">
        <f aca="false">IFERROR(D742*E742,0)</f>
        <v>1010.25207405474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1010.25207405474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13630.672728</v>
      </c>
      <c r="F743" s="1" t="n">
        <f aca="false">IFERROR(D743*E743,0)</f>
        <v>259.12150698004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259.12150698004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13630.672728</v>
      </c>
      <c r="F744" s="1" t="n">
        <f aca="false">IFERROR(D744*E744,0)</f>
        <v>450.104691120297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450.104691120297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13630.672728</v>
      </c>
      <c r="F745" s="1" t="n">
        <f aca="false">IFERROR(D745*E745,0)</f>
        <v>332.226791751677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332.226791751677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13630.672728</v>
      </c>
      <c r="F746" s="1" t="n">
        <f aca="false">IFERROR(D746*E746,0)</f>
        <v>335.444823425835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335.444823425835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13630.672728</v>
      </c>
      <c r="F747" s="1" t="n">
        <f aca="false">IFERROR(D747*E747,0)</f>
        <v>9853.96277232385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9853.96277232385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14544.011176</v>
      </c>
      <c r="F748" s="1" t="n">
        <f aca="false">IFERROR(D748*E748,0)</f>
        <v>475.534617563504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475.534617563504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14544.011176</v>
      </c>
      <c r="F749" s="1" t="n">
        <f aca="false">IFERROR(D749*E749,0)</f>
        <v>976.621641717397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976.621641717397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14544.011176</v>
      </c>
      <c r="F750" s="1" t="n">
        <f aca="false">IFERROR(D750*E750,0)</f>
        <v>1060.28050962209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1060.28050962209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14544.011176</v>
      </c>
      <c r="F751" s="1" t="n">
        <f aca="false">IFERROR(D751*E751,0)</f>
        <v>271.765002296083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271.765002296083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14544.011176</v>
      </c>
      <c r="F752" s="1" t="n">
        <f aca="false">IFERROR(D752*E752,0)</f>
        <v>474.090978773087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474.090978773087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14544.011176</v>
      </c>
      <c r="F753" s="1" t="n">
        <f aca="false">IFERROR(D753*E753,0)</f>
        <v>346.834219397789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346.834219397789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14544.011176</v>
      </c>
      <c r="F754" s="1" t="n">
        <f aca="false">IFERROR(D754*E754,0)</f>
        <v>346.90640133731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346.90640133731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14544.011176</v>
      </c>
      <c r="F755" s="1" t="n">
        <f aca="false">IFERROR(D755*E755,0)</f>
        <v>10591.9778052927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10591.9778052927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61122.0895</v>
      </c>
      <c r="F828" s="1" t="n">
        <f aca="false">IFERROR(D828*E828,0)</f>
        <v>2006.23394533965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61122.0895</v>
      </c>
      <c r="F829" s="1" t="n">
        <f aca="false">IFERROR(D829*E829,0)</f>
        <v>4281.45658207676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61122.0895</v>
      </c>
      <c r="F830" s="1" t="n">
        <f aca="false">IFERROR(D830*E830,0)</f>
        <v>4578.23864182525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61122.0895</v>
      </c>
      <c r="F831" s="1" t="n">
        <f aca="false">IFERROR(D831*E831,0)</f>
        <v>1166.04361472767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61122.0895</v>
      </c>
      <c r="F832" s="1" t="n">
        <f aca="false">IFERROR(D832*E832,0)</f>
        <v>2043.29176980771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61122.0895</v>
      </c>
      <c r="F833" s="1" t="n">
        <f aca="false">IFERROR(D833*E833,0)</f>
        <v>1511.06473908544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61122.0895</v>
      </c>
      <c r="F834" s="1" t="n">
        <f aca="false">IFERROR(D834*E834,0)</f>
        <v>1527.67686729526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61122.0895</v>
      </c>
      <c r="F835" s="1" t="n">
        <f aca="false">IFERROR(D835*E835,0)</f>
        <v>44008.0833398423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57773.427</v>
      </c>
      <c r="F836" s="1" t="n">
        <f aca="false">IFERROR(D836*E836,0)</f>
        <v>1911.02445053197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1911.02445053197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57773.427</v>
      </c>
      <c r="F837" s="1" t="n">
        <f aca="false">IFERROR(D837*E837,0)</f>
        <v>3978.60761477703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3978.60761477703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57773.427</v>
      </c>
      <c r="F838" s="1" t="n">
        <f aca="false">IFERROR(D838*E838,0)</f>
        <v>4281.94012259614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4281.94012259614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57773.427</v>
      </c>
      <c r="F839" s="1" t="n">
        <f aca="false">IFERROR(D839*E839,0)</f>
        <v>1098.28309771457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1098.28309771457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57773.427</v>
      </c>
      <c r="F840" s="1" t="n">
        <f aca="false">IFERROR(D840*E840,0)</f>
        <v>1907.76281066294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1907.76281066294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57773.427</v>
      </c>
      <c r="F841" s="1" t="n">
        <f aca="false">IFERROR(D841*E841,0)</f>
        <v>1408.13888527173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1408.13888527173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57773.427</v>
      </c>
      <c r="F842" s="1" t="n">
        <f aca="false">IFERROR(D842*E842,0)</f>
        <v>1421.77847017855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1421.77847017855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57773.427</v>
      </c>
      <c r="F843" s="1" t="n">
        <f aca="false">IFERROR(D843*E843,0)</f>
        <v>41765.8915482671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41765.8915482671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61316.767</v>
      </c>
      <c r="F844" s="1" t="n">
        <f aca="false">IFERROR(D844*E844,0)</f>
        <v>2004.82830992948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2004.82830992948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61316.767</v>
      </c>
      <c r="F845" s="1" t="n">
        <f aca="false">IFERROR(D845*E845,0)</f>
        <v>4117.38418842529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4117.38418842529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61316.767</v>
      </c>
      <c r="F846" s="1" t="n">
        <f aca="false">IFERROR(D846*E846,0)</f>
        <v>4470.08546517214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4470.08546517214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61316.767</v>
      </c>
      <c r="F847" s="1" t="n">
        <f aca="false">IFERROR(D847*E847,0)</f>
        <v>1145.74659788775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1145.74659788775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61316.767</v>
      </c>
      <c r="F848" s="1" t="n">
        <f aca="false">IFERROR(D848*E848,0)</f>
        <v>1998.74200662064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1998.74200662064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61316.767</v>
      </c>
      <c r="F849" s="1" t="n">
        <f aca="false">IFERROR(D849*E849,0)</f>
        <v>1462.23436994704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1462.23436994704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61316.767</v>
      </c>
      <c r="F850" s="1" t="n">
        <f aca="false">IFERROR(D850*E850,0)</f>
        <v>1462.53868511249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1462.53868511249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61316.767</v>
      </c>
      <c r="F851" s="1" t="n">
        <f aca="false">IFERROR(D851*E851,0)</f>
        <v>44655.2073769052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44655.2073769052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27187.957777</v>
      </c>
      <c r="F852" s="1" t="n">
        <f aca="false">IFERROR(D852*E852,0)</f>
        <v>892.400836471382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892.400836471382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27187.957777</v>
      </c>
      <c r="F853" s="1" t="n">
        <f aca="false">IFERROR(D853*E853,0)</f>
        <v>1904.45159401106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1904.45159401106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27187.957777</v>
      </c>
      <c r="F854" s="1" t="n">
        <f aca="false">IFERROR(D854*E854,0)</f>
        <v>2036.46439290945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2036.46439290945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27187.957777</v>
      </c>
      <c r="F855" s="1" t="n">
        <f aca="false">IFERROR(D855*E855,0)</f>
        <v>518.672460687984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518.672460687984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27187.957777</v>
      </c>
      <c r="F856" s="1" t="n">
        <f aca="false">IFERROR(D856*E856,0)</f>
        <v>908.884673578178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908.884673578178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27187.957777</v>
      </c>
      <c r="F857" s="1" t="n">
        <f aca="false">IFERROR(D857*E857,0)</f>
        <v>672.142668234018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672.142668234018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27187.957777</v>
      </c>
      <c r="F858" s="1" t="n">
        <f aca="false">IFERROR(D858*E858,0)</f>
        <v>679.531974523272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679.531974523272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27187.957777</v>
      </c>
      <c r="F859" s="1" t="n">
        <f aca="false">IFERROR(D859*E859,0)</f>
        <v>19575.4091765847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19575.4091765847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35565.620912</v>
      </c>
      <c r="F860" s="1" t="n">
        <f aca="false">IFERROR(D860*E860,0)</f>
        <v>1176.43655033971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1176.43655033971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35565.620912</v>
      </c>
      <c r="F861" s="1" t="n">
        <f aca="false">IFERROR(D861*E861,0)</f>
        <v>2449.25145577319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2449.25145577319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35565.620912</v>
      </c>
      <c r="F862" s="1" t="n">
        <f aca="false">IFERROR(D862*E862,0)</f>
        <v>2635.98451876738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2635.98451876738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35565.620912</v>
      </c>
      <c r="F863" s="1" t="n">
        <f aca="false">IFERROR(D863*E863,0)</f>
        <v>676.108763763892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676.108763763892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35565.620912</v>
      </c>
      <c r="F864" s="1" t="n">
        <f aca="false">IFERROR(D864*E864,0)</f>
        <v>1174.42866794192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1174.42866794192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35565.620912</v>
      </c>
      <c r="F865" s="1" t="n">
        <f aca="false">IFERROR(D865*E865,0)</f>
        <v>866.857591553651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866.857591553651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35565.620912</v>
      </c>
      <c r="F866" s="1" t="n">
        <f aca="false">IFERROR(D866*E866,0)</f>
        <v>875.254190671669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875.254190671669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35565.620912</v>
      </c>
      <c r="F867" s="1" t="n">
        <f aca="false">IFERROR(D867*E867,0)</f>
        <v>25711.2991731886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25711.2991731886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30712.822744</v>
      </c>
      <c r="F868" s="1" t="n">
        <f aca="false">IFERROR(D868*E868,0)</f>
        <v>1004.19411406699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1004.19411406699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30712.822744</v>
      </c>
      <c r="F869" s="1" t="n">
        <f aca="false">IFERROR(D869*E869,0)</f>
        <v>2062.34765684979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2062.34765684979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30712.822744</v>
      </c>
      <c r="F870" s="1" t="n">
        <f aca="false">IFERROR(D870*E870,0)</f>
        <v>2239.01143617639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2239.01143617639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30712.822744</v>
      </c>
      <c r="F871" s="1" t="n">
        <f aca="false">IFERROR(D871*E871,0)</f>
        <v>573.890534223166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573.890534223166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30712.822744</v>
      </c>
      <c r="F872" s="1" t="n">
        <f aca="false">IFERROR(D872*E872,0)</f>
        <v>1001.14555877231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1001.14555877231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30712.822744</v>
      </c>
      <c r="F873" s="1" t="n">
        <f aca="false">IFERROR(D873*E873,0)</f>
        <v>732.415409546431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732.415409546431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30712.822744</v>
      </c>
      <c r="F874" s="1" t="n">
        <f aca="false">IFERROR(D874*E874,0)</f>
        <v>732.567837311165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732.567837311165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30712.822744</v>
      </c>
      <c r="F875" s="1" t="n">
        <f aca="false">IFERROR(D875*E875,0)</f>
        <v>22367.2501970538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22367.2501970538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28475.231466</v>
      </c>
      <c r="F876" s="1" t="n">
        <f aca="false">IFERROR(D876*E876,0)</f>
        <v>934.653517833238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28475.231466</v>
      </c>
      <c r="F877" s="1" t="n">
        <f aca="false">IFERROR(D877*E877,0)</f>
        <v>1994.62204554157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28475.231466</v>
      </c>
      <c r="F878" s="1" t="n">
        <f aca="false">IFERROR(D878*E878,0)</f>
        <v>2132.88528090257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28475.231466</v>
      </c>
      <c r="F879" s="1" t="n">
        <f aca="false">IFERROR(D879*E879,0)</f>
        <v>543.23014969607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28475.231466</v>
      </c>
      <c r="F880" s="1" t="n">
        <f aca="false">IFERROR(D880*E880,0)</f>
        <v>951.917818481113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28475.231466</v>
      </c>
      <c r="F881" s="1" t="n">
        <f aca="false">IFERROR(D881*E881,0)</f>
        <v>703.966741934907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28475.231466</v>
      </c>
      <c r="F882" s="1" t="n">
        <f aca="false">IFERROR(D882*E882,0)</f>
        <v>711.705911190851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28475.231466</v>
      </c>
      <c r="F883" s="1" t="n">
        <f aca="false">IFERROR(D883*E883,0)</f>
        <v>20502.2500004197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32697.692921</v>
      </c>
      <c r="F884" s="1" t="n">
        <f aca="false">IFERROR(D884*E884,0)</f>
        <v>1081.57147485845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1081.57147485845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32697.692921</v>
      </c>
      <c r="F885" s="1" t="n">
        <f aca="false">IFERROR(D885*E885,0)</f>
        <v>2251.7495810164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2251.7495810164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32697.692921</v>
      </c>
      <c r="F886" s="1" t="n">
        <f aca="false">IFERROR(D886*E886,0)</f>
        <v>2423.42492915917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2423.42492915917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32697.692921</v>
      </c>
      <c r="F887" s="1" t="n">
        <f aca="false">IFERROR(D887*E887,0)</f>
        <v>621.588943813142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621.588943813142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32697.692921</v>
      </c>
      <c r="F888" s="1" t="n">
        <f aca="false">IFERROR(D888*E888,0)</f>
        <v>1079.72550337304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1079.72550337304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32697.692921</v>
      </c>
      <c r="F889" s="1" t="n">
        <f aca="false">IFERROR(D889*E889,0)</f>
        <v>796.956234926731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796.956234926731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32697.692921</v>
      </c>
      <c r="F890" s="1" t="n">
        <f aca="false">IFERROR(D890*E890,0)</f>
        <v>804.67575204752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804.67575204752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32697.692921</v>
      </c>
      <c r="F891" s="1" t="n">
        <f aca="false">IFERROR(D891*E891,0)</f>
        <v>23638.0005018055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23638.0005018055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34645.023744</v>
      </c>
      <c r="F892" s="1" t="n">
        <f aca="false">IFERROR(D892*E892,0)</f>
        <v>1132.76233889093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1132.76233889093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34645.023744</v>
      </c>
      <c r="F893" s="1" t="n">
        <f aca="false">IFERROR(D893*E893,0)</f>
        <v>2326.39259945268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2326.39259945268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34645.023744</v>
      </c>
      <c r="F894" s="1" t="n">
        <f aca="false">IFERROR(D894*E894,0)</f>
        <v>2525.67486277608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2525.67486277608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34645.023744</v>
      </c>
      <c r="F895" s="1" t="n">
        <f aca="false">IFERROR(D895*E895,0)</f>
        <v>647.36645505834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647.36645505834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34645.023744</v>
      </c>
      <c r="F896" s="1" t="n">
        <f aca="false">IFERROR(D896*E896,0)</f>
        <v>1129.32347325981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1129.32347325981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34645.023744</v>
      </c>
      <c r="F897" s="1" t="n">
        <f aca="false">IFERROR(D897*E897,0)</f>
        <v>826.18746787658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826.18746787658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34645.023744</v>
      </c>
      <c r="F898" s="1" t="n">
        <f aca="false">IFERROR(D898*E898,0)</f>
        <v>826.359411158136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826.359411158136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34645.023744</v>
      </c>
      <c r="F899" s="1" t="n">
        <f aca="false">IFERROR(D899*E899,0)</f>
        <v>25230.9571355274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25230.9571355274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71344.0911</v>
      </c>
      <c r="E5" s="21" t="n">
        <f aca="false">IFERROR(D5/IF(B5="Clientes",SUMIFS(PARÂMETROS!$B$8:$B$33,PARÂMETROS!$G$8:$G$33,F5),SUMIFS(PARÂMETROS!$C$8:$C$33,PARÂMETROS!$G$8:$G$33,F5)),0)</f>
        <v>0.36616194115262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29039.374356</v>
      </c>
      <c r="E6" s="21" t="n">
        <f aca="false">IFERROR(D6/IF(B6="Clientes",SUMIFS(PARÂMETROS!$B$8:$B$33,PARÂMETROS!$G$8:$G$33,F6),SUMIFS(PARÂMETROS!$C$8:$C$33,PARÂMETROS!$G$8:$G$33,F6)),0)</f>
        <v>27.6829116835081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43116.2952</v>
      </c>
      <c r="E7" s="21" t="n">
        <f aca="false">IFERROR(D7/IF(B7="Clientes",SUMIFS(PARÂMETROS!$B$8:$B$33,PARÂMETROS!$G$8:$G$33,F7),SUMIFS(PARÂMETROS!$C$8:$C$33,PARÂMETROS!$G$8:$G$33,F7)),0)</f>
        <v>41.1022833174452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24292.39292</v>
      </c>
      <c r="E8" s="21" t="n">
        <f aca="false">IFERROR(D8/IF(B8="Clientes",SUMIFS(PARÂMETROS!$B$8:$B$33,PARÂMETROS!$G$8:$G$33,F8),SUMIFS(PARÂMETROS!$C$8:$C$33,PARÂMETROS!$G$8:$G$33,F8)),0)</f>
        <v>0.124676754720467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16780.8689</v>
      </c>
      <c r="E9" s="21" t="n">
        <f aca="false">IFERROR(D9/IF(B9="Clientes",SUMIFS(PARÂMETROS!$B$8:$B$33,PARÂMETROS!$G$8:$G$33,F9),SUMIFS(PARÂMETROS!$C$8:$C$33,PARÂMETROS!$G$8:$G$33,F9)),0)</f>
        <v>0.0861250796795369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69774.5655</v>
      </c>
      <c r="E10" s="21" t="n">
        <f aca="false">IFERROR(D10/IF(B10="Clientes",SUMIFS(PARÂMETROS!$B$8:$B$33,PARÂMETROS!$G$8:$G$33,F10),SUMIFS(PARÂMETROS!$C$8:$C$33,PARÂMETROS!$G$8:$G$33,F10)),0)</f>
        <v>0.358106606344595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173281.414106</v>
      </c>
      <c r="E11" s="21" t="n">
        <f aca="false">IFERROR(D11/IF(B11="Clientes",SUMIFS(PARÂMETROS!$B$8:$B$33,PARÂMETROS!$G$8:$G$33,F11),SUMIFS(PARÂMETROS!$C$8:$C$33,PARÂMETROS!$G$8:$G$33,F11)),0)</f>
        <v>0.889338668086613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42678.536051</v>
      </c>
      <c r="E12" s="21" t="n">
        <f aca="false">IFERROR(D12/IF(B12="Clientes",SUMIFS(PARÂMETROS!$B$8:$B$33,PARÂMETROS!$G$8:$G$33,F12),SUMIFS(PARÂMETROS!$C$8:$C$33,PARÂMETROS!$G$8:$G$33,F12)),0)</f>
        <v>0.219040643240968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51023.148556</v>
      </c>
      <c r="E13" s="21" t="n">
        <f aca="false">IFERROR(D13/IF(B13="Clientes",SUMIFS(PARÂMETROS!$B$8:$B$33,PARÂMETROS!$G$8:$G$33,F13),SUMIFS(PARÂMETROS!$C$8:$C$33,PARÂMETROS!$G$8:$G$33,F13)),0)</f>
        <v>0.261868009402442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35426.094356</v>
      </c>
      <c r="E14" s="21" t="n">
        <f aca="false">IFERROR(D14/IF(B14="Clientes",SUMIFS(PARÂMETROS!$B$8:$B$33,PARÂMETROS!$G$8:$G$33,F14),SUMIFS(PARÂMETROS!$C$8:$C$33,PARÂMETROS!$G$8:$G$33,F14)),0)</f>
        <v>0.181818666085002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18051.808564</v>
      </c>
      <c r="E15" s="21" t="n">
        <f aca="false">IFERROR(D15/IF(B15="Clientes",SUMIFS(PARÂMETROS!$B$8:$B$33,PARÂMETROS!$G$8:$G$33,F15),SUMIFS(PARÂMETROS!$C$8:$C$33,PARÂMETROS!$G$8:$G$33,F15)),0)</f>
        <v>0.0926479707456773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28893.5277887408</v>
      </c>
      <c r="E16" s="21" t="n">
        <f aca="false">IFERROR(D16/IF(B16="Clientes",SUMIFS(PARÂMETROS!$B$8:$B$33,PARÂMETROS!$G$8:$G$33,F16),SUMIFS(PARÂMETROS!$C$8:$C$33,PARÂMETROS!$G$8:$G$33,F16)),0)</f>
        <v>0.148291330911251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23910.3904</v>
      </c>
      <c r="E17" s="21" t="n">
        <f aca="false">IFERROR(D17/IF(B17="Clientes",SUMIFS(PARÂMETROS!$B$8:$B$33,PARÂMETROS!$G$8:$G$33,F17),SUMIFS(PARÂMETROS!$C$8:$C$33,PARÂMETROS!$G$8:$G$33,F17)),0)</f>
        <v>0.122716188931601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51534.8806</v>
      </c>
      <c r="E18" s="21" t="n">
        <f aca="false">IFERROR(D18/IF(B18="Clientes",SUMIFS(PARÂMETROS!$B$8:$B$33,PARÂMETROS!$G$8:$G$33,F18),SUMIFS(PARÂMETROS!$C$8:$C$33,PARÂMETROS!$G$8:$G$33,F18)),0)</f>
        <v>49.1276268827455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63973.3607</v>
      </c>
      <c r="E19" s="21" t="n">
        <f aca="false">IFERROR(D19/IF(B19="Clientes",SUMIFS(PARÂMETROS!$B$8:$B$33,PARÂMETROS!$G$8:$G$33,F19),SUMIFS(PARÂMETROS!$C$8:$C$33,PARÂMETROS!$G$8:$G$33,F19)),0)</f>
        <v>0.328332866461715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134321.1315</v>
      </c>
      <c r="E22" s="21" t="n">
        <f aca="false">IFERROR(D22/IF(B22="Clientes",SUMIFS(PARÂMETROS!$B$8:$B$33,PARÂMETROS!$G$8:$G$33,F22),SUMIFS(PARÂMETROS!$C$8:$C$33,PARÂMETROS!$G$8:$G$33,F22)),0)</f>
        <v>0.689381355758226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44372.1304</v>
      </c>
      <c r="E23" s="21" t="n">
        <f aca="false">IFERROR(D23/IF(B23="Clientes",SUMIFS(PARÂMETROS!$B$8:$B$33,PARÂMETROS!$G$8:$G$33,F23),SUMIFS(PARÂMETROS!$C$8:$C$33,PARÂMETROS!$G$8:$G$33,F23)),0)</f>
        <v>0.227732740719451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76917.6512</v>
      </c>
      <c r="E24" s="21" t="n">
        <f aca="false">IFERROR(D24/IF(B24="Clientes",SUMIFS(PARÂMETROS!$B$8:$B$33,PARÂMETROS!$G$8:$G$33,F24),SUMIFS(PARÂMETROS!$C$8:$C$33,PARÂMETROS!$G$8:$G$33,F24)),0)</f>
        <v>0.394767331646505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155386.558118445</v>
      </c>
      <c r="E25" s="21" t="n">
        <f aca="false">IFERROR(D25/IF(B25="Clientes",SUMIFS(PARÂMETROS!$B$8:$B$33,PARÂMETROS!$G$8:$G$33,F25),SUMIFS(PARÂMETROS!$C$8:$C$33,PARÂMETROS!$G$8:$G$33,F25)),0)</f>
        <v>0.79749623090614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35189.313446</v>
      </c>
      <c r="E26" s="21" t="n">
        <f aca="false">IFERROR(D26/IF(B26="Clientes",SUMIFS(PARÂMETROS!$B$8:$B$33,PARÂMETROS!$G$8:$G$33,F26),SUMIFS(PARÂMETROS!$C$8:$C$33,PARÂMETROS!$G$8:$G$33,F26)),0)</f>
        <v>0.180603426584481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126953.683886</v>
      </c>
      <c r="E27" s="21" t="n">
        <f aca="false">IFERROR(D27/IF(B27="Clientes",SUMIFS(PARÂMETROS!$B$8:$B$33,PARÂMETROS!$G$8:$G$33,F27),SUMIFS(PARÂMETROS!$C$8:$C$33,PARÂMETROS!$G$8:$G$33,F27)),0)</f>
        <v>0.651569129432415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143907.30844</v>
      </c>
      <c r="E28" s="21" t="n">
        <f aca="false">IFERROR(D28/IF(B28="Clientes",SUMIFS(PARÂMETROS!$B$8:$B$33,PARÂMETROS!$G$8:$G$33,F28),SUMIFS(PARÂMETROS!$C$8:$C$33,PARÂMETROS!$G$8:$G$33,F28)),0)</f>
        <v>0.738580849401826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35565.620912</v>
      </c>
      <c r="E30" s="21" t="n">
        <f aca="false">IFERROR(D30/IF(B30="Clientes",SUMIFS(PARÂMETROS!$B$8:$B$33,PARÂMETROS!$G$8:$G$33,F30),SUMIFS(PARÂMETROS!$C$8:$C$33,PARÂMETROS!$G$8:$G$33,F30)),0)</f>
        <v>0.182534763435176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57773.427</v>
      </c>
      <c r="E32" s="21" t="n">
        <f aca="false">IFERROR(D32/IF(B32="Clientes",SUMIFS(PARÂMETROS!$B$8:$B$33,PARÂMETROS!$G$8:$G$33,F32),SUMIFS(PARÂMETROS!$C$8:$C$33,PARÂMETROS!$G$8:$G$33,F32)),0)</f>
        <v>0.296512715365705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32697.692921</v>
      </c>
      <c r="E33" s="21" t="n">
        <f aca="false">IFERROR(D33/IF(B33="Clientes",SUMIFS(PARÂMETROS!$B$8:$B$33,PARÂMETROS!$G$8:$G$33,F33),SUMIFS(PARÂMETROS!$C$8:$C$33,PARÂMETROS!$G$8:$G$33,F33)),0)</f>
        <v>0.167815589582382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94756.2315</v>
      </c>
      <c r="E34" s="21" t="n">
        <f aca="false">IFERROR(D34/IF(B34="Clientes",SUMIFS(PARÂMETROS!$B$8:$B$33,PARÂMETROS!$G$8:$G$33,F34),SUMIFS(PARÂMETROS!$C$8:$C$33,PARÂMETROS!$G$8:$G$33,F34)),0)</f>
        <v>0.486320943015659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13630.672728</v>
      </c>
      <c r="E35" s="21" t="n">
        <f aca="false">IFERROR(D35/IF(B35="Clientes",SUMIFS(PARÂMETROS!$B$8:$B$33,PARÂMETROS!$G$8:$G$33,F35),SUMIFS(PARÂMETROS!$C$8:$C$33,PARÂMETROS!$G$8:$G$33,F35)),0)</f>
        <v>0.0699572103077863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29497.635592</v>
      </c>
      <c r="E38" s="21" t="n">
        <f aca="false">IFERROR(D38/IF(B38="Clientes",SUMIFS(PARÂMETROS!$B$8:$B$33,PARÂMETROS!$G$8:$G$33,F38),SUMIFS(PARÂMETROS!$C$8:$C$33,PARÂMETROS!$G$8:$G$33,F38)),0)</f>
        <v>0.151391815933854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33312.8607</v>
      </c>
      <c r="E39" s="21" t="n">
        <f aca="false">IFERROR(D39/IF(B39="Clientes",SUMIFS(PARÂMETROS!$B$8:$B$33,PARÂMETROS!$G$8:$G$33,F39),SUMIFS(PARÂMETROS!$C$8:$C$33,PARÂMETROS!$G$8:$G$33,F39)),0)</f>
        <v>31.756778551001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2449431.04184119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48782.8532</v>
      </c>
      <c r="E42" s="21" t="n">
        <f aca="false">IFERROR(D42/IF(B42="Clientes",SUMIFS(PARÂMETROS!$B$8:$B$33,PARÂMETROS!$G$8:$G$33,F42),SUMIFS(PARÂMETROS!$C$8:$C$33,PARÂMETROS!$G$8:$G$33,F42)),0)</f>
        <v>0.254971087196266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22848.187644</v>
      </c>
      <c r="E43" s="21" t="n">
        <f aca="false">IFERROR(D43/IF(B43="Clientes",SUMIFS(PARÂMETROS!$B$8:$B$33,PARÂMETROS!$G$8:$G$33,F43),SUMIFS(PARÂMETROS!$C$8:$C$33,PARÂMETROS!$G$8:$G$33,F43)),0)</f>
        <v>21.6981838974359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38460.6359</v>
      </c>
      <c r="E44" s="21" t="n">
        <f aca="false">IFERROR(D44/IF(B44="Clientes",SUMIFS(PARÂMETROS!$B$8:$B$33,PARÂMETROS!$G$8:$G$33,F44),SUMIFS(PARÂMETROS!$C$8:$C$33,PARÂMETROS!$G$8:$G$33,F44)),0)</f>
        <v>36.5248204178538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20719.749555</v>
      </c>
      <c r="E45" s="21" t="n">
        <f aca="false">IFERROR(D45/IF(B45="Clientes",SUMIFS(PARÂMETROS!$B$8:$B$33,PARÂMETROS!$G$8:$G$33,F45),SUMIFS(PARÂMETROS!$C$8:$C$33,PARÂMETROS!$G$8:$G$33,F45)),0)</f>
        <v>0.108294958657168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16366.8932</v>
      </c>
      <c r="E46" s="21" t="n">
        <f aca="false">IFERROR(D46/IF(B46="Clientes",SUMIFS(PARÂMETROS!$B$8:$B$33,PARÂMETROS!$G$8:$G$33,F46),SUMIFS(PARÂMETROS!$C$8:$C$33,PARÂMETROS!$G$8:$G$33,F46)),0)</f>
        <v>0.0855440852571775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69852.6056</v>
      </c>
      <c r="E47" s="21" t="n">
        <f aca="false">IFERROR(D47/IF(B47="Clientes",SUMIFS(PARÂMETROS!$B$8:$B$33,PARÂMETROS!$G$8:$G$33,F47),SUMIFS(PARÂMETROS!$C$8:$C$33,PARÂMETROS!$G$8:$G$33,F47)),0)</f>
        <v>0.365095389568644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153380.796264</v>
      </c>
      <c r="E48" s="21" t="n">
        <f aca="false">IFERROR(D48/IF(B48="Clientes",SUMIFS(PARÂMETROS!$B$8:$B$33,PARÂMETROS!$G$8:$G$33,F48),SUMIFS(PARÂMETROS!$C$8:$C$33,PARÂMETROS!$G$8:$G$33,F48)),0)</f>
        <v>0.801668328380208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43385.321577</v>
      </c>
      <c r="E49" s="21" t="n">
        <f aca="false">IFERROR(D49/IF(B49="Clientes",SUMIFS(PARÂMETROS!$B$8:$B$33,PARÂMETROS!$G$8:$G$33,F49),SUMIFS(PARÂMETROS!$C$8:$C$33,PARÂMETROS!$G$8:$G$33,F49)),0)</f>
        <v>0.226760057791112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37959.882964</v>
      </c>
      <c r="E50" s="21" t="n">
        <f aca="false">IFERROR(D50/IF(B50="Clientes",SUMIFS(PARÂMETROS!$B$8:$B$33,PARÂMETROS!$G$8:$G$33,F50),SUMIFS(PARÂMETROS!$C$8:$C$33,PARÂMETROS!$G$8:$G$33,F50)),0)</f>
        <v>0.198403168209401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24793.829555</v>
      </c>
      <c r="E51" s="21" t="n">
        <f aca="false">IFERROR(D51/IF(B51="Clientes",SUMIFS(PARÂMETROS!$B$8:$B$33,PARÂMETROS!$G$8:$G$33,F51),SUMIFS(PARÂMETROS!$C$8:$C$33,PARÂMETROS!$G$8:$G$33,F51)),0)</f>
        <v>0.129588764549698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18192.411911</v>
      </c>
      <c r="E52" s="21" t="n">
        <f aca="false">IFERROR(D52/IF(B52="Clientes",SUMIFS(PARÂMETROS!$B$8:$B$33,PARÂMETROS!$G$8:$G$33,F52),SUMIFS(PARÂMETROS!$C$8:$C$33,PARÂMETROS!$G$8:$G$33,F52)),0)</f>
        <v>0.0950854396452147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27798.6271997778</v>
      </c>
      <c r="E53" s="21" t="n">
        <f aca="false">IFERROR(D53/IF(B53="Clientes",SUMIFS(PARÂMETROS!$B$8:$B$33,PARÂMETROS!$G$8:$G$33,F53),SUMIFS(PARÂMETROS!$C$8:$C$33,PARÂMETROS!$G$8:$G$33,F53)),0)</f>
        <v>0.145293801710045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21989.8224</v>
      </c>
      <c r="E54" s="21" t="n">
        <f aca="false">IFERROR(D54/IF(B54="Clientes",SUMIFS(PARÂMETROS!$B$8:$B$33,PARÂMETROS!$G$8:$G$33,F54),SUMIFS(PARÂMETROS!$C$8:$C$33,PARÂMETROS!$G$8:$G$33,F54)),0)</f>
        <v>0.114933189774574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53576.6036</v>
      </c>
      <c r="E55" s="21" t="n">
        <f aca="false">IFERROR(D55/IF(B55="Clientes",SUMIFS(PARÂMETROS!$B$8:$B$33,PARÂMETROS!$G$8:$G$33,F55),SUMIFS(PARÂMETROS!$C$8:$C$33,PARÂMETROS!$G$8:$G$33,F55)),0)</f>
        <v>50.8799654320988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56447.5492</v>
      </c>
      <c r="E56" s="21" t="n">
        <f aca="false">IFERROR(D56/IF(B56="Clientes",SUMIFS(PARÂMETROS!$B$8:$B$33,PARÂMETROS!$G$8:$G$33,F56),SUMIFS(PARÂMETROS!$C$8:$C$33,PARÂMETROS!$G$8:$G$33,F56)),0)</f>
        <v>0.295031800007317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120704.4428</v>
      </c>
      <c r="E59" s="21" t="n">
        <f aca="false">IFERROR(D59/IF(B59="Clientes",SUMIFS(PARÂMETROS!$B$8:$B$33,PARÂMETROS!$G$8:$G$33,F59),SUMIFS(PARÂMETROS!$C$8:$C$33,PARÂMETROS!$G$8:$G$33,F59)),0)</f>
        <v>0.630880339941566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26552.3824</v>
      </c>
      <c r="E60" s="21" t="n">
        <f aca="false">IFERROR(D60/IF(B60="Clientes",SUMIFS(PARÂMETROS!$B$8:$B$33,PARÂMETROS!$G$8:$G$33,F60),SUMIFS(PARÂMETROS!$C$8:$C$33,PARÂMETROS!$G$8:$G$33,F60)),0)</f>
        <v>0.138780111536793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58363.5872</v>
      </c>
      <c r="E61" s="21" t="n">
        <f aca="false">IFERROR(D61/IF(B61="Clientes",SUMIFS(PARÂMETROS!$B$8:$B$33,PARÂMETROS!$G$8:$G$33,F61),SUMIFS(PARÂMETROS!$C$8:$C$33,PARÂMETROS!$G$8:$G$33,F61)),0)</f>
        <v>0.305046267385157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63760.7558395556</v>
      </c>
      <c r="E62" s="21" t="n">
        <f aca="false">IFERROR(D62/IF(B62="Clientes",SUMIFS(PARÂMETROS!$B$8:$B$33,PARÂMETROS!$G$8:$G$33,F62),SUMIFS(PARÂMETROS!$C$8:$C$33,PARÂMETROS!$G$8:$G$33,F62)),0)</f>
        <v>0.333255399601497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35788.658658</v>
      </c>
      <c r="E63" s="21" t="n">
        <f aca="false">IFERROR(D63/IF(B63="Clientes",SUMIFS(PARÂMETROS!$B$8:$B$33,PARÂMETROS!$G$8:$G$33,F63),SUMIFS(PARÂMETROS!$C$8:$C$33,PARÂMETROS!$G$8:$G$33,F63)),0)</f>
        <v>0.187054930344384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116439.9133</v>
      </c>
      <c r="E64" s="21" t="n">
        <f aca="false">IFERROR(D64/IF(B64="Clientes",SUMIFS(PARÂMETROS!$B$8:$B$33,PARÂMETROS!$G$8:$G$33,F64),SUMIFS(PARÂMETROS!$C$8:$C$33,PARÂMETROS!$G$8:$G$33,F64)),0)</f>
        <v>0.608591120437785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115104.63981</v>
      </c>
      <c r="E65" s="21" t="n">
        <f aca="false">IFERROR(D65/IF(B65="Clientes",SUMIFS(PARÂMETROS!$B$8:$B$33,PARÂMETROS!$G$8:$G$33,F65),SUMIFS(PARÂMETROS!$C$8:$C$33,PARÂMETROS!$G$8:$G$33,F65)),0)</f>
        <v>0.601612108118562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27187.957777</v>
      </c>
      <c r="E67" s="21" t="n">
        <f aca="false">IFERROR(D67/IF(B67="Clientes",SUMIFS(PARÂMETROS!$B$8:$B$33,PARÂMETROS!$G$8:$G$33,F67),SUMIFS(PARÂMETROS!$C$8:$C$33,PARÂMETROS!$G$8:$G$33,F67)),0)</f>
        <v>0.142102044024105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61122.0895</v>
      </c>
      <c r="E69" s="21" t="n">
        <f aca="false">IFERROR(D69/IF(B69="Clientes",SUMIFS(PARÂMETROS!$B$8:$B$33,PARÂMETROS!$G$8:$G$33,F69),SUMIFS(PARÂMETROS!$C$8:$C$33,PARÂMETROS!$G$8:$G$33,F69)),0)</f>
        <v>0.319464004034977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28475.231466</v>
      </c>
      <c r="E70" s="21" t="n">
        <f aca="false">IFERROR(D70/IF(B70="Clientes",SUMIFS(PARÂMETROS!$B$8:$B$33,PARÂMETROS!$G$8:$G$33,F70),SUMIFS(PARÂMETROS!$C$8:$C$33,PARÂMETROS!$G$8:$G$33,F70)),0)</f>
        <v>0.148830177998923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83174.8484</v>
      </c>
      <c r="E71" s="21" t="n">
        <f aca="false">IFERROR(D71/IF(B71="Clientes",SUMIFS(PARÂMETROS!$B$8:$B$33,PARÂMETROS!$G$8:$G$33,F71),SUMIFS(PARÂMETROS!$C$8:$C$33,PARÂMETROS!$G$8:$G$33,F71)),0)</f>
        <v>0.4347261411092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9882.542222</v>
      </c>
      <c r="E72" s="21" t="n">
        <f aca="false">IFERROR(D72/IF(B72="Clientes",SUMIFS(PARÂMETROS!$B$8:$B$33,PARÂMETROS!$G$8:$G$33,F72),SUMIFS(PARÂMETROS!$C$8:$C$33,PARÂMETROS!$G$8:$G$33,F72)),0)</f>
        <v>0.051652627292541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29568.365733</v>
      </c>
      <c r="E75" s="21" t="n">
        <f aca="false">IFERROR(D75/IF(B75="Clientes",SUMIFS(PARÂMETROS!$B$8:$B$33,PARÂMETROS!$G$8:$G$33,F75),SUMIFS(PARÂMETROS!$C$8:$C$33,PARÂMETROS!$G$8:$G$33,F75)),0)</f>
        <v>0.154543612417484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23028.1392</v>
      </c>
      <c r="E76" s="21" t="n">
        <f aca="false">IFERROR(D76/IF(B76="Clientes",SUMIFS(PARÂMETROS!$B$8:$B$33,PARÂMETROS!$G$8:$G$33,F76),SUMIFS(PARÂMETROS!$C$8:$C$33,PARÂMETROS!$G$8:$G$33,F76)),0)</f>
        <v>21.8690780626781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2085039.17567533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76065.2762</v>
      </c>
      <c r="E78" s="21" t="n">
        <f aca="false">IFERROR(D78/IF(B78="Clientes",SUMIFS(PARÂMETROS!$B$8:$B$33,PARÂMETROS!$G$8:$G$33,F78),SUMIFS(PARÂMETROS!$C$8:$C$33,PARÂMETROS!$G$8:$G$33,F78)),0)</f>
        <v>0.377512028825109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31850.405852</v>
      </c>
      <c r="E79" s="21" t="n">
        <f aca="false">IFERROR(D79/IF(B79="Clientes",SUMIFS(PARÂMETROS!$B$8:$B$33,PARÂMETROS!$G$8:$G$33,F79),SUMIFS(PARÂMETROS!$C$8:$C$33,PARÂMETROS!$G$8:$G$33,F79)),0)</f>
        <v>29.2205558275229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45618.7608</v>
      </c>
      <c r="E80" s="21" t="n">
        <f aca="false">IFERROR(D80/IF(B80="Clientes",SUMIFS(PARÂMETROS!$B$8:$B$33,PARÂMETROS!$G$8:$G$33,F80),SUMIFS(PARÂMETROS!$C$8:$C$33,PARÂMETROS!$G$8:$G$33,F80)),0)</f>
        <v>41.8520741284404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28191.295652</v>
      </c>
      <c r="E81" s="21" t="n">
        <f aca="false">IFERROR(D81/IF(B81="Clientes",SUMIFS(PARÂMETROS!$B$8:$B$33,PARÂMETROS!$G$8:$G$33,F81),SUMIFS(PARÂMETROS!$C$8:$C$33,PARÂMETROS!$G$8:$G$33,F81)),0)</f>
        <v>0.139913423686418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74930.4181</v>
      </c>
      <c r="E83" s="21" t="n">
        <f aca="false">IFERROR(D83/IF(B83="Clientes",SUMIFS(PARÂMETROS!$B$8:$B$33,PARÂMETROS!$G$8:$G$33,F83),SUMIFS(PARÂMETROS!$C$8:$C$33,PARÂMETROS!$G$8:$G$33,F83)),0)</f>
        <v>0.371879727134214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34286.73816</v>
      </c>
      <c r="E87" s="21" t="n">
        <f aca="false">IFERROR(D87/IF(B87="Clientes",SUMIFS(PARÂMETROS!$B$8:$B$33,PARÂMETROS!$G$8:$G$33,F87),SUMIFS(PARÂMETROS!$C$8:$C$33,PARÂMETROS!$G$8:$G$33,F87)),0)</f>
        <v>0.170165109905653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20171.717592</v>
      </c>
      <c r="E88" s="21" t="n">
        <f aca="false">IFERROR(D88/IF(B88="Clientes",SUMIFS(PARÂMETROS!$B$8:$B$33,PARÂMETROS!$G$8:$G$33,F88),SUMIFS(PARÂMETROS!$C$8:$C$33,PARÂMETROS!$G$8:$G$33,F88)),0)</f>
        <v>0.100112251127842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27994.5286617778</v>
      </c>
      <c r="E89" s="21" t="n">
        <f aca="false">IFERROR(D89/IF(B89="Clientes",SUMIFS(PARÂMETROS!$B$8:$B$33,PARÂMETROS!$G$8:$G$33,F89),SUMIFS(PARÂMETROS!$C$8:$C$33,PARÂMETROS!$G$8:$G$33,F89)),0)</f>
        <v>0.13893686895086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85756.759</v>
      </c>
      <c r="E92" s="21" t="n">
        <f aca="false">IFERROR(D92/IF(B92="Clientes",SUMIFS(PARÂMETROS!$B$8:$B$33,PARÂMETROS!$G$8:$G$33,F92),SUMIFS(PARÂMETROS!$C$8:$C$33,PARÂMETROS!$G$8:$G$33,F92)),0)</f>
        <v>0.425610865994015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120265.34</v>
      </c>
      <c r="E94" s="21" t="n">
        <f aca="false">IFERROR(D94/IF(B94="Clientes",SUMIFS(PARÂMETROS!$B$8:$B$33,PARÂMETROS!$G$8:$G$33,F94),SUMIFS(PARÂMETROS!$C$8:$C$33,PARÂMETROS!$G$8:$G$33,F94)),0)</f>
        <v>0.596876982098456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627085.5364</v>
      </c>
      <c r="E97" s="21" t="n">
        <f aca="false">IFERROR(D97/IF(B97="Clientes",SUMIFS(PARÂMETROS!$B$8:$B$33,PARÂMETROS!$G$8:$G$33,F97),SUMIFS(PARÂMETROS!$C$8:$C$33,PARÂMETROS!$G$8:$G$33,F97)),0)</f>
        <v>3.11222603689495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125810.553912</v>
      </c>
      <c r="E101" s="21" t="n">
        <f aca="false">IFERROR(D101/IF(B101="Clientes",SUMIFS(PARÂMETROS!$B$8:$B$33,PARÂMETROS!$G$8:$G$33,F101),SUMIFS(PARÂMETROS!$C$8:$C$33,PARÂMETROS!$G$8:$G$33,F101)),0)</f>
        <v>0.624397883339703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30712.822744</v>
      </c>
      <c r="E103" s="21" t="n">
        <f aca="false">IFERROR(D103/IF(B103="Clientes",SUMIFS(PARÂMETROS!$B$8:$B$33,PARÂMETROS!$G$8:$G$33,F103),SUMIFS(PARÂMETROS!$C$8:$C$33,PARÂMETROS!$G$8:$G$33,F103)),0)</f>
        <v>0.152427764733909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61316.767</v>
      </c>
      <c r="E105" s="21" t="n">
        <f aca="false">IFERROR(D105/IF(B105="Clientes",SUMIFS(PARÂMETROS!$B$8:$B$33,PARÂMETROS!$G$8:$G$33,F105),SUMIFS(PARÂMETROS!$C$8:$C$33,PARÂMETROS!$G$8:$G$33,F105)),0)</f>
        <v>0.304315165441633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34645.023744</v>
      </c>
      <c r="E106" s="21" t="n">
        <f aca="false">IFERROR(D106/IF(B106="Clientes",SUMIFS(PARÂMETROS!$B$8:$B$33,PARÂMETROS!$G$8:$G$33,F106),SUMIFS(PARÂMETROS!$C$8:$C$33,PARÂMETROS!$G$8:$G$33,F106)),0)</f>
        <v>0.171943281556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14544.011176</v>
      </c>
      <c r="E108" s="21" t="n">
        <f aca="false">IFERROR(D108/IF(B108="Clientes",SUMIFS(PARÂMETROS!$B$8:$B$33,PARÂMETROS!$G$8:$G$33,F108),SUMIFS(PARÂMETROS!$C$8:$C$33,PARÂMETROS!$G$8:$G$33,F108)),0)</f>
        <v>0.0721819395208719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29387.792976</v>
      </c>
      <c r="E111" s="21" t="n">
        <f aca="false">IFERROR(D111/IF(B111="Clientes",SUMIFS(PARÂMETROS!$B$8:$B$33,PARÂMETROS!$G$8:$G$33,F111),SUMIFS(PARÂMETROS!$C$8:$C$33,PARÂMETROS!$G$8:$G$33,F111)),0)</f>
        <v>0.145851640897112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23131.4345</v>
      </c>
      <c r="E112" s="21" t="n">
        <f aca="false">IFERROR(D112/IF(B112="Clientes",SUMIFS(PARÂMETROS!$B$8:$B$33,PARÂMETROS!$G$8:$G$33,F112),SUMIFS(PARÂMETROS!$C$8:$C$33,PARÂMETROS!$G$8:$G$33,F112)),0)</f>
        <v>21.2214995412844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3062457.05136245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8501.6744</v>
      </c>
      <c r="E114" s="1" t="n">
        <f aca="false">IFERROR(D114/IF(B114="Clientes",SUMIFS(PARÂMETROS!$B$8:$B$33,PARÂMETROS!$G$8:$G$33,F114),SUMIFS(PARÂMETROS!$C$8:$C$33,PARÂMETROS!$G$8:$G$33,F114)),0)</f>
        <v>0.0436334607863767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7773.6916</v>
      </c>
      <c r="E115" s="1" t="n">
        <f aca="false">IFERROR(D115/IF(B115="Clientes",SUMIFS(PARÂMETROS!$B$8:$B$33,PARÂMETROS!$G$8:$G$33,F115),SUMIFS(PARÂMETROS!$C$8:$C$33,PARÂMETROS!$G$8:$G$33,F115)),0)</f>
        <v>0.0406303950827641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7791.2645</v>
      </c>
      <c r="E116" s="1" t="n">
        <f aca="false">IFERROR(D116/IF(B116="Clientes",SUMIFS(PARÂMETROS!$B$8:$B$33,PARÂMETROS!$G$8:$G$33,F116),SUMIFS(PARÂMETROS!$C$8:$C$33,PARÂMETROS!$G$8:$G$33,F116)),0)</f>
        <v>0.0386680521710647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30266.87</v>
      </c>
      <c r="E119" s="1" t="n">
        <f aca="false">IFERROR(D119/IF(B119="Clientes",SUMIFS(PARÂMETROS!$B$8:$B$33,PARÂMETROS!$G$8:$G$33,F119),SUMIFS(PARÂMETROS!$C$8:$C$33,PARÂMETROS!$G$8:$G$33,F119)),0)</f>
        <v>27.7677706422018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2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49.638</v>
      </c>
      <c r="F7" s="37" t="n">
        <v>49.638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0.1455</v>
      </c>
      <c r="F8" s="22" t="n">
        <v>0.1455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1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24.819</v>
      </c>
      <c r="F33" s="37" t="n">
        <v>24.819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0.0727</v>
      </c>
      <c r="F34" s="22" t="n">
        <v>0.0727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1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29.940984</v>
      </c>
      <c r="F44" s="22" t="n">
        <v>389.232787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107.549</v>
      </c>
      <c r="F45" s="37" t="n">
        <v>107.549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0.3152</v>
      </c>
      <c r="F46" s="22" t="n">
        <v>0.3152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13</v>
      </c>
      <c r="E53" s="36" t="n">
        <v>55.342787</v>
      </c>
      <c r="F53" s="37" t="n">
        <f aca="false">IFERROR(D53*E53,0)</f>
        <v>719.456231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13</v>
      </c>
      <c r="E54" s="39" t="n">
        <v>0.209836</v>
      </c>
      <c r="F54" s="22" t="n">
        <f aca="false">IFERROR(D54*E54,0)</f>
        <v>2.727868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5</v>
      </c>
      <c r="E79" s="36" t="n">
        <v>21.2582</v>
      </c>
      <c r="F79" s="37" t="n">
        <v>106.291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5</v>
      </c>
      <c r="E80" s="39" t="n">
        <v>3.3247</v>
      </c>
      <c r="F80" s="22" t="n">
        <v>16.6235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1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41.365</v>
      </c>
      <c r="F90" s="22" t="n">
        <v>41.365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0.1212</v>
      </c>
      <c r="F91" s="37" t="n">
        <v>0.1212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1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8.273</v>
      </c>
      <c r="F104" s="22" t="n">
        <v>8.273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0.0242</v>
      </c>
      <c r="F105" s="37" t="n">
        <v>0.0242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57.911</v>
      </c>
      <c r="F112" s="22" t="n">
        <v>57.911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0.1697</v>
      </c>
      <c r="F113" s="37" t="n">
        <v>0.1697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1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16.546</v>
      </c>
      <c r="F128" s="22" t="n">
        <v>16.546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0.0485</v>
      </c>
      <c r="F129" s="37" t="n">
        <v>0.0485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1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10</v>
      </c>
      <c r="E141" s="36" t="n">
        <v>21.2582</v>
      </c>
      <c r="F141" s="37" t="n">
        <v>212.582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10</v>
      </c>
      <c r="E142" s="39" t="n">
        <v>3.3247</v>
      </c>
      <c r="F142" s="22" t="n">
        <v>33.247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16</v>
      </c>
      <c r="E156" s="39" t="n">
        <v>21.2582</v>
      </c>
      <c r="F156" s="22" t="n">
        <v>340.1312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16</v>
      </c>
      <c r="E157" s="36" t="n">
        <v>3.3247</v>
      </c>
      <c r="F157" s="37" t="n">
        <v>53.1952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183.3333</v>
      </c>
      <c r="F170" s="22" t="n">
        <v>1649.9997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66.184</v>
      </c>
      <c r="F171" s="37" t="n">
        <v>66.184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0.194</v>
      </c>
      <c r="F172" s="22" t="n">
        <v>0.194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1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15</v>
      </c>
      <c r="E184" s="39" t="n">
        <v>21.2582</v>
      </c>
      <c r="F184" s="22" t="n">
        <v>318.873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15</v>
      </c>
      <c r="E185" s="36" t="n">
        <v>3.3247</v>
      </c>
      <c r="F185" s="37" t="n">
        <v>49.8705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41.365</v>
      </c>
      <c r="F210" s="22" t="n">
        <v>41.365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0.1212</v>
      </c>
      <c r="F211" s="37" t="n">
        <v>0.1212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1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29.940984</v>
      </c>
      <c r="F219" s="37" t="n">
        <v>1287.462295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355.739</v>
      </c>
      <c r="F220" s="22" t="n">
        <v>355.739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1.0427</v>
      </c>
      <c r="F221" s="37" t="n">
        <v>1.0427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1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43</v>
      </c>
      <c r="E229" s="36" t="n">
        <v>55.342787</v>
      </c>
      <c r="F229" s="37" t="n">
        <f aca="false">IFERROR(D229*E229,0)</f>
        <v>2379.739841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43</v>
      </c>
      <c r="E230" s="39" t="n">
        <v>0.209836</v>
      </c>
      <c r="F230" s="22" t="n">
        <f aca="false">IFERROR(D230*E230,0)</f>
        <v>9.022948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1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4</v>
      </c>
      <c r="E245" s="36" t="n">
        <v>21.2582</v>
      </c>
      <c r="F245" s="37" t="n">
        <v>85.0328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4</v>
      </c>
      <c r="E246" s="39" t="n">
        <v>3.3247</v>
      </c>
      <c r="F246" s="22" t="n">
        <v>13.2988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1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49.638</v>
      </c>
      <c r="F256" s="22" t="n">
        <v>49.638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0.1455</v>
      </c>
      <c r="F257" s="37" t="n">
        <v>0.1455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1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6</v>
      </c>
      <c r="E267" s="36" t="n">
        <v>0.980392</v>
      </c>
      <c r="F267" s="37" t="n">
        <f aca="false">IFERROR(D267*E267,0)</f>
        <v>5.882352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29.940984</v>
      </c>
      <c r="F271" s="37" t="n">
        <v>359.291803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99.276</v>
      </c>
      <c r="F272" s="22" t="n">
        <v>99.276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0.291</v>
      </c>
      <c r="F273" s="37" t="n">
        <v>0.291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12</v>
      </c>
      <c r="E280" s="39" t="n">
        <v>55.342787</v>
      </c>
      <c r="F280" s="22" t="n">
        <f aca="false">IFERROR(D280*E280,0)</f>
        <v>664.113444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12</v>
      </c>
      <c r="E281" s="36" t="n">
        <v>0.209836</v>
      </c>
      <c r="F281" s="37" t="n">
        <f aca="false">IFERROR(D281*E281,0)</f>
        <v>2.518032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9</v>
      </c>
      <c r="E286" s="39" t="n">
        <v>21.2582</v>
      </c>
      <c r="F286" s="22" t="n">
        <v>191.3238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9</v>
      </c>
      <c r="E287" s="36" t="n">
        <v>3.3247</v>
      </c>
      <c r="F287" s="37" t="n">
        <v>29.9223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1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29.940984</v>
      </c>
      <c r="F306" s="22" t="n">
        <v>239.527869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66.184</v>
      </c>
      <c r="F307" s="37" t="n">
        <v>66.184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0.194</v>
      </c>
      <c r="F308" s="22" t="n">
        <v>0.194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1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8</v>
      </c>
      <c r="E312" s="39" t="n">
        <v>55.342787</v>
      </c>
      <c r="F312" s="22" t="n">
        <f aca="false">IFERROR(D312*E312,0)</f>
        <v>442.742296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8</v>
      </c>
      <c r="E313" s="36" t="n">
        <v>0.209836</v>
      </c>
      <c r="F313" s="37" t="n">
        <f aca="false">IFERROR(D313*E313,0)</f>
        <v>1.678688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29.940984</v>
      </c>
      <c r="F317" s="37" t="n">
        <v>988.052459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273.009</v>
      </c>
      <c r="F318" s="22" t="n">
        <v>273.009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0.8002</v>
      </c>
      <c r="F319" s="37" t="n">
        <v>0.8002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1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33</v>
      </c>
      <c r="E323" s="36" t="n">
        <v>55.342787</v>
      </c>
      <c r="F323" s="37" t="n">
        <f aca="false">IFERROR(D323*E323,0)</f>
        <v>1826.311971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33</v>
      </c>
      <c r="E324" s="39" t="n">
        <v>0.209836</v>
      </c>
      <c r="F324" s="22" t="n">
        <f aca="false">IFERROR(D324*E324,0)</f>
        <v>6.924588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13</v>
      </c>
      <c r="E328" s="39" t="n">
        <v>29.940984</v>
      </c>
      <c r="F328" s="22" t="n">
        <v>389.232787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107.549</v>
      </c>
      <c r="F329" s="37" t="n">
        <v>107.549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0.3152</v>
      </c>
      <c r="F330" s="22" t="n">
        <v>0.3152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13</v>
      </c>
      <c r="E407" s="36" t="n">
        <v>0.209836</v>
      </c>
      <c r="F407" s="37" t="n">
        <f aca="false">IFERROR(D407*E407,0)</f>
        <v>2.727868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1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1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1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1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1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1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1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7</v>
      </c>
      <c r="E498" s="39" t="n">
        <v>0.980392</v>
      </c>
      <c r="F498" s="22" t="n">
        <f aca="false">IFERROR(D498*E498,0)</f>
        <v>6.862744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1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14</v>
      </c>
      <c r="E510" s="39" t="n">
        <v>21.2582</v>
      </c>
      <c r="F510" s="22" t="n">
        <v>297.6148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14</v>
      </c>
      <c r="E511" s="36" t="n">
        <v>3.3247</v>
      </c>
      <c r="F511" s="37" t="n">
        <v>46.5458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5</v>
      </c>
      <c r="E512" s="39" t="n">
        <v>21.2582</v>
      </c>
      <c r="F512" s="22" t="n">
        <v>106.291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5</v>
      </c>
      <c r="E513" s="36" t="n">
        <v>3.3247</v>
      </c>
      <c r="F513" s="37" t="n">
        <v>16.6235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3</v>
      </c>
      <c r="E530" s="39" t="n">
        <v>0.980392</v>
      </c>
      <c r="F530" s="22" t="n">
        <f aca="false">IFERROR(D530*E530,0)</f>
        <v>2.941176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11</v>
      </c>
      <c r="E531" s="36" t="n">
        <v>0.980392</v>
      </c>
      <c r="F531" s="37" t="n">
        <f aca="false">IFERROR(D531*E531,0)</f>
        <v>10.784312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5</v>
      </c>
      <c r="E532" s="39" t="n">
        <v>0.980392</v>
      </c>
      <c r="F532" s="22" t="n">
        <f aca="false">IFERROR(D532*E532,0)</f>
        <v>4.90196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7</v>
      </c>
      <c r="E533" s="36" t="n">
        <v>0.980392</v>
      </c>
      <c r="F533" s="37" t="n">
        <f aca="false">IFERROR(D533*E533,0)</f>
        <v>6.862744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3</v>
      </c>
      <c r="E534" s="39" t="n">
        <v>0.980392</v>
      </c>
      <c r="F534" s="22" t="n">
        <f aca="false">IFERROR(D534*E534,0)</f>
        <v>2.941176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2</v>
      </c>
      <c r="E535" s="36" t="n">
        <v>0.980392</v>
      </c>
      <c r="F535" s="37" t="n">
        <f aca="false">IFERROR(D535*E535,0)</f>
        <v>1.960784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6</v>
      </c>
      <c r="E536" s="39" t="n">
        <v>0.980392</v>
      </c>
      <c r="F536" s="22" t="n">
        <f aca="false">IFERROR(D536*E536,0)</f>
        <v>5.882352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0.980392</v>
      </c>
      <c r="F537" s="37" t="n">
        <f aca="false">IFERROR(D537*E537,0)</f>
        <v>0.980392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43.7861</v>
      </c>
      <c r="F559" s="37" t="n">
        <v>43.7861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0.125</v>
      </c>
      <c r="F560" s="22" t="n">
        <v>0.125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1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35.0289</v>
      </c>
      <c r="F585" s="37" t="n">
        <v>35.0289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1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61.566721</v>
      </c>
      <c r="F596" s="22" t="n">
        <v>677.233934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96.3294</v>
      </c>
      <c r="F597" s="37" t="n">
        <v>96.3294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0.275</v>
      </c>
      <c r="F598" s="22" t="n">
        <v>0.275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11</v>
      </c>
      <c r="E605" s="36" t="n">
        <v>55.342787</v>
      </c>
      <c r="F605" s="37" t="n">
        <f aca="false">IFERROR(D605*E605,0)</f>
        <v>608.770657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11</v>
      </c>
      <c r="E606" s="39" t="n">
        <v>0.209836</v>
      </c>
      <c r="F606" s="22" t="n">
        <f aca="false">IFERROR(D606*E606,0)</f>
        <v>2.308196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4</v>
      </c>
      <c r="E631" s="36" t="n">
        <v>23.6877</v>
      </c>
      <c r="F631" s="37" t="n">
        <v>94.7508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4</v>
      </c>
      <c r="E632" s="39" t="n">
        <v>0.3124</v>
      </c>
      <c r="F632" s="22" t="n">
        <v>1.2496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1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7</v>
      </c>
      <c r="E640" s="39" t="n">
        <v>0.3124</v>
      </c>
      <c r="F640" s="22" t="n">
        <v>2.1868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35.0289</v>
      </c>
      <c r="F643" s="37" t="n">
        <v>35.0289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1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8.7572</v>
      </c>
      <c r="F657" s="37" t="n">
        <v>8.7572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0.025</v>
      </c>
      <c r="F658" s="22" t="n">
        <v>0.025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61.3005</v>
      </c>
      <c r="F665" s="37" t="n">
        <v>61.3005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0.175</v>
      </c>
      <c r="F666" s="22" t="n">
        <v>0.175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1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17.5144</v>
      </c>
      <c r="F679" s="37" t="n">
        <v>17.5144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1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7</v>
      </c>
      <c r="E692" s="39" t="n">
        <v>23.6877</v>
      </c>
      <c r="F692" s="22" t="n">
        <v>165.8139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12</v>
      </c>
      <c r="E693" s="36" t="n">
        <v>0.3124</v>
      </c>
      <c r="F693" s="37" t="n">
        <v>3.7488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1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15</v>
      </c>
      <c r="E705" s="36" t="n">
        <v>0.3124</v>
      </c>
      <c r="F705" s="37" t="n">
        <v>4.686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12</v>
      </c>
      <c r="E708" s="39" t="n">
        <v>23.6877</v>
      </c>
      <c r="F708" s="22" t="n">
        <v>284.2524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4</v>
      </c>
      <c r="E709" s="36" t="n">
        <v>0.3124</v>
      </c>
      <c r="F709" s="37" t="n">
        <v>1.2496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6</v>
      </c>
      <c r="E722" s="39" t="n">
        <v>0.3124</v>
      </c>
      <c r="F722" s="22" t="n">
        <v>1.8744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61.3005</v>
      </c>
      <c r="F725" s="37" t="n">
        <v>61.3005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0.175</v>
      </c>
      <c r="F726" s="22" t="n">
        <v>0.175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1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15</v>
      </c>
      <c r="E738" s="39" t="n">
        <v>23.6877</v>
      </c>
      <c r="F738" s="22" t="n">
        <v>355.3155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43.7861</v>
      </c>
      <c r="F763" s="37" t="n">
        <v>43.7861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0.125</v>
      </c>
      <c r="F764" s="22" t="n">
        <v>0.125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1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61.566721</v>
      </c>
      <c r="F772" s="22" t="n">
        <v>2708.935738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385.3175</v>
      </c>
      <c r="F773" s="37" t="n">
        <v>385.3175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</v>
      </c>
      <c r="F774" s="22" t="n">
        <v>1.1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1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44</v>
      </c>
      <c r="E782" s="39" t="n">
        <v>55.342787</v>
      </c>
      <c r="F782" s="22" t="n">
        <f aca="false">IFERROR(D782*E782,0)</f>
        <v>2435.082628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44</v>
      </c>
      <c r="E783" s="36" t="n">
        <v>0.209836</v>
      </c>
      <c r="F783" s="37" t="n">
        <f aca="false">IFERROR(D783*E783,0)</f>
        <v>9.232784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1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4</v>
      </c>
      <c r="E800" s="39" t="n">
        <v>23.6877</v>
      </c>
      <c r="F800" s="22" t="n">
        <v>94.7508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1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35.0289</v>
      </c>
      <c r="F810" s="22" t="n">
        <v>35.0289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1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4</v>
      </c>
      <c r="E821" s="36" t="n">
        <v>1.136364</v>
      </c>
      <c r="F821" s="37" t="n">
        <f aca="false">IFERROR(D821*E821,0)</f>
        <v>4.545456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61.566721</v>
      </c>
      <c r="F825" s="37" t="n">
        <v>861.934098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122.601</v>
      </c>
      <c r="F826" s="22" t="n">
        <v>122.601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0.35</v>
      </c>
      <c r="F827" s="37" t="n">
        <v>0.35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14</v>
      </c>
      <c r="E834" s="39" t="n">
        <v>55.342787</v>
      </c>
      <c r="F834" s="22" t="n">
        <f aca="false">IFERROR(D834*E834,0)</f>
        <v>774.799018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14</v>
      </c>
      <c r="E835" s="36" t="n">
        <v>0.209836</v>
      </c>
      <c r="F835" s="37" t="n">
        <f aca="false">IFERROR(D835*E835,0)</f>
        <v>2.937704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6</v>
      </c>
      <c r="E840" s="39" t="n">
        <v>23.6877</v>
      </c>
      <c r="F840" s="22" t="n">
        <v>142.1262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1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61.566721</v>
      </c>
      <c r="F855" s="37" t="n">
        <v>492.53377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70.0577</v>
      </c>
      <c r="F856" s="22" t="n">
        <v>70.0577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1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8</v>
      </c>
      <c r="E861" s="36" t="n">
        <v>55.342787</v>
      </c>
      <c r="F861" s="37" t="n">
        <f aca="false">IFERROR(D861*E861,0)</f>
        <v>442.742296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8</v>
      </c>
      <c r="E862" s="39" t="n">
        <v>0.209836</v>
      </c>
      <c r="F862" s="22" t="n">
        <f aca="false">IFERROR(D862*E862,0)</f>
        <v>1.678688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61.566721</v>
      </c>
      <c r="F866" s="22" t="n">
        <v>1970.135082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280.2309</v>
      </c>
      <c r="F867" s="37" t="n">
        <v>280.2309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</v>
      </c>
      <c r="F868" s="22" t="n">
        <v>0.8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1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32</v>
      </c>
      <c r="E872" s="39" t="n">
        <v>55.342787</v>
      </c>
      <c r="F872" s="22" t="n">
        <f aca="false">IFERROR(D872*E872,0)</f>
        <v>1770.969184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32</v>
      </c>
      <c r="E873" s="36" t="n">
        <v>0.209836</v>
      </c>
      <c r="F873" s="37" t="n">
        <f aca="false">IFERROR(D873*E873,0)</f>
        <v>6.714752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13</v>
      </c>
      <c r="E877" s="36" t="n">
        <v>61.566721</v>
      </c>
      <c r="F877" s="37" t="n">
        <v>800.367377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113.8438</v>
      </c>
      <c r="F878" s="22" t="n">
        <v>113.8438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0.325</v>
      </c>
      <c r="F879" s="37" t="n">
        <v>0.325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1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1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1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1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1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1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13</v>
      </c>
      <c r="E973" s="36" t="n">
        <v>0.209836</v>
      </c>
      <c r="F973" s="37" t="n">
        <f aca="false">IFERROR(D973*E973,0)</f>
        <v>2.727868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1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15</v>
      </c>
      <c r="E978" s="39" t="n">
        <v>23.6877</v>
      </c>
      <c r="F978" s="22" t="n">
        <v>355.3155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15</v>
      </c>
      <c r="E979" s="36" t="n">
        <v>0.3124</v>
      </c>
      <c r="F979" s="37" t="n">
        <v>4.686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7</v>
      </c>
      <c r="E980" s="39" t="n">
        <v>23.6877</v>
      </c>
      <c r="F980" s="22" t="n">
        <v>165.8139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7</v>
      </c>
      <c r="E981" s="36" t="n">
        <v>0.3124</v>
      </c>
      <c r="F981" s="37" t="n">
        <v>2.1868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2</v>
      </c>
      <c r="E998" s="39" t="n">
        <v>1.136364</v>
      </c>
      <c r="F998" s="22" t="n">
        <f aca="false">IFERROR(D998*E998,0)</f>
        <v>2.272728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5</v>
      </c>
      <c r="E999" s="36" t="n">
        <v>1.136364</v>
      </c>
      <c r="F999" s="37" t="n">
        <f aca="false">IFERROR(D999*E999,0)</f>
        <v>5.68182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10</v>
      </c>
      <c r="E1000" s="39" t="n">
        <v>1.136364</v>
      </c>
      <c r="F1000" s="22" t="n">
        <f aca="false">IFERROR(D1000*E1000,0)</f>
        <v>11.36364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4</v>
      </c>
      <c r="E1001" s="36" t="n">
        <v>1.136364</v>
      </c>
      <c r="F1001" s="37" t="n">
        <f aca="false">IFERROR(D1001*E1001,0)</f>
        <v>4.545456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8</v>
      </c>
      <c r="E1002" s="39" t="n">
        <v>1.136364</v>
      </c>
      <c r="F1002" s="22" t="n">
        <f aca="false">IFERROR(D1002*E1002,0)</f>
        <v>9.090912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3</v>
      </c>
      <c r="E1003" s="36" t="n">
        <v>1.136364</v>
      </c>
      <c r="F1003" s="37" t="n">
        <f aca="false">IFERROR(D1003*E1003,0)</f>
        <v>3.409092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2</v>
      </c>
      <c r="E1004" s="39" t="n">
        <v>1.136364</v>
      </c>
      <c r="F1004" s="22" t="n">
        <f aca="false">IFERROR(D1004*E1004,0)</f>
        <v>2.272728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5</v>
      </c>
      <c r="E1005" s="36" t="n">
        <v>1.136364</v>
      </c>
      <c r="F1005" s="37" t="n">
        <f aca="false">IFERROR(D1005*E1005,0)</f>
        <v>5.68182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1.136364</v>
      </c>
      <c r="F1006" s="22" t="n">
        <f aca="false">IFERROR(D1006*E1006,0)</f>
        <v>1.136364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42.554</v>
      </c>
      <c r="F1028" s="22" t="n">
        <v>42.554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 t="n">
        <v>1</v>
      </c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1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34.0432</v>
      </c>
      <c r="F1058" s="22" t="n">
        <v>34.0432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 t="n">
        <v>1</v>
      </c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1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28.298103</v>
      </c>
      <c r="F1072" s="22" t="n">
        <v>339.577241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102.1295</v>
      </c>
      <c r="F1073" s="37" t="n">
        <v>102.1295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 t="n">
        <v>1</v>
      </c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12</v>
      </c>
      <c r="E1081" s="36" t="n">
        <v>45.841293</v>
      </c>
      <c r="F1081" s="37" t="n">
        <f aca="false">IFERROR(D1081*E1081,0)</f>
        <v>550.095516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12</v>
      </c>
      <c r="E1083" s="36" t="n">
        <v>21.551724</v>
      </c>
      <c r="F1083" s="37" t="n">
        <f aca="false">IFERROR(D1083*E1083,0)</f>
        <v>258.620688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12</v>
      </c>
      <c r="E1084" s="39" t="n">
        <v>2.873534</v>
      </c>
      <c r="F1084" s="22" t="n">
        <f aca="false">IFERROR(D1084*E1084,0)</f>
        <v>34.482408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12</v>
      </c>
      <c r="E1085" s="36" t="n">
        <v>7.964052</v>
      </c>
      <c r="F1085" s="37" t="n">
        <f aca="false">IFERROR(D1085*E1085,0)</f>
        <v>95.568624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4</v>
      </c>
      <c r="E1116" s="39" t="n">
        <v>24.8613</v>
      </c>
      <c r="F1116" s="22" t="n">
        <v>99.4452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1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42.554</v>
      </c>
      <c r="F1129" s="37" t="n">
        <v>42.554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 t="n">
        <v>1</v>
      </c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1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8.5108</v>
      </c>
      <c r="F1145" s="37" t="n">
        <v>8.5108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 t="n">
        <v>1</v>
      </c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59.5756</v>
      </c>
      <c r="F1156" s="22" t="n">
        <v>59.5756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 t="n">
        <v>1</v>
      </c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1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17.0216</v>
      </c>
      <c r="F1172" s="22" t="n">
        <v>17.0216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 t="n">
        <v>1</v>
      </c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1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7</v>
      </c>
      <c r="E1188" s="39" t="n">
        <v>24.8613</v>
      </c>
      <c r="F1188" s="22" t="n">
        <v>174.0291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1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12</v>
      </c>
      <c r="E1204" s="39" t="n">
        <v>24.8613</v>
      </c>
      <c r="F1204" s="22" t="n">
        <v>298.3356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59.5756</v>
      </c>
      <c r="F1220" s="22" t="n">
        <v>59.5756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 t="n">
        <v>1</v>
      </c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1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4</v>
      </c>
      <c r="E1233" s="36" t="n">
        <v>0.6343</v>
      </c>
      <c r="F1233" s="37" t="n">
        <v>2.5372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13</v>
      </c>
      <c r="E1236" s="39" t="n">
        <v>24.8613</v>
      </c>
      <c r="F1236" s="22" t="n">
        <v>323.1969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7</v>
      </c>
      <c r="E1237" s="36" t="n">
        <v>0.6343</v>
      </c>
      <c r="F1237" s="37" t="n">
        <v>4.4401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34.0432</v>
      </c>
      <c r="F1269" s="37" t="n">
        <v>34.0432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 t="n">
        <v>1</v>
      </c>
      <c r="E1270" s="39" t="n">
        <v>0</v>
      </c>
      <c r="F1270" s="22" t="n"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1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28.298103</v>
      </c>
      <c r="F1281" s="37" t="n">
        <v>1160.222241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348.9425</v>
      </c>
      <c r="F1282" s="22" t="n">
        <v>348.9425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 t="n">
        <v>1</v>
      </c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41</v>
      </c>
      <c r="E1291" s="36" t="n">
        <v>45.841293</v>
      </c>
      <c r="F1291" s="37" t="n">
        <f aca="false">IFERROR(D1291*E1291,0)</f>
        <v>1879.493013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41</v>
      </c>
      <c r="E1293" s="36" t="n">
        <v>21.551724</v>
      </c>
      <c r="F1293" s="37" t="n">
        <f aca="false">IFERROR(D1293*E1293,0)</f>
        <v>883.620684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41</v>
      </c>
      <c r="E1294" s="39" t="n">
        <v>2.873534</v>
      </c>
      <c r="F1294" s="22" t="n">
        <f aca="false">IFERROR(D1294*E1294,0)</f>
        <v>117.814894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41</v>
      </c>
      <c r="E1295" s="36" t="n">
        <v>7.964052</v>
      </c>
      <c r="F1295" s="37" t="n">
        <f aca="false">IFERROR(D1295*E1295,0)</f>
        <v>326.526132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1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12</v>
      </c>
      <c r="E1318" s="39" t="n">
        <v>0.6343</v>
      </c>
      <c r="F1318" s="22" t="n">
        <v>7.6116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4</v>
      </c>
      <c r="E1321" s="36" t="n">
        <v>24.8613</v>
      </c>
      <c r="F1321" s="37" t="n">
        <v>99.4452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13</v>
      </c>
      <c r="E1322" s="39" t="n">
        <v>0.6343</v>
      </c>
      <c r="F1322" s="22" t="n">
        <v>8.2459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1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34.0432</v>
      </c>
      <c r="F1337" s="37" t="n">
        <v>34.0432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 t="n">
        <v>1</v>
      </c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1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28.298103</v>
      </c>
      <c r="F1354" s="22" t="n">
        <v>282.981034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85.1079</v>
      </c>
      <c r="F1355" s="37" t="n">
        <v>85.1079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 t="n">
        <v>1</v>
      </c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10</v>
      </c>
      <c r="E1365" s="36" t="n">
        <v>45.841293</v>
      </c>
      <c r="F1365" s="37" t="n">
        <f aca="false">IFERROR(D1365*E1365,0)</f>
        <v>458.41293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10</v>
      </c>
      <c r="E1367" s="36" t="n">
        <v>21.551724</v>
      </c>
      <c r="F1367" s="37" t="n">
        <f aca="false">IFERROR(D1367*E1367,0)</f>
        <v>215.51724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10</v>
      </c>
      <c r="E1368" s="39" t="n">
        <v>2.873534</v>
      </c>
      <c r="F1368" s="22" t="n">
        <f aca="false">IFERROR(D1368*E1368,0)</f>
        <v>28.73534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10</v>
      </c>
      <c r="E1369" s="36" t="n">
        <v>7.964052</v>
      </c>
      <c r="F1369" s="37" t="n">
        <f aca="false">IFERROR(D1369*E1369,0)</f>
        <v>79.64052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4</v>
      </c>
      <c r="E1378" s="39" t="n">
        <v>0.6343</v>
      </c>
      <c r="F1378" s="22" t="n">
        <v>2.5372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6</v>
      </c>
      <c r="E1381" s="36" t="n">
        <v>24.8613</v>
      </c>
      <c r="F1381" s="37" t="n">
        <v>149.1678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6</v>
      </c>
      <c r="E1382" s="39" t="n">
        <v>0.6343</v>
      </c>
      <c r="F1382" s="22" t="n">
        <v>3.8058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1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28.298103</v>
      </c>
      <c r="F1399" s="37" t="n">
        <v>254.682931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76.5971</v>
      </c>
      <c r="F1400" s="22" t="n">
        <v>76.5971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 t="n">
        <v>1</v>
      </c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1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9</v>
      </c>
      <c r="E1406" s="39" t="n">
        <v>45.841293</v>
      </c>
      <c r="F1406" s="22" t="n">
        <f aca="false">IFERROR(D1406*E1406,0)</f>
        <v>412.571637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9</v>
      </c>
      <c r="E1408" s="39" t="n">
        <v>21.551724</v>
      </c>
      <c r="F1408" s="22" t="n">
        <f aca="false">IFERROR(D1408*E1408,0)</f>
        <v>193.965516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9</v>
      </c>
      <c r="E1409" s="36" t="n">
        <v>2.873534</v>
      </c>
      <c r="F1409" s="37" t="n">
        <f aca="false">IFERROR(D1409*E1409,0)</f>
        <v>25.861806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9</v>
      </c>
      <c r="E1410" s="39" t="n">
        <v>7.964052</v>
      </c>
      <c r="F1410" s="22" t="n">
        <f aca="false">IFERROR(D1410*E1410,0)</f>
        <v>71.676468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28.298103</v>
      </c>
      <c r="F1420" s="22" t="n">
        <v>877.241207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263.8346</v>
      </c>
      <c r="F1421" s="37" t="n">
        <v>263.8346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 t="n">
        <v>1</v>
      </c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31</v>
      </c>
      <c r="E1426" s="39" t="n">
        <v>45.841293</v>
      </c>
      <c r="F1426" s="22" t="n">
        <f aca="false">IFERROR(D1426*E1426,0)</f>
        <v>1421.080083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31</v>
      </c>
      <c r="E1428" s="39" t="n">
        <v>21.551724</v>
      </c>
      <c r="F1428" s="22" t="n">
        <f aca="false">IFERROR(D1428*E1428,0)</f>
        <v>668.103444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31</v>
      </c>
      <c r="E1429" s="36" t="n">
        <v>2.873534</v>
      </c>
      <c r="F1429" s="37" t="n">
        <f aca="false">IFERROR(D1429*E1429,0)</f>
        <v>89.079554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31</v>
      </c>
      <c r="E1430" s="39" t="n">
        <v>7.964052</v>
      </c>
      <c r="F1430" s="22" t="n">
        <f aca="false">IFERROR(D1430*E1430,0)</f>
        <v>246.885612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13</v>
      </c>
      <c r="E1440" s="39" t="n">
        <v>28.298103</v>
      </c>
      <c r="F1440" s="22" t="n">
        <v>367.875345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110.6403</v>
      </c>
      <c r="F1441" s="37" t="n">
        <v>110.6403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 t="n">
        <v>1</v>
      </c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13</v>
      </c>
      <c r="E1447" s="36" t="n">
        <v>45.841293</v>
      </c>
      <c r="F1447" s="37" t="n">
        <f aca="false">IFERROR(D1447*E1447,0)</f>
        <v>595.936809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13</v>
      </c>
      <c r="E1449" s="36" t="n">
        <v>21.551724</v>
      </c>
      <c r="F1449" s="37" t="n">
        <f aca="false">IFERROR(D1449*E1449,0)</f>
        <v>280.172412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13</v>
      </c>
      <c r="E1450" s="39" t="n">
        <v>2.873534</v>
      </c>
      <c r="F1450" s="22" t="n">
        <f aca="false">IFERROR(D1450*E1450,0)</f>
        <v>37.355942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13</v>
      </c>
      <c r="E1451" s="36" t="n">
        <v>7.964052</v>
      </c>
      <c r="F1451" s="37" t="n">
        <f aca="false">IFERROR(D1451*E1451,0)</f>
        <v>103.532676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1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1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1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1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1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1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1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1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14</v>
      </c>
      <c r="E1541" s="36" t="n">
        <v>24.8613</v>
      </c>
      <c r="F1541" s="37" t="n">
        <v>348.0582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14</v>
      </c>
      <c r="E1542" s="39" t="n">
        <v>0.6343</v>
      </c>
      <c r="F1542" s="22" t="n">
        <v>8.8802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7</v>
      </c>
      <c r="E1543" s="36" t="n">
        <v>24.8613</v>
      </c>
      <c r="F1543" s="37" t="n">
        <v>174.0291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7</v>
      </c>
      <c r="E1544" s="39" t="n">
        <v>0.6343</v>
      </c>
      <c r="F1544" s="22" t="n">
        <v>4.4401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2</v>
      </c>
      <c r="E1561" s="36" t="n">
        <v>1.111111</v>
      </c>
      <c r="F1561" s="37" t="n">
        <f aca="false">IFERROR(D1561*E1561,0)</f>
        <v>2.222222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6</v>
      </c>
      <c r="E1562" s="39" t="n">
        <v>1.111111</v>
      </c>
      <c r="F1562" s="22" t="n">
        <f aca="false">IFERROR(D1562*E1562,0)</f>
        <v>6.666666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10</v>
      </c>
      <c r="E1563" s="36" t="n">
        <v>1.111111</v>
      </c>
      <c r="F1563" s="37" t="n">
        <f aca="false">IFERROR(D1563*E1563,0)</f>
        <v>11.11111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5</v>
      </c>
      <c r="E1564" s="39" t="n">
        <v>1.111111</v>
      </c>
      <c r="F1564" s="22" t="n">
        <f aca="false">IFERROR(D1564*E1564,0)</f>
        <v>5.555555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7</v>
      </c>
      <c r="E1565" s="36" t="n">
        <v>1.111111</v>
      </c>
      <c r="F1565" s="37" t="n">
        <f aca="false">IFERROR(D1565*E1565,0)</f>
        <v>7.777777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4</v>
      </c>
      <c r="E1566" s="39" t="n">
        <v>1.111111</v>
      </c>
      <c r="F1566" s="22" t="n">
        <f aca="false">IFERROR(D1566*E1566,0)</f>
        <v>4.444444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3</v>
      </c>
      <c r="E1567" s="36" t="n">
        <v>1.111111</v>
      </c>
      <c r="F1567" s="37" t="n">
        <f aca="false">IFERROR(D1567*E1567,0)</f>
        <v>3.333333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2</v>
      </c>
      <c r="E1568" s="39" t="n">
        <v>1.111111</v>
      </c>
      <c r="F1568" s="22" t="n">
        <f aca="false">IFERROR(D1568*E1568,0)</f>
        <v>2.222222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5</v>
      </c>
      <c r="E1569" s="36" t="n">
        <v>1.111111</v>
      </c>
      <c r="F1569" s="37" t="n">
        <f aca="false">IFERROR(D1569*E1569,0)</f>
        <v>5.555555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1.111111</v>
      </c>
      <c r="F1570" s="22" t="n">
        <f aca="false">IFERROR(D1570*E1570,0)</f>
        <v>1.111111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1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1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1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1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1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1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17.0216</v>
      </c>
      <c r="F1645" s="1" t="n">
        <v>17.0216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102.1295</v>
      </c>
      <c r="F1646" s="1" t="n">
        <v>102.1295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93.6187</v>
      </c>
      <c r="F1647" s="1" t="n">
        <v>93.6187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51.0648</v>
      </c>
      <c r="F1648" s="1" t="n">
        <v>51.0648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25.5324</v>
      </c>
      <c r="F1649" s="1" t="n">
        <v>25.5324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17.5144</v>
      </c>
      <c r="F1650" s="1" t="n">
        <v>17.5144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105.0866</v>
      </c>
      <c r="F1652" s="1" t="n">
        <v>105.0866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</v>
      </c>
      <c r="F1653" s="1" t="n">
        <v>0.3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96.3294</v>
      </c>
      <c r="F1654" s="1" t="n">
        <v>96.3294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0.275</v>
      </c>
      <c r="F1655" s="1" t="n">
        <v>0.275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43.7861</v>
      </c>
      <c r="F1656" s="1" t="n">
        <v>43.7861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0.125</v>
      </c>
      <c r="F1657" s="1" t="n">
        <v>0.125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26.2716</v>
      </c>
      <c r="F1658" s="1" t="n">
        <v>26.2716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0.075</v>
      </c>
      <c r="F1659" s="1" t="n">
        <v>0.075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16.546</v>
      </c>
      <c r="F1660" s="1" t="n">
        <v>16.546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0.0485</v>
      </c>
      <c r="F1661" s="1" t="n">
        <v>0.0485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99.276</v>
      </c>
      <c r="F1662" s="1" t="n">
        <v>99.276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0.291</v>
      </c>
      <c r="F1663" s="1" t="n">
        <v>0.291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91.003</v>
      </c>
      <c r="F1664" s="1" t="n">
        <v>91.003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0.2667</v>
      </c>
      <c r="F1665" s="1" t="n">
        <v>0.2667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57.911</v>
      </c>
      <c r="F1666" s="1" t="n">
        <v>57.911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0.1697</v>
      </c>
      <c r="F1667" s="1" t="n">
        <v>0.1697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24.819</v>
      </c>
      <c r="F1668" s="1" t="n">
        <v>24.819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0.0727</v>
      </c>
      <c r="F1669" s="1" t="n">
        <v>0.0727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  <row r="1710" customFormat="false" ht="14.25" hidden="false" customHeight="false" outlineLevel="0" collapsed="false">
      <c r="A1710" s="1" t="s">
        <v>51</v>
      </c>
      <c r="B1710" s="1" t="s">
        <v>145</v>
      </c>
      <c r="C1710" s="1" t="s">
        <v>174</v>
      </c>
      <c r="D1710" s="42" t="n">
        <v>13</v>
      </c>
      <c r="E1710" s="43" t="n">
        <v>55.342787</v>
      </c>
      <c r="F1710" s="43" t="n">
        <f aca="false">IFERROR(D1710*E1710,0)</f>
        <v>719.456231</v>
      </c>
      <c r="G1710" s="1" t="str">
        <f aca="false">INDEX(SETORES!$B:$B,MATCH(A1710,SETORES!$A:$A,0))</f>
        <v>Clientes</v>
      </c>
      <c r="H1710" s="1" t="s">
        <v>11</v>
      </c>
    </row>
    <row r="1711" customFormat="false" ht="14.25" hidden="false" customHeight="false" outlineLevel="0" collapsed="false">
      <c r="A1711" s="1" t="s">
        <v>51</v>
      </c>
      <c r="B1711" s="1" t="s">
        <v>145</v>
      </c>
      <c r="C1711" s="1" t="s">
        <v>174</v>
      </c>
      <c r="D1711" s="42" t="n">
        <v>13</v>
      </c>
      <c r="E1711" s="43" t="n">
        <v>55.342787</v>
      </c>
      <c r="F1711" s="43" t="n">
        <f aca="false">IFERROR(D1711*E1711,0)</f>
        <v>719.456231</v>
      </c>
      <c r="G1711" s="1" t="str">
        <f aca="false">INDEX(SETORES!$B:$B,MATCH(A1711,SETORES!$A:$A,0))</f>
        <v>Clientes</v>
      </c>
      <c r="H1711" s="1" t="s">
        <v>21</v>
      </c>
    </row>
    <row r="1712" customFormat="false" ht="14.25" hidden="false" customHeight="false" outlineLevel="0" collapsed="false">
      <c r="A1712" s="1" t="s">
        <v>38</v>
      </c>
      <c r="B1712" s="1" t="s">
        <v>145</v>
      </c>
      <c r="C1712" s="1" t="s">
        <v>226</v>
      </c>
      <c r="D1712" s="42" t="n">
        <v>11</v>
      </c>
      <c r="E1712" s="43" t="n">
        <v>114.754098</v>
      </c>
      <c r="F1712" s="43" t="n">
        <f aca="false">IFERROR(D1712*E1712,0)</f>
        <v>1262.295078</v>
      </c>
      <c r="G1712" s="1" t="str">
        <f aca="false">INDEX(SETORES!$B:$B,MATCH(A1712,SETORES!$A:$A,0))</f>
        <v>Clientes</v>
      </c>
      <c r="H1712" s="1" t="s">
        <v>11</v>
      </c>
    </row>
    <row r="1713" customFormat="false" ht="14.25" hidden="false" customHeight="false" outlineLevel="0" collapsed="false">
      <c r="A1713" s="1" t="s">
        <v>37</v>
      </c>
      <c r="B1713" s="1" t="s">
        <v>145</v>
      </c>
      <c r="C1713" s="1" t="s">
        <v>226</v>
      </c>
      <c r="D1713" s="42" t="n">
        <v>44</v>
      </c>
      <c r="E1713" s="43" t="n">
        <v>114.754098</v>
      </c>
      <c r="F1713" s="43" t="n">
        <f aca="false">IFERROR(D1713*E1713,0)</f>
        <v>5049.180312</v>
      </c>
      <c r="G1713" s="1" t="str">
        <f aca="false">INDEX(SETORES!$B:$B,MATCH(A1713,SETORES!$A:$A,0))</f>
        <v>Clientes</v>
      </c>
      <c r="H1713" s="1" t="s">
        <v>11</v>
      </c>
    </row>
    <row r="1714" customFormat="false" ht="14.25" hidden="false" customHeight="false" outlineLevel="0" collapsed="false">
      <c r="A1714" s="1" t="s">
        <v>39</v>
      </c>
      <c r="B1714" s="1" t="s">
        <v>145</v>
      </c>
      <c r="C1714" s="1" t="s">
        <v>226</v>
      </c>
      <c r="D1714" s="42" t="n">
        <v>14</v>
      </c>
      <c r="E1714" s="43" t="n">
        <v>114.754098</v>
      </c>
      <c r="F1714" s="43" t="n">
        <f aca="false">IFERROR(D1714*E1714,0)</f>
        <v>1606.557372</v>
      </c>
      <c r="G1714" s="1" t="str">
        <f aca="false">INDEX(SETORES!$B:$B,MATCH(A1714,SETORES!$A:$A,0))</f>
        <v>Clientes</v>
      </c>
      <c r="H1714" s="1" t="s">
        <v>11</v>
      </c>
    </row>
    <row r="1715" customFormat="false" ht="14.25" hidden="false" customHeight="false" outlineLevel="0" collapsed="false">
      <c r="A1715" s="1" t="s">
        <v>52</v>
      </c>
      <c r="B1715" s="1" t="s">
        <v>145</v>
      </c>
      <c r="C1715" s="1" t="s">
        <v>226</v>
      </c>
      <c r="D1715" s="42" t="n">
        <v>8</v>
      </c>
      <c r="E1715" s="43" t="n">
        <v>114.754098</v>
      </c>
      <c r="F1715" s="43" t="n">
        <f aca="false">IFERROR(D1715*E1715,0)</f>
        <v>918.032784</v>
      </c>
      <c r="G1715" s="1" t="str">
        <f aca="false">INDEX(SETORES!$B:$B,MATCH(A1715,SETORES!$A:$A,0))</f>
        <v>Clientes</v>
      </c>
      <c r="H1715" s="1" t="s">
        <v>11</v>
      </c>
    </row>
    <row r="1716" customFormat="false" ht="14.25" hidden="false" customHeight="false" outlineLevel="0" collapsed="false">
      <c r="A1716" s="1" t="s">
        <v>53</v>
      </c>
      <c r="B1716" s="1" t="s">
        <v>145</v>
      </c>
      <c r="C1716" s="1" t="s">
        <v>226</v>
      </c>
      <c r="D1716" s="42" t="n">
        <v>32</v>
      </c>
      <c r="E1716" s="43" t="n">
        <v>114.754098</v>
      </c>
      <c r="F1716" s="43" t="n">
        <f aca="false">IFERROR(D1716*E1716,0)</f>
        <v>3672.131136</v>
      </c>
      <c r="G1716" s="1" t="str">
        <f aca="false">INDEX(SETORES!$B:$B,MATCH(A1716,SETORES!$A:$A,0))</f>
        <v>Clientes</v>
      </c>
      <c r="H1716" s="1" t="s">
        <v>11</v>
      </c>
    </row>
    <row r="1717" customFormat="false" ht="14.25" hidden="false" customHeight="false" outlineLevel="0" collapsed="false">
      <c r="A1717" s="1" t="s">
        <v>51</v>
      </c>
      <c r="B1717" s="1" t="s">
        <v>145</v>
      </c>
      <c r="C1717" s="1" t="s">
        <v>226</v>
      </c>
      <c r="D1717" s="42" t="n">
        <v>13</v>
      </c>
      <c r="E1717" s="43" t="n">
        <v>114.754098</v>
      </c>
      <c r="F1717" s="43" t="n">
        <f aca="false">IFERROR(D1717*E1717,0)</f>
        <v>1491.803274</v>
      </c>
      <c r="G1717" s="1" t="str">
        <f aca="false">INDEX(SETORES!$B:$B,MATCH(A1717,SETORES!$A:$A,0))</f>
        <v>Clientes</v>
      </c>
      <c r="H1717" s="1" t="s">
        <v>11</v>
      </c>
    </row>
    <row r="1718" customFormat="false" ht="14.25" hidden="false" customHeight="false" outlineLevel="0" collapsed="false">
      <c r="A1718" s="1" t="s">
        <v>38</v>
      </c>
      <c r="B1718" s="1" t="s">
        <v>145</v>
      </c>
      <c r="C1718" s="1" t="s">
        <v>228</v>
      </c>
      <c r="D1718" s="42" t="n">
        <v>11</v>
      </c>
      <c r="E1718" s="43" t="n">
        <v>45.434426</v>
      </c>
      <c r="F1718" s="43" t="n">
        <f aca="false">IFERROR(D1718*E1718,0)</f>
        <v>499.778686</v>
      </c>
      <c r="G1718" s="1" t="str">
        <f aca="false">INDEX(SETORES!$B:$B,MATCH(A1718,SETORES!$A:$A,0))</f>
        <v>Clientes</v>
      </c>
      <c r="H1718" s="1" t="s">
        <v>11</v>
      </c>
    </row>
    <row r="1719" customFormat="false" ht="14.25" hidden="false" customHeight="false" outlineLevel="0" collapsed="false">
      <c r="A1719" s="1" t="s">
        <v>37</v>
      </c>
      <c r="B1719" s="1" t="s">
        <v>145</v>
      </c>
      <c r="C1719" s="1" t="s">
        <v>228</v>
      </c>
      <c r="D1719" s="42" t="n">
        <v>44</v>
      </c>
      <c r="E1719" s="43" t="n">
        <v>45.434426</v>
      </c>
      <c r="F1719" s="43" t="n">
        <f aca="false">IFERROR(D1719*E1719,0)</f>
        <v>1999.114744</v>
      </c>
      <c r="G1719" s="1" t="str">
        <f aca="false">INDEX(SETORES!$B:$B,MATCH(A1719,SETORES!$A:$A,0))</f>
        <v>Clientes</v>
      </c>
      <c r="H1719" s="1" t="s">
        <v>11</v>
      </c>
    </row>
    <row r="1720" customFormat="false" ht="14.25" hidden="false" customHeight="false" outlineLevel="0" collapsed="false">
      <c r="A1720" s="1" t="s">
        <v>39</v>
      </c>
      <c r="B1720" s="1" t="s">
        <v>145</v>
      </c>
      <c r="C1720" s="1" t="s">
        <v>228</v>
      </c>
      <c r="D1720" s="42" t="n">
        <v>14</v>
      </c>
      <c r="E1720" s="43" t="n">
        <v>45.434426</v>
      </c>
      <c r="F1720" s="43" t="n">
        <f aca="false">IFERROR(D1720*E1720,0)</f>
        <v>636.081964</v>
      </c>
      <c r="G1720" s="1" t="str">
        <f aca="false">INDEX(SETORES!$B:$B,MATCH(A1720,SETORES!$A:$A,0))</f>
        <v>Clientes</v>
      </c>
      <c r="H1720" s="1" t="s">
        <v>11</v>
      </c>
    </row>
    <row r="1721" customFormat="false" ht="14.25" hidden="false" customHeight="false" outlineLevel="0" collapsed="false">
      <c r="A1721" s="1" t="s">
        <v>52</v>
      </c>
      <c r="B1721" s="1" t="s">
        <v>145</v>
      </c>
      <c r="C1721" s="1" t="s">
        <v>228</v>
      </c>
      <c r="D1721" s="42" t="n">
        <v>8</v>
      </c>
      <c r="E1721" s="43" t="n">
        <v>45.434426</v>
      </c>
      <c r="F1721" s="43" t="n">
        <f aca="false">IFERROR(D1721*E1721,0)</f>
        <v>363.475408</v>
      </c>
      <c r="G1721" s="1" t="str">
        <f aca="false">INDEX(SETORES!$B:$B,MATCH(A1721,SETORES!$A:$A,0))</f>
        <v>Clientes</v>
      </c>
      <c r="H1721" s="1" t="s">
        <v>11</v>
      </c>
    </row>
    <row r="1722" customFormat="false" ht="14.25" hidden="false" customHeight="false" outlineLevel="0" collapsed="false">
      <c r="A1722" s="1" t="s">
        <v>53</v>
      </c>
      <c r="B1722" s="1" t="s">
        <v>145</v>
      </c>
      <c r="C1722" s="1" t="s">
        <v>228</v>
      </c>
      <c r="D1722" s="42" t="n">
        <v>32</v>
      </c>
      <c r="E1722" s="43" t="n">
        <v>45.434426</v>
      </c>
      <c r="F1722" s="43" t="n">
        <f aca="false">IFERROR(D1722*E1722,0)</f>
        <v>1453.901632</v>
      </c>
      <c r="G1722" s="1" t="str">
        <f aca="false">INDEX(SETORES!$B:$B,MATCH(A1722,SETORES!$A:$A,0))</f>
        <v>Clientes</v>
      </c>
      <c r="H1722" s="1" t="s">
        <v>11</v>
      </c>
    </row>
    <row r="1723" customFormat="false" ht="14.25" hidden="false" customHeight="false" outlineLevel="0" collapsed="false">
      <c r="A1723" s="1" t="s">
        <v>51</v>
      </c>
      <c r="B1723" s="1" t="s">
        <v>145</v>
      </c>
      <c r="C1723" s="1" t="s">
        <v>228</v>
      </c>
      <c r="D1723" s="42" t="n">
        <v>13</v>
      </c>
      <c r="E1723" s="43" t="n">
        <v>45.434426</v>
      </c>
      <c r="F1723" s="43" t="n">
        <f aca="false">IFERROR(D1723*E1723,0)</f>
        <v>590.647538</v>
      </c>
      <c r="G1723" s="1" t="str">
        <f aca="false">INDEX(SETORES!$B:$B,MATCH(A1723,SETORES!$A:$A,0))</f>
        <v>Clientes</v>
      </c>
      <c r="H1723" s="1" t="s">
        <v>11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76326.1021355838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76326.1021355838</v>
      </c>
      <c r="F4" s="11" t="n">
        <f aca="false">IFERROR(B4/B$12,0)</f>
        <v>0.0318465130116434</v>
      </c>
      <c r="G4" s="44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151267.477835861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151267.477835861</v>
      </c>
      <c r="F5" s="16" t="n">
        <f aca="false">IFERROR(B5/B$12,0)</f>
        <v>0.0631152589527081</v>
      </c>
      <c r="G5" s="45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172430.679239299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172430.679239299</v>
      </c>
      <c r="F6" s="11" t="n">
        <f aca="false">IFERROR(B6/B$12,0)</f>
        <v>0.0719454513771214</v>
      </c>
      <c r="G6" s="44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44271.8460071713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44271.8460071713</v>
      </c>
      <c r="F7" s="16" t="n">
        <f aca="false">IFERROR(B7/B$12,0)</f>
        <v>0.0184721069263086</v>
      </c>
      <c r="G7" s="45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81410.0374731538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81410.0374731538</v>
      </c>
      <c r="F8" s="11" t="n">
        <f aca="false">IFERROR(B8/B$12,0)</f>
        <v>0.0339677481900189</v>
      </c>
      <c r="G8" s="44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54852.0429302531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54852.0429302531</v>
      </c>
      <c r="F9" s="16" t="n">
        <f aca="false">IFERROR(B9/B$12,0)</f>
        <v>0.0228866174220514</v>
      </c>
      <c r="G9" s="45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57855.4603132662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57855.4603132662</v>
      </c>
      <c r="F10" s="11" t="n">
        <f aca="false">IFERROR(B10/B$12,0)</f>
        <v>0.0241397715605612</v>
      </c>
      <c r="G10" s="44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1758272.67597695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1758272.67597695</v>
      </c>
      <c r="F11" s="16" t="n">
        <f aca="false">IFERROR(B11/B$12,0)</f>
        <v>0.733626532559587</v>
      </c>
      <c r="G11" s="45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2396686.32191154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2396686.32191154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64932.5118473422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64932.5118473422</v>
      </c>
      <c r="F14" s="11" t="n">
        <f aca="false">IFERROR(B14/B$22,0)</f>
        <v>0.0316573902186568</v>
      </c>
      <c r="G14" s="44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131501.350777434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131501.350777434</v>
      </c>
      <c r="F15" s="16" t="n">
        <f aca="false">IFERROR(B15/B$22,0)</f>
        <v>0.064112560216814</v>
      </c>
      <c r="G15" s="45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148974.088877577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148974.088877577</v>
      </c>
      <c r="F16" s="11" t="n">
        <f aca="false">IFERROR(B16/B$22,0)</f>
        <v>0.0726312709903175</v>
      </c>
      <c r="G16" s="44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37996.5524144823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37996.5524144823</v>
      </c>
      <c r="F17" s="16" t="n">
        <f aca="false">IFERROR(B17/B$22,0)</f>
        <v>0.01852495233169</v>
      </c>
      <c r="G17" s="45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70629.851761362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70629.851761362</v>
      </c>
      <c r="F18" s="11" t="n">
        <f aca="false">IFERROR(B18/B$22,0)</f>
        <v>0.0344350882890856</v>
      </c>
      <c r="G18" s="44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47416.9295181972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47416.9295181972</v>
      </c>
      <c r="F19" s="16" t="n">
        <f aca="false">IFERROR(B19/B$22,0)</f>
        <v>0.0231177910421397</v>
      </c>
      <c r="G19" s="45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50776.0452828193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50776.0452828193</v>
      </c>
      <c r="F20" s="11" t="n">
        <f aca="false">IFERROR(B20/B$22,0)</f>
        <v>0.0247555043466903</v>
      </c>
      <c r="G20" s="44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1498873.89419076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1498873.89419076</v>
      </c>
      <c r="F21" s="16" t="n">
        <f aca="false">IFERROR(B21/B$22,0)</f>
        <v>0.730765442564606</v>
      </c>
      <c r="G21" s="45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2051101.22466997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2051101.22466997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95909.1143627302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95909.1143627302</v>
      </c>
      <c r="F24" s="11" t="n">
        <f aca="false">IFERROR(B24/B$32,0)</f>
        <v>0.031831492116744</v>
      </c>
      <c r="G24" s="44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179697.575788057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179697.575788057</v>
      </c>
      <c r="F25" s="16" t="n">
        <f aca="false">IFERROR(B25/B$32,0)</f>
        <v>0.0596402334137111</v>
      </c>
      <c r="G25" s="45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213034.168837483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213034.168837483</v>
      </c>
      <c r="F26" s="11" t="n">
        <f aca="false">IFERROR(B26/B$32,0)</f>
        <v>0.070704390411748</v>
      </c>
      <c r="G26" s="44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54344.7363680392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54344.7363680392</v>
      </c>
      <c r="F27" s="16" t="n">
        <f aca="false">IFERROR(B27/B$32,0)</f>
        <v>0.0180365970302192</v>
      </c>
      <c r="G27" s="45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99601.6682887345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99601.6682887345</v>
      </c>
      <c r="F28" s="11" t="n">
        <f aca="false">IFERROR(B28/B$32,0)</f>
        <v>0.0330570221611747</v>
      </c>
      <c r="G28" s="44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68270.1650822643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68270.1650822643</v>
      </c>
      <c r="F29" s="16" t="n">
        <f aca="false">IFERROR(B29/B$32,0)</f>
        <v>0.0226583389499985</v>
      </c>
      <c r="G29" s="45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71834.3448513894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71834.3448513894</v>
      </c>
      <c r="F30" s="11" t="n">
        <f aca="false">IFERROR(B30/B$32,0)</f>
        <v>0.0238412626061849</v>
      </c>
      <c r="G30" s="44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2230334.2577169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2230334.2577169</v>
      </c>
      <c r="F31" s="16" t="n">
        <f aca="false">IFERROR(B31/B$32,0)</f>
        <v>0.74023066331022</v>
      </c>
      <c r="G31" s="45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3013026.03129559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3013026.03129559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6" t="s">
        <v>248</v>
      </c>
      <c r="B1" s="46"/>
      <c r="C1" s="46"/>
      <c r="D1" s="46"/>
      <c r="E1" s="46"/>
      <c r="F1" s="46"/>
      <c r="G1" s="46"/>
      <c r="H1" s="46"/>
      <c r="I1" s="46"/>
      <c r="J1" s="47"/>
      <c r="K1" s="47"/>
      <c r="L1" s="47"/>
      <c r="M1" s="47"/>
      <c r="N1" s="47"/>
      <c r="O1" s="47"/>
    </row>
    <row r="2" customFormat="false" ht="60" hidden="false" customHeight="true" outlineLevel="0" collapsed="false">
      <c r="A2" s="48" t="s">
        <v>249</v>
      </c>
      <c r="B2" s="48"/>
      <c r="C2" s="48"/>
      <c r="D2" s="48"/>
      <c r="E2" s="48"/>
      <c r="F2" s="48"/>
      <c r="G2" s="48"/>
      <c r="H2" s="48"/>
      <c r="I2" s="48"/>
      <c r="J2" s="47"/>
      <c r="K2" s="47"/>
      <c r="L2" s="47"/>
      <c r="M2" s="47"/>
      <c r="N2" s="47"/>
      <c r="O2" s="47"/>
    </row>
    <row r="3" customFormat="false" ht="15" hidden="false" customHeight="true" outlineLevel="0" collapsed="false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customFormat="false" ht="15" hidden="false" customHeight="true" outlineLevel="0" collapsed="false">
      <c r="A4" s="49" t="s">
        <v>250</v>
      </c>
      <c r="B4" s="49"/>
      <c r="C4" s="49"/>
      <c r="D4" s="49"/>
      <c r="E4" s="49"/>
      <c r="F4" s="49"/>
      <c r="G4" s="49"/>
      <c r="H4" s="49"/>
      <c r="I4" s="49"/>
      <c r="J4" s="47"/>
      <c r="K4" s="47"/>
      <c r="L4" s="47"/>
      <c r="M4" s="47"/>
      <c r="N4" s="47"/>
      <c r="O4" s="47"/>
    </row>
    <row r="5" customFormat="false" ht="15" hidden="false" customHeight="true" outlineLevel="0" collapsed="false">
      <c r="A5" s="50" t="s">
        <v>251</v>
      </c>
      <c r="B5" s="50" t="s">
        <v>3</v>
      </c>
      <c r="C5" s="50" t="s">
        <v>252</v>
      </c>
      <c r="D5" s="50" t="s">
        <v>253</v>
      </c>
      <c r="E5" s="50" t="s">
        <v>254</v>
      </c>
      <c r="F5" s="50" t="s">
        <v>255</v>
      </c>
      <c r="G5" s="47"/>
      <c r="H5" s="47"/>
      <c r="I5" s="47"/>
      <c r="J5" s="47"/>
      <c r="K5" s="47"/>
      <c r="L5" s="47"/>
      <c r="M5" s="47"/>
      <c r="N5" s="47"/>
      <c r="O5" s="47"/>
    </row>
    <row r="6" customFormat="false" ht="15" hidden="false" customHeight="true" outlineLevel="0" collapsed="false">
      <c r="A6" s="51" t="s">
        <v>256</v>
      </c>
      <c r="B6" s="51" t="s">
        <v>257</v>
      </c>
      <c r="C6" s="51" t="n">
        <v>39</v>
      </c>
      <c r="D6" s="51" t="n">
        <v>33</v>
      </c>
      <c r="E6" s="51" t="n">
        <v>2</v>
      </c>
      <c r="F6" s="51" t="s">
        <v>258</v>
      </c>
      <c r="G6" s="47"/>
      <c r="H6" s="47"/>
      <c r="I6" s="47"/>
      <c r="J6" s="47"/>
      <c r="K6" s="47"/>
      <c r="L6" s="47"/>
      <c r="M6" s="47"/>
      <c r="N6" s="47"/>
      <c r="O6" s="47"/>
    </row>
    <row r="7" customFormat="false" ht="15" hidden="false" customHeight="true" outlineLevel="0" collapsed="false">
      <c r="A7" s="51" t="s">
        <v>259</v>
      </c>
      <c r="B7" s="51" t="s">
        <v>257</v>
      </c>
      <c r="C7" s="51" t="n">
        <v>9</v>
      </c>
      <c r="D7" s="51" t="n">
        <v>9</v>
      </c>
      <c r="E7" s="51" t="n">
        <v>0</v>
      </c>
      <c r="F7" s="51" t="s">
        <v>260</v>
      </c>
      <c r="G7" s="47"/>
      <c r="H7" s="47"/>
      <c r="I7" s="47"/>
      <c r="J7" s="47"/>
      <c r="K7" s="47"/>
      <c r="L7" s="47"/>
      <c r="M7" s="47"/>
      <c r="N7" s="47"/>
      <c r="O7" s="47"/>
    </row>
    <row r="8" customFormat="false" ht="15" hidden="false" customHeight="true" outlineLevel="0" collapsed="false">
      <c r="A8" s="51" t="s">
        <v>261</v>
      </c>
      <c r="B8" s="51" t="s">
        <v>257</v>
      </c>
      <c r="C8" s="51" t="n">
        <v>7</v>
      </c>
      <c r="D8" s="51" t="n">
        <v>6</v>
      </c>
      <c r="E8" s="51" t="n">
        <v>1</v>
      </c>
      <c r="F8" s="51" t="s">
        <v>260</v>
      </c>
      <c r="G8" s="47"/>
      <c r="H8" s="47"/>
      <c r="I8" s="47"/>
      <c r="J8" s="47"/>
      <c r="K8" s="47"/>
      <c r="L8" s="47"/>
      <c r="M8" s="47"/>
      <c r="N8" s="47"/>
      <c r="O8" s="47"/>
    </row>
    <row r="9" customFormat="false" ht="15" hidden="false" customHeight="true" outlineLevel="0" collapsed="false">
      <c r="A9" s="51" t="s">
        <v>262</v>
      </c>
      <c r="B9" s="51" t="s">
        <v>257</v>
      </c>
      <c r="C9" s="51" t="n">
        <v>11</v>
      </c>
      <c r="D9" s="51" t="n">
        <v>8</v>
      </c>
      <c r="E9" s="51" t="n">
        <v>1</v>
      </c>
      <c r="F9" s="51" t="s">
        <v>263</v>
      </c>
      <c r="G9" s="47"/>
      <c r="H9" s="47"/>
      <c r="I9" s="47"/>
      <c r="J9" s="47"/>
      <c r="K9" s="47"/>
      <c r="L9" s="47"/>
      <c r="M9" s="47"/>
      <c r="N9" s="47"/>
      <c r="O9" s="47"/>
    </row>
    <row r="10" customFormat="false" ht="15" hidden="false" customHeight="true" outlineLevel="0" collapsed="false">
      <c r="A10" s="51" t="s">
        <v>262</v>
      </c>
      <c r="B10" s="51" t="s">
        <v>264</v>
      </c>
      <c r="C10" s="51" t="n">
        <v>2</v>
      </c>
      <c r="D10" s="51" t="n">
        <v>1</v>
      </c>
      <c r="E10" s="51" t="n">
        <v>1</v>
      </c>
      <c r="F10" s="51" t="s">
        <v>260</v>
      </c>
      <c r="G10" s="47"/>
      <c r="H10" s="47"/>
      <c r="I10" s="47"/>
      <c r="J10" s="47"/>
      <c r="K10" s="47"/>
      <c r="L10" s="47"/>
      <c r="M10" s="47"/>
      <c r="N10" s="47"/>
      <c r="O10" s="47"/>
    </row>
    <row r="11" customFormat="false" ht="15" hidden="false" customHeight="true" outlineLevel="0" collapsed="false">
      <c r="A11" s="51" t="s">
        <v>265</v>
      </c>
      <c r="B11" s="51" t="s">
        <v>257</v>
      </c>
      <c r="C11" s="51" t="n">
        <v>18</v>
      </c>
      <c r="D11" s="51" t="n">
        <v>14</v>
      </c>
      <c r="E11" s="51" t="n">
        <v>2</v>
      </c>
      <c r="F11" s="51" t="s">
        <v>263</v>
      </c>
      <c r="G11" s="47"/>
      <c r="H11" s="47"/>
      <c r="I11" s="47"/>
      <c r="J11" s="47"/>
      <c r="K11" s="47"/>
      <c r="L11" s="47"/>
      <c r="M11" s="47"/>
      <c r="N11" s="47"/>
      <c r="O11" s="47"/>
    </row>
    <row r="12" customFormat="false" ht="15" hidden="false" customHeight="true" outlineLevel="0" collapsed="false">
      <c r="A12" s="51" t="s">
        <v>265</v>
      </c>
      <c r="B12" s="51" t="s">
        <v>266</v>
      </c>
      <c r="C12" s="51" t="n">
        <v>2</v>
      </c>
      <c r="D12" s="51" t="n">
        <v>1</v>
      </c>
      <c r="E12" s="51" t="n">
        <v>1</v>
      </c>
      <c r="F12" s="51" t="s">
        <v>260</v>
      </c>
      <c r="G12" s="47"/>
      <c r="H12" s="47"/>
      <c r="I12" s="47"/>
      <c r="J12" s="47"/>
      <c r="K12" s="47"/>
      <c r="L12" s="47"/>
      <c r="M12" s="47"/>
      <c r="N12" s="47"/>
      <c r="O12" s="47"/>
    </row>
    <row r="13" customFormat="false" ht="15" hidden="false" customHeight="true" outlineLevel="0" collapsed="false">
      <c r="A13" s="51" t="s">
        <v>265</v>
      </c>
      <c r="B13" s="51" t="s">
        <v>267</v>
      </c>
      <c r="C13" s="51" t="n">
        <v>5</v>
      </c>
      <c r="D13" s="51" t="n">
        <v>5</v>
      </c>
      <c r="E13" s="51" t="n">
        <v>0</v>
      </c>
      <c r="F13" s="51" t="s">
        <v>260</v>
      </c>
      <c r="G13" s="47"/>
      <c r="H13" s="47"/>
      <c r="I13" s="47"/>
      <c r="J13" s="47"/>
      <c r="K13" s="47"/>
      <c r="L13" s="47"/>
      <c r="M13" s="47"/>
      <c r="N13" s="47"/>
      <c r="O13" s="47"/>
    </row>
    <row r="14" customFormat="false" ht="15" hidden="false" customHeight="true" outlineLevel="0" collapsed="false">
      <c r="A14" s="51" t="s">
        <v>268</v>
      </c>
      <c r="B14" s="51" t="s">
        <v>269</v>
      </c>
      <c r="C14" s="51" t="n">
        <v>8</v>
      </c>
      <c r="D14" s="51" t="n">
        <v>7</v>
      </c>
      <c r="E14" s="51" t="n">
        <v>0</v>
      </c>
      <c r="F14" s="51" t="s">
        <v>270</v>
      </c>
      <c r="G14" s="47"/>
      <c r="H14" s="47"/>
      <c r="I14" s="47"/>
      <c r="J14" s="47"/>
      <c r="K14" s="47"/>
      <c r="L14" s="47"/>
      <c r="M14" s="47"/>
      <c r="N14" s="47"/>
      <c r="O14" s="47"/>
    </row>
    <row r="15" customFormat="false" ht="15" hidden="false" customHeight="true" outlineLevel="0" collapsed="false">
      <c r="A15" s="51" t="s">
        <v>268</v>
      </c>
      <c r="B15" s="51" t="s">
        <v>271</v>
      </c>
      <c r="C15" s="51" t="n">
        <v>2</v>
      </c>
      <c r="D15" s="51" t="n">
        <v>1</v>
      </c>
      <c r="E15" s="51" t="n">
        <v>0</v>
      </c>
      <c r="F15" s="51" t="s">
        <v>270</v>
      </c>
      <c r="G15" s="47"/>
      <c r="H15" s="47"/>
      <c r="I15" s="47"/>
      <c r="J15" s="47"/>
      <c r="K15" s="47"/>
      <c r="L15" s="47"/>
      <c r="M15" s="47"/>
      <c r="N15" s="47"/>
      <c r="O15" s="47"/>
    </row>
    <row r="16" customFormat="false" ht="15" hidden="false" customHeight="true" outlineLevel="0" collapsed="false">
      <c r="A16" s="51" t="s">
        <v>268</v>
      </c>
      <c r="B16" s="51" t="s">
        <v>272</v>
      </c>
      <c r="C16" s="51" t="n">
        <v>11</v>
      </c>
      <c r="D16" s="51" t="n">
        <v>9</v>
      </c>
      <c r="E16" s="51" t="n">
        <v>1</v>
      </c>
      <c r="F16" s="51" t="s">
        <v>273</v>
      </c>
      <c r="G16" s="47"/>
      <c r="H16" s="47"/>
      <c r="I16" s="47"/>
      <c r="J16" s="47"/>
      <c r="K16" s="47"/>
      <c r="L16" s="47"/>
      <c r="M16" s="47"/>
      <c r="N16" s="47"/>
      <c r="O16" s="47"/>
    </row>
    <row r="17" customFormat="false" ht="15" hidden="false" customHeight="true" outlineLevel="0" collapsed="false">
      <c r="A17" s="51" t="s">
        <v>274</v>
      </c>
      <c r="B17" s="51" t="s">
        <v>275</v>
      </c>
      <c r="C17" s="51" t="n">
        <v>1</v>
      </c>
      <c r="D17" s="51" t="n">
        <v>0</v>
      </c>
      <c r="E17" s="51" t="n">
        <v>0</v>
      </c>
      <c r="F17" s="51" t="s">
        <v>270</v>
      </c>
      <c r="G17" s="47"/>
      <c r="H17" s="47"/>
      <c r="I17" s="47"/>
      <c r="J17" s="47"/>
      <c r="K17" s="47"/>
      <c r="L17" s="47"/>
      <c r="M17" s="47"/>
      <c r="N17" s="47"/>
      <c r="O17" s="47"/>
    </row>
    <row r="18" customFormat="false" ht="15" hidden="false" customHeight="true" outlineLevel="0" collapsed="false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</row>
    <row r="19" customFormat="false" ht="15" hidden="false" customHeight="true" outlineLevel="0" collapsed="false">
      <c r="A19" s="49" t="s">
        <v>276</v>
      </c>
      <c r="B19" s="49"/>
      <c r="C19" s="49"/>
      <c r="D19" s="49"/>
      <c r="E19" s="49"/>
      <c r="F19" s="49"/>
      <c r="G19" s="49"/>
      <c r="H19" s="49"/>
      <c r="I19" s="49"/>
      <c r="J19" s="47"/>
      <c r="K19" s="47"/>
      <c r="L19" s="47"/>
      <c r="M19" s="47"/>
      <c r="N19" s="47"/>
      <c r="O19" s="47"/>
    </row>
    <row r="20" customFormat="false" ht="15" hidden="false" customHeight="true" outlineLevel="0" collapsed="false">
      <c r="A20" s="50" t="s">
        <v>9</v>
      </c>
      <c r="B20" s="50" t="s">
        <v>3</v>
      </c>
      <c r="C20" s="50" t="s">
        <v>140</v>
      </c>
      <c r="D20" s="50" t="s">
        <v>277</v>
      </c>
      <c r="E20" s="50" t="s">
        <v>251</v>
      </c>
      <c r="F20" s="50" t="s">
        <v>142</v>
      </c>
      <c r="G20" s="50" t="s">
        <v>278</v>
      </c>
      <c r="H20" s="50" t="s">
        <v>279</v>
      </c>
      <c r="I20" s="50" t="s">
        <v>280</v>
      </c>
      <c r="J20" s="47"/>
      <c r="K20" s="47"/>
      <c r="L20" s="47"/>
      <c r="M20" s="47"/>
      <c r="N20" s="47"/>
      <c r="O20" s="47"/>
    </row>
    <row r="21" customFormat="false" ht="15" hidden="false" customHeight="true" outlineLevel="0" collapsed="false">
      <c r="A21" s="51" t="s">
        <v>11</v>
      </c>
      <c r="B21" s="51" t="s">
        <v>257</v>
      </c>
      <c r="C21" s="51" t="s">
        <v>281</v>
      </c>
      <c r="D21" s="51" t="s">
        <v>220</v>
      </c>
      <c r="E21" s="51" t="s">
        <v>256</v>
      </c>
      <c r="F21" s="51" t="n">
        <v>1</v>
      </c>
      <c r="G21" s="52" t="n">
        <v>59982.0585470518</v>
      </c>
      <c r="H21" s="52" t="n">
        <v>59982.0585470518</v>
      </c>
      <c r="I21" s="51" t="s">
        <v>282</v>
      </c>
      <c r="J21" s="47"/>
      <c r="K21" s="47"/>
      <c r="L21" s="47"/>
      <c r="M21" s="47"/>
      <c r="N21" s="47"/>
      <c r="O21" s="47"/>
    </row>
    <row r="22" customFormat="false" ht="15" hidden="false" customHeight="true" outlineLevel="0" collapsed="false">
      <c r="A22" s="51" t="s">
        <v>11</v>
      </c>
      <c r="B22" s="51" t="s">
        <v>257</v>
      </c>
      <c r="C22" s="51" t="s">
        <v>281</v>
      </c>
      <c r="D22" s="51" t="s">
        <v>283</v>
      </c>
      <c r="E22" s="51" t="s">
        <v>256</v>
      </c>
      <c r="F22" s="51" t="n">
        <v>1</v>
      </c>
      <c r="G22" s="52" t="n">
        <v>1236.86</v>
      </c>
      <c r="H22" s="52" t="n">
        <v>1236.86</v>
      </c>
      <c r="I22" s="51" t="s">
        <v>284</v>
      </c>
      <c r="J22" s="47"/>
      <c r="K22" s="47"/>
      <c r="L22" s="47"/>
      <c r="M22" s="47"/>
      <c r="N22" s="47"/>
      <c r="O22" s="47"/>
    </row>
    <row r="23" customFormat="false" ht="15" hidden="false" customHeight="true" outlineLevel="0" collapsed="false">
      <c r="A23" s="51" t="s">
        <v>11</v>
      </c>
      <c r="B23" s="51" t="s">
        <v>257</v>
      </c>
      <c r="C23" s="51" t="s">
        <v>281</v>
      </c>
      <c r="D23" s="51" t="s">
        <v>180</v>
      </c>
      <c r="E23" s="51" t="s">
        <v>256</v>
      </c>
      <c r="F23" s="51" t="n">
        <v>39</v>
      </c>
      <c r="G23" s="52" t="n">
        <v>28.31</v>
      </c>
      <c r="H23" s="52" t="n">
        <v>1104.09</v>
      </c>
      <c r="I23" s="51" t="s">
        <v>285</v>
      </c>
      <c r="J23" s="47"/>
      <c r="K23" s="47"/>
      <c r="L23" s="47"/>
      <c r="M23" s="47"/>
      <c r="N23" s="47"/>
      <c r="O23" s="47"/>
    </row>
    <row r="24" customFormat="false" ht="15" hidden="false" customHeight="true" outlineLevel="0" collapsed="false">
      <c r="A24" s="51" t="s">
        <v>11</v>
      </c>
      <c r="B24" s="51" t="s">
        <v>257</v>
      </c>
      <c r="C24" s="51" t="s">
        <v>281</v>
      </c>
      <c r="D24" s="51" t="s">
        <v>181</v>
      </c>
      <c r="E24" s="51" t="s">
        <v>256</v>
      </c>
      <c r="F24" s="51" t="n">
        <v>39</v>
      </c>
      <c r="G24" s="52" t="n">
        <v>47.79</v>
      </c>
      <c r="H24" s="52" t="n">
        <v>1863.81</v>
      </c>
      <c r="I24" s="51" t="s">
        <v>285</v>
      </c>
      <c r="J24" s="47"/>
      <c r="K24" s="47"/>
      <c r="L24" s="47"/>
      <c r="M24" s="47"/>
      <c r="N24" s="47"/>
      <c r="O24" s="47"/>
    </row>
    <row r="25" customFormat="false" ht="15" hidden="false" customHeight="true" outlineLevel="0" collapsed="false">
      <c r="A25" s="51" t="s">
        <v>11</v>
      </c>
      <c r="B25" s="51" t="s">
        <v>257</v>
      </c>
      <c r="C25" s="51" t="s">
        <v>44</v>
      </c>
      <c r="D25" s="51" t="s">
        <v>182</v>
      </c>
      <c r="E25" s="51" t="s">
        <v>256</v>
      </c>
      <c r="F25" s="51" t="n">
        <v>39</v>
      </c>
      <c r="G25" s="52" t="n">
        <v>64.54</v>
      </c>
      <c r="H25" s="52" t="n">
        <v>2517.06</v>
      </c>
      <c r="I25" s="51" t="s">
        <v>285</v>
      </c>
      <c r="J25" s="47"/>
      <c r="K25" s="47"/>
      <c r="L25" s="47"/>
      <c r="M25" s="47"/>
      <c r="N25" s="47"/>
      <c r="O25" s="47"/>
    </row>
    <row r="26" customFormat="false" ht="15" hidden="false" customHeight="true" outlineLevel="0" collapsed="false">
      <c r="A26" s="51" t="s">
        <v>11</v>
      </c>
      <c r="B26" s="51" t="s">
        <v>257</v>
      </c>
      <c r="C26" s="51" t="s">
        <v>44</v>
      </c>
      <c r="D26" s="51" t="s">
        <v>221</v>
      </c>
      <c r="E26" s="51" t="s">
        <v>256</v>
      </c>
      <c r="F26" s="51" t="n">
        <v>1</v>
      </c>
      <c r="G26" s="52" t="n">
        <v>142.07</v>
      </c>
      <c r="H26" s="52" t="n">
        <v>142.07</v>
      </c>
      <c r="I26" s="51" t="s">
        <v>284</v>
      </c>
      <c r="J26" s="47"/>
      <c r="K26" s="47"/>
      <c r="L26" s="47"/>
      <c r="M26" s="47"/>
      <c r="N26" s="47"/>
      <c r="O26" s="47"/>
    </row>
    <row r="27" customFormat="false" ht="15" hidden="false" customHeight="true" outlineLevel="0" collapsed="false">
      <c r="A27" s="51" t="s">
        <v>11</v>
      </c>
      <c r="B27" s="51" t="s">
        <v>257</v>
      </c>
      <c r="C27" s="51" t="s">
        <v>286</v>
      </c>
      <c r="D27" s="51" t="s">
        <v>157</v>
      </c>
      <c r="E27" s="51" t="s">
        <v>256</v>
      </c>
      <c r="F27" s="51" t="n">
        <v>39</v>
      </c>
      <c r="G27" s="52" t="n">
        <v>10.05</v>
      </c>
      <c r="H27" s="52" t="n">
        <v>391.95</v>
      </c>
      <c r="I27" s="51" t="s">
        <v>285</v>
      </c>
      <c r="J27" s="47"/>
      <c r="K27" s="47"/>
      <c r="L27" s="47"/>
      <c r="M27" s="47"/>
      <c r="N27" s="47"/>
      <c r="O27" s="47"/>
    </row>
    <row r="28" customFormat="false" ht="15" hidden="false" customHeight="true" outlineLevel="0" collapsed="false">
      <c r="A28" s="51" t="s">
        <v>11</v>
      </c>
      <c r="B28" s="51" t="s">
        <v>257</v>
      </c>
      <c r="C28" s="51" t="s">
        <v>286</v>
      </c>
      <c r="D28" s="51" t="s">
        <v>158</v>
      </c>
      <c r="E28" s="51" t="s">
        <v>256</v>
      </c>
      <c r="F28" s="51" t="n">
        <v>39</v>
      </c>
      <c r="G28" s="52" t="n">
        <v>2.07</v>
      </c>
      <c r="H28" s="52" t="n">
        <v>80.73</v>
      </c>
      <c r="I28" s="51" t="s">
        <v>285</v>
      </c>
      <c r="J28" s="47"/>
      <c r="K28" s="47"/>
      <c r="L28" s="47"/>
      <c r="M28" s="47"/>
      <c r="N28" s="47"/>
      <c r="O28" s="47"/>
    </row>
    <row r="29" customFormat="false" ht="15" hidden="false" customHeight="true" outlineLevel="0" collapsed="false">
      <c r="A29" s="51" t="s">
        <v>11</v>
      </c>
      <c r="B29" s="51" t="s">
        <v>257</v>
      </c>
      <c r="C29" s="51" t="s">
        <v>287</v>
      </c>
      <c r="D29" s="51" t="s">
        <v>183</v>
      </c>
      <c r="E29" s="51" t="s">
        <v>256</v>
      </c>
      <c r="F29" s="51" t="n">
        <v>1</v>
      </c>
      <c r="G29" s="52" t="n">
        <v>764.48</v>
      </c>
      <c r="H29" s="52" t="n">
        <v>764.48</v>
      </c>
      <c r="I29" s="51" t="s">
        <v>284</v>
      </c>
      <c r="J29" s="47"/>
      <c r="K29" s="47"/>
      <c r="L29" s="47"/>
      <c r="M29" s="47"/>
      <c r="N29" s="47"/>
      <c r="O29" s="47"/>
    </row>
    <row r="30" customFormat="false" ht="15" hidden="false" customHeight="true" outlineLevel="0" collapsed="false">
      <c r="A30" s="51" t="s">
        <v>11</v>
      </c>
      <c r="B30" s="51" t="s">
        <v>257</v>
      </c>
      <c r="C30" s="51" t="s">
        <v>287</v>
      </c>
      <c r="D30" s="51" t="s">
        <v>185</v>
      </c>
      <c r="E30" s="51" t="s">
        <v>256</v>
      </c>
      <c r="F30" s="51" t="n">
        <v>1</v>
      </c>
      <c r="G30" s="52" t="n">
        <v>1150.7</v>
      </c>
      <c r="H30" s="52" t="n">
        <v>1150.7</v>
      </c>
      <c r="I30" s="51" t="s">
        <v>284</v>
      </c>
      <c r="J30" s="47"/>
      <c r="K30" s="47"/>
      <c r="L30" s="47"/>
      <c r="M30" s="47"/>
      <c r="N30" s="47"/>
      <c r="O30" s="47"/>
    </row>
    <row r="31" customFormat="false" ht="15" hidden="false" customHeight="true" outlineLevel="0" collapsed="false">
      <c r="A31" s="51" t="s">
        <v>11</v>
      </c>
      <c r="B31" s="51" t="s">
        <v>257</v>
      </c>
      <c r="C31" s="51" t="s">
        <v>288</v>
      </c>
      <c r="D31" s="51" t="s">
        <v>179</v>
      </c>
      <c r="E31" s="51" t="s">
        <v>256</v>
      </c>
      <c r="F31" s="51" t="n">
        <v>42</v>
      </c>
      <c r="G31" s="52" t="n">
        <v>30</v>
      </c>
      <c r="H31" s="52" t="n">
        <f aca="false">F31*G31</f>
        <v>1260</v>
      </c>
      <c r="I31" s="51" t="s">
        <v>285</v>
      </c>
      <c r="J31" s="47"/>
      <c r="K31" s="47"/>
      <c r="L31" s="47"/>
      <c r="M31" s="47"/>
      <c r="N31" s="47"/>
      <c r="O31" s="47"/>
    </row>
    <row r="32" customFormat="false" ht="15" hidden="false" customHeight="true" outlineLevel="0" collapsed="false">
      <c r="A32" s="51" t="s">
        <v>11</v>
      </c>
      <c r="B32" s="51" t="s">
        <v>257</v>
      </c>
      <c r="C32" s="51" t="s">
        <v>289</v>
      </c>
      <c r="D32" s="51" t="s">
        <v>186</v>
      </c>
      <c r="E32" s="51" t="s">
        <v>256</v>
      </c>
      <c r="F32" s="51" t="n">
        <v>1</v>
      </c>
      <c r="G32" s="52" t="n">
        <v>370.8</v>
      </c>
      <c r="H32" s="52" t="n">
        <f aca="false">F32*G32</f>
        <v>370.8</v>
      </c>
      <c r="I32" s="51" t="s">
        <v>290</v>
      </c>
      <c r="J32" s="47"/>
      <c r="K32" s="47"/>
      <c r="L32" s="47"/>
      <c r="M32" s="47"/>
      <c r="N32" s="47"/>
      <c r="O32" s="47"/>
    </row>
    <row r="33" customFormat="false" ht="15" hidden="false" customHeight="true" outlineLevel="0" collapsed="false">
      <c r="A33" s="51" t="s">
        <v>11</v>
      </c>
      <c r="B33" s="51" t="s">
        <v>257</v>
      </c>
      <c r="C33" s="51" t="s">
        <v>281</v>
      </c>
      <c r="D33" s="51" t="s">
        <v>220</v>
      </c>
      <c r="E33" s="51" t="s">
        <v>259</v>
      </c>
      <c r="F33" s="51" t="n">
        <v>1</v>
      </c>
      <c r="G33" s="52" t="n">
        <v>7035.95</v>
      </c>
      <c r="H33" s="52" t="n">
        <f aca="false">F33*G33</f>
        <v>7035.95</v>
      </c>
      <c r="I33" s="51" t="s">
        <v>291</v>
      </c>
      <c r="J33" s="47"/>
      <c r="K33" s="47"/>
      <c r="L33" s="47"/>
      <c r="M33" s="47"/>
      <c r="N33" s="47"/>
      <c r="O33" s="47"/>
    </row>
    <row r="34" customFormat="false" ht="15" hidden="false" customHeight="true" outlineLevel="0" collapsed="false">
      <c r="A34" s="51" t="s">
        <v>11</v>
      </c>
      <c r="B34" s="51" t="s">
        <v>257</v>
      </c>
      <c r="C34" s="51" t="s">
        <v>281</v>
      </c>
      <c r="D34" s="51" t="s">
        <v>283</v>
      </c>
      <c r="E34" s="51" t="s">
        <v>259</v>
      </c>
      <c r="F34" s="51" t="n">
        <v>1</v>
      </c>
      <c r="G34" s="52" t="n">
        <v>285.43</v>
      </c>
      <c r="H34" s="52" t="n">
        <v>285.43</v>
      </c>
      <c r="I34" s="51" t="s">
        <v>292</v>
      </c>
      <c r="J34" s="47"/>
      <c r="K34" s="47"/>
      <c r="L34" s="47"/>
      <c r="M34" s="47"/>
      <c r="N34" s="47"/>
      <c r="O34" s="47"/>
    </row>
    <row r="35" customFormat="false" ht="15" hidden="false" customHeight="true" outlineLevel="0" collapsed="false">
      <c r="A35" s="51" t="s">
        <v>11</v>
      </c>
      <c r="B35" s="51" t="s">
        <v>257</v>
      </c>
      <c r="C35" s="51" t="s">
        <v>281</v>
      </c>
      <c r="D35" s="51" t="s">
        <v>180</v>
      </c>
      <c r="E35" s="51" t="s">
        <v>259</v>
      </c>
      <c r="F35" s="51" t="n">
        <v>9</v>
      </c>
      <c r="G35" s="52" t="n">
        <v>28.31</v>
      </c>
      <c r="H35" s="52" t="n">
        <f aca="false">F35*G35</f>
        <v>254.79</v>
      </c>
      <c r="I35" s="51" t="s">
        <v>285</v>
      </c>
      <c r="J35" s="47"/>
      <c r="K35" s="47"/>
      <c r="L35" s="47"/>
      <c r="M35" s="47"/>
      <c r="N35" s="47"/>
      <c r="O35" s="47"/>
    </row>
    <row r="36" customFormat="false" ht="15" hidden="false" customHeight="true" outlineLevel="0" collapsed="false">
      <c r="A36" s="51" t="s">
        <v>11</v>
      </c>
      <c r="B36" s="51" t="s">
        <v>257</v>
      </c>
      <c r="C36" s="51" t="s">
        <v>281</v>
      </c>
      <c r="D36" s="51" t="s">
        <v>181</v>
      </c>
      <c r="E36" s="51" t="s">
        <v>259</v>
      </c>
      <c r="F36" s="51" t="n">
        <v>9</v>
      </c>
      <c r="G36" s="52" t="n">
        <v>47.79</v>
      </c>
      <c r="H36" s="52" t="n">
        <f aca="false">F36*G36</f>
        <v>430.11</v>
      </c>
      <c r="I36" s="51" t="s">
        <v>285</v>
      </c>
      <c r="J36" s="47"/>
      <c r="K36" s="47"/>
      <c r="L36" s="47"/>
      <c r="M36" s="47"/>
      <c r="N36" s="47"/>
      <c r="O36" s="47"/>
    </row>
    <row r="37" customFormat="false" ht="15" hidden="false" customHeight="true" outlineLevel="0" collapsed="false">
      <c r="A37" s="51" t="s">
        <v>11</v>
      </c>
      <c r="B37" s="51" t="s">
        <v>257</v>
      </c>
      <c r="C37" s="51" t="s">
        <v>44</v>
      </c>
      <c r="D37" s="51" t="s">
        <v>182</v>
      </c>
      <c r="E37" s="51" t="s">
        <v>259</v>
      </c>
      <c r="F37" s="51" t="n">
        <v>9</v>
      </c>
      <c r="G37" s="52" t="n">
        <v>64.54</v>
      </c>
      <c r="H37" s="52" t="n">
        <f aca="false">F37*G37</f>
        <v>580.86</v>
      </c>
      <c r="I37" s="51" t="s">
        <v>285</v>
      </c>
      <c r="J37" s="47"/>
      <c r="K37" s="47"/>
      <c r="L37" s="47"/>
      <c r="M37" s="47"/>
      <c r="N37" s="47"/>
      <c r="O37" s="47"/>
    </row>
    <row r="38" customFormat="false" ht="15" hidden="false" customHeight="true" outlineLevel="0" collapsed="false">
      <c r="A38" s="51" t="s">
        <v>11</v>
      </c>
      <c r="B38" s="51" t="s">
        <v>257</v>
      </c>
      <c r="C38" s="51" t="s">
        <v>44</v>
      </c>
      <c r="D38" s="51" t="s">
        <v>221</v>
      </c>
      <c r="E38" s="51" t="s">
        <v>259</v>
      </c>
      <c r="F38" s="51" t="n">
        <v>1</v>
      </c>
      <c r="G38" s="52" t="n">
        <v>32.79</v>
      </c>
      <c r="H38" s="52" t="n">
        <v>32.79</v>
      </c>
      <c r="I38" s="51" t="s">
        <v>292</v>
      </c>
      <c r="J38" s="47"/>
      <c r="K38" s="47"/>
      <c r="L38" s="47"/>
      <c r="M38" s="47"/>
      <c r="N38" s="47"/>
      <c r="O38" s="47"/>
    </row>
    <row r="39" customFormat="false" ht="15" hidden="false" customHeight="true" outlineLevel="0" collapsed="false">
      <c r="A39" s="51" t="s">
        <v>11</v>
      </c>
      <c r="B39" s="51" t="s">
        <v>257</v>
      </c>
      <c r="C39" s="51" t="s">
        <v>286</v>
      </c>
      <c r="D39" s="51" t="s">
        <v>157</v>
      </c>
      <c r="E39" s="51" t="s">
        <v>259</v>
      </c>
      <c r="F39" s="51" t="n">
        <v>9</v>
      </c>
      <c r="G39" s="52" t="n">
        <v>10.05</v>
      </c>
      <c r="H39" s="52" t="n">
        <f aca="false">F39*G39</f>
        <v>90.45</v>
      </c>
      <c r="I39" s="51" t="s">
        <v>285</v>
      </c>
      <c r="J39" s="47"/>
      <c r="K39" s="47"/>
      <c r="L39" s="47"/>
      <c r="M39" s="47"/>
      <c r="N39" s="47"/>
      <c r="O39" s="47"/>
    </row>
    <row r="40" customFormat="false" ht="15" hidden="false" customHeight="true" outlineLevel="0" collapsed="false">
      <c r="A40" s="51" t="s">
        <v>11</v>
      </c>
      <c r="B40" s="51" t="s">
        <v>257</v>
      </c>
      <c r="C40" s="51" t="s">
        <v>286</v>
      </c>
      <c r="D40" s="51" t="s">
        <v>158</v>
      </c>
      <c r="E40" s="51" t="s">
        <v>259</v>
      </c>
      <c r="F40" s="51" t="n">
        <v>9</v>
      </c>
      <c r="G40" s="52" t="n">
        <v>2.07</v>
      </c>
      <c r="H40" s="52" t="n">
        <f aca="false">F40*G40</f>
        <v>18.63</v>
      </c>
      <c r="I40" s="51" t="s">
        <v>285</v>
      </c>
      <c r="J40" s="47"/>
      <c r="K40" s="47"/>
      <c r="L40" s="47"/>
      <c r="M40" s="47"/>
      <c r="N40" s="47"/>
      <c r="O40" s="47"/>
    </row>
    <row r="41" customFormat="false" ht="15" hidden="false" customHeight="true" outlineLevel="0" collapsed="false">
      <c r="A41" s="51" t="s">
        <v>11</v>
      </c>
      <c r="B41" s="51" t="s">
        <v>257</v>
      </c>
      <c r="C41" s="51" t="s">
        <v>287</v>
      </c>
      <c r="D41" s="51" t="s">
        <v>183</v>
      </c>
      <c r="E41" s="51" t="s">
        <v>259</v>
      </c>
      <c r="F41" s="51" t="n">
        <v>1</v>
      </c>
      <c r="G41" s="52" t="n">
        <v>176.42</v>
      </c>
      <c r="H41" s="52" t="n">
        <v>176.42</v>
      </c>
      <c r="I41" s="51" t="s">
        <v>292</v>
      </c>
      <c r="J41" s="47"/>
      <c r="K41" s="47"/>
      <c r="L41" s="47"/>
      <c r="M41" s="47"/>
      <c r="N41" s="47"/>
      <c r="O41" s="47"/>
    </row>
    <row r="42" customFormat="false" ht="15" hidden="false" customHeight="true" outlineLevel="0" collapsed="false">
      <c r="A42" s="51" t="s">
        <v>11</v>
      </c>
      <c r="B42" s="51" t="s">
        <v>257</v>
      </c>
      <c r="C42" s="51" t="s">
        <v>287</v>
      </c>
      <c r="D42" s="51" t="s">
        <v>185</v>
      </c>
      <c r="E42" s="51" t="s">
        <v>259</v>
      </c>
      <c r="F42" s="51" t="n">
        <v>1</v>
      </c>
      <c r="G42" s="52" t="n">
        <v>265.55</v>
      </c>
      <c r="H42" s="52" t="n">
        <v>265.55</v>
      </c>
      <c r="I42" s="51" t="s">
        <v>292</v>
      </c>
      <c r="J42" s="47"/>
      <c r="K42" s="47"/>
      <c r="L42" s="47"/>
      <c r="M42" s="47"/>
      <c r="N42" s="47"/>
      <c r="O42" s="47"/>
    </row>
    <row r="43" customFormat="false" ht="15" hidden="false" customHeight="true" outlineLevel="0" collapsed="false">
      <c r="A43" s="51" t="s">
        <v>11</v>
      </c>
      <c r="B43" s="51" t="s">
        <v>257</v>
      </c>
      <c r="C43" s="51" t="s">
        <v>288</v>
      </c>
      <c r="D43" s="51" t="s">
        <v>179</v>
      </c>
      <c r="E43" s="51" t="s">
        <v>259</v>
      </c>
      <c r="F43" s="51" t="n">
        <v>9</v>
      </c>
      <c r="G43" s="52" t="n">
        <v>30</v>
      </c>
      <c r="H43" s="52" t="n">
        <f aca="false">F43*G43</f>
        <v>270</v>
      </c>
      <c r="I43" s="51" t="s">
        <v>285</v>
      </c>
      <c r="J43" s="47"/>
      <c r="K43" s="47"/>
      <c r="L43" s="47"/>
      <c r="M43" s="47"/>
      <c r="N43" s="47"/>
      <c r="O43" s="47"/>
    </row>
    <row r="44" customFormat="false" ht="15" hidden="false" customHeight="true" outlineLevel="0" collapsed="false">
      <c r="A44" s="51" t="s">
        <v>11</v>
      </c>
      <c r="B44" s="51" t="s">
        <v>257</v>
      </c>
      <c r="C44" s="51" t="s">
        <v>281</v>
      </c>
      <c r="D44" s="51" t="s">
        <v>220</v>
      </c>
      <c r="E44" s="51" t="s">
        <v>261</v>
      </c>
      <c r="F44" s="51" t="n">
        <v>1</v>
      </c>
      <c r="G44" s="52" t="n">
        <v>31149.92</v>
      </c>
      <c r="H44" s="52" t="n">
        <f aca="false">F44*G44</f>
        <v>31149.92</v>
      </c>
      <c r="I44" s="51" t="s">
        <v>293</v>
      </c>
      <c r="J44" s="47"/>
      <c r="K44" s="47"/>
      <c r="L44" s="47"/>
      <c r="M44" s="47"/>
      <c r="N44" s="47"/>
      <c r="O44" s="47"/>
    </row>
    <row r="45" customFormat="false" ht="15" hidden="false" customHeight="true" outlineLevel="0" collapsed="false">
      <c r="A45" s="51" t="s">
        <v>11</v>
      </c>
      <c r="B45" s="51" t="s">
        <v>257</v>
      </c>
      <c r="C45" s="51" t="s">
        <v>281</v>
      </c>
      <c r="D45" s="51" t="s">
        <v>283</v>
      </c>
      <c r="E45" s="51" t="s">
        <v>261</v>
      </c>
      <c r="F45" s="51" t="n">
        <v>1</v>
      </c>
      <c r="G45" s="52" t="n">
        <v>222</v>
      </c>
      <c r="H45" s="52" t="n">
        <v>222</v>
      </c>
      <c r="I45" s="51" t="s">
        <v>294</v>
      </c>
      <c r="J45" s="47"/>
      <c r="K45" s="47"/>
      <c r="L45" s="47"/>
      <c r="M45" s="47"/>
      <c r="N45" s="47"/>
      <c r="O45" s="47"/>
    </row>
    <row r="46" customFormat="false" ht="15" hidden="false" customHeight="true" outlineLevel="0" collapsed="false">
      <c r="A46" s="51" t="s">
        <v>11</v>
      </c>
      <c r="B46" s="51" t="s">
        <v>257</v>
      </c>
      <c r="C46" s="51" t="s">
        <v>281</v>
      </c>
      <c r="D46" s="51" t="s">
        <v>180</v>
      </c>
      <c r="E46" s="51" t="s">
        <v>261</v>
      </c>
      <c r="F46" s="51" t="n">
        <v>7</v>
      </c>
      <c r="G46" s="52" t="n">
        <v>28.31</v>
      </c>
      <c r="H46" s="52" t="n">
        <f aca="false">F46*G46</f>
        <v>198.17</v>
      </c>
      <c r="I46" s="51" t="s">
        <v>285</v>
      </c>
      <c r="J46" s="47"/>
      <c r="K46" s="47"/>
      <c r="L46" s="47"/>
      <c r="M46" s="47"/>
      <c r="N46" s="47"/>
      <c r="O46" s="47"/>
    </row>
    <row r="47" customFormat="false" ht="15" hidden="false" customHeight="true" outlineLevel="0" collapsed="false">
      <c r="A47" s="51" t="s">
        <v>11</v>
      </c>
      <c r="B47" s="51" t="s">
        <v>257</v>
      </c>
      <c r="C47" s="51" t="s">
        <v>281</v>
      </c>
      <c r="D47" s="51" t="s">
        <v>181</v>
      </c>
      <c r="E47" s="51" t="s">
        <v>261</v>
      </c>
      <c r="F47" s="51" t="n">
        <v>7</v>
      </c>
      <c r="G47" s="52" t="n">
        <v>47.79</v>
      </c>
      <c r="H47" s="52" t="n">
        <f aca="false">F47*G47</f>
        <v>334.53</v>
      </c>
      <c r="I47" s="51" t="s">
        <v>285</v>
      </c>
      <c r="J47" s="47"/>
      <c r="K47" s="47"/>
      <c r="L47" s="47"/>
      <c r="M47" s="47"/>
      <c r="N47" s="47"/>
      <c r="O47" s="47"/>
    </row>
    <row r="48" customFormat="false" ht="15" hidden="false" customHeight="true" outlineLevel="0" collapsed="false">
      <c r="A48" s="51" t="s">
        <v>11</v>
      </c>
      <c r="B48" s="51" t="s">
        <v>257</v>
      </c>
      <c r="C48" s="51" t="s">
        <v>44</v>
      </c>
      <c r="D48" s="51" t="s">
        <v>182</v>
      </c>
      <c r="E48" s="51" t="s">
        <v>261</v>
      </c>
      <c r="F48" s="51" t="n">
        <v>7</v>
      </c>
      <c r="G48" s="52" t="n">
        <v>64.54</v>
      </c>
      <c r="H48" s="52" t="n">
        <f aca="false">F48*G48</f>
        <v>451.78</v>
      </c>
      <c r="I48" s="51" t="s">
        <v>285</v>
      </c>
      <c r="J48" s="47"/>
      <c r="K48" s="47"/>
      <c r="L48" s="47"/>
      <c r="M48" s="47"/>
      <c r="N48" s="47"/>
      <c r="O48" s="47"/>
    </row>
    <row r="49" customFormat="false" ht="15" hidden="false" customHeight="true" outlineLevel="0" collapsed="false">
      <c r="A49" s="51" t="s">
        <v>11</v>
      </c>
      <c r="B49" s="51" t="s">
        <v>257</v>
      </c>
      <c r="C49" s="51" t="s">
        <v>44</v>
      </c>
      <c r="D49" s="51" t="s">
        <v>221</v>
      </c>
      <c r="E49" s="51" t="s">
        <v>261</v>
      </c>
      <c r="F49" s="51" t="n">
        <v>1</v>
      </c>
      <c r="G49" s="52" t="n">
        <v>25.5</v>
      </c>
      <c r="H49" s="52" t="n">
        <v>25.5</v>
      </c>
      <c r="I49" s="51" t="s">
        <v>294</v>
      </c>
      <c r="J49" s="47"/>
      <c r="K49" s="47"/>
      <c r="L49" s="47"/>
      <c r="M49" s="47"/>
      <c r="N49" s="47"/>
      <c r="O49" s="47"/>
    </row>
    <row r="50" customFormat="false" ht="15" hidden="false" customHeight="true" outlineLevel="0" collapsed="false">
      <c r="A50" s="51" t="s">
        <v>11</v>
      </c>
      <c r="B50" s="51" t="s">
        <v>257</v>
      </c>
      <c r="C50" s="51" t="s">
        <v>286</v>
      </c>
      <c r="D50" s="51" t="s">
        <v>157</v>
      </c>
      <c r="E50" s="51" t="s">
        <v>261</v>
      </c>
      <c r="F50" s="51" t="n">
        <v>7</v>
      </c>
      <c r="G50" s="52" t="n">
        <v>10.05</v>
      </c>
      <c r="H50" s="52" t="n">
        <f aca="false">F50*G50</f>
        <v>70.35</v>
      </c>
      <c r="I50" s="51" t="s">
        <v>285</v>
      </c>
      <c r="J50" s="47"/>
      <c r="K50" s="47"/>
      <c r="L50" s="47"/>
      <c r="M50" s="47"/>
      <c r="N50" s="47"/>
      <c r="O50" s="47"/>
    </row>
    <row r="51" customFormat="false" ht="15" hidden="false" customHeight="true" outlineLevel="0" collapsed="false">
      <c r="A51" s="51" t="s">
        <v>11</v>
      </c>
      <c r="B51" s="51" t="s">
        <v>257</v>
      </c>
      <c r="C51" s="51" t="s">
        <v>286</v>
      </c>
      <c r="D51" s="51" t="s">
        <v>158</v>
      </c>
      <c r="E51" s="51" t="s">
        <v>261</v>
      </c>
      <c r="F51" s="51" t="n">
        <v>7</v>
      </c>
      <c r="G51" s="52" t="n">
        <v>2.07</v>
      </c>
      <c r="H51" s="52" t="n">
        <f aca="false">F51*G51</f>
        <v>14.49</v>
      </c>
      <c r="I51" s="51" t="s">
        <v>285</v>
      </c>
      <c r="J51" s="47"/>
      <c r="K51" s="47"/>
      <c r="L51" s="47"/>
      <c r="M51" s="47"/>
      <c r="N51" s="47"/>
      <c r="O51" s="47"/>
    </row>
    <row r="52" customFormat="false" ht="15" hidden="false" customHeight="true" outlineLevel="0" collapsed="false">
      <c r="A52" s="51" t="s">
        <v>11</v>
      </c>
      <c r="B52" s="51" t="s">
        <v>257</v>
      </c>
      <c r="C52" s="51" t="s">
        <v>287</v>
      </c>
      <c r="D52" s="51" t="s">
        <v>183</v>
      </c>
      <c r="E52" s="51" t="s">
        <v>261</v>
      </c>
      <c r="F52" s="51" t="n">
        <v>1</v>
      </c>
      <c r="G52" s="52" t="n">
        <v>137.22</v>
      </c>
      <c r="H52" s="52" t="n">
        <v>137.22</v>
      </c>
      <c r="I52" s="51" t="s">
        <v>294</v>
      </c>
      <c r="J52" s="47"/>
      <c r="K52" s="47"/>
      <c r="L52" s="47"/>
      <c r="M52" s="47"/>
      <c r="N52" s="47"/>
      <c r="O52" s="47"/>
    </row>
    <row r="53" customFormat="false" ht="15" hidden="false" customHeight="true" outlineLevel="0" collapsed="false">
      <c r="A53" s="51" t="s">
        <v>11</v>
      </c>
      <c r="B53" s="51" t="s">
        <v>257</v>
      </c>
      <c r="C53" s="51" t="s">
        <v>287</v>
      </c>
      <c r="D53" s="51" t="s">
        <v>185</v>
      </c>
      <c r="E53" s="51" t="s">
        <v>261</v>
      </c>
      <c r="F53" s="51" t="n">
        <v>1</v>
      </c>
      <c r="G53" s="52" t="n">
        <v>206.54</v>
      </c>
      <c r="H53" s="52" t="n">
        <v>206.54</v>
      </c>
      <c r="I53" s="51" t="s">
        <v>294</v>
      </c>
      <c r="J53" s="47"/>
      <c r="K53" s="47"/>
      <c r="L53" s="47"/>
      <c r="M53" s="47"/>
      <c r="N53" s="47"/>
      <c r="O53" s="47"/>
    </row>
    <row r="54" customFormat="false" ht="15" hidden="false" customHeight="true" outlineLevel="0" collapsed="false">
      <c r="A54" s="51" t="s">
        <v>11</v>
      </c>
      <c r="B54" s="51" t="s">
        <v>257</v>
      </c>
      <c r="C54" s="51" t="s">
        <v>288</v>
      </c>
      <c r="D54" s="51" t="s">
        <v>179</v>
      </c>
      <c r="E54" s="51" t="s">
        <v>261</v>
      </c>
      <c r="F54" s="51" t="n">
        <v>7</v>
      </c>
      <c r="G54" s="52" t="n">
        <v>30</v>
      </c>
      <c r="H54" s="52" t="n">
        <f aca="false">F54*G54</f>
        <v>210</v>
      </c>
      <c r="I54" s="51" t="s">
        <v>285</v>
      </c>
      <c r="J54" s="47"/>
      <c r="K54" s="47"/>
      <c r="L54" s="47"/>
      <c r="M54" s="47"/>
      <c r="N54" s="47"/>
      <c r="O54" s="47"/>
    </row>
    <row r="55" customFormat="false" ht="15" hidden="false" customHeight="true" outlineLevel="0" collapsed="false">
      <c r="A55" s="51" t="s">
        <v>11</v>
      </c>
      <c r="B55" s="51" t="s">
        <v>257</v>
      </c>
      <c r="C55" s="51" t="s">
        <v>289</v>
      </c>
      <c r="D55" s="51" t="s">
        <v>186</v>
      </c>
      <c r="E55" s="51" t="s">
        <v>261</v>
      </c>
      <c r="F55" s="51" t="n">
        <v>1</v>
      </c>
      <c r="G55" s="52" t="n">
        <v>1081.14</v>
      </c>
      <c r="H55" s="52" t="n">
        <f aca="false">F55*G55</f>
        <v>1081.14</v>
      </c>
      <c r="I55" s="51" t="s">
        <v>295</v>
      </c>
      <c r="J55" s="47"/>
      <c r="K55" s="47"/>
      <c r="L55" s="47"/>
      <c r="M55" s="47"/>
      <c r="N55" s="47"/>
      <c r="O55" s="47"/>
    </row>
    <row r="56" customFormat="false" ht="15" hidden="false" customHeight="true" outlineLevel="0" collapsed="false">
      <c r="A56" s="51" t="s">
        <v>11</v>
      </c>
      <c r="B56" s="51" t="s">
        <v>257</v>
      </c>
      <c r="C56" s="51" t="s">
        <v>281</v>
      </c>
      <c r="D56" s="51" t="s">
        <v>220</v>
      </c>
      <c r="E56" s="51" t="s">
        <v>262</v>
      </c>
      <c r="F56" s="51" t="n">
        <v>1</v>
      </c>
      <c r="G56" s="52" t="n">
        <v>30187.4191733333</v>
      </c>
      <c r="H56" s="52" t="n">
        <f aca="false">F56*G56</f>
        <v>30187.4191733333</v>
      </c>
      <c r="I56" s="51" t="s">
        <v>296</v>
      </c>
      <c r="J56" s="47"/>
      <c r="K56" s="47"/>
      <c r="L56" s="47"/>
      <c r="M56" s="47"/>
      <c r="N56" s="47"/>
      <c r="O56" s="47"/>
    </row>
    <row r="57" customFormat="false" ht="15" hidden="false" customHeight="true" outlineLevel="0" collapsed="false">
      <c r="A57" s="51" t="s">
        <v>11</v>
      </c>
      <c r="B57" s="51" t="s">
        <v>257</v>
      </c>
      <c r="C57" s="51" t="s">
        <v>281</v>
      </c>
      <c r="D57" s="51" t="s">
        <v>283</v>
      </c>
      <c r="E57" s="51" t="s">
        <v>262</v>
      </c>
      <c r="F57" s="51" t="n">
        <v>1</v>
      </c>
      <c r="G57" s="52" t="n">
        <v>348.86</v>
      </c>
      <c r="H57" s="52" t="n">
        <v>348.86</v>
      </c>
      <c r="I57" s="51" t="s">
        <v>297</v>
      </c>
      <c r="J57" s="47"/>
      <c r="K57" s="47"/>
      <c r="L57" s="47"/>
      <c r="M57" s="47"/>
      <c r="N57" s="47"/>
      <c r="O57" s="47"/>
    </row>
    <row r="58" customFormat="false" ht="15" hidden="false" customHeight="true" outlineLevel="0" collapsed="false">
      <c r="A58" s="51" t="s">
        <v>11</v>
      </c>
      <c r="B58" s="51" t="s">
        <v>257</v>
      </c>
      <c r="C58" s="51" t="s">
        <v>281</v>
      </c>
      <c r="D58" s="51" t="s">
        <v>180</v>
      </c>
      <c r="E58" s="51" t="s">
        <v>262</v>
      </c>
      <c r="F58" s="51" t="n">
        <v>11</v>
      </c>
      <c r="G58" s="52" t="n">
        <v>28.31</v>
      </c>
      <c r="H58" s="52" t="n">
        <f aca="false">F58*G58</f>
        <v>311.41</v>
      </c>
      <c r="I58" s="51" t="s">
        <v>285</v>
      </c>
      <c r="J58" s="47"/>
      <c r="K58" s="47"/>
      <c r="L58" s="47"/>
      <c r="M58" s="47"/>
      <c r="N58" s="47"/>
      <c r="O58" s="47"/>
    </row>
    <row r="59" customFormat="false" ht="15" hidden="false" customHeight="true" outlineLevel="0" collapsed="false">
      <c r="A59" s="51" t="s">
        <v>11</v>
      </c>
      <c r="B59" s="51" t="s">
        <v>257</v>
      </c>
      <c r="C59" s="51" t="s">
        <v>281</v>
      </c>
      <c r="D59" s="51" t="s">
        <v>181</v>
      </c>
      <c r="E59" s="51" t="s">
        <v>262</v>
      </c>
      <c r="F59" s="51" t="n">
        <v>11</v>
      </c>
      <c r="G59" s="52" t="n">
        <v>47.79</v>
      </c>
      <c r="H59" s="52" t="n">
        <f aca="false">F59*G59</f>
        <v>525.69</v>
      </c>
      <c r="I59" s="51" t="s">
        <v>285</v>
      </c>
      <c r="J59" s="47"/>
      <c r="K59" s="47"/>
      <c r="L59" s="47"/>
      <c r="M59" s="47"/>
      <c r="N59" s="47"/>
      <c r="O59" s="47"/>
    </row>
    <row r="60" customFormat="false" ht="15" hidden="false" customHeight="true" outlineLevel="0" collapsed="false">
      <c r="A60" s="51" t="s">
        <v>11</v>
      </c>
      <c r="B60" s="51" t="s">
        <v>257</v>
      </c>
      <c r="C60" s="51" t="s">
        <v>44</v>
      </c>
      <c r="D60" s="51" t="s">
        <v>182</v>
      </c>
      <c r="E60" s="51" t="s">
        <v>262</v>
      </c>
      <c r="F60" s="51" t="n">
        <v>11</v>
      </c>
      <c r="G60" s="52" t="n">
        <v>64.54</v>
      </c>
      <c r="H60" s="52" t="n">
        <f aca="false">F60*G60</f>
        <v>709.94</v>
      </c>
      <c r="I60" s="51" t="s">
        <v>285</v>
      </c>
      <c r="J60" s="47"/>
      <c r="K60" s="47"/>
      <c r="L60" s="47"/>
      <c r="M60" s="47"/>
      <c r="N60" s="47"/>
      <c r="O60" s="47"/>
    </row>
    <row r="61" customFormat="false" ht="15" hidden="false" customHeight="true" outlineLevel="0" collapsed="false">
      <c r="A61" s="51" t="s">
        <v>11</v>
      </c>
      <c r="B61" s="51" t="s">
        <v>257</v>
      </c>
      <c r="C61" s="51" t="s">
        <v>44</v>
      </c>
      <c r="D61" s="51" t="s">
        <v>221</v>
      </c>
      <c r="E61" s="51" t="s">
        <v>262</v>
      </c>
      <c r="F61" s="51" t="n">
        <v>1</v>
      </c>
      <c r="G61" s="52" t="n">
        <v>40.07</v>
      </c>
      <c r="H61" s="52" t="n">
        <v>40.07</v>
      </c>
      <c r="I61" s="51" t="s">
        <v>297</v>
      </c>
      <c r="J61" s="47"/>
      <c r="K61" s="47"/>
      <c r="L61" s="47"/>
      <c r="M61" s="47"/>
      <c r="N61" s="47"/>
      <c r="O61" s="47"/>
    </row>
    <row r="62" customFormat="false" ht="15" hidden="false" customHeight="true" outlineLevel="0" collapsed="false">
      <c r="A62" s="51" t="s">
        <v>11</v>
      </c>
      <c r="B62" s="51" t="s">
        <v>257</v>
      </c>
      <c r="C62" s="51" t="s">
        <v>286</v>
      </c>
      <c r="D62" s="51" t="s">
        <v>157</v>
      </c>
      <c r="E62" s="51" t="s">
        <v>262</v>
      </c>
      <c r="F62" s="51" t="n">
        <v>11</v>
      </c>
      <c r="G62" s="52" t="n">
        <v>10.05</v>
      </c>
      <c r="H62" s="52" t="n">
        <f aca="false">F62*G62</f>
        <v>110.55</v>
      </c>
      <c r="I62" s="51" t="s">
        <v>285</v>
      </c>
      <c r="J62" s="47"/>
      <c r="K62" s="47"/>
      <c r="L62" s="47"/>
      <c r="M62" s="47"/>
      <c r="N62" s="47"/>
      <c r="O62" s="47"/>
    </row>
    <row r="63" customFormat="false" ht="15" hidden="false" customHeight="true" outlineLevel="0" collapsed="false">
      <c r="A63" s="51" t="s">
        <v>11</v>
      </c>
      <c r="B63" s="51" t="s">
        <v>257</v>
      </c>
      <c r="C63" s="51" t="s">
        <v>286</v>
      </c>
      <c r="D63" s="51" t="s">
        <v>158</v>
      </c>
      <c r="E63" s="51" t="s">
        <v>262</v>
      </c>
      <c r="F63" s="51" t="n">
        <v>11</v>
      </c>
      <c r="G63" s="52" t="n">
        <v>2.07</v>
      </c>
      <c r="H63" s="52" t="n">
        <f aca="false">F63*G63</f>
        <v>22.77</v>
      </c>
      <c r="I63" s="51" t="s">
        <v>285</v>
      </c>
      <c r="J63" s="47"/>
      <c r="K63" s="47"/>
      <c r="L63" s="47"/>
      <c r="M63" s="47"/>
      <c r="N63" s="47"/>
      <c r="O63" s="47"/>
    </row>
    <row r="64" customFormat="false" ht="15" hidden="false" customHeight="true" outlineLevel="0" collapsed="false">
      <c r="A64" s="51" t="s">
        <v>11</v>
      </c>
      <c r="B64" s="51" t="s">
        <v>257</v>
      </c>
      <c r="C64" s="51" t="s">
        <v>287</v>
      </c>
      <c r="D64" s="51" t="s">
        <v>183</v>
      </c>
      <c r="E64" s="51" t="s">
        <v>262</v>
      </c>
      <c r="F64" s="51" t="n">
        <v>1</v>
      </c>
      <c r="G64" s="52" t="n">
        <v>215.62</v>
      </c>
      <c r="H64" s="52" t="n">
        <v>215.62</v>
      </c>
      <c r="I64" s="51" t="s">
        <v>297</v>
      </c>
      <c r="J64" s="47"/>
      <c r="K64" s="47"/>
      <c r="L64" s="47"/>
      <c r="M64" s="47"/>
      <c r="N64" s="47"/>
      <c r="O64" s="47"/>
    </row>
    <row r="65" customFormat="false" ht="15" hidden="false" customHeight="true" outlineLevel="0" collapsed="false">
      <c r="A65" s="51" t="s">
        <v>11</v>
      </c>
      <c r="B65" s="51" t="s">
        <v>257</v>
      </c>
      <c r="C65" s="51" t="s">
        <v>287</v>
      </c>
      <c r="D65" s="51" t="s">
        <v>185</v>
      </c>
      <c r="E65" s="51" t="s">
        <v>262</v>
      </c>
      <c r="F65" s="51" t="n">
        <v>1</v>
      </c>
      <c r="G65" s="52" t="n">
        <v>324.56</v>
      </c>
      <c r="H65" s="52" t="n">
        <v>324.56</v>
      </c>
      <c r="I65" s="51" t="s">
        <v>297</v>
      </c>
      <c r="J65" s="47"/>
      <c r="K65" s="47"/>
      <c r="L65" s="47"/>
      <c r="M65" s="47"/>
      <c r="N65" s="47"/>
      <c r="O65" s="47"/>
    </row>
    <row r="66" customFormat="false" ht="15" hidden="false" customHeight="true" outlineLevel="0" collapsed="false">
      <c r="A66" s="51" t="s">
        <v>11</v>
      </c>
      <c r="B66" s="51" t="s">
        <v>257</v>
      </c>
      <c r="C66" s="51" t="s">
        <v>288</v>
      </c>
      <c r="D66" s="51" t="s">
        <v>179</v>
      </c>
      <c r="E66" s="51" t="s">
        <v>262</v>
      </c>
      <c r="F66" s="51" t="n">
        <v>11</v>
      </c>
      <c r="G66" s="52" t="n">
        <v>30</v>
      </c>
      <c r="H66" s="52" t="n">
        <f aca="false">F66*G66</f>
        <v>330</v>
      </c>
      <c r="I66" s="51" t="s">
        <v>285</v>
      </c>
      <c r="J66" s="47"/>
      <c r="K66" s="47"/>
      <c r="L66" s="47"/>
      <c r="M66" s="47"/>
      <c r="N66" s="47"/>
      <c r="O66" s="47"/>
    </row>
    <row r="67" customFormat="false" ht="15" hidden="false" customHeight="true" outlineLevel="0" collapsed="false">
      <c r="A67" s="51" t="s">
        <v>11</v>
      </c>
      <c r="B67" s="51" t="s">
        <v>257</v>
      </c>
      <c r="C67" s="51" t="s">
        <v>289</v>
      </c>
      <c r="D67" s="51" t="s">
        <v>186</v>
      </c>
      <c r="E67" s="51" t="s">
        <v>262</v>
      </c>
      <c r="F67" s="51" t="n">
        <v>1</v>
      </c>
      <c r="G67" s="52" t="n">
        <v>0</v>
      </c>
      <c r="H67" s="52" t="n">
        <f aca="false">F67*G67</f>
        <v>0</v>
      </c>
      <c r="I67" s="51" t="s">
        <v>298</v>
      </c>
      <c r="J67" s="47"/>
      <c r="K67" s="47"/>
      <c r="L67" s="47"/>
      <c r="M67" s="47"/>
      <c r="N67" s="47"/>
      <c r="O67" s="47"/>
    </row>
    <row r="68" customFormat="false" ht="15" hidden="false" customHeight="true" outlineLevel="0" collapsed="false">
      <c r="A68" s="51" t="s">
        <v>11</v>
      </c>
      <c r="B68" s="51" t="s">
        <v>264</v>
      </c>
      <c r="C68" s="51" t="s">
        <v>281</v>
      </c>
      <c r="D68" s="51" t="s">
        <v>220</v>
      </c>
      <c r="E68" s="51" t="s">
        <v>262</v>
      </c>
      <c r="F68" s="51" t="n">
        <v>1</v>
      </c>
      <c r="G68" s="52" t="n">
        <v>2763.14</v>
      </c>
      <c r="H68" s="52" t="n">
        <f aca="false">F68*G68</f>
        <v>2763.14</v>
      </c>
      <c r="I68" s="51" t="s">
        <v>299</v>
      </c>
      <c r="J68" s="47"/>
      <c r="K68" s="47"/>
      <c r="L68" s="47"/>
      <c r="M68" s="47"/>
      <c r="N68" s="47"/>
      <c r="O68" s="47"/>
    </row>
    <row r="69" customFormat="false" ht="15" hidden="false" customHeight="true" outlineLevel="0" collapsed="false">
      <c r="A69" s="51" t="s">
        <v>11</v>
      </c>
      <c r="B69" s="51" t="s">
        <v>264</v>
      </c>
      <c r="C69" s="51" t="s">
        <v>281</v>
      </c>
      <c r="D69" s="51" t="s">
        <v>180</v>
      </c>
      <c r="E69" s="51" t="s">
        <v>262</v>
      </c>
      <c r="F69" s="51" t="n">
        <v>2</v>
      </c>
      <c r="G69" s="52" t="n">
        <v>28.31</v>
      </c>
      <c r="H69" s="52" t="n">
        <f aca="false">F69*G69</f>
        <v>56.62</v>
      </c>
      <c r="I69" s="51" t="s">
        <v>285</v>
      </c>
      <c r="J69" s="47"/>
      <c r="K69" s="47"/>
      <c r="L69" s="47"/>
      <c r="M69" s="47"/>
      <c r="N69" s="47"/>
      <c r="O69" s="47"/>
    </row>
    <row r="70" customFormat="false" ht="15" hidden="false" customHeight="true" outlineLevel="0" collapsed="false">
      <c r="A70" s="51" t="s">
        <v>11</v>
      </c>
      <c r="B70" s="51" t="s">
        <v>264</v>
      </c>
      <c r="C70" s="51" t="s">
        <v>281</v>
      </c>
      <c r="D70" s="51" t="s">
        <v>181</v>
      </c>
      <c r="E70" s="51" t="s">
        <v>262</v>
      </c>
      <c r="F70" s="51" t="n">
        <v>2</v>
      </c>
      <c r="G70" s="52" t="n">
        <v>47.79</v>
      </c>
      <c r="H70" s="52" t="n">
        <f aca="false">F70*G70</f>
        <v>95.58</v>
      </c>
      <c r="I70" s="51" t="s">
        <v>285</v>
      </c>
      <c r="J70" s="47"/>
      <c r="K70" s="47"/>
      <c r="L70" s="47"/>
      <c r="M70" s="47"/>
      <c r="N70" s="47"/>
      <c r="O70" s="47"/>
    </row>
    <row r="71" customFormat="false" ht="15" hidden="false" customHeight="true" outlineLevel="0" collapsed="false">
      <c r="A71" s="51" t="s">
        <v>11</v>
      </c>
      <c r="B71" s="51" t="s">
        <v>264</v>
      </c>
      <c r="C71" s="51" t="s">
        <v>44</v>
      </c>
      <c r="D71" s="51" t="s">
        <v>182</v>
      </c>
      <c r="E71" s="51" t="s">
        <v>262</v>
      </c>
      <c r="F71" s="51" t="n">
        <v>2</v>
      </c>
      <c r="G71" s="52" t="n">
        <v>64.54</v>
      </c>
      <c r="H71" s="52" t="n">
        <f aca="false">F71*G71</f>
        <v>129.08</v>
      </c>
      <c r="I71" s="51" t="s">
        <v>285</v>
      </c>
      <c r="J71" s="47"/>
      <c r="K71" s="47"/>
      <c r="L71" s="47"/>
      <c r="M71" s="47"/>
      <c r="N71" s="47"/>
      <c r="O71" s="47"/>
    </row>
    <row r="72" customFormat="false" ht="15" hidden="false" customHeight="true" outlineLevel="0" collapsed="false">
      <c r="A72" s="51" t="s">
        <v>11</v>
      </c>
      <c r="B72" s="51" t="s">
        <v>264</v>
      </c>
      <c r="C72" s="51" t="s">
        <v>286</v>
      </c>
      <c r="D72" s="51" t="s">
        <v>157</v>
      </c>
      <c r="E72" s="51" t="s">
        <v>262</v>
      </c>
      <c r="F72" s="51" t="n">
        <v>2</v>
      </c>
      <c r="G72" s="52" t="n">
        <v>10.05</v>
      </c>
      <c r="H72" s="52" t="n">
        <f aca="false">F72*G72</f>
        <v>20.1</v>
      </c>
      <c r="I72" s="51" t="s">
        <v>285</v>
      </c>
      <c r="J72" s="47"/>
      <c r="K72" s="47"/>
      <c r="L72" s="47"/>
      <c r="M72" s="47"/>
      <c r="N72" s="47"/>
      <c r="O72" s="47"/>
    </row>
    <row r="73" customFormat="false" ht="15" hidden="false" customHeight="true" outlineLevel="0" collapsed="false">
      <c r="A73" s="51" t="s">
        <v>11</v>
      </c>
      <c r="B73" s="51" t="s">
        <v>264</v>
      </c>
      <c r="C73" s="51" t="s">
        <v>286</v>
      </c>
      <c r="D73" s="51" t="s">
        <v>158</v>
      </c>
      <c r="E73" s="51" t="s">
        <v>262</v>
      </c>
      <c r="F73" s="51" t="n">
        <v>2</v>
      </c>
      <c r="G73" s="52" t="n">
        <v>2.07</v>
      </c>
      <c r="H73" s="52" t="n">
        <f aca="false">F73*G73</f>
        <v>4.14</v>
      </c>
      <c r="I73" s="51" t="s">
        <v>285</v>
      </c>
      <c r="J73" s="47"/>
      <c r="K73" s="47"/>
      <c r="L73" s="47"/>
      <c r="M73" s="47"/>
      <c r="N73" s="47"/>
      <c r="O73" s="47"/>
    </row>
    <row r="74" customFormat="false" ht="15" hidden="false" customHeight="true" outlineLevel="0" collapsed="false">
      <c r="A74" s="51" t="s">
        <v>11</v>
      </c>
      <c r="B74" s="51" t="s">
        <v>264</v>
      </c>
      <c r="C74" s="51" t="s">
        <v>288</v>
      </c>
      <c r="D74" s="51" t="s">
        <v>179</v>
      </c>
      <c r="E74" s="51" t="s">
        <v>262</v>
      </c>
      <c r="F74" s="51" t="n">
        <v>2</v>
      </c>
      <c r="G74" s="52" t="n">
        <v>30</v>
      </c>
      <c r="H74" s="52" t="n">
        <f aca="false">F74*G74</f>
        <v>60</v>
      </c>
      <c r="I74" s="51" t="s">
        <v>285</v>
      </c>
      <c r="J74" s="47"/>
      <c r="K74" s="47"/>
      <c r="L74" s="47"/>
      <c r="M74" s="47"/>
      <c r="N74" s="47"/>
      <c r="O74" s="47"/>
    </row>
    <row r="75" customFormat="false" ht="15" hidden="false" customHeight="true" outlineLevel="0" collapsed="false">
      <c r="A75" s="51" t="s">
        <v>11</v>
      </c>
      <c r="B75" s="51" t="s">
        <v>264</v>
      </c>
      <c r="C75" s="51" t="s">
        <v>289</v>
      </c>
      <c r="D75" s="51" t="s">
        <v>186</v>
      </c>
      <c r="E75" s="51" t="s">
        <v>262</v>
      </c>
      <c r="F75" s="51" t="n">
        <v>1</v>
      </c>
      <c r="G75" s="52" t="n">
        <v>696.8</v>
      </c>
      <c r="H75" s="52" t="n">
        <f aca="false">F75*G75</f>
        <v>696.8</v>
      </c>
      <c r="I75" s="51" t="s">
        <v>295</v>
      </c>
      <c r="J75" s="47"/>
      <c r="K75" s="47"/>
      <c r="L75" s="47"/>
      <c r="M75" s="47"/>
      <c r="N75" s="47"/>
      <c r="O75" s="47"/>
    </row>
    <row r="76" customFormat="false" ht="15" hidden="false" customHeight="true" outlineLevel="0" collapsed="false">
      <c r="A76" s="51" t="s">
        <v>11</v>
      </c>
      <c r="B76" s="51" t="s">
        <v>257</v>
      </c>
      <c r="C76" s="51" t="s">
        <v>281</v>
      </c>
      <c r="D76" s="51" t="s">
        <v>220</v>
      </c>
      <c r="E76" s="51" t="s">
        <v>265</v>
      </c>
      <c r="F76" s="51" t="n">
        <v>1</v>
      </c>
      <c r="G76" s="52" t="n">
        <v>57354.9353136</v>
      </c>
      <c r="H76" s="52" t="n">
        <f aca="false">F76*G76</f>
        <v>57354.9353136</v>
      </c>
      <c r="I76" s="51" t="s">
        <v>300</v>
      </c>
      <c r="J76" s="47"/>
      <c r="K76" s="47"/>
      <c r="L76" s="47"/>
      <c r="M76" s="47"/>
      <c r="N76" s="47"/>
      <c r="O76" s="47"/>
    </row>
    <row r="77" customFormat="false" ht="15" hidden="false" customHeight="true" outlineLevel="0" collapsed="false">
      <c r="A77" s="51" t="s">
        <v>11</v>
      </c>
      <c r="B77" s="51" t="s">
        <v>257</v>
      </c>
      <c r="C77" s="51" t="s">
        <v>281</v>
      </c>
      <c r="D77" s="51" t="s">
        <v>283</v>
      </c>
      <c r="E77" s="51" t="s">
        <v>265</v>
      </c>
      <c r="F77" s="51" t="n">
        <v>1</v>
      </c>
      <c r="G77" s="52" t="n">
        <v>570.86</v>
      </c>
      <c r="H77" s="52" t="n">
        <v>570.86</v>
      </c>
      <c r="I77" s="51" t="s">
        <v>301</v>
      </c>
      <c r="J77" s="47"/>
      <c r="K77" s="47"/>
      <c r="L77" s="47"/>
      <c r="M77" s="47"/>
      <c r="N77" s="47"/>
      <c r="O77" s="47"/>
    </row>
    <row r="78" customFormat="false" ht="15" hidden="false" customHeight="true" outlineLevel="0" collapsed="false">
      <c r="A78" s="51" t="s">
        <v>11</v>
      </c>
      <c r="B78" s="51" t="s">
        <v>257</v>
      </c>
      <c r="C78" s="51" t="s">
        <v>281</v>
      </c>
      <c r="D78" s="51" t="s">
        <v>180</v>
      </c>
      <c r="E78" s="51" t="s">
        <v>265</v>
      </c>
      <c r="F78" s="51" t="n">
        <v>18</v>
      </c>
      <c r="G78" s="52" t="n">
        <v>28.31</v>
      </c>
      <c r="H78" s="52" t="n">
        <f aca="false">F78*G78</f>
        <v>509.58</v>
      </c>
      <c r="I78" s="51" t="s">
        <v>285</v>
      </c>
      <c r="J78" s="47"/>
      <c r="K78" s="47"/>
      <c r="L78" s="47"/>
      <c r="M78" s="47"/>
      <c r="N78" s="47"/>
      <c r="O78" s="47"/>
    </row>
    <row r="79" customFormat="false" ht="15" hidden="false" customHeight="true" outlineLevel="0" collapsed="false">
      <c r="A79" s="51" t="s">
        <v>11</v>
      </c>
      <c r="B79" s="51" t="s">
        <v>257</v>
      </c>
      <c r="C79" s="51" t="s">
        <v>281</v>
      </c>
      <c r="D79" s="51" t="s">
        <v>181</v>
      </c>
      <c r="E79" s="51" t="s">
        <v>265</v>
      </c>
      <c r="F79" s="51" t="n">
        <v>18</v>
      </c>
      <c r="G79" s="52" t="n">
        <v>47.79</v>
      </c>
      <c r="H79" s="52" t="n">
        <f aca="false">F79*G79</f>
        <v>860.22</v>
      </c>
      <c r="I79" s="51" t="s">
        <v>285</v>
      </c>
      <c r="J79" s="47"/>
      <c r="K79" s="47"/>
      <c r="L79" s="47"/>
      <c r="M79" s="47"/>
      <c r="N79" s="47"/>
      <c r="O79" s="47"/>
    </row>
    <row r="80" customFormat="false" ht="15" hidden="false" customHeight="true" outlineLevel="0" collapsed="false">
      <c r="A80" s="51" t="s">
        <v>11</v>
      </c>
      <c r="B80" s="51" t="s">
        <v>257</v>
      </c>
      <c r="C80" s="51" t="s">
        <v>44</v>
      </c>
      <c r="D80" s="51" t="s">
        <v>182</v>
      </c>
      <c r="E80" s="51" t="s">
        <v>265</v>
      </c>
      <c r="F80" s="51" t="n">
        <v>18</v>
      </c>
      <c r="G80" s="52" t="n">
        <v>64.54</v>
      </c>
      <c r="H80" s="52" t="n">
        <f aca="false">F80*G80</f>
        <v>1161.72</v>
      </c>
      <c r="I80" s="51" t="s">
        <v>285</v>
      </c>
      <c r="J80" s="47"/>
      <c r="K80" s="47"/>
      <c r="L80" s="47"/>
      <c r="M80" s="47"/>
      <c r="N80" s="47"/>
      <c r="O80" s="47"/>
    </row>
    <row r="81" customFormat="false" ht="15" hidden="false" customHeight="true" outlineLevel="0" collapsed="false">
      <c r="A81" s="51" t="s">
        <v>11</v>
      </c>
      <c r="B81" s="51" t="s">
        <v>257</v>
      </c>
      <c r="C81" s="51" t="s">
        <v>44</v>
      </c>
      <c r="D81" s="51" t="s">
        <v>221</v>
      </c>
      <c r="E81" s="51" t="s">
        <v>265</v>
      </c>
      <c r="F81" s="51" t="n">
        <v>1</v>
      </c>
      <c r="G81" s="52" t="n">
        <v>65.57</v>
      </c>
      <c r="H81" s="52" t="n">
        <v>65.57</v>
      </c>
      <c r="I81" s="51" t="s">
        <v>301</v>
      </c>
      <c r="J81" s="47"/>
      <c r="K81" s="47"/>
      <c r="L81" s="47"/>
      <c r="M81" s="47"/>
      <c r="N81" s="47"/>
      <c r="O81" s="47"/>
    </row>
    <row r="82" customFormat="false" ht="15" hidden="false" customHeight="true" outlineLevel="0" collapsed="false">
      <c r="A82" s="51" t="s">
        <v>11</v>
      </c>
      <c r="B82" s="51" t="s">
        <v>257</v>
      </c>
      <c r="C82" s="51" t="s">
        <v>286</v>
      </c>
      <c r="D82" s="51" t="s">
        <v>157</v>
      </c>
      <c r="E82" s="51" t="s">
        <v>265</v>
      </c>
      <c r="F82" s="51" t="n">
        <v>18</v>
      </c>
      <c r="G82" s="52" t="n">
        <v>10.05</v>
      </c>
      <c r="H82" s="52" t="n">
        <f aca="false">F82*G82</f>
        <v>180.9</v>
      </c>
      <c r="I82" s="51" t="s">
        <v>285</v>
      </c>
      <c r="J82" s="47"/>
      <c r="K82" s="47"/>
      <c r="L82" s="47"/>
      <c r="M82" s="47"/>
      <c r="N82" s="47"/>
      <c r="O82" s="47"/>
    </row>
    <row r="83" customFormat="false" ht="15" hidden="false" customHeight="true" outlineLevel="0" collapsed="false">
      <c r="A83" s="51" t="s">
        <v>11</v>
      </c>
      <c r="B83" s="51" t="s">
        <v>257</v>
      </c>
      <c r="C83" s="51" t="s">
        <v>286</v>
      </c>
      <c r="D83" s="51" t="s">
        <v>158</v>
      </c>
      <c r="E83" s="51" t="s">
        <v>265</v>
      </c>
      <c r="F83" s="51" t="n">
        <v>18</v>
      </c>
      <c r="G83" s="52" t="n">
        <v>2.07</v>
      </c>
      <c r="H83" s="52" t="n">
        <f aca="false">F83*G83</f>
        <v>37.26</v>
      </c>
      <c r="I83" s="51" t="s">
        <v>285</v>
      </c>
      <c r="J83" s="47"/>
      <c r="K83" s="47"/>
      <c r="L83" s="47"/>
      <c r="M83" s="47"/>
      <c r="N83" s="47"/>
      <c r="O83" s="47"/>
    </row>
    <row r="84" customFormat="false" ht="15" hidden="false" customHeight="true" outlineLevel="0" collapsed="false">
      <c r="A84" s="51" t="s">
        <v>11</v>
      </c>
      <c r="B84" s="51" t="s">
        <v>257</v>
      </c>
      <c r="C84" s="51" t="s">
        <v>287</v>
      </c>
      <c r="D84" s="51" t="s">
        <v>183</v>
      </c>
      <c r="E84" s="51" t="s">
        <v>265</v>
      </c>
      <c r="F84" s="51" t="n">
        <v>1</v>
      </c>
      <c r="G84" s="52" t="n">
        <v>352.84</v>
      </c>
      <c r="H84" s="52" t="n">
        <v>352.84</v>
      </c>
      <c r="I84" s="51" t="s">
        <v>301</v>
      </c>
      <c r="J84" s="47"/>
      <c r="K84" s="47"/>
      <c r="L84" s="47"/>
      <c r="M84" s="47"/>
      <c r="N84" s="47"/>
      <c r="O84" s="47"/>
    </row>
    <row r="85" customFormat="false" ht="15" hidden="false" customHeight="true" outlineLevel="0" collapsed="false">
      <c r="A85" s="51" t="s">
        <v>11</v>
      </c>
      <c r="B85" s="51" t="s">
        <v>257</v>
      </c>
      <c r="C85" s="51" t="s">
        <v>287</v>
      </c>
      <c r="D85" s="51" t="s">
        <v>185</v>
      </c>
      <c r="E85" s="51" t="s">
        <v>265</v>
      </c>
      <c r="F85" s="51" t="n">
        <v>1</v>
      </c>
      <c r="G85" s="52" t="n">
        <v>531.09</v>
      </c>
      <c r="H85" s="52" t="n">
        <v>531.09</v>
      </c>
      <c r="I85" s="51" t="s">
        <v>301</v>
      </c>
      <c r="J85" s="47"/>
      <c r="K85" s="47"/>
      <c r="L85" s="47"/>
      <c r="M85" s="47"/>
      <c r="N85" s="47"/>
      <c r="O85" s="47"/>
    </row>
    <row r="86" customFormat="false" ht="15" hidden="false" customHeight="true" outlineLevel="0" collapsed="false">
      <c r="A86" s="51" t="s">
        <v>11</v>
      </c>
      <c r="B86" s="51" t="s">
        <v>257</v>
      </c>
      <c r="C86" s="51" t="s">
        <v>288</v>
      </c>
      <c r="D86" s="51" t="s">
        <v>179</v>
      </c>
      <c r="E86" s="51" t="s">
        <v>265</v>
      </c>
      <c r="F86" s="51" t="n">
        <v>18</v>
      </c>
      <c r="G86" s="52" t="n">
        <v>30</v>
      </c>
      <c r="H86" s="52" t="n">
        <f aca="false">F86*G86</f>
        <v>540</v>
      </c>
      <c r="I86" s="51" t="s">
        <v>285</v>
      </c>
      <c r="J86" s="47"/>
      <c r="K86" s="47"/>
      <c r="L86" s="47"/>
      <c r="M86" s="47"/>
      <c r="N86" s="47"/>
      <c r="O86" s="47"/>
    </row>
    <row r="87" customFormat="false" ht="15" hidden="false" customHeight="true" outlineLevel="0" collapsed="false">
      <c r="A87" s="51" t="s">
        <v>11</v>
      </c>
      <c r="B87" s="51" t="s">
        <v>257</v>
      </c>
      <c r="C87" s="51" t="s">
        <v>289</v>
      </c>
      <c r="D87" s="51" t="s">
        <v>186</v>
      </c>
      <c r="E87" s="51" t="s">
        <v>265</v>
      </c>
      <c r="F87" s="51" t="n">
        <v>1</v>
      </c>
      <c r="G87" s="52" t="n">
        <v>2345.27</v>
      </c>
      <c r="H87" s="52" t="n">
        <f aca="false">F87*G87</f>
        <v>2345.27</v>
      </c>
      <c r="I87" s="51" t="s">
        <v>302</v>
      </c>
      <c r="J87" s="47"/>
      <c r="K87" s="47"/>
      <c r="L87" s="47"/>
      <c r="M87" s="47"/>
      <c r="N87" s="47"/>
      <c r="O87" s="47"/>
    </row>
    <row r="88" customFormat="false" ht="15" hidden="false" customHeight="true" outlineLevel="0" collapsed="false">
      <c r="A88" s="51" t="s">
        <v>11</v>
      </c>
      <c r="B88" s="51" t="s">
        <v>266</v>
      </c>
      <c r="C88" s="51" t="s">
        <v>281</v>
      </c>
      <c r="D88" s="51" t="s">
        <v>220</v>
      </c>
      <c r="E88" s="51" t="s">
        <v>265</v>
      </c>
      <c r="F88" s="51" t="n">
        <v>1</v>
      </c>
      <c r="G88" s="52" t="n">
        <v>2755.29</v>
      </c>
      <c r="H88" s="52" t="n">
        <f aca="false">F88*G88</f>
        <v>2755.29</v>
      </c>
      <c r="I88" s="51" t="s">
        <v>299</v>
      </c>
      <c r="J88" s="47"/>
      <c r="K88" s="47"/>
      <c r="L88" s="47"/>
      <c r="M88" s="47"/>
      <c r="N88" s="47"/>
      <c r="O88" s="47"/>
    </row>
    <row r="89" customFormat="false" ht="15" hidden="false" customHeight="true" outlineLevel="0" collapsed="false">
      <c r="A89" s="51" t="s">
        <v>11</v>
      </c>
      <c r="B89" s="51" t="s">
        <v>266</v>
      </c>
      <c r="C89" s="51" t="s">
        <v>281</v>
      </c>
      <c r="D89" s="51" t="s">
        <v>180</v>
      </c>
      <c r="E89" s="51" t="s">
        <v>265</v>
      </c>
      <c r="F89" s="51" t="n">
        <v>2</v>
      </c>
      <c r="G89" s="52" t="n">
        <v>28.31</v>
      </c>
      <c r="H89" s="52" t="n">
        <f aca="false">F89*G89</f>
        <v>56.62</v>
      </c>
      <c r="I89" s="51" t="s">
        <v>285</v>
      </c>
      <c r="J89" s="47"/>
      <c r="K89" s="47"/>
      <c r="L89" s="47"/>
      <c r="M89" s="47"/>
      <c r="N89" s="47"/>
      <c r="O89" s="47"/>
    </row>
    <row r="90" customFormat="false" ht="15" hidden="false" customHeight="true" outlineLevel="0" collapsed="false">
      <c r="A90" s="51" t="s">
        <v>11</v>
      </c>
      <c r="B90" s="51" t="s">
        <v>266</v>
      </c>
      <c r="C90" s="51" t="s">
        <v>281</v>
      </c>
      <c r="D90" s="51" t="s">
        <v>181</v>
      </c>
      <c r="E90" s="51" t="s">
        <v>265</v>
      </c>
      <c r="F90" s="51" t="n">
        <v>2</v>
      </c>
      <c r="G90" s="52" t="n">
        <v>47.79</v>
      </c>
      <c r="H90" s="52" t="n">
        <f aca="false">F90*G90</f>
        <v>95.58</v>
      </c>
      <c r="I90" s="51" t="s">
        <v>285</v>
      </c>
      <c r="J90" s="47"/>
      <c r="K90" s="47"/>
      <c r="L90" s="47"/>
      <c r="M90" s="47"/>
      <c r="N90" s="47"/>
      <c r="O90" s="47"/>
    </row>
    <row r="91" customFormat="false" ht="15" hidden="false" customHeight="true" outlineLevel="0" collapsed="false">
      <c r="A91" s="51" t="s">
        <v>11</v>
      </c>
      <c r="B91" s="51" t="s">
        <v>266</v>
      </c>
      <c r="C91" s="51" t="s">
        <v>44</v>
      </c>
      <c r="D91" s="51" t="s">
        <v>182</v>
      </c>
      <c r="E91" s="51" t="s">
        <v>265</v>
      </c>
      <c r="F91" s="51" t="n">
        <v>2</v>
      </c>
      <c r="G91" s="52" t="n">
        <v>64.54</v>
      </c>
      <c r="H91" s="52" t="n">
        <f aca="false">F91*G91</f>
        <v>129.08</v>
      </c>
      <c r="I91" s="51" t="s">
        <v>285</v>
      </c>
      <c r="J91" s="47"/>
      <c r="K91" s="47"/>
      <c r="L91" s="47"/>
      <c r="M91" s="47"/>
      <c r="N91" s="47"/>
      <c r="O91" s="47"/>
    </row>
    <row r="92" customFormat="false" ht="15" hidden="false" customHeight="true" outlineLevel="0" collapsed="false">
      <c r="A92" s="51" t="s">
        <v>11</v>
      </c>
      <c r="B92" s="51" t="s">
        <v>266</v>
      </c>
      <c r="C92" s="51" t="s">
        <v>286</v>
      </c>
      <c r="D92" s="51" t="s">
        <v>157</v>
      </c>
      <c r="E92" s="51" t="s">
        <v>265</v>
      </c>
      <c r="F92" s="51" t="n">
        <v>2</v>
      </c>
      <c r="G92" s="52" t="n">
        <v>10.05</v>
      </c>
      <c r="H92" s="52" t="n">
        <f aca="false">F92*G92</f>
        <v>20.1</v>
      </c>
      <c r="I92" s="51" t="s">
        <v>285</v>
      </c>
      <c r="J92" s="47"/>
      <c r="K92" s="47"/>
      <c r="L92" s="47"/>
      <c r="M92" s="47"/>
      <c r="N92" s="47"/>
      <c r="O92" s="47"/>
    </row>
    <row r="93" customFormat="false" ht="15" hidden="false" customHeight="true" outlineLevel="0" collapsed="false">
      <c r="A93" s="51" t="s">
        <v>11</v>
      </c>
      <c r="B93" s="51" t="s">
        <v>266</v>
      </c>
      <c r="C93" s="51" t="s">
        <v>286</v>
      </c>
      <c r="D93" s="51" t="s">
        <v>158</v>
      </c>
      <c r="E93" s="51" t="s">
        <v>265</v>
      </c>
      <c r="F93" s="51" t="n">
        <v>2</v>
      </c>
      <c r="G93" s="52" t="n">
        <v>2.07</v>
      </c>
      <c r="H93" s="52" t="n">
        <f aca="false">F93*G93</f>
        <v>4.14</v>
      </c>
      <c r="I93" s="51" t="s">
        <v>285</v>
      </c>
      <c r="J93" s="47"/>
      <c r="K93" s="47"/>
      <c r="L93" s="47"/>
      <c r="M93" s="47"/>
      <c r="N93" s="47"/>
      <c r="O93" s="47"/>
    </row>
    <row r="94" customFormat="false" ht="15" hidden="false" customHeight="true" outlineLevel="0" collapsed="false">
      <c r="A94" s="51" t="s">
        <v>11</v>
      </c>
      <c r="B94" s="51" t="s">
        <v>266</v>
      </c>
      <c r="C94" s="51" t="s">
        <v>288</v>
      </c>
      <c r="D94" s="51" t="s">
        <v>179</v>
      </c>
      <c r="E94" s="51" t="s">
        <v>265</v>
      </c>
      <c r="F94" s="51" t="n">
        <v>2</v>
      </c>
      <c r="G94" s="52" t="n">
        <v>30</v>
      </c>
      <c r="H94" s="52" t="n">
        <f aca="false">F94*G94</f>
        <v>60</v>
      </c>
      <c r="I94" s="51" t="s">
        <v>285</v>
      </c>
      <c r="J94" s="47"/>
      <c r="K94" s="47"/>
      <c r="L94" s="47"/>
      <c r="M94" s="47"/>
      <c r="N94" s="47"/>
      <c r="O94" s="47"/>
    </row>
    <row r="95" customFormat="false" ht="15" hidden="false" customHeight="true" outlineLevel="0" collapsed="false">
      <c r="A95" s="51" t="s">
        <v>11</v>
      </c>
      <c r="B95" s="51" t="s">
        <v>266</v>
      </c>
      <c r="C95" s="51" t="s">
        <v>289</v>
      </c>
      <c r="D95" s="51" t="s">
        <v>186</v>
      </c>
      <c r="E95" s="51" t="s">
        <v>265</v>
      </c>
      <c r="F95" s="51" t="n">
        <v>1</v>
      </c>
      <c r="G95" s="52" t="n">
        <v>1447.18</v>
      </c>
      <c r="H95" s="52" t="n">
        <f aca="false">F95*G95</f>
        <v>1447.18</v>
      </c>
      <c r="I95" s="51" t="s">
        <v>295</v>
      </c>
      <c r="J95" s="47"/>
      <c r="K95" s="47"/>
      <c r="L95" s="47"/>
      <c r="M95" s="47"/>
      <c r="N95" s="47"/>
      <c r="O95" s="47"/>
    </row>
    <row r="96" customFormat="false" ht="15" hidden="false" customHeight="true" outlineLevel="0" collapsed="false">
      <c r="A96" s="51" t="s">
        <v>11</v>
      </c>
      <c r="B96" s="51" t="s">
        <v>267</v>
      </c>
      <c r="C96" s="51" t="s">
        <v>281</v>
      </c>
      <c r="D96" s="51" t="s">
        <v>220</v>
      </c>
      <c r="E96" s="51" t="s">
        <v>265</v>
      </c>
      <c r="F96" s="51" t="n">
        <v>1</v>
      </c>
      <c r="G96" s="52" t="n">
        <v>11931.77</v>
      </c>
      <c r="H96" s="52" t="n">
        <f aca="false">F96*G96</f>
        <v>11931.77</v>
      </c>
      <c r="I96" s="51" t="s">
        <v>303</v>
      </c>
      <c r="J96" s="47"/>
      <c r="K96" s="47"/>
      <c r="L96" s="47"/>
      <c r="M96" s="47"/>
      <c r="N96" s="47"/>
      <c r="O96" s="47"/>
    </row>
    <row r="97" customFormat="false" ht="15" hidden="false" customHeight="true" outlineLevel="0" collapsed="false">
      <c r="A97" s="51" t="s">
        <v>11</v>
      </c>
      <c r="B97" s="51" t="s">
        <v>267</v>
      </c>
      <c r="C97" s="51" t="s">
        <v>281</v>
      </c>
      <c r="D97" s="51" t="s">
        <v>180</v>
      </c>
      <c r="E97" s="51" t="s">
        <v>265</v>
      </c>
      <c r="F97" s="51" t="n">
        <v>5</v>
      </c>
      <c r="G97" s="52" t="n">
        <v>28.31</v>
      </c>
      <c r="H97" s="52" t="n">
        <f aca="false">F97*G97</f>
        <v>141.55</v>
      </c>
      <c r="I97" s="51" t="s">
        <v>285</v>
      </c>
      <c r="J97" s="47"/>
      <c r="K97" s="47"/>
      <c r="L97" s="47"/>
      <c r="M97" s="47"/>
      <c r="N97" s="47"/>
      <c r="O97" s="47"/>
    </row>
    <row r="98" customFormat="false" ht="15" hidden="false" customHeight="true" outlineLevel="0" collapsed="false">
      <c r="A98" s="51" t="s">
        <v>11</v>
      </c>
      <c r="B98" s="51" t="s">
        <v>267</v>
      </c>
      <c r="C98" s="51" t="s">
        <v>281</v>
      </c>
      <c r="D98" s="51" t="s">
        <v>181</v>
      </c>
      <c r="E98" s="51" t="s">
        <v>265</v>
      </c>
      <c r="F98" s="51" t="n">
        <v>5</v>
      </c>
      <c r="G98" s="52" t="n">
        <v>47.79</v>
      </c>
      <c r="H98" s="52" t="n">
        <f aca="false">F98*G98</f>
        <v>238.95</v>
      </c>
      <c r="I98" s="51" t="s">
        <v>285</v>
      </c>
      <c r="J98" s="47"/>
      <c r="K98" s="47"/>
      <c r="L98" s="47"/>
      <c r="M98" s="47"/>
      <c r="N98" s="47"/>
      <c r="O98" s="47"/>
    </row>
    <row r="99" customFormat="false" ht="15" hidden="false" customHeight="true" outlineLevel="0" collapsed="false">
      <c r="A99" s="51" t="s">
        <v>11</v>
      </c>
      <c r="B99" s="51" t="s">
        <v>267</v>
      </c>
      <c r="C99" s="51" t="s">
        <v>44</v>
      </c>
      <c r="D99" s="51" t="s">
        <v>182</v>
      </c>
      <c r="E99" s="51" t="s">
        <v>265</v>
      </c>
      <c r="F99" s="51" t="n">
        <v>5</v>
      </c>
      <c r="G99" s="52" t="n">
        <v>64.54</v>
      </c>
      <c r="H99" s="52" t="n">
        <f aca="false">F99*G99</f>
        <v>322.7</v>
      </c>
      <c r="I99" s="51" t="s">
        <v>285</v>
      </c>
      <c r="J99" s="47"/>
      <c r="K99" s="47"/>
      <c r="L99" s="47"/>
      <c r="M99" s="47"/>
      <c r="N99" s="47"/>
      <c r="O99" s="47"/>
    </row>
    <row r="100" customFormat="false" ht="15" hidden="false" customHeight="true" outlineLevel="0" collapsed="false">
      <c r="A100" s="51" t="s">
        <v>11</v>
      </c>
      <c r="B100" s="51" t="s">
        <v>267</v>
      </c>
      <c r="C100" s="51" t="s">
        <v>286</v>
      </c>
      <c r="D100" s="51" t="s">
        <v>157</v>
      </c>
      <c r="E100" s="51" t="s">
        <v>265</v>
      </c>
      <c r="F100" s="51" t="n">
        <v>5</v>
      </c>
      <c r="G100" s="52" t="n">
        <v>10.05</v>
      </c>
      <c r="H100" s="52" t="n">
        <f aca="false">F100*G100</f>
        <v>50.25</v>
      </c>
      <c r="I100" s="51" t="s">
        <v>285</v>
      </c>
      <c r="J100" s="47"/>
      <c r="K100" s="47"/>
      <c r="L100" s="47"/>
      <c r="M100" s="47"/>
      <c r="N100" s="47"/>
      <c r="O100" s="47"/>
    </row>
    <row r="101" customFormat="false" ht="15" hidden="false" customHeight="true" outlineLevel="0" collapsed="false">
      <c r="A101" s="51" t="s">
        <v>11</v>
      </c>
      <c r="B101" s="51" t="s">
        <v>267</v>
      </c>
      <c r="C101" s="51" t="s">
        <v>286</v>
      </c>
      <c r="D101" s="51" t="s">
        <v>158</v>
      </c>
      <c r="E101" s="51" t="s">
        <v>265</v>
      </c>
      <c r="F101" s="51" t="n">
        <v>5</v>
      </c>
      <c r="G101" s="52" t="n">
        <v>2.07</v>
      </c>
      <c r="H101" s="52" t="n">
        <f aca="false">F101*G101</f>
        <v>10.35</v>
      </c>
      <c r="I101" s="51" t="s">
        <v>285</v>
      </c>
      <c r="J101" s="47"/>
      <c r="K101" s="47"/>
      <c r="L101" s="47"/>
      <c r="M101" s="47"/>
      <c r="N101" s="47"/>
      <c r="O101" s="47"/>
    </row>
    <row r="102" customFormat="false" ht="15" hidden="false" customHeight="true" outlineLevel="0" collapsed="false">
      <c r="A102" s="51" t="s">
        <v>11</v>
      </c>
      <c r="B102" s="51" t="s">
        <v>267</v>
      </c>
      <c r="C102" s="51" t="s">
        <v>287</v>
      </c>
      <c r="D102" s="51" t="s">
        <v>185</v>
      </c>
      <c r="E102" s="51" t="s">
        <v>265</v>
      </c>
      <c r="F102" s="51" t="n">
        <v>1</v>
      </c>
      <c r="G102" s="52" t="n">
        <v>111.44</v>
      </c>
      <c r="H102" s="52" t="n">
        <f aca="false">F102*G102</f>
        <v>111.44</v>
      </c>
      <c r="I102" s="51" t="s">
        <v>304</v>
      </c>
      <c r="J102" s="47"/>
      <c r="K102" s="47"/>
      <c r="L102" s="47"/>
      <c r="M102" s="47"/>
      <c r="N102" s="47"/>
      <c r="O102" s="47"/>
    </row>
    <row r="103" customFormat="false" ht="15" hidden="false" customHeight="true" outlineLevel="0" collapsed="false">
      <c r="A103" s="51" t="s">
        <v>11</v>
      </c>
      <c r="B103" s="51" t="s">
        <v>267</v>
      </c>
      <c r="C103" s="51" t="s">
        <v>288</v>
      </c>
      <c r="D103" s="51" t="s">
        <v>179</v>
      </c>
      <c r="E103" s="51" t="s">
        <v>265</v>
      </c>
      <c r="F103" s="51" t="n">
        <v>5</v>
      </c>
      <c r="G103" s="52" t="n">
        <v>30</v>
      </c>
      <c r="H103" s="52" t="n">
        <f aca="false">F103*G103</f>
        <v>150</v>
      </c>
      <c r="I103" s="51" t="s">
        <v>285</v>
      </c>
      <c r="J103" s="47"/>
      <c r="K103" s="47"/>
      <c r="L103" s="47"/>
      <c r="M103" s="47"/>
      <c r="N103" s="47"/>
      <c r="O103" s="47"/>
    </row>
    <row r="104" customFormat="false" ht="15" hidden="false" customHeight="true" outlineLevel="0" collapsed="false">
      <c r="A104" s="51" t="s">
        <v>11</v>
      </c>
      <c r="B104" s="51" t="s">
        <v>267</v>
      </c>
      <c r="C104" s="51" t="s">
        <v>289</v>
      </c>
      <c r="D104" s="51" t="s">
        <v>186</v>
      </c>
      <c r="E104" s="51" t="s">
        <v>265</v>
      </c>
      <c r="F104" s="51" t="n">
        <v>1</v>
      </c>
      <c r="G104" s="52" t="n">
        <v>977.05</v>
      </c>
      <c r="H104" s="52" t="n">
        <f aca="false">F104*G104</f>
        <v>977.05</v>
      </c>
      <c r="I104" s="51" t="s">
        <v>295</v>
      </c>
      <c r="J104" s="47"/>
      <c r="K104" s="47"/>
      <c r="L104" s="47"/>
      <c r="M104" s="47"/>
      <c r="N104" s="47"/>
      <c r="O104" s="47"/>
    </row>
    <row r="105" customFormat="false" ht="15" hidden="false" customHeight="true" outlineLevel="0" collapsed="false">
      <c r="A105" s="51" t="s">
        <v>11</v>
      </c>
      <c r="B105" s="51" t="s">
        <v>269</v>
      </c>
      <c r="C105" s="51" t="s">
        <v>281</v>
      </c>
      <c r="D105" s="51" t="s">
        <v>220</v>
      </c>
      <c r="E105" s="51" t="s">
        <v>268</v>
      </c>
      <c r="F105" s="51" t="n">
        <v>1</v>
      </c>
      <c r="G105" s="52" t="n">
        <v>18416.45</v>
      </c>
      <c r="H105" s="52" t="n">
        <f aca="false">F105*G105</f>
        <v>18416.45</v>
      </c>
      <c r="I105" s="51" t="s">
        <v>305</v>
      </c>
      <c r="J105" s="47"/>
      <c r="K105" s="47"/>
      <c r="L105" s="47"/>
      <c r="M105" s="47"/>
      <c r="N105" s="47"/>
      <c r="O105" s="47"/>
    </row>
    <row r="106" customFormat="false" ht="15" hidden="false" customHeight="true" outlineLevel="0" collapsed="false">
      <c r="A106" s="51" t="s">
        <v>11</v>
      </c>
      <c r="B106" s="51" t="s">
        <v>269</v>
      </c>
      <c r="C106" s="51" t="s">
        <v>281</v>
      </c>
      <c r="D106" s="51" t="s">
        <v>180</v>
      </c>
      <c r="E106" s="51" t="s">
        <v>268</v>
      </c>
      <c r="F106" s="51" t="n">
        <v>8</v>
      </c>
      <c r="G106" s="52" t="n">
        <v>28.31</v>
      </c>
      <c r="H106" s="52" t="n">
        <f aca="false">F106*G106</f>
        <v>226.48</v>
      </c>
      <c r="I106" s="51" t="s">
        <v>285</v>
      </c>
      <c r="J106" s="47"/>
      <c r="K106" s="47"/>
      <c r="L106" s="47"/>
      <c r="M106" s="47"/>
      <c r="N106" s="47"/>
      <c r="O106" s="47"/>
    </row>
    <row r="107" customFormat="false" ht="15" hidden="false" customHeight="true" outlineLevel="0" collapsed="false">
      <c r="A107" s="51" t="s">
        <v>11</v>
      </c>
      <c r="B107" s="51" t="s">
        <v>269</v>
      </c>
      <c r="C107" s="51" t="s">
        <v>281</v>
      </c>
      <c r="D107" s="51" t="s">
        <v>181</v>
      </c>
      <c r="E107" s="51" t="s">
        <v>268</v>
      </c>
      <c r="F107" s="51" t="n">
        <v>8</v>
      </c>
      <c r="G107" s="52" t="n">
        <v>47.79</v>
      </c>
      <c r="H107" s="52" t="n">
        <f aca="false">F107*G107</f>
        <v>382.32</v>
      </c>
      <c r="I107" s="51" t="s">
        <v>285</v>
      </c>
      <c r="J107" s="47"/>
      <c r="K107" s="47"/>
      <c r="L107" s="47"/>
      <c r="M107" s="47"/>
      <c r="N107" s="47"/>
      <c r="O107" s="47"/>
    </row>
    <row r="108" customFormat="false" ht="15" hidden="false" customHeight="true" outlineLevel="0" collapsed="false">
      <c r="A108" s="51" t="s">
        <v>11</v>
      </c>
      <c r="B108" s="51" t="s">
        <v>269</v>
      </c>
      <c r="C108" s="51" t="s">
        <v>44</v>
      </c>
      <c r="D108" s="51" t="s">
        <v>182</v>
      </c>
      <c r="E108" s="51" t="s">
        <v>268</v>
      </c>
      <c r="F108" s="51" t="n">
        <v>8</v>
      </c>
      <c r="G108" s="52" t="n">
        <v>64.54</v>
      </c>
      <c r="H108" s="52" t="n">
        <f aca="false">F108*G108</f>
        <v>516.32</v>
      </c>
      <c r="I108" s="51" t="s">
        <v>285</v>
      </c>
      <c r="J108" s="47"/>
      <c r="K108" s="47"/>
      <c r="L108" s="47"/>
      <c r="M108" s="47"/>
      <c r="N108" s="47"/>
      <c r="O108" s="47"/>
    </row>
    <row r="109" customFormat="false" ht="15" hidden="false" customHeight="true" outlineLevel="0" collapsed="false">
      <c r="A109" s="51" t="s">
        <v>11</v>
      </c>
      <c r="B109" s="51" t="s">
        <v>269</v>
      </c>
      <c r="C109" s="51" t="s">
        <v>44</v>
      </c>
      <c r="D109" s="51" t="s">
        <v>221</v>
      </c>
      <c r="E109" s="51" t="s">
        <v>268</v>
      </c>
      <c r="F109" s="51" t="n">
        <v>1</v>
      </c>
      <c r="G109" s="52" t="n">
        <v>140</v>
      </c>
      <c r="H109" s="52" t="n">
        <f aca="false">F109*G109</f>
        <v>140</v>
      </c>
      <c r="I109" s="51" t="s">
        <v>306</v>
      </c>
      <c r="J109" s="47"/>
      <c r="K109" s="47"/>
      <c r="L109" s="47"/>
      <c r="M109" s="47"/>
      <c r="N109" s="47"/>
      <c r="O109" s="47"/>
    </row>
    <row r="110" customFormat="false" ht="15" hidden="false" customHeight="true" outlineLevel="0" collapsed="false">
      <c r="A110" s="51" t="s">
        <v>11</v>
      </c>
      <c r="B110" s="51" t="s">
        <v>269</v>
      </c>
      <c r="C110" s="51" t="s">
        <v>286</v>
      </c>
      <c r="D110" s="51" t="s">
        <v>157</v>
      </c>
      <c r="E110" s="51" t="s">
        <v>268</v>
      </c>
      <c r="F110" s="51" t="n">
        <v>8</v>
      </c>
      <c r="G110" s="52" t="n">
        <v>10.05</v>
      </c>
      <c r="H110" s="52" t="n">
        <f aca="false">F110*G110</f>
        <v>80.4</v>
      </c>
      <c r="I110" s="51" t="s">
        <v>285</v>
      </c>
      <c r="J110" s="47"/>
      <c r="K110" s="47"/>
      <c r="L110" s="47"/>
      <c r="M110" s="47"/>
      <c r="N110" s="47"/>
      <c r="O110" s="47"/>
    </row>
    <row r="111" customFormat="false" ht="15" hidden="false" customHeight="true" outlineLevel="0" collapsed="false">
      <c r="A111" s="51" t="s">
        <v>11</v>
      </c>
      <c r="B111" s="51" t="s">
        <v>269</v>
      </c>
      <c r="C111" s="51" t="s">
        <v>286</v>
      </c>
      <c r="D111" s="51" t="s">
        <v>158</v>
      </c>
      <c r="E111" s="51" t="s">
        <v>268</v>
      </c>
      <c r="F111" s="51" t="n">
        <v>8</v>
      </c>
      <c r="G111" s="52" t="n">
        <v>2.07</v>
      </c>
      <c r="H111" s="52" t="n">
        <f aca="false">F111*G111</f>
        <v>16.56</v>
      </c>
      <c r="I111" s="51" t="s">
        <v>285</v>
      </c>
      <c r="J111" s="47"/>
      <c r="K111" s="47"/>
      <c r="L111" s="47"/>
      <c r="M111" s="47"/>
      <c r="N111" s="47"/>
      <c r="O111" s="47"/>
    </row>
    <row r="112" customFormat="false" ht="15" hidden="false" customHeight="true" outlineLevel="0" collapsed="false">
      <c r="A112" s="51" t="s">
        <v>11</v>
      </c>
      <c r="B112" s="51" t="s">
        <v>269</v>
      </c>
      <c r="C112" s="51" t="s">
        <v>287</v>
      </c>
      <c r="D112" s="51" t="s">
        <v>183</v>
      </c>
      <c r="E112" s="51" t="s">
        <v>268</v>
      </c>
      <c r="F112" s="51" t="n">
        <v>1</v>
      </c>
      <c r="G112" s="52" t="n">
        <v>798.12</v>
      </c>
      <c r="H112" s="52" t="n">
        <f aca="false">F112*G112</f>
        <v>798.12</v>
      </c>
      <c r="I112" s="51" t="s">
        <v>306</v>
      </c>
      <c r="J112" s="47"/>
      <c r="K112" s="47"/>
      <c r="L112" s="47"/>
      <c r="M112" s="47"/>
      <c r="N112" s="47"/>
      <c r="O112" s="47"/>
    </row>
    <row r="113" customFormat="false" ht="15" hidden="false" customHeight="true" outlineLevel="0" collapsed="false">
      <c r="A113" s="51" t="s">
        <v>11</v>
      </c>
      <c r="B113" s="51" t="s">
        <v>269</v>
      </c>
      <c r="C113" s="51" t="s">
        <v>287</v>
      </c>
      <c r="D113" s="51" t="s">
        <v>185</v>
      </c>
      <c r="E113" s="51" t="s">
        <v>268</v>
      </c>
      <c r="F113" s="51" t="n">
        <v>1</v>
      </c>
      <c r="G113" s="52" t="n">
        <v>222.88</v>
      </c>
      <c r="H113" s="52" t="n">
        <f aca="false">F113*G113</f>
        <v>222.88</v>
      </c>
      <c r="I113" s="51" t="s">
        <v>306</v>
      </c>
      <c r="J113" s="47"/>
      <c r="K113" s="47"/>
      <c r="L113" s="47"/>
      <c r="M113" s="47"/>
      <c r="N113" s="47"/>
      <c r="O113" s="47"/>
    </row>
    <row r="114" customFormat="false" ht="15" hidden="false" customHeight="true" outlineLevel="0" collapsed="false">
      <c r="A114" s="51" t="s">
        <v>11</v>
      </c>
      <c r="B114" s="51" t="s">
        <v>269</v>
      </c>
      <c r="C114" s="51" t="s">
        <v>288</v>
      </c>
      <c r="D114" s="51" t="s">
        <v>179</v>
      </c>
      <c r="E114" s="51" t="s">
        <v>268</v>
      </c>
      <c r="F114" s="51" t="n">
        <v>8</v>
      </c>
      <c r="G114" s="52" t="n">
        <v>30</v>
      </c>
      <c r="H114" s="52" t="n">
        <f aca="false">F114*G114</f>
        <v>240</v>
      </c>
      <c r="I114" s="51" t="s">
        <v>285</v>
      </c>
      <c r="J114" s="47"/>
      <c r="K114" s="47"/>
      <c r="L114" s="47"/>
      <c r="M114" s="47"/>
      <c r="N114" s="47"/>
      <c r="O114" s="47"/>
    </row>
    <row r="115" customFormat="false" ht="15" hidden="false" customHeight="true" outlineLevel="0" collapsed="false">
      <c r="A115" s="51" t="s">
        <v>11</v>
      </c>
      <c r="B115" s="51" t="s">
        <v>272</v>
      </c>
      <c r="C115" s="51" t="s">
        <v>281</v>
      </c>
      <c r="D115" s="51" t="s">
        <v>220</v>
      </c>
      <c r="E115" s="51" t="s">
        <v>268</v>
      </c>
      <c r="F115" s="51" t="n">
        <v>1</v>
      </c>
      <c r="G115" s="52" t="n">
        <v>17518.73</v>
      </c>
      <c r="H115" s="52" t="n">
        <f aca="false">F115*G115</f>
        <v>17518.73</v>
      </c>
      <c r="I115" s="51" t="s">
        <v>307</v>
      </c>
      <c r="J115" s="47"/>
      <c r="K115" s="47"/>
      <c r="L115" s="47"/>
      <c r="M115" s="47"/>
      <c r="N115" s="47"/>
      <c r="O115" s="47"/>
    </row>
    <row r="116" customFormat="false" ht="15" hidden="false" customHeight="true" outlineLevel="0" collapsed="false">
      <c r="A116" s="51" t="s">
        <v>11</v>
      </c>
      <c r="B116" s="51" t="s">
        <v>272</v>
      </c>
      <c r="C116" s="51" t="s">
        <v>281</v>
      </c>
      <c r="D116" s="51" t="s">
        <v>283</v>
      </c>
      <c r="E116" s="51" t="s">
        <v>268</v>
      </c>
      <c r="F116" s="51" t="n">
        <v>1</v>
      </c>
      <c r="G116" s="52" t="n">
        <v>2075</v>
      </c>
      <c r="H116" s="52" t="n">
        <f aca="false">F116*G116</f>
        <v>2075</v>
      </c>
      <c r="I116" s="51" t="s">
        <v>297</v>
      </c>
      <c r="J116" s="47"/>
      <c r="K116" s="47"/>
      <c r="L116" s="47"/>
      <c r="M116" s="47"/>
      <c r="N116" s="47"/>
      <c r="O116" s="47"/>
    </row>
    <row r="117" customFormat="false" ht="15" hidden="false" customHeight="true" outlineLevel="0" collapsed="false">
      <c r="A117" s="51" t="s">
        <v>11</v>
      </c>
      <c r="B117" s="51" t="s">
        <v>272</v>
      </c>
      <c r="C117" s="51" t="s">
        <v>281</v>
      </c>
      <c r="D117" s="51" t="s">
        <v>180</v>
      </c>
      <c r="E117" s="51" t="s">
        <v>268</v>
      </c>
      <c r="F117" s="51" t="n">
        <v>11</v>
      </c>
      <c r="G117" s="52" t="n">
        <v>28.31</v>
      </c>
      <c r="H117" s="52" t="n">
        <f aca="false">F117*G117</f>
        <v>311.41</v>
      </c>
      <c r="I117" s="51" t="s">
        <v>285</v>
      </c>
      <c r="J117" s="47"/>
      <c r="K117" s="47"/>
      <c r="L117" s="47"/>
      <c r="M117" s="47"/>
      <c r="N117" s="47"/>
      <c r="O117" s="47"/>
    </row>
    <row r="118" customFormat="false" ht="15" hidden="false" customHeight="true" outlineLevel="0" collapsed="false">
      <c r="A118" s="51" t="s">
        <v>11</v>
      </c>
      <c r="B118" s="51" t="s">
        <v>272</v>
      </c>
      <c r="C118" s="51" t="s">
        <v>281</v>
      </c>
      <c r="D118" s="51" t="s">
        <v>181</v>
      </c>
      <c r="E118" s="51" t="s">
        <v>268</v>
      </c>
      <c r="F118" s="51" t="n">
        <v>11</v>
      </c>
      <c r="G118" s="52" t="n">
        <v>47.79</v>
      </c>
      <c r="H118" s="52" t="n">
        <f aca="false">F118*G118</f>
        <v>525.69</v>
      </c>
      <c r="I118" s="51" t="s">
        <v>285</v>
      </c>
      <c r="J118" s="47"/>
      <c r="K118" s="47"/>
      <c r="L118" s="47"/>
      <c r="M118" s="47"/>
      <c r="N118" s="47"/>
      <c r="O118" s="47"/>
    </row>
    <row r="119" customFormat="false" ht="15" hidden="false" customHeight="true" outlineLevel="0" collapsed="false">
      <c r="A119" s="51" t="s">
        <v>11</v>
      </c>
      <c r="B119" s="51" t="s">
        <v>272</v>
      </c>
      <c r="C119" s="51" t="s">
        <v>44</v>
      </c>
      <c r="D119" s="51" t="s">
        <v>182</v>
      </c>
      <c r="E119" s="51" t="s">
        <v>268</v>
      </c>
      <c r="F119" s="51" t="n">
        <v>11</v>
      </c>
      <c r="G119" s="52" t="n">
        <v>64.54</v>
      </c>
      <c r="H119" s="52" t="n">
        <f aca="false">F119*G119</f>
        <v>709.94</v>
      </c>
      <c r="I119" s="51" t="s">
        <v>285</v>
      </c>
      <c r="J119" s="47"/>
      <c r="K119" s="47"/>
      <c r="L119" s="47"/>
      <c r="M119" s="47"/>
      <c r="N119" s="47"/>
      <c r="O119" s="47"/>
    </row>
    <row r="120" customFormat="false" ht="15" hidden="false" customHeight="true" outlineLevel="0" collapsed="false">
      <c r="A120" s="51" t="s">
        <v>11</v>
      </c>
      <c r="B120" s="51" t="s">
        <v>272</v>
      </c>
      <c r="C120" s="51" t="s">
        <v>44</v>
      </c>
      <c r="D120" s="51" t="s">
        <v>221</v>
      </c>
      <c r="E120" s="51" t="s">
        <v>268</v>
      </c>
      <c r="F120" s="51" t="n">
        <v>1</v>
      </c>
      <c r="G120" s="52" t="n">
        <v>140</v>
      </c>
      <c r="H120" s="52" t="n">
        <f aca="false">F120*G120</f>
        <v>140</v>
      </c>
      <c r="I120" s="51" t="s">
        <v>297</v>
      </c>
      <c r="J120" s="47"/>
      <c r="K120" s="47"/>
      <c r="L120" s="47"/>
      <c r="M120" s="47"/>
      <c r="N120" s="47"/>
      <c r="O120" s="47"/>
    </row>
    <row r="121" customFormat="false" ht="15" hidden="false" customHeight="true" outlineLevel="0" collapsed="false">
      <c r="A121" s="51" t="s">
        <v>11</v>
      </c>
      <c r="B121" s="51" t="s">
        <v>272</v>
      </c>
      <c r="C121" s="51" t="s">
        <v>286</v>
      </c>
      <c r="D121" s="51" t="s">
        <v>157</v>
      </c>
      <c r="E121" s="51" t="s">
        <v>268</v>
      </c>
      <c r="F121" s="51" t="n">
        <v>11</v>
      </c>
      <c r="G121" s="52" t="n">
        <v>10.05</v>
      </c>
      <c r="H121" s="52" t="n">
        <f aca="false">F121*G121</f>
        <v>110.55</v>
      </c>
      <c r="I121" s="51" t="s">
        <v>285</v>
      </c>
      <c r="J121" s="47"/>
      <c r="K121" s="47"/>
      <c r="L121" s="47"/>
      <c r="M121" s="47"/>
      <c r="N121" s="47"/>
      <c r="O121" s="47"/>
    </row>
    <row r="122" customFormat="false" ht="15" hidden="false" customHeight="true" outlineLevel="0" collapsed="false">
      <c r="A122" s="51" t="s">
        <v>11</v>
      </c>
      <c r="B122" s="51" t="s">
        <v>272</v>
      </c>
      <c r="C122" s="51" t="s">
        <v>286</v>
      </c>
      <c r="D122" s="51" t="s">
        <v>158</v>
      </c>
      <c r="E122" s="51" t="s">
        <v>268</v>
      </c>
      <c r="F122" s="51" t="n">
        <v>11</v>
      </c>
      <c r="G122" s="52" t="n">
        <v>2.07</v>
      </c>
      <c r="H122" s="52" t="n">
        <f aca="false">F122*G122</f>
        <v>22.77</v>
      </c>
      <c r="I122" s="51" t="s">
        <v>285</v>
      </c>
      <c r="J122" s="47"/>
      <c r="K122" s="47"/>
      <c r="L122" s="47"/>
      <c r="M122" s="47"/>
      <c r="N122" s="47"/>
      <c r="O122" s="47"/>
    </row>
    <row r="123" customFormat="false" ht="15" hidden="false" customHeight="true" outlineLevel="0" collapsed="false">
      <c r="A123" s="51" t="s">
        <v>11</v>
      </c>
      <c r="B123" s="51" t="s">
        <v>272</v>
      </c>
      <c r="C123" s="51" t="s">
        <v>288</v>
      </c>
      <c r="D123" s="51" t="s">
        <v>179</v>
      </c>
      <c r="E123" s="51" t="s">
        <v>268</v>
      </c>
      <c r="F123" s="51" t="n">
        <v>11</v>
      </c>
      <c r="G123" s="52" t="n">
        <v>30</v>
      </c>
      <c r="H123" s="52" t="n">
        <f aca="false">F123*G123</f>
        <v>330</v>
      </c>
      <c r="I123" s="51" t="s">
        <v>285</v>
      </c>
      <c r="J123" s="47"/>
      <c r="K123" s="47"/>
      <c r="L123" s="47"/>
      <c r="M123" s="47"/>
      <c r="N123" s="47"/>
      <c r="O123" s="47"/>
    </row>
    <row r="124" customFormat="false" ht="15" hidden="false" customHeight="true" outlineLevel="0" collapsed="false">
      <c r="A124" s="51" t="s">
        <v>11</v>
      </c>
      <c r="B124" s="51" t="s">
        <v>272</v>
      </c>
      <c r="C124" s="51" t="s">
        <v>289</v>
      </c>
      <c r="D124" s="51" t="s">
        <v>186</v>
      </c>
      <c r="E124" s="51" t="s">
        <v>268</v>
      </c>
      <c r="F124" s="51" t="n">
        <v>1</v>
      </c>
      <c r="G124" s="52" t="n">
        <v>2642.33</v>
      </c>
      <c r="H124" s="52" t="n">
        <f aca="false">F124*G124</f>
        <v>2642.33</v>
      </c>
      <c r="I124" s="51" t="s">
        <v>295</v>
      </c>
      <c r="J124" s="47"/>
      <c r="K124" s="47"/>
      <c r="L124" s="47"/>
      <c r="M124" s="47"/>
      <c r="N124" s="47"/>
      <c r="O124" s="47"/>
    </row>
    <row r="125" customFormat="false" ht="15" hidden="false" customHeight="true" outlineLevel="0" collapsed="false">
      <c r="A125" s="51" t="s">
        <v>11</v>
      </c>
      <c r="B125" s="51" t="s">
        <v>275</v>
      </c>
      <c r="C125" s="51" t="s">
        <v>281</v>
      </c>
      <c r="D125" s="51" t="s">
        <v>220</v>
      </c>
      <c r="E125" s="51" t="s">
        <v>274</v>
      </c>
      <c r="F125" s="51" t="n">
        <v>1</v>
      </c>
      <c r="G125" s="52" t="n">
        <v>3520.86</v>
      </c>
      <c r="H125" s="52" t="n">
        <f aca="false">F125*G125</f>
        <v>3520.86</v>
      </c>
      <c r="I125" s="51" t="s">
        <v>308</v>
      </c>
      <c r="J125" s="47"/>
      <c r="K125" s="47"/>
      <c r="L125" s="47"/>
      <c r="M125" s="47"/>
      <c r="N125" s="47"/>
      <c r="O125" s="47"/>
    </row>
    <row r="126" customFormat="false" ht="15" hidden="false" customHeight="true" outlineLevel="0" collapsed="false">
      <c r="A126" s="51" t="s">
        <v>11</v>
      </c>
      <c r="B126" s="51" t="s">
        <v>275</v>
      </c>
      <c r="C126" s="51" t="s">
        <v>281</v>
      </c>
      <c r="D126" s="51" t="s">
        <v>180</v>
      </c>
      <c r="E126" s="51" t="s">
        <v>274</v>
      </c>
      <c r="F126" s="51" t="n">
        <v>1</v>
      </c>
      <c r="G126" s="52" t="n">
        <v>28.31</v>
      </c>
      <c r="H126" s="52" t="n">
        <f aca="false">F126*G126</f>
        <v>28.31</v>
      </c>
      <c r="I126" s="51" t="s">
        <v>285</v>
      </c>
      <c r="J126" s="47"/>
      <c r="K126" s="47"/>
      <c r="L126" s="47"/>
      <c r="M126" s="47"/>
      <c r="N126" s="47"/>
      <c r="O126" s="47"/>
    </row>
    <row r="127" customFormat="false" ht="15" hidden="false" customHeight="true" outlineLevel="0" collapsed="false">
      <c r="A127" s="51" t="s">
        <v>11</v>
      </c>
      <c r="B127" s="51" t="s">
        <v>275</v>
      </c>
      <c r="C127" s="51" t="s">
        <v>281</v>
      </c>
      <c r="D127" s="51" t="s">
        <v>181</v>
      </c>
      <c r="E127" s="51" t="s">
        <v>274</v>
      </c>
      <c r="F127" s="51" t="n">
        <v>1</v>
      </c>
      <c r="G127" s="52" t="n">
        <v>47.79</v>
      </c>
      <c r="H127" s="52" t="n">
        <f aca="false">F127*G127</f>
        <v>47.79</v>
      </c>
      <c r="I127" s="51" t="s">
        <v>285</v>
      </c>
      <c r="J127" s="47"/>
      <c r="K127" s="47"/>
      <c r="L127" s="47"/>
      <c r="M127" s="47"/>
      <c r="N127" s="47"/>
      <c r="O127" s="47"/>
    </row>
    <row r="128" customFormat="false" ht="15" hidden="false" customHeight="true" outlineLevel="0" collapsed="false">
      <c r="A128" s="51" t="s">
        <v>11</v>
      </c>
      <c r="B128" s="51" t="s">
        <v>275</v>
      </c>
      <c r="C128" s="51" t="s">
        <v>44</v>
      </c>
      <c r="D128" s="51" t="s">
        <v>182</v>
      </c>
      <c r="E128" s="51" t="s">
        <v>274</v>
      </c>
      <c r="F128" s="51" t="n">
        <v>1</v>
      </c>
      <c r="G128" s="52" t="n">
        <v>64.54</v>
      </c>
      <c r="H128" s="52" t="n">
        <f aca="false">F128*G128</f>
        <v>64.54</v>
      </c>
      <c r="I128" s="51" t="s">
        <v>285</v>
      </c>
      <c r="J128" s="47"/>
      <c r="K128" s="47"/>
      <c r="L128" s="47"/>
      <c r="M128" s="47"/>
      <c r="N128" s="47"/>
      <c r="O128" s="47"/>
    </row>
    <row r="129" customFormat="false" ht="15" hidden="false" customHeight="true" outlineLevel="0" collapsed="false">
      <c r="A129" s="51" t="s">
        <v>11</v>
      </c>
      <c r="B129" s="51" t="s">
        <v>275</v>
      </c>
      <c r="C129" s="51" t="s">
        <v>286</v>
      </c>
      <c r="D129" s="51" t="s">
        <v>157</v>
      </c>
      <c r="E129" s="51" t="s">
        <v>274</v>
      </c>
      <c r="F129" s="51" t="n">
        <v>1</v>
      </c>
      <c r="G129" s="52" t="n">
        <v>10.05</v>
      </c>
      <c r="H129" s="52" t="n">
        <f aca="false">F129*G129</f>
        <v>10.05</v>
      </c>
      <c r="I129" s="51" t="s">
        <v>285</v>
      </c>
      <c r="J129" s="47"/>
      <c r="K129" s="47"/>
      <c r="L129" s="47"/>
      <c r="M129" s="47"/>
      <c r="N129" s="47"/>
      <c r="O129" s="47"/>
    </row>
    <row r="130" customFormat="false" ht="15" hidden="false" customHeight="true" outlineLevel="0" collapsed="false">
      <c r="A130" s="51" t="s">
        <v>11</v>
      </c>
      <c r="B130" s="51" t="s">
        <v>275</v>
      </c>
      <c r="C130" s="51" t="s">
        <v>286</v>
      </c>
      <c r="D130" s="51" t="s">
        <v>158</v>
      </c>
      <c r="E130" s="51" t="s">
        <v>274</v>
      </c>
      <c r="F130" s="51" t="n">
        <v>1</v>
      </c>
      <c r="G130" s="52" t="n">
        <v>2.07</v>
      </c>
      <c r="H130" s="52" t="n">
        <f aca="false">F130*G130</f>
        <v>2.07</v>
      </c>
      <c r="I130" s="51" t="s">
        <v>285</v>
      </c>
      <c r="J130" s="47"/>
      <c r="K130" s="47"/>
      <c r="L130" s="47"/>
      <c r="M130" s="47"/>
      <c r="N130" s="47"/>
      <c r="O130" s="47"/>
    </row>
    <row r="131" customFormat="false" ht="15" hidden="false" customHeight="true" outlineLevel="0" collapsed="false">
      <c r="A131" s="51" t="s">
        <v>11</v>
      </c>
      <c r="B131" s="51" t="s">
        <v>275</v>
      </c>
      <c r="C131" s="51" t="s">
        <v>288</v>
      </c>
      <c r="D131" s="51" t="s">
        <v>179</v>
      </c>
      <c r="E131" s="51" t="s">
        <v>274</v>
      </c>
      <c r="F131" s="51" t="n">
        <v>1</v>
      </c>
      <c r="G131" s="52" t="n">
        <v>30</v>
      </c>
      <c r="H131" s="52" t="n">
        <f aca="false">F131*G131</f>
        <v>30</v>
      </c>
      <c r="I131" s="51" t="s">
        <v>285</v>
      </c>
      <c r="J131" s="47"/>
      <c r="K131" s="47"/>
      <c r="L131" s="47"/>
      <c r="M131" s="47"/>
      <c r="N131" s="47"/>
      <c r="O131" s="47"/>
    </row>
    <row r="132" customFormat="false" ht="15" hidden="false" customHeight="true" outlineLevel="0" collapsed="false">
      <c r="A132" s="51" t="s">
        <v>20</v>
      </c>
      <c r="B132" s="51" t="s">
        <v>257</v>
      </c>
      <c r="C132" s="51" t="s">
        <v>281</v>
      </c>
      <c r="D132" s="51" t="s">
        <v>220</v>
      </c>
      <c r="E132" s="51" t="s">
        <v>256</v>
      </c>
      <c r="F132" s="51" t="n">
        <v>1</v>
      </c>
      <c r="G132" s="52" t="n">
        <v>70601.0801777777</v>
      </c>
      <c r="H132" s="52" t="n">
        <v>70601.0801777777</v>
      </c>
      <c r="I132" s="51" t="s">
        <v>309</v>
      </c>
      <c r="J132" s="47"/>
      <c r="K132" s="47"/>
      <c r="L132" s="47"/>
      <c r="M132" s="47"/>
      <c r="N132" s="47"/>
      <c r="O132" s="47"/>
    </row>
    <row r="133" customFormat="false" ht="15" hidden="false" customHeight="true" outlineLevel="0" collapsed="false">
      <c r="A133" s="51" t="s">
        <v>20</v>
      </c>
      <c r="B133" s="51" t="s">
        <v>257</v>
      </c>
      <c r="C133" s="51" t="s">
        <v>281</v>
      </c>
      <c r="D133" s="51" t="s">
        <v>283</v>
      </c>
      <c r="E133" s="51" t="s">
        <v>256</v>
      </c>
      <c r="F133" s="51" t="n">
        <v>1</v>
      </c>
      <c r="G133" s="52" t="n">
        <v>2724.43</v>
      </c>
      <c r="H133" s="52" t="n">
        <v>2724.43</v>
      </c>
      <c r="I133" s="51" t="s">
        <v>284</v>
      </c>
      <c r="J133" s="47"/>
      <c r="K133" s="47"/>
      <c r="L133" s="47"/>
      <c r="M133" s="47"/>
      <c r="N133" s="47"/>
      <c r="O133" s="47"/>
    </row>
    <row r="134" customFormat="false" ht="15" hidden="false" customHeight="true" outlineLevel="0" collapsed="false">
      <c r="A134" s="51" t="s">
        <v>20</v>
      </c>
      <c r="B134" s="51" t="s">
        <v>257</v>
      </c>
      <c r="C134" s="51" t="s">
        <v>281</v>
      </c>
      <c r="D134" s="51" t="s">
        <v>180</v>
      </c>
      <c r="E134" s="51" t="s">
        <v>256</v>
      </c>
      <c r="F134" s="51" t="n">
        <v>39</v>
      </c>
      <c r="G134" s="52" t="n">
        <v>28.31</v>
      </c>
      <c r="H134" s="52" t="n">
        <v>1104.09</v>
      </c>
      <c r="I134" s="51" t="s">
        <v>285</v>
      </c>
      <c r="J134" s="47"/>
      <c r="K134" s="47"/>
      <c r="L134" s="47"/>
      <c r="M134" s="47"/>
      <c r="N134" s="47"/>
      <c r="O134" s="47"/>
    </row>
    <row r="135" customFormat="false" ht="15" hidden="false" customHeight="true" outlineLevel="0" collapsed="false">
      <c r="A135" s="51" t="s">
        <v>20</v>
      </c>
      <c r="B135" s="51" t="s">
        <v>257</v>
      </c>
      <c r="C135" s="51" t="s">
        <v>281</v>
      </c>
      <c r="D135" s="51" t="s">
        <v>181</v>
      </c>
      <c r="E135" s="51" t="s">
        <v>256</v>
      </c>
      <c r="F135" s="51" t="n">
        <v>39</v>
      </c>
      <c r="G135" s="52" t="n">
        <v>47.79</v>
      </c>
      <c r="H135" s="52" t="n">
        <v>1863.81</v>
      </c>
      <c r="I135" s="51" t="s">
        <v>285</v>
      </c>
      <c r="J135" s="47"/>
      <c r="K135" s="47"/>
      <c r="L135" s="47"/>
      <c r="M135" s="47"/>
      <c r="N135" s="47"/>
      <c r="O135" s="47"/>
    </row>
    <row r="136" customFormat="false" ht="15" hidden="false" customHeight="true" outlineLevel="0" collapsed="false">
      <c r="A136" s="51" t="s">
        <v>20</v>
      </c>
      <c r="B136" s="51" t="s">
        <v>257</v>
      </c>
      <c r="C136" s="51" t="s">
        <v>44</v>
      </c>
      <c r="D136" s="51" t="s">
        <v>221</v>
      </c>
      <c r="E136" s="51" t="s">
        <v>256</v>
      </c>
      <c r="F136" s="51" t="n">
        <v>1</v>
      </c>
      <c r="G136" s="52" t="n">
        <v>373.29</v>
      </c>
      <c r="H136" s="52" t="n">
        <v>373.29</v>
      </c>
      <c r="I136" s="51" t="s">
        <v>284</v>
      </c>
      <c r="J136" s="47"/>
      <c r="K136" s="47"/>
      <c r="L136" s="47"/>
      <c r="M136" s="47"/>
      <c r="N136" s="47"/>
      <c r="O136" s="47"/>
    </row>
    <row r="137" customFormat="false" ht="15" hidden="false" customHeight="true" outlineLevel="0" collapsed="false">
      <c r="A137" s="51" t="s">
        <v>20</v>
      </c>
      <c r="B137" s="51" t="s">
        <v>257</v>
      </c>
      <c r="C137" s="51" t="s">
        <v>44</v>
      </c>
      <c r="D137" s="51" t="s">
        <v>182</v>
      </c>
      <c r="E137" s="51" t="s">
        <v>256</v>
      </c>
      <c r="F137" s="51" t="n">
        <v>39</v>
      </c>
      <c r="G137" s="52" t="n">
        <v>64.57</v>
      </c>
      <c r="H137" s="52" t="n">
        <v>2518.23</v>
      </c>
      <c r="I137" s="51" t="s">
        <v>285</v>
      </c>
      <c r="J137" s="47"/>
      <c r="K137" s="47"/>
      <c r="L137" s="47"/>
      <c r="M137" s="47"/>
      <c r="N137" s="47"/>
      <c r="O137" s="47"/>
    </row>
    <row r="138" customFormat="false" ht="15" hidden="false" customHeight="true" outlineLevel="0" collapsed="false">
      <c r="A138" s="51" t="s">
        <v>20</v>
      </c>
      <c r="B138" s="51" t="s">
        <v>257</v>
      </c>
      <c r="C138" s="51" t="s">
        <v>286</v>
      </c>
      <c r="D138" s="51" t="s">
        <v>157</v>
      </c>
      <c r="E138" s="51" t="s">
        <v>256</v>
      </c>
      <c r="F138" s="51" t="n">
        <v>39</v>
      </c>
      <c r="G138" s="52" t="n">
        <v>10.05</v>
      </c>
      <c r="H138" s="52" t="n">
        <v>391.95</v>
      </c>
      <c r="I138" s="51" t="s">
        <v>285</v>
      </c>
      <c r="J138" s="47"/>
      <c r="K138" s="47"/>
      <c r="L138" s="47"/>
      <c r="M138" s="47"/>
      <c r="N138" s="47"/>
      <c r="O138" s="47"/>
    </row>
    <row r="139" customFormat="false" ht="15" hidden="false" customHeight="true" outlineLevel="0" collapsed="false">
      <c r="A139" s="51" t="s">
        <v>20</v>
      </c>
      <c r="B139" s="51" t="s">
        <v>257</v>
      </c>
      <c r="C139" s="51" t="s">
        <v>286</v>
      </c>
      <c r="D139" s="51" t="s">
        <v>158</v>
      </c>
      <c r="E139" s="51" t="s">
        <v>256</v>
      </c>
      <c r="F139" s="51" t="n">
        <v>39</v>
      </c>
      <c r="G139" s="52" t="n">
        <v>2.07</v>
      </c>
      <c r="H139" s="52" t="n">
        <v>80.73</v>
      </c>
      <c r="I139" s="51" t="s">
        <v>285</v>
      </c>
      <c r="J139" s="47"/>
      <c r="K139" s="47"/>
      <c r="L139" s="47"/>
      <c r="M139" s="47"/>
      <c r="N139" s="47"/>
      <c r="O139" s="47"/>
    </row>
    <row r="140" customFormat="false" ht="15" hidden="false" customHeight="true" outlineLevel="0" collapsed="false">
      <c r="A140" s="51" t="s">
        <v>20</v>
      </c>
      <c r="B140" s="51" t="s">
        <v>257</v>
      </c>
      <c r="C140" s="51" t="s">
        <v>287</v>
      </c>
      <c r="D140" s="51" t="s">
        <v>183</v>
      </c>
      <c r="E140" s="51" t="s">
        <v>256</v>
      </c>
      <c r="F140" s="51" t="n">
        <v>1</v>
      </c>
      <c r="G140" s="52" t="n">
        <v>71.78</v>
      </c>
      <c r="H140" s="52" t="n">
        <v>71.78</v>
      </c>
      <c r="I140" s="51" t="s">
        <v>284</v>
      </c>
      <c r="J140" s="47"/>
      <c r="K140" s="47"/>
      <c r="L140" s="47"/>
      <c r="M140" s="47"/>
      <c r="N140" s="47"/>
      <c r="O140" s="47"/>
    </row>
    <row r="141" customFormat="false" ht="15" hidden="false" customHeight="true" outlineLevel="0" collapsed="false">
      <c r="A141" s="51" t="s">
        <v>20</v>
      </c>
      <c r="B141" s="51" t="s">
        <v>257</v>
      </c>
      <c r="C141" s="51" t="s">
        <v>287</v>
      </c>
      <c r="D141" s="51" t="s">
        <v>184</v>
      </c>
      <c r="E141" s="51" t="s">
        <v>256</v>
      </c>
      <c r="F141" s="51" t="n">
        <v>1</v>
      </c>
      <c r="G141" s="52" t="n">
        <v>-105.55</v>
      </c>
      <c r="H141" s="52" t="n">
        <v>-105.55</v>
      </c>
      <c r="I141" s="51" t="s">
        <v>284</v>
      </c>
      <c r="J141" s="47"/>
      <c r="K141" s="47"/>
      <c r="L141" s="47"/>
      <c r="M141" s="47"/>
      <c r="N141" s="47"/>
      <c r="O141" s="47"/>
    </row>
    <row r="142" customFormat="false" ht="15" hidden="false" customHeight="true" outlineLevel="0" collapsed="false">
      <c r="A142" s="51" t="s">
        <v>20</v>
      </c>
      <c r="B142" s="51" t="s">
        <v>257</v>
      </c>
      <c r="C142" s="51" t="s">
        <v>287</v>
      </c>
      <c r="D142" s="51" t="s">
        <v>185</v>
      </c>
      <c r="E142" s="51" t="s">
        <v>256</v>
      </c>
      <c r="F142" s="51" t="n">
        <v>1</v>
      </c>
      <c r="G142" s="52" t="n">
        <v>111.85</v>
      </c>
      <c r="H142" s="52" t="n">
        <v>111.85</v>
      </c>
      <c r="I142" s="51" t="s">
        <v>284</v>
      </c>
      <c r="J142" s="47"/>
      <c r="K142" s="47"/>
      <c r="L142" s="47"/>
      <c r="M142" s="47"/>
      <c r="N142" s="47"/>
      <c r="O142" s="47"/>
    </row>
    <row r="143" customFormat="false" ht="15" hidden="false" customHeight="true" outlineLevel="0" collapsed="false">
      <c r="A143" s="51" t="s">
        <v>20</v>
      </c>
      <c r="B143" s="51" t="s">
        <v>257</v>
      </c>
      <c r="C143" s="51" t="s">
        <v>288</v>
      </c>
      <c r="D143" s="51" t="s">
        <v>179</v>
      </c>
      <c r="E143" s="51" t="s">
        <v>256</v>
      </c>
      <c r="F143" s="51" t="n">
        <v>42</v>
      </c>
      <c r="G143" s="52" t="n">
        <v>30</v>
      </c>
      <c r="H143" s="52" t="n">
        <f aca="false">F143*G143</f>
        <v>1260</v>
      </c>
      <c r="I143" s="51" t="s">
        <v>285</v>
      </c>
      <c r="J143" s="47"/>
      <c r="K143" s="47"/>
      <c r="L143" s="47"/>
      <c r="M143" s="47"/>
      <c r="N143" s="47"/>
      <c r="O143" s="47"/>
    </row>
    <row r="144" customFormat="false" ht="15" hidden="false" customHeight="true" outlineLevel="0" collapsed="false">
      <c r="A144" s="51" t="s">
        <v>20</v>
      </c>
      <c r="B144" s="51" t="s">
        <v>257</v>
      </c>
      <c r="C144" s="51" t="s">
        <v>310</v>
      </c>
      <c r="D144" s="51" t="s">
        <v>311</v>
      </c>
      <c r="E144" s="51" t="s">
        <v>256</v>
      </c>
      <c r="F144" s="51" t="n">
        <v>4</v>
      </c>
      <c r="G144" s="52" t="n">
        <v>50</v>
      </c>
      <c r="H144" s="52" t="n">
        <f aca="false">F144*G144</f>
        <v>200</v>
      </c>
      <c r="I144" s="51" t="s">
        <v>312</v>
      </c>
      <c r="J144" s="47"/>
      <c r="K144" s="47"/>
      <c r="L144" s="47"/>
      <c r="M144" s="47"/>
      <c r="N144" s="47"/>
      <c r="O144" s="47"/>
    </row>
    <row r="145" customFormat="false" ht="15" hidden="false" customHeight="true" outlineLevel="0" collapsed="false">
      <c r="A145" s="51" t="s">
        <v>20</v>
      </c>
      <c r="B145" s="51" t="s">
        <v>257</v>
      </c>
      <c r="C145" s="51" t="s">
        <v>289</v>
      </c>
      <c r="D145" s="51" t="s">
        <v>186</v>
      </c>
      <c r="E145" s="51" t="s">
        <v>256</v>
      </c>
      <c r="F145" s="51" t="n">
        <v>1</v>
      </c>
      <c r="G145" s="52" t="n">
        <v>476.27</v>
      </c>
      <c r="H145" s="52" t="n">
        <f aca="false">F145*G145</f>
        <v>476.27</v>
      </c>
      <c r="I145" s="51" t="s">
        <v>313</v>
      </c>
      <c r="J145" s="47"/>
      <c r="K145" s="47"/>
      <c r="L145" s="47"/>
      <c r="M145" s="47"/>
      <c r="N145" s="47"/>
      <c r="O145" s="47"/>
    </row>
    <row r="146" customFormat="false" ht="15" hidden="false" customHeight="true" outlineLevel="0" collapsed="false">
      <c r="A146" s="51" t="s">
        <v>20</v>
      </c>
      <c r="B146" s="51" t="s">
        <v>257</v>
      </c>
      <c r="C146" s="51" t="s">
        <v>281</v>
      </c>
      <c r="D146" s="51" t="s">
        <v>220</v>
      </c>
      <c r="E146" s="51" t="s">
        <v>259</v>
      </c>
      <c r="F146" s="51" t="n">
        <v>1</v>
      </c>
      <c r="G146" s="52" t="n">
        <v>5015.22</v>
      </c>
      <c r="H146" s="52" t="n">
        <f aca="false">F146*G146</f>
        <v>5015.22</v>
      </c>
      <c r="I146" s="51" t="s">
        <v>291</v>
      </c>
      <c r="J146" s="47"/>
      <c r="K146" s="47"/>
      <c r="L146" s="47"/>
      <c r="M146" s="47"/>
      <c r="N146" s="47"/>
      <c r="O146" s="47"/>
    </row>
    <row r="147" customFormat="false" ht="15" hidden="false" customHeight="true" outlineLevel="0" collapsed="false">
      <c r="A147" s="51" t="s">
        <v>20</v>
      </c>
      <c r="B147" s="51" t="s">
        <v>257</v>
      </c>
      <c r="C147" s="51" t="s">
        <v>281</v>
      </c>
      <c r="D147" s="51" t="s">
        <v>283</v>
      </c>
      <c r="E147" s="51" t="s">
        <v>259</v>
      </c>
      <c r="F147" s="51" t="n">
        <v>1</v>
      </c>
      <c r="G147" s="52" t="n">
        <v>628.71</v>
      </c>
      <c r="H147" s="52" t="n">
        <v>628.71</v>
      </c>
      <c r="I147" s="51" t="s">
        <v>292</v>
      </c>
      <c r="J147" s="47"/>
      <c r="K147" s="47"/>
      <c r="L147" s="47"/>
      <c r="M147" s="47"/>
      <c r="N147" s="47"/>
      <c r="O147" s="47"/>
    </row>
    <row r="148" customFormat="false" ht="15" hidden="false" customHeight="true" outlineLevel="0" collapsed="false">
      <c r="A148" s="51" t="s">
        <v>20</v>
      </c>
      <c r="B148" s="51" t="s">
        <v>257</v>
      </c>
      <c r="C148" s="51" t="s">
        <v>281</v>
      </c>
      <c r="D148" s="51" t="s">
        <v>180</v>
      </c>
      <c r="E148" s="51" t="s">
        <v>259</v>
      </c>
      <c r="F148" s="51" t="n">
        <v>9</v>
      </c>
      <c r="G148" s="52" t="n">
        <v>28.31</v>
      </c>
      <c r="H148" s="52" t="n">
        <f aca="false">F148*G148</f>
        <v>254.79</v>
      </c>
      <c r="I148" s="51" t="s">
        <v>285</v>
      </c>
      <c r="J148" s="47"/>
      <c r="K148" s="47"/>
      <c r="L148" s="47"/>
      <c r="M148" s="47"/>
      <c r="N148" s="47"/>
      <c r="O148" s="47"/>
    </row>
    <row r="149" customFormat="false" ht="15" hidden="false" customHeight="true" outlineLevel="0" collapsed="false">
      <c r="A149" s="51" t="s">
        <v>20</v>
      </c>
      <c r="B149" s="51" t="s">
        <v>257</v>
      </c>
      <c r="C149" s="51" t="s">
        <v>281</v>
      </c>
      <c r="D149" s="51" t="s">
        <v>181</v>
      </c>
      <c r="E149" s="51" t="s">
        <v>259</v>
      </c>
      <c r="F149" s="51" t="n">
        <v>9</v>
      </c>
      <c r="G149" s="52" t="n">
        <v>47.79</v>
      </c>
      <c r="H149" s="52" t="n">
        <f aca="false">F149*G149</f>
        <v>430.11</v>
      </c>
      <c r="I149" s="51" t="s">
        <v>285</v>
      </c>
      <c r="J149" s="47"/>
      <c r="K149" s="47"/>
      <c r="L149" s="47"/>
      <c r="M149" s="47"/>
      <c r="N149" s="47"/>
      <c r="O149" s="47"/>
    </row>
    <row r="150" customFormat="false" ht="15" hidden="false" customHeight="true" outlineLevel="0" collapsed="false">
      <c r="A150" s="51" t="s">
        <v>20</v>
      </c>
      <c r="B150" s="51" t="s">
        <v>257</v>
      </c>
      <c r="C150" s="51" t="s">
        <v>44</v>
      </c>
      <c r="D150" s="51" t="s">
        <v>221</v>
      </c>
      <c r="E150" s="51" t="s">
        <v>259</v>
      </c>
      <c r="F150" s="51" t="n">
        <v>1</v>
      </c>
      <c r="G150" s="52" t="n">
        <v>86.14</v>
      </c>
      <c r="H150" s="52" t="n">
        <v>86.14</v>
      </c>
      <c r="I150" s="51" t="s">
        <v>292</v>
      </c>
      <c r="J150" s="47"/>
      <c r="K150" s="47"/>
      <c r="L150" s="47"/>
      <c r="M150" s="47"/>
      <c r="N150" s="47"/>
      <c r="O150" s="47"/>
    </row>
    <row r="151" customFormat="false" ht="15" hidden="false" customHeight="true" outlineLevel="0" collapsed="false">
      <c r="A151" s="51" t="s">
        <v>20</v>
      </c>
      <c r="B151" s="51" t="s">
        <v>257</v>
      </c>
      <c r="C151" s="51" t="s">
        <v>44</v>
      </c>
      <c r="D151" s="51" t="s">
        <v>182</v>
      </c>
      <c r="E151" s="51" t="s">
        <v>259</v>
      </c>
      <c r="F151" s="51" t="n">
        <v>9</v>
      </c>
      <c r="G151" s="52" t="n">
        <v>64.57</v>
      </c>
      <c r="H151" s="52" t="n">
        <f aca="false">F151*G151</f>
        <v>581.13</v>
      </c>
      <c r="I151" s="51" t="s">
        <v>285</v>
      </c>
      <c r="J151" s="47"/>
      <c r="K151" s="47"/>
      <c r="L151" s="47"/>
      <c r="M151" s="47"/>
      <c r="N151" s="47"/>
      <c r="O151" s="47"/>
    </row>
    <row r="152" customFormat="false" ht="15" hidden="false" customHeight="true" outlineLevel="0" collapsed="false">
      <c r="A152" s="51" t="s">
        <v>20</v>
      </c>
      <c r="B152" s="51" t="s">
        <v>257</v>
      </c>
      <c r="C152" s="51" t="s">
        <v>286</v>
      </c>
      <c r="D152" s="51" t="s">
        <v>157</v>
      </c>
      <c r="E152" s="51" t="s">
        <v>259</v>
      </c>
      <c r="F152" s="51" t="n">
        <v>9</v>
      </c>
      <c r="G152" s="52" t="n">
        <v>10.05</v>
      </c>
      <c r="H152" s="52" t="n">
        <f aca="false">F152*G152</f>
        <v>90.45</v>
      </c>
      <c r="I152" s="51" t="s">
        <v>285</v>
      </c>
      <c r="J152" s="47"/>
      <c r="K152" s="47"/>
      <c r="L152" s="47"/>
      <c r="M152" s="47"/>
      <c r="N152" s="47"/>
      <c r="O152" s="47"/>
    </row>
    <row r="153" customFormat="false" ht="15" hidden="false" customHeight="true" outlineLevel="0" collapsed="false">
      <c r="A153" s="51" t="s">
        <v>20</v>
      </c>
      <c r="B153" s="51" t="s">
        <v>257</v>
      </c>
      <c r="C153" s="51" t="s">
        <v>286</v>
      </c>
      <c r="D153" s="51" t="s">
        <v>158</v>
      </c>
      <c r="E153" s="51" t="s">
        <v>259</v>
      </c>
      <c r="F153" s="51" t="n">
        <v>9</v>
      </c>
      <c r="G153" s="52" t="n">
        <v>2.07</v>
      </c>
      <c r="H153" s="52" t="n">
        <f aca="false">F153*G153</f>
        <v>18.63</v>
      </c>
      <c r="I153" s="51" t="s">
        <v>285</v>
      </c>
      <c r="J153" s="47"/>
      <c r="K153" s="47"/>
      <c r="L153" s="47"/>
      <c r="M153" s="47"/>
      <c r="N153" s="47"/>
      <c r="O153" s="47"/>
    </row>
    <row r="154" customFormat="false" ht="15" hidden="false" customHeight="true" outlineLevel="0" collapsed="false">
      <c r="A154" s="51" t="s">
        <v>20</v>
      </c>
      <c r="B154" s="51" t="s">
        <v>257</v>
      </c>
      <c r="C154" s="51" t="s">
        <v>287</v>
      </c>
      <c r="D154" s="51" t="s">
        <v>183</v>
      </c>
      <c r="E154" s="51" t="s">
        <v>259</v>
      </c>
      <c r="F154" s="51" t="n">
        <v>1</v>
      </c>
      <c r="G154" s="52" t="n">
        <v>16.56</v>
      </c>
      <c r="H154" s="52" t="n">
        <v>16.56</v>
      </c>
      <c r="I154" s="51" t="s">
        <v>292</v>
      </c>
      <c r="J154" s="47"/>
      <c r="K154" s="47"/>
      <c r="L154" s="47"/>
      <c r="M154" s="47"/>
      <c r="N154" s="47"/>
      <c r="O154" s="47"/>
    </row>
    <row r="155" customFormat="false" ht="15" hidden="false" customHeight="true" outlineLevel="0" collapsed="false">
      <c r="A155" s="51" t="s">
        <v>20</v>
      </c>
      <c r="B155" s="51" t="s">
        <v>257</v>
      </c>
      <c r="C155" s="51" t="s">
        <v>287</v>
      </c>
      <c r="D155" s="51" t="s">
        <v>184</v>
      </c>
      <c r="E155" s="51" t="s">
        <v>259</v>
      </c>
      <c r="F155" s="51" t="n">
        <v>1</v>
      </c>
      <c r="G155" s="52" t="n">
        <v>-24.36</v>
      </c>
      <c r="H155" s="52" t="n">
        <v>-24.36</v>
      </c>
      <c r="I155" s="51" t="s">
        <v>292</v>
      </c>
      <c r="J155" s="47"/>
      <c r="K155" s="47"/>
      <c r="L155" s="47"/>
      <c r="M155" s="47"/>
      <c r="N155" s="47"/>
      <c r="O155" s="47"/>
    </row>
    <row r="156" customFormat="false" ht="15" hidden="false" customHeight="true" outlineLevel="0" collapsed="false">
      <c r="A156" s="51" t="s">
        <v>20</v>
      </c>
      <c r="B156" s="51" t="s">
        <v>257</v>
      </c>
      <c r="C156" s="51" t="s">
        <v>287</v>
      </c>
      <c r="D156" s="51" t="s">
        <v>185</v>
      </c>
      <c r="E156" s="51" t="s">
        <v>259</v>
      </c>
      <c r="F156" s="51" t="n">
        <v>1</v>
      </c>
      <c r="G156" s="52" t="n">
        <v>25.81</v>
      </c>
      <c r="H156" s="52" t="n">
        <v>25.81</v>
      </c>
      <c r="I156" s="51" t="s">
        <v>292</v>
      </c>
      <c r="J156" s="47"/>
      <c r="K156" s="47"/>
      <c r="L156" s="47"/>
      <c r="M156" s="47"/>
      <c r="N156" s="47"/>
      <c r="O156" s="47"/>
    </row>
    <row r="157" customFormat="false" ht="15" hidden="false" customHeight="true" outlineLevel="0" collapsed="false">
      <c r="A157" s="51" t="s">
        <v>20</v>
      </c>
      <c r="B157" s="51" t="s">
        <v>257</v>
      </c>
      <c r="C157" s="51" t="s">
        <v>288</v>
      </c>
      <c r="D157" s="51" t="s">
        <v>179</v>
      </c>
      <c r="E157" s="51" t="s">
        <v>259</v>
      </c>
      <c r="F157" s="51" t="n">
        <v>9</v>
      </c>
      <c r="G157" s="52" t="n">
        <v>30</v>
      </c>
      <c r="H157" s="52" t="n">
        <f aca="false">F157*G157</f>
        <v>270</v>
      </c>
      <c r="I157" s="51" t="s">
        <v>285</v>
      </c>
      <c r="J157" s="47"/>
      <c r="K157" s="47"/>
      <c r="L157" s="47"/>
      <c r="M157" s="47"/>
      <c r="N157" s="47"/>
      <c r="O157" s="47"/>
    </row>
    <row r="158" customFormat="false" ht="15" hidden="false" customHeight="true" outlineLevel="0" collapsed="false">
      <c r="A158" s="51" t="s">
        <v>20</v>
      </c>
      <c r="B158" s="51" t="s">
        <v>257</v>
      </c>
      <c r="C158" s="51" t="s">
        <v>281</v>
      </c>
      <c r="D158" s="51" t="s">
        <v>220</v>
      </c>
      <c r="E158" s="51" t="s">
        <v>261</v>
      </c>
      <c r="F158" s="51" t="n">
        <v>1</v>
      </c>
      <c r="G158" s="52" t="n">
        <v>22457.37</v>
      </c>
      <c r="H158" s="52" t="n">
        <f aca="false">F158*G158</f>
        <v>22457.37</v>
      </c>
      <c r="I158" s="51" t="s">
        <v>293</v>
      </c>
      <c r="J158" s="47"/>
      <c r="K158" s="47"/>
      <c r="L158" s="47"/>
      <c r="M158" s="47"/>
      <c r="N158" s="47"/>
      <c r="O158" s="47"/>
    </row>
    <row r="159" customFormat="false" ht="15" hidden="false" customHeight="true" outlineLevel="0" collapsed="false">
      <c r="A159" s="51" t="s">
        <v>20</v>
      </c>
      <c r="B159" s="51" t="s">
        <v>257</v>
      </c>
      <c r="C159" s="51" t="s">
        <v>281</v>
      </c>
      <c r="D159" s="51" t="s">
        <v>314</v>
      </c>
      <c r="E159" s="51" t="s">
        <v>261</v>
      </c>
      <c r="F159" s="51" t="n">
        <v>1</v>
      </c>
      <c r="G159" s="52" t="n">
        <v>8440.13</v>
      </c>
      <c r="H159" s="52" t="n">
        <f aca="false">F159*G159</f>
        <v>8440.13</v>
      </c>
      <c r="I159" s="51" t="s">
        <v>315</v>
      </c>
      <c r="J159" s="47"/>
      <c r="K159" s="47"/>
      <c r="L159" s="47"/>
      <c r="M159" s="47"/>
      <c r="N159" s="47"/>
      <c r="O159" s="47"/>
    </row>
    <row r="160" customFormat="false" ht="15" hidden="false" customHeight="true" outlineLevel="0" collapsed="false">
      <c r="A160" s="51" t="s">
        <v>20</v>
      </c>
      <c r="B160" s="51" t="s">
        <v>257</v>
      </c>
      <c r="C160" s="51" t="s">
        <v>281</v>
      </c>
      <c r="D160" s="51" t="s">
        <v>283</v>
      </c>
      <c r="E160" s="51" t="s">
        <v>261</v>
      </c>
      <c r="F160" s="51" t="n">
        <v>1</v>
      </c>
      <c r="G160" s="52" t="n">
        <v>489</v>
      </c>
      <c r="H160" s="52" t="n">
        <v>489</v>
      </c>
      <c r="I160" s="51" t="s">
        <v>294</v>
      </c>
      <c r="J160" s="47"/>
      <c r="K160" s="47"/>
      <c r="L160" s="47"/>
      <c r="M160" s="47"/>
      <c r="N160" s="47"/>
      <c r="O160" s="47"/>
    </row>
    <row r="161" customFormat="false" ht="15" hidden="false" customHeight="true" outlineLevel="0" collapsed="false">
      <c r="A161" s="51" t="s">
        <v>20</v>
      </c>
      <c r="B161" s="51" t="s">
        <v>257</v>
      </c>
      <c r="C161" s="51" t="s">
        <v>281</v>
      </c>
      <c r="D161" s="51" t="s">
        <v>180</v>
      </c>
      <c r="E161" s="51" t="s">
        <v>261</v>
      </c>
      <c r="F161" s="51" t="n">
        <v>7</v>
      </c>
      <c r="G161" s="52" t="n">
        <v>28.31</v>
      </c>
      <c r="H161" s="52" t="n">
        <f aca="false">F161*G161</f>
        <v>198.17</v>
      </c>
      <c r="I161" s="51" t="s">
        <v>285</v>
      </c>
      <c r="J161" s="47"/>
      <c r="K161" s="47"/>
      <c r="L161" s="47"/>
      <c r="M161" s="47"/>
      <c r="N161" s="47"/>
      <c r="O161" s="47"/>
    </row>
    <row r="162" customFormat="false" ht="15" hidden="false" customHeight="true" outlineLevel="0" collapsed="false">
      <c r="A162" s="51" t="s">
        <v>20</v>
      </c>
      <c r="B162" s="51" t="s">
        <v>257</v>
      </c>
      <c r="C162" s="51" t="s">
        <v>281</v>
      </c>
      <c r="D162" s="51" t="s">
        <v>181</v>
      </c>
      <c r="E162" s="51" t="s">
        <v>261</v>
      </c>
      <c r="F162" s="51" t="n">
        <v>7</v>
      </c>
      <c r="G162" s="52" t="n">
        <v>47.79</v>
      </c>
      <c r="H162" s="52" t="n">
        <f aca="false">F162*G162</f>
        <v>334.53</v>
      </c>
      <c r="I162" s="51" t="s">
        <v>285</v>
      </c>
      <c r="J162" s="47"/>
      <c r="K162" s="47"/>
      <c r="L162" s="47"/>
      <c r="M162" s="47"/>
      <c r="N162" s="47"/>
      <c r="O162" s="47"/>
    </row>
    <row r="163" customFormat="false" ht="15" hidden="false" customHeight="true" outlineLevel="0" collapsed="false">
      <c r="A163" s="51" t="s">
        <v>20</v>
      </c>
      <c r="B163" s="51" t="s">
        <v>257</v>
      </c>
      <c r="C163" s="51" t="s">
        <v>44</v>
      </c>
      <c r="D163" s="51" t="s">
        <v>221</v>
      </c>
      <c r="E163" s="51" t="s">
        <v>261</v>
      </c>
      <c r="F163" s="51" t="n">
        <v>1</v>
      </c>
      <c r="G163" s="52" t="n">
        <v>67</v>
      </c>
      <c r="H163" s="52" t="n">
        <v>67</v>
      </c>
      <c r="I163" s="51" t="s">
        <v>294</v>
      </c>
      <c r="J163" s="47"/>
      <c r="K163" s="47"/>
      <c r="L163" s="47"/>
      <c r="M163" s="47"/>
      <c r="N163" s="47"/>
      <c r="O163" s="47"/>
    </row>
    <row r="164" customFormat="false" ht="15" hidden="false" customHeight="true" outlineLevel="0" collapsed="false">
      <c r="A164" s="51" t="s">
        <v>20</v>
      </c>
      <c r="B164" s="51" t="s">
        <v>257</v>
      </c>
      <c r="C164" s="51" t="s">
        <v>44</v>
      </c>
      <c r="D164" s="51" t="s">
        <v>182</v>
      </c>
      <c r="E164" s="51" t="s">
        <v>261</v>
      </c>
      <c r="F164" s="51" t="n">
        <v>7</v>
      </c>
      <c r="G164" s="52" t="n">
        <v>64.57</v>
      </c>
      <c r="H164" s="52" t="n">
        <f aca="false">F164*G164</f>
        <v>451.99</v>
      </c>
      <c r="I164" s="51" t="s">
        <v>285</v>
      </c>
      <c r="J164" s="47"/>
      <c r="K164" s="47"/>
      <c r="L164" s="47"/>
      <c r="M164" s="47"/>
      <c r="N164" s="47"/>
      <c r="O164" s="47"/>
    </row>
    <row r="165" customFormat="false" ht="15" hidden="false" customHeight="true" outlineLevel="0" collapsed="false">
      <c r="A165" s="51" t="s">
        <v>20</v>
      </c>
      <c r="B165" s="51" t="s">
        <v>257</v>
      </c>
      <c r="C165" s="51" t="s">
        <v>286</v>
      </c>
      <c r="D165" s="51" t="s">
        <v>157</v>
      </c>
      <c r="E165" s="51" t="s">
        <v>261</v>
      </c>
      <c r="F165" s="51" t="n">
        <v>7</v>
      </c>
      <c r="G165" s="52" t="n">
        <v>10.05</v>
      </c>
      <c r="H165" s="52" t="n">
        <f aca="false">F165*G165</f>
        <v>70.35</v>
      </c>
      <c r="I165" s="51" t="s">
        <v>285</v>
      </c>
      <c r="J165" s="47"/>
      <c r="K165" s="47"/>
      <c r="L165" s="47"/>
      <c r="M165" s="47"/>
      <c r="N165" s="47"/>
      <c r="O165" s="47"/>
    </row>
    <row r="166" customFormat="false" ht="15" hidden="false" customHeight="true" outlineLevel="0" collapsed="false">
      <c r="A166" s="51" t="s">
        <v>20</v>
      </c>
      <c r="B166" s="51" t="s">
        <v>257</v>
      </c>
      <c r="C166" s="51" t="s">
        <v>286</v>
      </c>
      <c r="D166" s="51" t="s">
        <v>158</v>
      </c>
      <c r="E166" s="51" t="s">
        <v>261</v>
      </c>
      <c r="F166" s="51" t="n">
        <v>7</v>
      </c>
      <c r="G166" s="52" t="n">
        <v>2.07</v>
      </c>
      <c r="H166" s="52" t="n">
        <f aca="false">F166*G166</f>
        <v>14.49</v>
      </c>
      <c r="I166" s="51" t="s">
        <v>285</v>
      </c>
      <c r="J166" s="47"/>
      <c r="K166" s="47"/>
      <c r="L166" s="47"/>
      <c r="M166" s="47"/>
      <c r="N166" s="47"/>
      <c r="O166" s="47"/>
    </row>
    <row r="167" customFormat="false" ht="15" hidden="false" customHeight="true" outlineLevel="0" collapsed="false">
      <c r="A167" s="51" t="s">
        <v>20</v>
      </c>
      <c r="B167" s="51" t="s">
        <v>257</v>
      </c>
      <c r="C167" s="51" t="s">
        <v>287</v>
      </c>
      <c r="D167" s="51" t="s">
        <v>183</v>
      </c>
      <c r="E167" s="51" t="s">
        <v>261</v>
      </c>
      <c r="F167" s="51" t="n">
        <v>1</v>
      </c>
      <c r="G167" s="52" t="n">
        <v>12.88</v>
      </c>
      <c r="H167" s="52" t="n">
        <v>12.88</v>
      </c>
      <c r="I167" s="51" t="s">
        <v>294</v>
      </c>
      <c r="J167" s="47"/>
      <c r="K167" s="47"/>
      <c r="L167" s="47"/>
      <c r="M167" s="47"/>
      <c r="N167" s="47"/>
      <c r="O167" s="47"/>
    </row>
    <row r="168" customFormat="false" ht="15" hidden="false" customHeight="true" outlineLevel="0" collapsed="false">
      <c r="A168" s="51" t="s">
        <v>20</v>
      </c>
      <c r="B168" s="51" t="s">
        <v>257</v>
      </c>
      <c r="C168" s="51" t="s">
        <v>287</v>
      </c>
      <c r="D168" s="51" t="s">
        <v>184</v>
      </c>
      <c r="E168" s="51" t="s">
        <v>261</v>
      </c>
      <c r="F168" s="51" t="n">
        <v>1</v>
      </c>
      <c r="G168" s="52" t="n">
        <v>-18.95</v>
      </c>
      <c r="H168" s="52" t="n">
        <v>-18.95</v>
      </c>
      <c r="I168" s="51" t="s">
        <v>294</v>
      </c>
      <c r="J168" s="47"/>
      <c r="K168" s="47"/>
      <c r="L168" s="47"/>
      <c r="M168" s="47"/>
      <c r="N168" s="47"/>
      <c r="O168" s="47"/>
    </row>
    <row r="169" customFormat="false" ht="15" hidden="false" customHeight="true" outlineLevel="0" collapsed="false">
      <c r="A169" s="51" t="s">
        <v>20</v>
      </c>
      <c r="B169" s="51" t="s">
        <v>257</v>
      </c>
      <c r="C169" s="51" t="s">
        <v>287</v>
      </c>
      <c r="D169" s="51" t="s">
        <v>185</v>
      </c>
      <c r="E169" s="51" t="s">
        <v>261</v>
      </c>
      <c r="F169" s="51" t="n">
        <v>1</v>
      </c>
      <c r="G169" s="52" t="n">
        <v>20.07</v>
      </c>
      <c r="H169" s="52" t="n">
        <v>20.07</v>
      </c>
      <c r="I169" s="51" t="s">
        <v>294</v>
      </c>
      <c r="J169" s="47"/>
      <c r="K169" s="47"/>
      <c r="L169" s="47"/>
      <c r="M169" s="47"/>
      <c r="N169" s="47"/>
      <c r="O169" s="47"/>
    </row>
    <row r="170" customFormat="false" ht="15" hidden="false" customHeight="true" outlineLevel="0" collapsed="false">
      <c r="A170" s="51" t="s">
        <v>20</v>
      </c>
      <c r="B170" s="51" t="s">
        <v>257</v>
      </c>
      <c r="C170" s="51" t="s">
        <v>288</v>
      </c>
      <c r="D170" s="51" t="s">
        <v>179</v>
      </c>
      <c r="E170" s="51" t="s">
        <v>261</v>
      </c>
      <c r="F170" s="51" t="n">
        <v>7</v>
      </c>
      <c r="G170" s="52" t="n">
        <v>30</v>
      </c>
      <c r="H170" s="52" t="n">
        <f aca="false">F170*G170</f>
        <v>210</v>
      </c>
      <c r="I170" s="51" t="s">
        <v>285</v>
      </c>
      <c r="J170" s="47"/>
      <c r="K170" s="47"/>
      <c r="L170" s="47"/>
      <c r="M170" s="47"/>
      <c r="N170" s="47"/>
      <c r="O170" s="47"/>
    </row>
    <row r="171" customFormat="false" ht="15" hidden="false" customHeight="true" outlineLevel="0" collapsed="false">
      <c r="A171" s="51" t="s">
        <v>20</v>
      </c>
      <c r="B171" s="51" t="s">
        <v>257</v>
      </c>
      <c r="C171" s="51" t="s">
        <v>310</v>
      </c>
      <c r="D171" s="51" t="s">
        <v>311</v>
      </c>
      <c r="E171" s="51" t="s">
        <v>261</v>
      </c>
      <c r="F171" s="51" t="n">
        <v>1</v>
      </c>
      <c r="G171" s="52" t="n">
        <v>50</v>
      </c>
      <c r="H171" s="52" t="n">
        <f aca="false">F171*G171</f>
        <v>50</v>
      </c>
      <c r="I171" s="51" t="s">
        <v>312</v>
      </c>
      <c r="J171" s="47"/>
      <c r="K171" s="47"/>
      <c r="L171" s="47"/>
      <c r="M171" s="47"/>
      <c r="N171" s="47"/>
      <c r="O171" s="47"/>
    </row>
    <row r="172" customFormat="false" ht="15" hidden="false" customHeight="true" outlineLevel="0" collapsed="false">
      <c r="A172" s="51" t="s">
        <v>20</v>
      </c>
      <c r="B172" s="51" t="s">
        <v>257</v>
      </c>
      <c r="C172" s="51" t="s">
        <v>289</v>
      </c>
      <c r="D172" s="51" t="s">
        <v>186</v>
      </c>
      <c r="E172" s="51" t="s">
        <v>261</v>
      </c>
      <c r="F172" s="51" t="n">
        <v>1</v>
      </c>
      <c r="G172" s="52" t="n">
        <v>1265.26</v>
      </c>
      <c r="H172" s="52" t="n">
        <f aca="false">F172*G172</f>
        <v>1265.26</v>
      </c>
      <c r="I172" s="51" t="s">
        <v>295</v>
      </c>
      <c r="J172" s="47"/>
      <c r="K172" s="47"/>
      <c r="L172" s="47"/>
      <c r="M172" s="47"/>
      <c r="N172" s="47"/>
      <c r="O172" s="47"/>
    </row>
    <row r="173" customFormat="false" ht="15" hidden="false" customHeight="true" outlineLevel="0" collapsed="false">
      <c r="A173" s="51" t="s">
        <v>20</v>
      </c>
      <c r="B173" s="51" t="s">
        <v>257</v>
      </c>
      <c r="C173" s="51" t="s">
        <v>281</v>
      </c>
      <c r="D173" s="51" t="s">
        <v>220</v>
      </c>
      <c r="E173" s="51" t="s">
        <v>262</v>
      </c>
      <c r="F173" s="51" t="n">
        <v>1</v>
      </c>
      <c r="G173" s="52" t="n">
        <v>23583.3694666667</v>
      </c>
      <c r="H173" s="52" t="n">
        <f aca="false">F173*G173</f>
        <v>23583.3694666667</v>
      </c>
      <c r="I173" s="51" t="s">
        <v>316</v>
      </c>
      <c r="J173" s="47"/>
      <c r="K173" s="47"/>
      <c r="L173" s="47"/>
      <c r="M173" s="47"/>
      <c r="N173" s="47"/>
      <c r="O173" s="47"/>
    </row>
    <row r="174" customFormat="false" ht="15" hidden="false" customHeight="true" outlineLevel="0" collapsed="false">
      <c r="A174" s="51" t="s">
        <v>20</v>
      </c>
      <c r="B174" s="51" t="s">
        <v>257</v>
      </c>
      <c r="C174" s="51" t="s">
        <v>281</v>
      </c>
      <c r="D174" s="51" t="s">
        <v>283</v>
      </c>
      <c r="E174" s="51" t="s">
        <v>262</v>
      </c>
      <c r="F174" s="51" t="n">
        <v>1</v>
      </c>
      <c r="G174" s="52" t="n">
        <v>768.43</v>
      </c>
      <c r="H174" s="52" t="n">
        <v>768.43</v>
      </c>
      <c r="I174" s="51" t="s">
        <v>297</v>
      </c>
      <c r="J174" s="47"/>
      <c r="K174" s="47"/>
      <c r="L174" s="47"/>
      <c r="M174" s="47"/>
      <c r="N174" s="47"/>
      <c r="O174" s="47"/>
    </row>
    <row r="175" customFormat="false" ht="15" hidden="false" customHeight="true" outlineLevel="0" collapsed="false">
      <c r="A175" s="51" t="s">
        <v>20</v>
      </c>
      <c r="B175" s="51" t="s">
        <v>257</v>
      </c>
      <c r="C175" s="51" t="s">
        <v>281</v>
      </c>
      <c r="D175" s="51" t="s">
        <v>180</v>
      </c>
      <c r="E175" s="51" t="s">
        <v>262</v>
      </c>
      <c r="F175" s="51" t="n">
        <v>11</v>
      </c>
      <c r="G175" s="52" t="n">
        <v>28.31</v>
      </c>
      <c r="H175" s="52" t="n">
        <f aca="false">F175*G175</f>
        <v>311.41</v>
      </c>
      <c r="I175" s="51" t="s">
        <v>285</v>
      </c>
      <c r="J175" s="47"/>
      <c r="K175" s="47"/>
      <c r="L175" s="47"/>
      <c r="M175" s="47"/>
      <c r="N175" s="47"/>
      <c r="O175" s="47"/>
    </row>
    <row r="176" customFormat="false" ht="15" hidden="false" customHeight="true" outlineLevel="0" collapsed="false">
      <c r="A176" s="51" t="s">
        <v>20</v>
      </c>
      <c r="B176" s="51" t="s">
        <v>257</v>
      </c>
      <c r="C176" s="51" t="s">
        <v>281</v>
      </c>
      <c r="D176" s="51" t="s">
        <v>181</v>
      </c>
      <c r="E176" s="51" t="s">
        <v>262</v>
      </c>
      <c r="F176" s="51" t="n">
        <v>11</v>
      </c>
      <c r="G176" s="52" t="n">
        <v>47.79</v>
      </c>
      <c r="H176" s="52" t="n">
        <f aca="false">F176*G176</f>
        <v>525.69</v>
      </c>
      <c r="I176" s="51" t="s">
        <v>285</v>
      </c>
      <c r="J176" s="47"/>
      <c r="K176" s="47"/>
      <c r="L176" s="47"/>
      <c r="M176" s="47"/>
      <c r="N176" s="47"/>
      <c r="O176" s="47"/>
    </row>
    <row r="177" customFormat="false" ht="15" hidden="false" customHeight="true" outlineLevel="0" collapsed="false">
      <c r="A177" s="51" t="s">
        <v>20</v>
      </c>
      <c r="B177" s="51" t="s">
        <v>257</v>
      </c>
      <c r="C177" s="51" t="s">
        <v>44</v>
      </c>
      <c r="D177" s="51" t="s">
        <v>221</v>
      </c>
      <c r="E177" s="51" t="s">
        <v>262</v>
      </c>
      <c r="F177" s="51" t="n">
        <v>1</v>
      </c>
      <c r="G177" s="52" t="n">
        <v>105.29</v>
      </c>
      <c r="H177" s="52" t="n">
        <v>105.29</v>
      </c>
      <c r="I177" s="51" t="s">
        <v>297</v>
      </c>
      <c r="J177" s="47"/>
      <c r="K177" s="47"/>
      <c r="L177" s="47"/>
      <c r="M177" s="47"/>
      <c r="N177" s="47"/>
      <c r="O177" s="47"/>
    </row>
    <row r="178" customFormat="false" ht="15" hidden="false" customHeight="true" outlineLevel="0" collapsed="false">
      <c r="A178" s="51" t="s">
        <v>20</v>
      </c>
      <c r="B178" s="51" t="s">
        <v>257</v>
      </c>
      <c r="C178" s="51" t="s">
        <v>44</v>
      </c>
      <c r="D178" s="51" t="s">
        <v>182</v>
      </c>
      <c r="E178" s="51" t="s">
        <v>262</v>
      </c>
      <c r="F178" s="51" t="n">
        <v>11</v>
      </c>
      <c r="G178" s="52" t="n">
        <v>64.57</v>
      </c>
      <c r="H178" s="52" t="n">
        <f aca="false">F178*G178</f>
        <v>710.27</v>
      </c>
      <c r="I178" s="51" t="s">
        <v>285</v>
      </c>
      <c r="J178" s="47"/>
      <c r="K178" s="47"/>
      <c r="L178" s="47"/>
      <c r="M178" s="47"/>
      <c r="N178" s="47"/>
      <c r="O178" s="47"/>
    </row>
    <row r="179" customFormat="false" ht="15" hidden="false" customHeight="true" outlineLevel="0" collapsed="false">
      <c r="A179" s="51" t="s">
        <v>20</v>
      </c>
      <c r="B179" s="51" t="s">
        <v>257</v>
      </c>
      <c r="C179" s="51" t="s">
        <v>286</v>
      </c>
      <c r="D179" s="51" t="s">
        <v>157</v>
      </c>
      <c r="E179" s="51" t="s">
        <v>262</v>
      </c>
      <c r="F179" s="51" t="n">
        <v>11</v>
      </c>
      <c r="G179" s="52" t="n">
        <v>10.05</v>
      </c>
      <c r="H179" s="52" t="n">
        <f aca="false">F179*G179</f>
        <v>110.55</v>
      </c>
      <c r="I179" s="51" t="s">
        <v>285</v>
      </c>
      <c r="J179" s="47"/>
      <c r="K179" s="47"/>
      <c r="L179" s="47"/>
      <c r="M179" s="47"/>
      <c r="N179" s="47"/>
      <c r="O179" s="47"/>
    </row>
    <row r="180" customFormat="false" ht="15" hidden="false" customHeight="true" outlineLevel="0" collapsed="false">
      <c r="A180" s="51" t="s">
        <v>20</v>
      </c>
      <c r="B180" s="51" t="s">
        <v>257</v>
      </c>
      <c r="C180" s="51" t="s">
        <v>286</v>
      </c>
      <c r="D180" s="51" t="s">
        <v>158</v>
      </c>
      <c r="E180" s="51" t="s">
        <v>262</v>
      </c>
      <c r="F180" s="51" t="n">
        <v>11</v>
      </c>
      <c r="G180" s="52" t="n">
        <v>2.07</v>
      </c>
      <c r="H180" s="52" t="n">
        <f aca="false">F180*G180</f>
        <v>22.77</v>
      </c>
      <c r="I180" s="51" t="s">
        <v>285</v>
      </c>
      <c r="J180" s="47"/>
      <c r="K180" s="47"/>
      <c r="L180" s="47"/>
      <c r="M180" s="47"/>
      <c r="N180" s="47"/>
      <c r="O180" s="47"/>
    </row>
    <row r="181" customFormat="false" ht="15" hidden="false" customHeight="true" outlineLevel="0" collapsed="false">
      <c r="A181" s="51" t="s">
        <v>20</v>
      </c>
      <c r="B181" s="51" t="s">
        <v>257</v>
      </c>
      <c r="C181" s="51" t="s">
        <v>287</v>
      </c>
      <c r="D181" s="51" t="s">
        <v>183</v>
      </c>
      <c r="E181" s="51" t="s">
        <v>262</v>
      </c>
      <c r="F181" s="51" t="n">
        <v>1</v>
      </c>
      <c r="G181" s="52" t="n">
        <v>20.25</v>
      </c>
      <c r="H181" s="52" t="n">
        <v>20.25</v>
      </c>
      <c r="I181" s="51" t="s">
        <v>297</v>
      </c>
      <c r="J181" s="47"/>
      <c r="K181" s="47"/>
      <c r="L181" s="47"/>
      <c r="M181" s="47"/>
      <c r="N181" s="47"/>
      <c r="O181" s="47"/>
    </row>
    <row r="182" customFormat="false" ht="15" hidden="false" customHeight="true" outlineLevel="0" collapsed="false">
      <c r="A182" s="51" t="s">
        <v>20</v>
      </c>
      <c r="B182" s="51" t="s">
        <v>257</v>
      </c>
      <c r="C182" s="51" t="s">
        <v>287</v>
      </c>
      <c r="D182" s="51" t="s">
        <v>184</v>
      </c>
      <c r="E182" s="51" t="s">
        <v>262</v>
      </c>
      <c r="F182" s="51" t="n">
        <v>1</v>
      </c>
      <c r="G182" s="52" t="n">
        <v>-29.77</v>
      </c>
      <c r="H182" s="52" t="n">
        <v>-29.77</v>
      </c>
      <c r="I182" s="51" t="s">
        <v>297</v>
      </c>
      <c r="J182" s="47"/>
      <c r="K182" s="47"/>
      <c r="L182" s="47"/>
      <c r="M182" s="47"/>
      <c r="N182" s="47"/>
      <c r="O182" s="47"/>
    </row>
    <row r="183" customFormat="false" ht="15" hidden="false" customHeight="true" outlineLevel="0" collapsed="false">
      <c r="A183" s="51" t="s">
        <v>20</v>
      </c>
      <c r="B183" s="51" t="s">
        <v>257</v>
      </c>
      <c r="C183" s="51" t="s">
        <v>287</v>
      </c>
      <c r="D183" s="51" t="s">
        <v>185</v>
      </c>
      <c r="E183" s="51" t="s">
        <v>262</v>
      </c>
      <c r="F183" s="51" t="n">
        <v>1</v>
      </c>
      <c r="G183" s="52" t="n">
        <v>31.55</v>
      </c>
      <c r="H183" s="52" t="n">
        <v>31.55</v>
      </c>
      <c r="I183" s="51" t="s">
        <v>297</v>
      </c>
      <c r="J183" s="47"/>
      <c r="K183" s="47"/>
      <c r="L183" s="47"/>
      <c r="M183" s="47"/>
      <c r="N183" s="47"/>
      <c r="O183" s="47"/>
    </row>
    <row r="184" customFormat="false" ht="15" hidden="false" customHeight="true" outlineLevel="0" collapsed="false">
      <c r="A184" s="51" t="s">
        <v>20</v>
      </c>
      <c r="B184" s="51" t="s">
        <v>257</v>
      </c>
      <c r="C184" s="51" t="s">
        <v>288</v>
      </c>
      <c r="D184" s="51" t="s">
        <v>179</v>
      </c>
      <c r="E184" s="51" t="s">
        <v>262</v>
      </c>
      <c r="F184" s="51" t="n">
        <v>11</v>
      </c>
      <c r="G184" s="52" t="n">
        <v>30</v>
      </c>
      <c r="H184" s="52" t="n">
        <f aca="false">F184*G184</f>
        <v>330</v>
      </c>
      <c r="I184" s="51" t="s">
        <v>285</v>
      </c>
      <c r="J184" s="47"/>
      <c r="K184" s="47"/>
      <c r="L184" s="47"/>
      <c r="M184" s="47"/>
      <c r="N184" s="47"/>
      <c r="O184" s="47"/>
    </row>
    <row r="185" customFormat="false" ht="15" hidden="false" customHeight="true" outlineLevel="0" collapsed="false">
      <c r="A185" s="51" t="s">
        <v>20</v>
      </c>
      <c r="B185" s="51" t="s">
        <v>257</v>
      </c>
      <c r="C185" s="51" t="s">
        <v>310</v>
      </c>
      <c r="D185" s="51" t="s">
        <v>311</v>
      </c>
      <c r="E185" s="51" t="s">
        <v>262</v>
      </c>
      <c r="F185" s="51" t="n">
        <v>2</v>
      </c>
      <c r="G185" s="52" t="n">
        <v>50</v>
      </c>
      <c r="H185" s="52" t="n">
        <f aca="false">F185*G185</f>
        <v>100</v>
      </c>
      <c r="I185" s="51" t="s">
        <v>312</v>
      </c>
      <c r="J185" s="47"/>
      <c r="K185" s="47"/>
      <c r="L185" s="47"/>
      <c r="M185" s="47"/>
      <c r="N185" s="47"/>
      <c r="O185" s="47"/>
    </row>
    <row r="186" customFormat="false" ht="15" hidden="false" customHeight="true" outlineLevel="0" collapsed="false">
      <c r="A186" s="51" t="s">
        <v>20</v>
      </c>
      <c r="B186" s="51" t="s">
        <v>257</v>
      </c>
      <c r="C186" s="51" t="s">
        <v>289</v>
      </c>
      <c r="D186" s="51" t="s">
        <v>186</v>
      </c>
      <c r="E186" s="51" t="s">
        <v>262</v>
      </c>
      <c r="F186" s="51" t="n">
        <v>1</v>
      </c>
      <c r="G186" s="52" t="n">
        <v>0</v>
      </c>
      <c r="H186" s="52" t="n">
        <f aca="false">F186*G186</f>
        <v>0</v>
      </c>
      <c r="I186" s="51" t="s">
        <v>317</v>
      </c>
      <c r="J186" s="47"/>
      <c r="K186" s="47"/>
      <c r="L186" s="47"/>
      <c r="M186" s="47"/>
      <c r="N186" s="47"/>
      <c r="O186" s="47"/>
    </row>
    <row r="187" customFormat="false" ht="15" hidden="false" customHeight="true" outlineLevel="0" collapsed="false">
      <c r="A187" s="51" t="s">
        <v>20</v>
      </c>
      <c r="B187" s="51" t="s">
        <v>264</v>
      </c>
      <c r="C187" s="51" t="s">
        <v>281</v>
      </c>
      <c r="D187" s="51" t="s">
        <v>220</v>
      </c>
      <c r="E187" s="51" t="s">
        <v>262</v>
      </c>
      <c r="F187" s="51" t="n">
        <v>1</v>
      </c>
      <c r="G187" s="52" t="n">
        <v>2735.78</v>
      </c>
      <c r="H187" s="52" t="n">
        <f aca="false">F187*G187</f>
        <v>2735.78</v>
      </c>
      <c r="I187" s="51" t="s">
        <v>299</v>
      </c>
      <c r="J187" s="47"/>
      <c r="K187" s="47"/>
      <c r="L187" s="47"/>
      <c r="M187" s="47"/>
      <c r="N187" s="47"/>
      <c r="O187" s="47"/>
    </row>
    <row r="188" customFormat="false" ht="15" hidden="false" customHeight="true" outlineLevel="0" collapsed="false">
      <c r="A188" s="51" t="s">
        <v>20</v>
      </c>
      <c r="B188" s="51" t="s">
        <v>264</v>
      </c>
      <c r="C188" s="51" t="s">
        <v>281</v>
      </c>
      <c r="D188" s="51" t="s">
        <v>314</v>
      </c>
      <c r="E188" s="51" t="s">
        <v>262</v>
      </c>
      <c r="F188" s="51" t="n">
        <v>1</v>
      </c>
      <c r="G188" s="52" t="n">
        <v>24565.95</v>
      </c>
      <c r="H188" s="52" t="n">
        <f aca="false">F188*G188</f>
        <v>24565.95</v>
      </c>
      <c r="I188" s="51" t="s">
        <v>315</v>
      </c>
      <c r="J188" s="47"/>
      <c r="K188" s="47"/>
      <c r="L188" s="47"/>
      <c r="M188" s="47"/>
      <c r="N188" s="47"/>
      <c r="O188" s="47"/>
    </row>
    <row r="189" customFormat="false" ht="15" hidden="false" customHeight="true" outlineLevel="0" collapsed="false">
      <c r="A189" s="51" t="s">
        <v>20</v>
      </c>
      <c r="B189" s="51" t="s">
        <v>264</v>
      </c>
      <c r="C189" s="51" t="s">
        <v>281</v>
      </c>
      <c r="D189" s="51" t="s">
        <v>180</v>
      </c>
      <c r="E189" s="51" t="s">
        <v>262</v>
      </c>
      <c r="F189" s="51" t="n">
        <v>2</v>
      </c>
      <c r="G189" s="52" t="n">
        <v>28.31</v>
      </c>
      <c r="H189" s="52" t="n">
        <f aca="false">F189*G189</f>
        <v>56.62</v>
      </c>
      <c r="I189" s="51" t="s">
        <v>285</v>
      </c>
      <c r="J189" s="47"/>
      <c r="K189" s="47"/>
      <c r="L189" s="47"/>
      <c r="M189" s="47"/>
      <c r="N189" s="47"/>
      <c r="O189" s="47"/>
    </row>
    <row r="190" customFormat="false" ht="15" hidden="false" customHeight="true" outlineLevel="0" collapsed="false">
      <c r="A190" s="51" t="s">
        <v>20</v>
      </c>
      <c r="B190" s="51" t="s">
        <v>264</v>
      </c>
      <c r="C190" s="51" t="s">
        <v>281</v>
      </c>
      <c r="D190" s="51" t="s">
        <v>181</v>
      </c>
      <c r="E190" s="51" t="s">
        <v>262</v>
      </c>
      <c r="F190" s="51" t="n">
        <v>2</v>
      </c>
      <c r="G190" s="52" t="n">
        <v>47.79</v>
      </c>
      <c r="H190" s="52" t="n">
        <f aca="false">F190*G190</f>
        <v>95.58</v>
      </c>
      <c r="I190" s="51" t="s">
        <v>285</v>
      </c>
      <c r="J190" s="47"/>
      <c r="K190" s="47"/>
      <c r="L190" s="47"/>
      <c r="M190" s="47"/>
      <c r="N190" s="47"/>
      <c r="O190" s="47"/>
    </row>
    <row r="191" customFormat="false" ht="15" hidden="false" customHeight="true" outlineLevel="0" collapsed="false">
      <c r="A191" s="51" t="s">
        <v>20</v>
      </c>
      <c r="B191" s="51" t="s">
        <v>264</v>
      </c>
      <c r="C191" s="51" t="s">
        <v>44</v>
      </c>
      <c r="D191" s="51" t="s">
        <v>182</v>
      </c>
      <c r="E191" s="51" t="s">
        <v>262</v>
      </c>
      <c r="F191" s="51" t="n">
        <v>2</v>
      </c>
      <c r="G191" s="52" t="n">
        <v>64.57</v>
      </c>
      <c r="H191" s="52" t="n">
        <f aca="false">F191*G191</f>
        <v>129.14</v>
      </c>
      <c r="I191" s="51" t="s">
        <v>285</v>
      </c>
      <c r="J191" s="47"/>
      <c r="K191" s="47"/>
      <c r="L191" s="47"/>
      <c r="M191" s="47"/>
      <c r="N191" s="47"/>
      <c r="O191" s="47"/>
    </row>
    <row r="192" customFormat="false" ht="15" hidden="false" customHeight="true" outlineLevel="0" collapsed="false">
      <c r="A192" s="51" t="s">
        <v>20</v>
      </c>
      <c r="B192" s="51" t="s">
        <v>264</v>
      </c>
      <c r="C192" s="51" t="s">
        <v>286</v>
      </c>
      <c r="D192" s="51" t="s">
        <v>157</v>
      </c>
      <c r="E192" s="51" t="s">
        <v>262</v>
      </c>
      <c r="F192" s="51" t="n">
        <v>2</v>
      </c>
      <c r="G192" s="52" t="n">
        <v>10.05</v>
      </c>
      <c r="H192" s="52" t="n">
        <f aca="false">F192*G192</f>
        <v>20.1</v>
      </c>
      <c r="I192" s="51" t="s">
        <v>285</v>
      </c>
      <c r="J192" s="47"/>
      <c r="K192" s="47"/>
      <c r="L192" s="47"/>
      <c r="M192" s="47"/>
      <c r="N192" s="47"/>
      <c r="O192" s="47"/>
    </row>
    <row r="193" customFormat="false" ht="15" hidden="false" customHeight="true" outlineLevel="0" collapsed="false">
      <c r="A193" s="51" t="s">
        <v>20</v>
      </c>
      <c r="B193" s="51" t="s">
        <v>264</v>
      </c>
      <c r="C193" s="51" t="s">
        <v>286</v>
      </c>
      <c r="D193" s="51" t="s">
        <v>158</v>
      </c>
      <c r="E193" s="51" t="s">
        <v>262</v>
      </c>
      <c r="F193" s="51" t="n">
        <v>2</v>
      </c>
      <c r="G193" s="52" t="n">
        <v>2.07</v>
      </c>
      <c r="H193" s="52" t="n">
        <f aca="false">F193*G193</f>
        <v>4.14</v>
      </c>
      <c r="I193" s="51" t="s">
        <v>285</v>
      </c>
      <c r="J193" s="47"/>
      <c r="K193" s="47"/>
      <c r="L193" s="47"/>
      <c r="M193" s="47"/>
      <c r="N193" s="47"/>
      <c r="O193" s="47"/>
    </row>
    <row r="194" customFormat="false" ht="15" hidden="false" customHeight="true" outlineLevel="0" collapsed="false">
      <c r="A194" s="51" t="s">
        <v>20</v>
      </c>
      <c r="B194" s="51" t="s">
        <v>264</v>
      </c>
      <c r="C194" s="51" t="s">
        <v>287</v>
      </c>
      <c r="D194" s="51" t="s">
        <v>318</v>
      </c>
      <c r="E194" s="51" t="s">
        <v>262</v>
      </c>
      <c r="F194" s="51" t="n">
        <v>1</v>
      </c>
      <c r="G194" s="52" t="n">
        <v>-494.68</v>
      </c>
      <c r="H194" s="52" t="n">
        <f aca="false">F194*G194</f>
        <v>-494.68</v>
      </c>
      <c r="I194" s="51" t="s">
        <v>319</v>
      </c>
      <c r="J194" s="47"/>
      <c r="K194" s="47"/>
      <c r="L194" s="47"/>
      <c r="M194" s="47"/>
      <c r="N194" s="47"/>
      <c r="O194" s="47"/>
    </row>
    <row r="195" customFormat="false" ht="15" hidden="false" customHeight="true" outlineLevel="0" collapsed="false">
      <c r="A195" s="51" t="s">
        <v>20</v>
      </c>
      <c r="B195" s="51" t="s">
        <v>264</v>
      </c>
      <c r="C195" s="51" t="s">
        <v>288</v>
      </c>
      <c r="D195" s="51" t="s">
        <v>179</v>
      </c>
      <c r="E195" s="51" t="s">
        <v>262</v>
      </c>
      <c r="F195" s="51" t="n">
        <v>2</v>
      </c>
      <c r="G195" s="52" t="n">
        <v>30</v>
      </c>
      <c r="H195" s="52" t="n">
        <f aca="false">F195*G195</f>
        <v>60</v>
      </c>
      <c r="I195" s="51" t="s">
        <v>285</v>
      </c>
      <c r="J195" s="47"/>
      <c r="K195" s="47"/>
      <c r="L195" s="47"/>
      <c r="M195" s="47"/>
      <c r="N195" s="47"/>
      <c r="O195" s="47"/>
    </row>
    <row r="196" customFormat="false" ht="14.25" hidden="false" customHeight="true" outlineLevel="0" collapsed="false">
      <c r="A196" s="51" t="s">
        <v>20</v>
      </c>
      <c r="B196" s="51" t="s">
        <v>264</v>
      </c>
      <c r="C196" s="51" t="s">
        <v>310</v>
      </c>
      <c r="D196" s="51" t="s">
        <v>320</v>
      </c>
      <c r="E196" s="51" t="s">
        <v>262</v>
      </c>
      <c r="F196" s="51" t="n">
        <v>1</v>
      </c>
      <c r="G196" s="52" t="n">
        <v>50</v>
      </c>
      <c r="H196" s="52" t="n">
        <f aca="false">F196*G196</f>
        <v>50</v>
      </c>
      <c r="I196" s="51" t="s">
        <v>312</v>
      </c>
      <c r="J196" s="47"/>
      <c r="K196" s="47"/>
      <c r="L196" s="47"/>
      <c r="M196" s="47"/>
      <c r="N196" s="47"/>
      <c r="O196" s="47"/>
    </row>
    <row r="197" customFormat="false" ht="14.25" hidden="false" customHeight="true" outlineLevel="0" collapsed="false">
      <c r="A197" s="51" t="s">
        <v>20</v>
      </c>
      <c r="B197" s="51" t="s">
        <v>264</v>
      </c>
      <c r="C197" s="51" t="s">
        <v>289</v>
      </c>
      <c r="D197" s="51" t="s">
        <v>186</v>
      </c>
      <c r="E197" s="51" t="s">
        <v>262</v>
      </c>
      <c r="F197" s="51" t="n">
        <v>1</v>
      </c>
      <c r="G197" s="52" t="n">
        <v>1287.4</v>
      </c>
      <c r="H197" s="52" t="n">
        <f aca="false">F197*G197</f>
        <v>1287.4</v>
      </c>
      <c r="I197" s="51" t="s">
        <v>295</v>
      </c>
      <c r="J197" s="47"/>
      <c r="K197" s="47"/>
      <c r="L197" s="47"/>
      <c r="M197" s="47"/>
      <c r="N197" s="47"/>
      <c r="O197" s="47"/>
    </row>
    <row r="198" customFormat="false" ht="14.25" hidden="false" customHeight="true" outlineLevel="0" collapsed="false">
      <c r="A198" s="51" t="s">
        <v>20</v>
      </c>
      <c r="B198" s="51" t="s">
        <v>257</v>
      </c>
      <c r="C198" s="51" t="s">
        <v>281</v>
      </c>
      <c r="D198" s="51" t="s">
        <v>220</v>
      </c>
      <c r="E198" s="51" t="s">
        <v>265</v>
      </c>
      <c r="F198" s="51" t="n">
        <v>1</v>
      </c>
      <c r="G198" s="52" t="n">
        <v>66963.9794666667</v>
      </c>
      <c r="H198" s="52" t="n">
        <f aca="false">F198*G198</f>
        <v>66963.9794666667</v>
      </c>
      <c r="I198" s="51" t="s">
        <v>321</v>
      </c>
      <c r="J198" s="47"/>
      <c r="K198" s="47"/>
      <c r="L198" s="47"/>
      <c r="M198" s="47"/>
      <c r="N198" s="47"/>
      <c r="O198" s="47"/>
    </row>
    <row r="199" customFormat="false" ht="14.25" hidden="false" customHeight="true" outlineLevel="0" collapsed="false">
      <c r="A199" s="51" t="s">
        <v>20</v>
      </c>
      <c r="B199" s="51" t="s">
        <v>257</v>
      </c>
      <c r="C199" s="51" t="s">
        <v>281</v>
      </c>
      <c r="D199" s="51" t="s">
        <v>314</v>
      </c>
      <c r="E199" s="51" t="s">
        <v>265</v>
      </c>
      <c r="F199" s="51" t="n">
        <v>1</v>
      </c>
      <c r="G199" s="52" t="n">
        <v>1969.06</v>
      </c>
      <c r="H199" s="52" t="n">
        <f aca="false">F199*G199</f>
        <v>1969.06</v>
      </c>
      <c r="I199" s="51" t="s">
        <v>315</v>
      </c>
      <c r="J199" s="47"/>
      <c r="K199" s="47"/>
      <c r="L199" s="47"/>
      <c r="M199" s="47"/>
      <c r="N199" s="47"/>
      <c r="O199" s="47"/>
    </row>
    <row r="200" customFormat="false" ht="15" hidden="false" customHeight="true" outlineLevel="0" collapsed="false">
      <c r="A200" s="51" t="s">
        <v>20</v>
      </c>
      <c r="B200" s="51" t="s">
        <v>257</v>
      </c>
      <c r="C200" s="51" t="s">
        <v>281</v>
      </c>
      <c r="D200" s="51" t="s">
        <v>283</v>
      </c>
      <c r="E200" s="51" t="s">
        <v>265</v>
      </c>
      <c r="F200" s="51" t="n">
        <v>1</v>
      </c>
      <c r="G200" s="52" t="n">
        <v>1257.43</v>
      </c>
      <c r="H200" s="52" t="n">
        <v>1257.43</v>
      </c>
      <c r="I200" s="51" t="s">
        <v>301</v>
      </c>
      <c r="J200" s="47"/>
      <c r="K200" s="47"/>
      <c r="L200" s="47"/>
      <c r="M200" s="47"/>
      <c r="N200" s="47"/>
      <c r="O200" s="47"/>
    </row>
    <row r="201" customFormat="false" ht="15" hidden="false" customHeight="true" outlineLevel="0" collapsed="false">
      <c r="A201" s="51" t="s">
        <v>20</v>
      </c>
      <c r="B201" s="51" t="s">
        <v>257</v>
      </c>
      <c r="C201" s="51" t="s">
        <v>281</v>
      </c>
      <c r="D201" s="51" t="s">
        <v>180</v>
      </c>
      <c r="E201" s="51" t="s">
        <v>265</v>
      </c>
      <c r="F201" s="51" t="n">
        <v>18</v>
      </c>
      <c r="G201" s="52" t="n">
        <v>28.31</v>
      </c>
      <c r="H201" s="52" t="n">
        <f aca="false">F201*G201</f>
        <v>509.58</v>
      </c>
      <c r="I201" s="51" t="s">
        <v>285</v>
      </c>
      <c r="J201" s="47"/>
      <c r="K201" s="47"/>
      <c r="L201" s="47"/>
      <c r="M201" s="47"/>
      <c r="N201" s="47"/>
      <c r="O201" s="47"/>
    </row>
    <row r="202" customFormat="false" ht="14.25" hidden="false" customHeight="true" outlineLevel="0" collapsed="false">
      <c r="A202" s="51" t="s">
        <v>20</v>
      </c>
      <c r="B202" s="51" t="s">
        <v>257</v>
      </c>
      <c r="C202" s="51" t="s">
        <v>281</v>
      </c>
      <c r="D202" s="51" t="s">
        <v>181</v>
      </c>
      <c r="E202" s="51" t="s">
        <v>265</v>
      </c>
      <c r="F202" s="51" t="n">
        <v>18</v>
      </c>
      <c r="G202" s="52" t="n">
        <v>47.79</v>
      </c>
      <c r="H202" s="52" t="n">
        <f aca="false">F202*G202</f>
        <v>860.22</v>
      </c>
      <c r="I202" s="51" t="s">
        <v>285</v>
      </c>
      <c r="J202" s="47"/>
      <c r="K202" s="47"/>
      <c r="L202" s="47"/>
      <c r="M202" s="47"/>
      <c r="N202" s="47"/>
      <c r="O202" s="47"/>
    </row>
    <row r="203" customFormat="false" ht="14.25" hidden="false" customHeight="true" outlineLevel="0" collapsed="false">
      <c r="A203" s="51" t="s">
        <v>20</v>
      </c>
      <c r="B203" s="51" t="s">
        <v>257</v>
      </c>
      <c r="C203" s="51" t="s">
        <v>44</v>
      </c>
      <c r="D203" s="51" t="s">
        <v>221</v>
      </c>
      <c r="E203" s="51" t="s">
        <v>265</v>
      </c>
      <c r="F203" s="51" t="n">
        <v>1</v>
      </c>
      <c r="G203" s="52" t="n">
        <v>172.29</v>
      </c>
      <c r="H203" s="52" t="n">
        <v>172.29</v>
      </c>
      <c r="I203" s="51" t="s">
        <v>301</v>
      </c>
      <c r="J203" s="47"/>
      <c r="K203" s="47"/>
      <c r="L203" s="47"/>
      <c r="M203" s="47"/>
      <c r="N203" s="47"/>
      <c r="O203" s="47"/>
    </row>
    <row r="204" customFormat="false" ht="14.25" hidden="false" customHeight="true" outlineLevel="0" collapsed="false">
      <c r="A204" s="51" t="s">
        <v>20</v>
      </c>
      <c r="B204" s="51" t="s">
        <v>257</v>
      </c>
      <c r="C204" s="51" t="s">
        <v>44</v>
      </c>
      <c r="D204" s="51" t="s">
        <v>182</v>
      </c>
      <c r="E204" s="51" t="s">
        <v>265</v>
      </c>
      <c r="F204" s="51" t="n">
        <v>18</v>
      </c>
      <c r="G204" s="52" t="n">
        <v>64.57</v>
      </c>
      <c r="H204" s="52" t="n">
        <f aca="false">F204*G204</f>
        <v>1162.26</v>
      </c>
      <c r="I204" s="51" t="s">
        <v>285</v>
      </c>
      <c r="J204" s="47"/>
      <c r="K204" s="47"/>
      <c r="L204" s="47"/>
      <c r="M204" s="47"/>
      <c r="N204" s="47"/>
      <c r="O204" s="47"/>
    </row>
    <row r="205" customFormat="false" ht="14.25" hidden="false" customHeight="true" outlineLevel="0" collapsed="false">
      <c r="A205" s="51" t="s">
        <v>20</v>
      </c>
      <c r="B205" s="51" t="s">
        <v>257</v>
      </c>
      <c r="C205" s="51" t="s">
        <v>286</v>
      </c>
      <c r="D205" s="51" t="s">
        <v>157</v>
      </c>
      <c r="E205" s="51" t="s">
        <v>265</v>
      </c>
      <c r="F205" s="51" t="n">
        <v>18</v>
      </c>
      <c r="G205" s="52" t="n">
        <v>10.05</v>
      </c>
      <c r="H205" s="52" t="n">
        <f aca="false">F205*G205</f>
        <v>180.9</v>
      </c>
      <c r="I205" s="51" t="s">
        <v>285</v>
      </c>
      <c r="J205" s="47"/>
      <c r="K205" s="47"/>
      <c r="L205" s="47"/>
      <c r="M205" s="47"/>
      <c r="N205" s="47"/>
      <c r="O205" s="47"/>
    </row>
    <row r="206" customFormat="false" ht="14.25" hidden="false" customHeight="true" outlineLevel="0" collapsed="false">
      <c r="A206" s="51" t="s">
        <v>20</v>
      </c>
      <c r="B206" s="51" t="s">
        <v>257</v>
      </c>
      <c r="C206" s="51" t="s">
        <v>286</v>
      </c>
      <c r="D206" s="51" t="s">
        <v>158</v>
      </c>
      <c r="E206" s="51" t="s">
        <v>265</v>
      </c>
      <c r="F206" s="51" t="n">
        <v>18</v>
      </c>
      <c r="G206" s="52" t="n">
        <v>2.07</v>
      </c>
      <c r="H206" s="52" t="n">
        <f aca="false">F206*G206</f>
        <v>37.26</v>
      </c>
      <c r="I206" s="51" t="s">
        <v>285</v>
      </c>
      <c r="J206" s="47"/>
      <c r="K206" s="47"/>
      <c r="L206" s="47"/>
      <c r="M206" s="47"/>
      <c r="N206" s="47"/>
      <c r="O206" s="47"/>
    </row>
    <row r="207" customFormat="false" ht="14.25" hidden="false" customHeight="true" outlineLevel="0" collapsed="false">
      <c r="A207" s="51" t="s">
        <v>20</v>
      </c>
      <c r="B207" s="51" t="s">
        <v>257</v>
      </c>
      <c r="C207" s="51" t="s">
        <v>287</v>
      </c>
      <c r="D207" s="51" t="s">
        <v>183</v>
      </c>
      <c r="E207" s="51" t="s">
        <v>265</v>
      </c>
      <c r="F207" s="51" t="n">
        <v>1</v>
      </c>
      <c r="G207" s="52" t="n">
        <v>33.13</v>
      </c>
      <c r="H207" s="52" t="n">
        <v>33.13</v>
      </c>
      <c r="I207" s="51" t="s">
        <v>301</v>
      </c>
      <c r="J207" s="47"/>
      <c r="K207" s="47"/>
      <c r="L207" s="47"/>
      <c r="M207" s="47"/>
      <c r="N207" s="47"/>
      <c r="O207" s="47"/>
    </row>
    <row r="208" customFormat="false" ht="15" hidden="false" customHeight="true" outlineLevel="0" collapsed="false">
      <c r="A208" s="51" t="s">
        <v>20</v>
      </c>
      <c r="B208" s="51" t="s">
        <v>257</v>
      </c>
      <c r="C208" s="51" t="s">
        <v>287</v>
      </c>
      <c r="D208" s="51" t="s">
        <v>184</v>
      </c>
      <c r="E208" s="51" t="s">
        <v>265</v>
      </c>
      <c r="F208" s="51" t="n">
        <v>1</v>
      </c>
      <c r="G208" s="52" t="n">
        <v>-48.72</v>
      </c>
      <c r="H208" s="52" t="n">
        <v>-48.72</v>
      </c>
      <c r="I208" s="51" t="s">
        <v>301</v>
      </c>
      <c r="J208" s="47"/>
      <c r="K208" s="47"/>
      <c r="L208" s="47"/>
      <c r="M208" s="47"/>
      <c r="N208" s="47"/>
      <c r="O208" s="47"/>
    </row>
    <row r="209" customFormat="false" ht="14.25" hidden="false" customHeight="true" outlineLevel="0" collapsed="false">
      <c r="A209" s="51" t="s">
        <v>20</v>
      </c>
      <c r="B209" s="51" t="s">
        <v>257</v>
      </c>
      <c r="C209" s="51" t="s">
        <v>287</v>
      </c>
      <c r="D209" s="51" t="s">
        <v>185</v>
      </c>
      <c r="E209" s="51" t="s">
        <v>265</v>
      </c>
      <c r="F209" s="51" t="n">
        <v>1</v>
      </c>
      <c r="G209" s="52" t="n">
        <v>51.62</v>
      </c>
      <c r="H209" s="52" t="n">
        <v>51.62</v>
      </c>
      <c r="I209" s="51" t="s">
        <v>301</v>
      </c>
      <c r="J209" s="47"/>
      <c r="K209" s="47"/>
      <c r="L209" s="47"/>
      <c r="M209" s="47"/>
      <c r="N209" s="47"/>
      <c r="O209" s="47"/>
    </row>
    <row r="210" customFormat="false" ht="14.25" hidden="false" customHeight="true" outlineLevel="0" collapsed="false">
      <c r="A210" s="51" t="s">
        <v>20</v>
      </c>
      <c r="B210" s="51" t="s">
        <v>257</v>
      </c>
      <c r="C210" s="51" t="s">
        <v>288</v>
      </c>
      <c r="D210" s="51" t="s">
        <v>179</v>
      </c>
      <c r="E210" s="51" t="s">
        <v>265</v>
      </c>
      <c r="F210" s="51" t="n">
        <v>18</v>
      </c>
      <c r="G210" s="52" t="n">
        <v>30</v>
      </c>
      <c r="H210" s="52" t="n">
        <f aca="false">F210*G210</f>
        <v>540</v>
      </c>
      <c r="I210" s="51" t="s">
        <v>285</v>
      </c>
      <c r="J210" s="47"/>
      <c r="K210" s="47"/>
      <c r="L210" s="47"/>
      <c r="M210" s="47"/>
      <c r="N210" s="47"/>
      <c r="O210" s="47"/>
    </row>
    <row r="211" customFormat="false" ht="14.25" hidden="false" customHeight="true" outlineLevel="0" collapsed="false">
      <c r="A211" s="51" t="s">
        <v>20</v>
      </c>
      <c r="B211" s="51" t="s">
        <v>257</v>
      </c>
      <c r="C211" s="51" t="s">
        <v>310</v>
      </c>
      <c r="D211" s="51" t="s">
        <v>311</v>
      </c>
      <c r="E211" s="51" t="s">
        <v>265</v>
      </c>
      <c r="F211" s="51" t="n">
        <v>3</v>
      </c>
      <c r="G211" s="52" t="n">
        <v>50</v>
      </c>
      <c r="H211" s="52" t="n">
        <f aca="false">F211*G211</f>
        <v>150</v>
      </c>
      <c r="I211" s="51" t="s">
        <v>312</v>
      </c>
      <c r="J211" s="47"/>
      <c r="K211" s="47"/>
      <c r="L211" s="47"/>
      <c r="M211" s="47"/>
      <c r="N211" s="47"/>
      <c r="O211" s="47"/>
    </row>
    <row r="212" customFormat="false" ht="14.25" hidden="false" customHeight="true" outlineLevel="0" collapsed="false">
      <c r="A212" s="51" t="s">
        <v>20</v>
      </c>
      <c r="B212" s="51" t="s">
        <v>257</v>
      </c>
      <c r="C212" s="51" t="s">
        <v>289</v>
      </c>
      <c r="D212" s="51" t="s">
        <v>186</v>
      </c>
      <c r="E212" s="51" t="s">
        <v>265</v>
      </c>
      <c r="F212" s="51" t="n">
        <v>1</v>
      </c>
      <c r="G212" s="52" t="n">
        <v>1216.24</v>
      </c>
      <c r="H212" s="52" t="n">
        <f aca="false">F212*G212</f>
        <v>1216.24</v>
      </c>
      <c r="I212" s="51" t="s">
        <v>322</v>
      </c>
      <c r="J212" s="47"/>
      <c r="K212" s="47"/>
      <c r="L212" s="47"/>
      <c r="M212" s="47"/>
      <c r="N212" s="47"/>
      <c r="O212" s="47"/>
    </row>
    <row r="213" customFormat="false" ht="14.25" hidden="false" customHeight="true" outlineLevel="0" collapsed="false">
      <c r="A213" s="51" t="s">
        <v>20</v>
      </c>
      <c r="B213" s="51" t="s">
        <v>266</v>
      </c>
      <c r="C213" s="51" t="s">
        <v>281</v>
      </c>
      <c r="D213" s="51" t="s">
        <v>220</v>
      </c>
      <c r="E213" s="51" t="s">
        <v>265</v>
      </c>
      <c r="F213" s="51" t="n">
        <v>1</v>
      </c>
      <c r="G213" s="52" t="n">
        <v>1622.63</v>
      </c>
      <c r="H213" s="52" t="n">
        <f aca="false">F213*G213</f>
        <v>1622.63</v>
      </c>
      <c r="I213" s="51" t="s">
        <v>299</v>
      </c>
      <c r="J213" s="47"/>
      <c r="K213" s="47"/>
      <c r="L213" s="47"/>
      <c r="M213" s="47"/>
      <c r="N213" s="47"/>
      <c r="O213" s="47"/>
    </row>
    <row r="214" customFormat="false" ht="14.25" hidden="false" customHeight="true" outlineLevel="0" collapsed="false">
      <c r="A214" s="51" t="s">
        <v>20</v>
      </c>
      <c r="B214" s="51" t="s">
        <v>266</v>
      </c>
      <c r="C214" s="51" t="s">
        <v>281</v>
      </c>
      <c r="D214" s="51" t="s">
        <v>314</v>
      </c>
      <c r="E214" s="51" t="s">
        <v>265</v>
      </c>
      <c r="F214" s="51" t="n">
        <v>1</v>
      </c>
      <c r="G214" s="52" t="n">
        <v>2958.25</v>
      </c>
      <c r="H214" s="52" t="n">
        <f aca="false">F214*G214</f>
        <v>2958.25</v>
      </c>
      <c r="I214" s="51" t="s">
        <v>315</v>
      </c>
      <c r="J214" s="47"/>
      <c r="K214" s="47"/>
      <c r="L214" s="47"/>
      <c r="M214" s="47"/>
      <c r="N214" s="47"/>
      <c r="O214" s="47"/>
    </row>
    <row r="215" customFormat="false" ht="14.25" hidden="false" customHeight="true" outlineLevel="0" collapsed="false">
      <c r="A215" s="51" t="s">
        <v>20</v>
      </c>
      <c r="B215" s="51" t="s">
        <v>266</v>
      </c>
      <c r="C215" s="51" t="s">
        <v>281</v>
      </c>
      <c r="D215" s="51" t="s">
        <v>180</v>
      </c>
      <c r="E215" s="51" t="s">
        <v>265</v>
      </c>
      <c r="F215" s="51" t="n">
        <v>2</v>
      </c>
      <c r="G215" s="52" t="n">
        <v>28.31</v>
      </c>
      <c r="H215" s="52" t="n">
        <f aca="false">F215*G215</f>
        <v>56.62</v>
      </c>
      <c r="I215" s="51" t="s">
        <v>285</v>
      </c>
      <c r="J215" s="47"/>
      <c r="K215" s="47"/>
      <c r="L215" s="47"/>
      <c r="M215" s="47"/>
      <c r="N215" s="47"/>
      <c r="O215" s="47"/>
    </row>
    <row r="216" customFormat="false" ht="14.25" hidden="false" customHeight="true" outlineLevel="0" collapsed="false">
      <c r="A216" s="51" t="s">
        <v>20</v>
      </c>
      <c r="B216" s="51" t="s">
        <v>266</v>
      </c>
      <c r="C216" s="51" t="s">
        <v>281</v>
      </c>
      <c r="D216" s="51" t="s">
        <v>181</v>
      </c>
      <c r="E216" s="51" t="s">
        <v>265</v>
      </c>
      <c r="F216" s="51" t="n">
        <v>2</v>
      </c>
      <c r="G216" s="52" t="n">
        <v>47.79</v>
      </c>
      <c r="H216" s="52" t="n">
        <f aca="false">F216*G216</f>
        <v>95.58</v>
      </c>
      <c r="I216" s="51" t="s">
        <v>285</v>
      </c>
      <c r="J216" s="47"/>
      <c r="K216" s="47"/>
      <c r="L216" s="47"/>
      <c r="M216" s="47"/>
      <c r="N216" s="47"/>
      <c r="O216" s="47"/>
    </row>
    <row r="217" customFormat="false" ht="14.25" hidden="false" customHeight="true" outlineLevel="0" collapsed="false">
      <c r="A217" s="51" t="s">
        <v>20</v>
      </c>
      <c r="B217" s="51" t="s">
        <v>266</v>
      </c>
      <c r="C217" s="51" t="s">
        <v>44</v>
      </c>
      <c r="D217" s="51" t="s">
        <v>182</v>
      </c>
      <c r="E217" s="51" t="s">
        <v>265</v>
      </c>
      <c r="F217" s="51" t="n">
        <v>2</v>
      </c>
      <c r="G217" s="52" t="n">
        <v>64.57</v>
      </c>
      <c r="H217" s="52" t="n">
        <f aca="false">F217*G217</f>
        <v>129.14</v>
      </c>
      <c r="I217" s="51" t="s">
        <v>285</v>
      </c>
      <c r="J217" s="47"/>
      <c r="K217" s="47"/>
      <c r="L217" s="47"/>
      <c r="M217" s="47"/>
      <c r="N217" s="47"/>
      <c r="O217" s="47"/>
    </row>
    <row r="218" customFormat="false" ht="14.25" hidden="false" customHeight="true" outlineLevel="0" collapsed="false">
      <c r="A218" s="51" t="s">
        <v>20</v>
      </c>
      <c r="B218" s="51" t="s">
        <v>266</v>
      </c>
      <c r="C218" s="51" t="s">
        <v>286</v>
      </c>
      <c r="D218" s="51" t="s">
        <v>157</v>
      </c>
      <c r="E218" s="51" t="s">
        <v>265</v>
      </c>
      <c r="F218" s="51" t="n">
        <v>2</v>
      </c>
      <c r="G218" s="52" t="n">
        <v>10.05</v>
      </c>
      <c r="H218" s="52" t="n">
        <f aca="false">F218*G218</f>
        <v>20.1</v>
      </c>
      <c r="I218" s="51" t="s">
        <v>285</v>
      </c>
      <c r="J218" s="47"/>
      <c r="K218" s="47"/>
      <c r="L218" s="47"/>
      <c r="M218" s="47"/>
      <c r="N218" s="47"/>
      <c r="O218" s="47"/>
    </row>
    <row r="219" customFormat="false" ht="14.25" hidden="false" customHeight="true" outlineLevel="0" collapsed="false">
      <c r="A219" s="51" t="s">
        <v>20</v>
      </c>
      <c r="B219" s="51" t="s">
        <v>266</v>
      </c>
      <c r="C219" s="51" t="s">
        <v>286</v>
      </c>
      <c r="D219" s="51" t="s">
        <v>158</v>
      </c>
      <c r="E219" s="51" t="s">
        <v>265</v>
      </c>
      <c r="F219" s="51" t="n">
        <v>2</v>
      </c>
      <c r="G219" s="52" t="n">
        <v>2.07</v>
      </c>
      <c r="H219" s="52" t="n">
        <f aca="false">F219*G219</f>
        <v>4.14</v>
      </c>
      <c r="I219" s="51" t="s">
        <v>285</v>
      </c>
      <c r="J219" s="47"/>
      <c r="K219" s="47"/>
      <c r="L219" s="47"/>
      <c r="M219" s="47"/>
      <c r="N219" s="47"/>
      <c r="O219" s="47"/>
    </row>
    <row r="220" customFormat="false" ht="14.25" hidden="false" customHeight="true" outlineLevel="0" collapsed="false">
      <c r="A220" s="51" t="s">
        <v>20</v>
      </c>
      <c r="B220" s="51" t="s">
        <v>266</v>
      </c>
      <c r="C220" s="51" t="s">
        <v>288</v>
      </c>
      <c r="D220" s="51" t="s">
        <v>179</v>
      </c>
      <c r="E220" s="51" t="s">
        <v>265</v>
      </c>
      <c r="F220" s="51" t="n">
        <v>2</v>
      </c>
      <c r="G220" s="52" t="n">
        <v>30</v>
      </c>
      <c r="H220" s="52" t="n">
        <f aca="false">F220*G220</f>
        <v>60</v>
      </c>
      <c r="I220" s="51" t="s">
        <v>285</v>
      </c>
      <c r="J220" s="47"/>
      <c r="K220" s="47"/>
      <c r="L220" s="47"/>
      <c r="M220" s="47"/>
      <c r="N220" s="47"/>
      <c r="O220" s="47"/>
    </row>
    <row r="221" customFormat="false" ht="14.25" hidden="false" customHeight="true" outlineLevel="0" collapsed="false">
      <c r="A221" s="51" t="s">
        <v>20</v>
      </c>
      <c r="B221" s="51" t="s">
        <v>266</v>
      </c>
      <c r="C221" s="51" t="s">
        <v>289</v>
      </c>
      <c r="D221" s="51" t="s">
        <v>186</v>
      </c>
      <c r="E221" s="51" t="s">
        <v>265</v>
      </c>
      <c r="F221" s="51" t="n">
        <v>1</v>
      </c>
      <c r="G221" s="52" t="n">
        <v>687.15</v>
      </c>
      <c r="H221" s="52" t="n">
        <f aca="false">F221*G221</f>
        <v>687.15</v>
      </c>
      <c r="I221" s="51" t="s">
        <v>295</v>
      </c>
      <c r="J221" s="47"/>
      <c r="K221" s="47"/>
      <c r="L221" s="47"/>
      <c r="M221" s="47"/>
      <c r="N221" s="47"/>
      <c r="O221" s="47"/>
    </row>
    <row r="222" customFormat="false" ht="14.25" hidden="false" customHeight="true" outlineLevel="0" collapsed="false">
      <c r="A222" s="51" t="s">
        <v>20</v>
      </c>
      <c r="B222" s="51" t="s">
        <v>267</v>
      </c>
      <c r="C222" s="51" t="s">
        <v>281</v>
      </c>
      <c r="D222" s="51" t="s">
        <v>220</v>
      </c>
      <c r="E222" s="51" t="s">
        <v>265</v>
      </c>
      <c r="F222" s="51" t="n">
        <v>1</v>
      </c>
      <c r="G222" s="52" t="n">
        <v>12198.75</v>
      </c>
      <c r="H222" s="52" t="n">
        <f aca="false">F222*G222</f>
        <v>12198.75</v>
      </c>
      <c r="I222" s="51" t="s">
        <v>303</v>
      </c>
      <c r="J222" s="47"/>
      <c r="K222" s="47"/>
      <c r="L222" s="47"/>
      <c r="M222" s="47"/>
      <c r="N222" s="47"/>
      <c r="O222" s="47"/>
    </row>
    <row r="223" customFormat="false" ht="14.25" hidden="false" customHeight="true" outlineLevel="0" collapsed="false">
      <c r="A223" s="51" t="s">
        <v>20</v>
      </c>
      <c r="B223" s="51" t="s">
        <v>267</v>
      </c>
      <c r="C223" s="51" t="s">
        <v>281</v>
      </c>
      <c r="D223" s="51" t="s">
        <v>180</v>
      </c>
      <c r="E223" s="51" t="s">
        <v>265</v>
      </c>
      <c r="F223" s="51" t="n">
        <v>5</v>
      </c>
      <c r="G223" s="52" t="n">
        <v>28.31</v>
      </c>
      <c r="H223" s="52" t="n">
        <f aca="false">F223*G223</f>
        <v>141.55</v>
      </c>
      <c r="I223" s="51" t="s">
        <v>285</v>
      </c>
      <c r="J223" s="47"/>
      <c r="K223" s="47"/>
      <c r="L223" s="47"/>
      <c r="M223" s="47"/>
      <c r="N223" s="47"/>
      <c r="O223" s="47"/>
    </row>
    <row r="224" customFormat="false" ht="14.25" hidden="false" customHeight="true" outlineLevel="0" collapsed="false">
      <c r="A224" s="51" t="s">
        <v>20</v>
      </c>
      <c r="B224" s="51" t="s">
        <v>267</v>
      </c>
      <c r="C224" s="51" t="s">
        <v>281</v>
      </c>
      <c r="D224" s="51" t="s">
        <v>181</v>
      </c>
      <c r="E224" s="51" t="s">
        <v>265</v>
      </c>
      <c r="F224" s="51" t="n">
        <v>5</v>
      </c>
      <c r="G224" s="52" t="n">
        <v>47.79</v>
      </c>
      <c r="H224" s="52" t="n">
        <f aca="false">F224*G224</f>
        <v>238.95</v>
      </c>
      <c r="I224" s="51" t="s">
        <v>285</v>
      </c>
      <c r="J224" s="47"/>
      <c r="K224" s="47"/>
      <c r="L224" s="47"/>
      <c r="M224" s="47"/>
      <c r="N224" s="47"/>
      <c r="O224" s="47"/>
    </row>
    <row r="225" customFormat="false" ht="14.25" hidden="false" customHeight="true" outlineLevel="0" collapsed="false">
      <c r="A225" s="51" t="s">
        <v>20</v>
      </c>
      <c r="B225" s="51" t="s">
        <v>267</v>
      </c>
      <c r="C225" s="51" t="s">
        <v>44</v>
      </c>
      <c r="D225" s="51" t="s">
        <v>182</v>
      </c>
      <c r="E225" s="51" t="s">
        <v>265</v>
      </c>
      <c r="F225" s="51" t="n">
        <v>5</v>
      </c>
      <c r="G225" s="52" t="n">
        <v>64.57</v>
      </c>
      <c r="H225" s="52" t="n">
        <f aca="false">F225*G225</f>
        <v>322.85</v>
      </c>
      <c r="I225" s="51" t="s">
        <v>285</v>
      </c>
      <c r="J225" s="47"/>
      <c r="K225" s="47"/>
      <c r="L225" s="47"/>
      <c r="M225" s="47"/>
      <c r="N225" s="47"/>
      <c r="O225" s="47"/>
    </row>
    <row r="226" customFormat="false" ht="14.25" hidden="false" customHeight="true" outlineLevel="0" collapsed="false">
      <c r="A226" s="51" t="s">
        <v>20</v>
      </c>
      <c r="B226" s="51" t="s">
        <v>267</v>
      </c>
      <c r="C226" s="51" t="s">
        <v>286</v>
      </c>
      <c r="D226" s="51" t="s">
        <v>157</v>
      </c>
      <c r="E226" s="51" t="s">
        <v>265</v>
      </c>
      <c r="F226" s="51" t="n">
        <v>5</v>
      </c>
      <c r="G226" s="52" t="n">
        <v>10.05</v>
      </c>
      <c r="H226" s="52" t="n">
        <f aca="false">F226*G226</f>
        <v>50.25</v>
      </c>
      <c r="I226" s="51" t="s">
        <v>285</v>
      </c>
      <c r="J226" s="47"/>
      <c r="K226" s="47"/>
      <c r="L226" s="47"/>
      <c r="M226" s="47"/>
      <c r="N226" s="47"/>
      <c r="O226" s="47"/>
    </row>
    <row r="227" customFormat="false" ht="14.25" hidden="false" customHeight="true" outlineLevel="0" collapsed="false">
      <c r="A227" s="51" t="s">
        <v>20</v>
      </c>
      <c r="B227" s="51" t="s">
        <v>267</v>
      </c>
      <c r="C227" s="51" t="s">
        <v>286</v>
      </c>
      <c r="D227" s="51" t="s">
        <v>158</v>
      </c>
      <c r="E227" s="51" t="s">
        <v>265</v>
      </c>
      <c r="F227" s="51" t="n">
        <v>5</v>
      </c>
      <c r="G227" s="52" t="n">
        <v>2.07</v>
      </c>
      <c r="H227" s="52" t="n">
        <f aca="false">F227*G227</f>
        <v>10.35</v>
      </c>
      <c r="I227" s="51" t="s">
        <v>285</v>
      </c>
      <c r="J227" s="47"/>
      <c r="K227" s="47"/>
      <c r="L227" s="47"/>
      <c r="M227" s="47"/>
      <c r="N227" s="47"/>
      <c r="O227" s="47"/>
    </row>
    <row r="228" customFormat="false" ht="14.25" hidden="false" customHeight="true" outlineLevel="0" collapsed="false">
      <c r="A228" s="51" t="s">
        <v>20</v>
      </c>
      <c r="B228" s="51" t="s">
        <v>267</v>
      </c>
      <c r="C228" s="51" t="s">
        <v>288</v>
      </c>
      <c r="D228" s="51" t="s">
        <v>179</v>
      </c>
      <c r="E228" s="51" t="s">
        <v>265</v>
      </c>
      <c r="F228" s="51" t="n">
        <v>5</v>
      </c>
      <c r="G228" s="52" t="n">
        <v>30</v>
      </c>
      <c r="H228" s="52" t="n">
        <f aca="false">F228*G228</f>
        <v>150</v>
      </c>
      <c r="I228" s="51" t="s">
        <v>285</v>
      </c>
      <c r="J228" s="47"/>
      <c r="K228" s="47"/>
      <c r="L228" s="47"/>
      <c r="M228" s="47"/>
      <c r="N228" s="47"/>
      <c r="O228" s="47"/>
    </row>
    <row r="229" customFormat="false" ht="14.25" hidden="false" customHeight="true" outlineLevel="0" collapsed="false">
      <c r="A229" s="51" t="s">
        <v>20</v>
      </c>
      <c r="B229" s="51" t="s">
        <v>267</v>
      </c>
      <c r="C229" s="51" t="s">
        <v>289</v>
      </c>
      <c r="D229" s="51" t="s">
        <v>186</v>
      </c>
      <c r="E229" s="51" t="s">
        <v>265</v>
      </c>
      <c r="F229" s="51" t="n">
        <v>1</v>
      </c>
      <c r="G229" s="52" t="n">
        <v>1016.2</v>
      </c>
      <c r="H229" s="52" t="n">
        <f aca="false">F229*G229</f>
        <v>1016.2</v>
      </c>
      <c r="I229" s="51" t="s">
        <v>295</v>
      </c>
      <c r="J229" s="47"/>
      <c r="K229" s="47"/>
      <c r="L229" s="47"/>
      <c r="M229" s="47"/>
      <c r="N229" s="47"/>
      <c r="O229" s="47"/>
    </row>
    <row r="230" customFormat="false" ht="14.25" hidden="false" customHeight="true" outlineLevel="0" collapsed="false">
      <c r="A230" s="51" t="s">
        <v>20</v>
      </c>
      <c r="B230" s="51" t="s">
        <v>269</v>
      </c>
      <c r="C230" s="51" t="s">
        <v>281</v>
      </c>
      <c r="D230" s="51" t="s">
        <v>220</v>
      </c>
      <c r="E230" s="51" t="s">
        <v>268</v>
      </c>
      <c r="F230" s="51" t="n">
        <v>1</v>
      </c>
      <c r="G230" s="52" t="n">
        <v>15180.54</v>
      </c>
      <c r="H230" s="52" t="n">
        <f aca="false">F230*G230</f>
        <v>15180.54</v>
      </c>
      <c r="I230" s="51" t="s">
        <v>305</v>
      </c>
      <c r="J230" s="47"/>
      <c r="K230" s="47"/>
      <c r="L230" s="47"/>
      <c r="M230" s="47"/>
      <c r="N230" s="47"/>
      <c r="O230" s="47"/>
    </row>
    <row r="231" customFormat="false" ht="14.25" hidden="false" customHeight="true" outlineLevel="0" collapsed="false">
      <c r="A231" s="51" t="s">
        <v>20</v>
      </c>
      <c r="B231" s="51" t="s">
        <v>269</v>
      </c>
      <c r="C231" s="51" t="s">
        <v>281</v>
      </c>
      <c r="D231" s="51" t="s">
        <v>180</v>
      </c>
      <c r="E231" s="51" t="s">
        <v>268</v>
      </c>
      <c r="F231" s="51" t="n">
        <v>8</v>
      </c>
      <c r="G231" s="52" t="n">
        <v>28.31</v>
      </c>
      <c r="H231" s="52" t="n">
        <f aca="false">F231*G231</f>
        <v>226.48</v>
      </c>
      <c r="I231" s="51" t="s">
        <v>285</v>
      </c>
      <c r="J231" s="47"/>
      <c r="K231" s="47"/>
      <c r="L231" s="47"/>
      <c r="M231" s="47"/>
      <c r="N231" s="47"/>
      <c r="O231" s="47"/>
    </row>
    <row r="232" customFormat="false" ht="14.25" hidden="false" customHeight="true" outlineLevel="0" collapsed="false">
      <c r="A232" s="51" t="s">
        <v>20</v>
      </c>
      <c r="B232" s="51" t="s">
        <v>269</v>
      </c>
      <c r="C232" s="51" t="s">
        <v>281</v>
      </c>
      <c r="D232" s="51" t="s">
        <v>181</v>
      </c>
      <c r="E232" s="51" t="s">
        <v>268</v>
      </c>
      <c r="F232" s="51" t="n">
        <v>8</v>
      </c>
      <c r="G232" s="52" t="n">
        <v>47.79</v>
      </c>
      <c r="H232" s="52" t="n">
        <f aca="false">F232*G232</f>
        <v>382.32</v>
      </c>
      <c r="I232" s="51" t="s">
        <v>285</v>
      </c>
      <c r="J232" s="47"/>
      <c r="K232" s="47"/>
      <c r="L232" s="47"/>
      <c r="M232" s="47"/>
      <c r="N232" s="47"/>
      <c r="O232" s="47"/>
    </row>
    <row r="233" customFormat="false" ht="14.25" hidden="false" customHeight="true" outlineLevel="0" collapsed="false">
      <c r="A233" s="51" t="s">
        <v>20</v>
      </c>
      <c r="B233" s="51" t="s">
        <v>269</v>
      </c>
      <c r="C233" s="51" t="s">
        <v>44</v>
      </c>
      <c r="D233" s="51" t="s">
        <v>182</v>
      </c>
      <c r="E233" s="51" t="s">
        <v>268</v>
      </c>
      <c r="F233" s="51" t="n">
        <v>8</v>
      </c>
      <c r="G233" s="52" t="n">
        <v>64.57</v>
      </c>
      <c r="H233" s="52" t="n">
        <f aca="false">F233*G233</f>
        <v>516.56</v>
      </c>
      <c r="I233" s="51" t="s">
        <v>285</v>
      </c>
      <c r="J233" s="47"/>
      <c r="K233" s="47"/>
      <c r="L233" s="47"/>
      <c r="M233" s="47"/>
      <c r="N233" s="47"/>
      <c r="O233" s="47"/>
    </row>
    <row r="234" customFormat="false" ht="14.25" hidden="false" customHeight="true" outlineLevel="0" collapsed="false">
      <c r="A234" s="51" t="s">
        <v>20</v>
      </c>
      <c r="B234" s="51" t="s">
        <v>269</v>
      </c>
      <c r="C234" s="51" t="s">
        <v>286</v>
      </c>
      <c r="D234" s="51" t="s">
        <v>157</v>
      </c>
      <c r="E234" s="51" t="s">
        <v>268</v>
      </c>
      <c r="F234" s="51" t="n">
        <v>8</v>
      </c>
      <c r="G234" s="52" t="n">
        <v>10.05</v>
      </c>
      <c r="H234" s="52" t="n">
        <f aca="false">F234*G234</f>
        <v>80.4</v>
      </c>
      <c r="I234" s="51" t="s">
        <v>285</v>
      </c>
      <c r="J234" s="47"/>
      <c r="K234" s="47"/>
      <c r="L234" s="47"/>
      <c r="M234" s="47"/>
      <c r="N234" s="47"/>
      <c r="O234" s="47"/>
    </row>
    <row r="235" customFormat="false" ht="14.25" hidden="false" customHeight="true" outlineLevel="0" collapsed="false">
      <c r="A235" s="51" t="s">
        <v>20</v>
      </c>
      <c r="B235" s="51" t="s">
        <v>269</v>
      </c>
      <c r="C235" s="51" t="s">
        <v>286</v>
      </c>
      <c r="D235" s="51" t="s">
        <v>158</v>
      </c>
      <c r="E235" s="51" t="s">
        <v>268</v>
      </c>
      <c r="F235" s="51" t="n">
        <v>8</v>
      </c>
      <c r="G235" s="52" t="n">
        <v>2.07</v>
      </c>
      <c r="H235" s="52" t="n">
        <f aca="false">F235*G235</f>
        <v>16.56</v>
      </c>
      <c r="I235" s="51" t="s">
        <v>285</v>
      </c>
      <c r="J235" s="47"/>
      <c r="K235" s="47"/>
      <c r="L235" s="47"/>
      <c r="M235" s="47"/>
      <c r="N235" s="47"/>
      <c r="O235" s="47"/>
    </row>
    <row r="236" customFormat="false" ht="14.25" hidden="false" customHeight="true" outlineLevel="0" collapsed="false">
      <c r="A236" s="51" t="s">
        <v>20</v>
      </c>
      <c r="B236" s="51" t="s">
        <v>269</v>
      </c>
      <c r="C236" s="51" t="s">
        <v>287</v>
      </c>
      <c r="D236" s="51" t="s">
        <v>183</v>
      </c>
      <c r="E236" s="51" t="s">
        <v>268</v>
      </c>
      <c r="F236" s="51" t="n">
        <v>1</v>
      </c>
      <c r="G236" s="52" t="n">
        <v>699.62</v>
      </c>
      <c r="H236" s="52" t="n">
        <f aca="false">F236*G236</f>
        <v>699.62</v>
      </c>
      <c r="I236" s="51" t="s">
        <v>306</v>
      </c>
      <c r="J236" s="47"/>
      <c r="K236" s="47"/>
      <c r="L236" s="47"/>
      <c r="M236" s="47"/>
      <c r="N236" s="47"/>
      <c r="O236" s="47"/>
    </row>
    <row r="237" customFormat="false" ht="14.25" hidden="false" customHeight="true" outlineLevel="0" collapsed="false">
      <c r="A237" s="51" t="s">
        <v>20</v>
      </c>
      <c r="B237" s="51" t="s">
        <v>269</v>
      </c>
      <c r="C237" s="51" t="s">
        <v>287</v>
      </c>
      <c r="D237" s="51" t="s">
        <v>185</v>
      </c>
      <c r="E237" s="51" t="s">
        <v>268</v>
      </c>
      <c r="F237" s="51" t="n">
        <v>1</v>
      </c>
      <c r="G237" s="52" t="n">
        <v>566.12</v>
      </c>
      <c r="H237" s="52" t="n">
        <f aca="false">F237*G237</f>
        <v>566.12</v>
      </c>
      <c r="I237" s="51" t="s">
        <v>306</v>
      </c>
      <c r="J237" s="47"/>
      <c r="K237" s="47"/>
      <c r="L237" s="47"/>
      <c r="M237" s="47"/>
      <c r="N237" s="47"/>
      <c r="O237" s="47"/>
    </row>
    <row r="238" customFormat="false" ht="14.25" hidden="false" customHeight="true" outlineLevel="0" collapsed="false">
      <c r="A238" s="51" t="s">
        <v>20</v>
      </c>
      <c r="B238" s="51" t="s">
        <v>269</v>
      </c>
      <c r="C238" s="51" t="s">
        <v>288</v>
      </c>
      <c r="D238" s="51" t="s">
        <v>179</v>
      </c>
      <c r="E238" s="51" t="s">
        <v>268</v>
      </c>
      <c r="F238" s="51" t="n">
        <v>8</v>
      </c>
      <c r="G238" s="52" t="n">
        <v>30</v>
      </c>
      <c r="H238" s="52" t="n">
        <f aca="false">F238*G238</f>
        <v>240</v>
      </c>
      <c r="I238" s="51" t="s">
        <v>285</v>
      </c>
      <c r="J238" s="47"/>
      <c r="K238" s="47"/>
      <c r="L238" s="47"/>
      <c r="M238" s="47"/>
      <c r="N238" s="47"/>
      <c r="O238" s="47"/>
    </row>
    <row r="239" customFormat="false" ht="14.25" hidden="false" customHeight="true" outlineLevel="0" collapsed="false">
      <c r="A239" s="51" t="s">
        <v>20</v>
      </c>
      <c r="B239" s="51" t="s">
        <v>272</v>
      </c>
      <c r="C239" s="51" t="s">
        <v>281</v>
      </c>
      <c r="D239" s="51" t="s">
        <v>220</v>
      </c>
      <c r="E239" s="51" t="s">
        <v>268</v>
      </c>
      <c r="F239" s="51" t="n">
        <v>1</v>
      </c>
      <c r="G239" s="52" t="n">
        <v>13708.49</v>
      </c>
      <c r="H239" s="52" t="n">
        <f aca="false">F239*G239</f>
        <v>13708.49</v>
      </c>
      <c r="I239" s="51" t="s">
        <v>307</v>
      </c>
      <c r="J239" s="47"/>
      <c r="K239" s="47"/>
      <c r="L239" s="47"/>
      <c r="M239" s="47"/>
      <c r="N239" s="47"/>
      <c r="O239" s="47"/>
    </row>
    <row r="240" customFormat="false" ht="14.25" hidden="false" customHeight="true" outlineLevel="0" collapsed="false">
      <c r="A240" s="51" t="s">
        <v>20</v>
      </c>
      <c r="B240" s="51" t="s">
        <v>272</v>
      </c>
      <c r="C240" s="51" t="s">
        <v>281</v>
      </c>
      <c r="D240" s="51" t="s">
        <v>314</v>
      </c>
      <c r="E240" s="51" t="s">
        <v>268</v>
      </c>
      <c r="F240" s="51" t="n">
        <v>1</v>
      </c>
      <c r="G240" s="52" t="n">
        <v>1234.31</v>
      </c>
      <c r="H240" s="52" t="n">
        <f aca="false">F240*G240</f>
        <v>1234.31</v>
      </c>
      <c r="I240" s="51" t="s">
        <v>315</v>
      </c>
      <c r="J240" s="47"/>
      <c r="K240" s="47"/>
      <c r="L240" s="47"/>
      <c r="M240" s="47"/>
      <c r="N240" s="47"/>
      <c r="O240" s="47"/>
    </row>
    <row r="241" customFormat="false" ht="14.25" hidden="false" customHeight="true" outlineLevel="0" collapsed="false">
      <c r="A241" s="51" t="s">
        <v>20</v>
      </c>
      <c r="B241" s="51" t="s">
        <v>272</v>
      </c>
      <c r="C241" s="51" t="s">
        <v>281</v>
      </c>
      <c r="D241" s="51" t="s">
        <v>283</v>
      </c>
      <c r="E241" s="51" t="s">
        <v>268</v>
      </c>
      <c r="F241" s="51" t="n">
        <v>1</v>
      </c>
      <c r="G241" s="52" t="n">
        <v>2775</v>
      </c>
      <c r="H241" s="52" t="n">
        <f aca="false">F241*G241</f>
        <v>2775</v>
      </c>
      <c r="I241" s="51" t="s">
        <v>297</v>
      </c>
      <c r="J241" s="47"/>
      <c r="K241" s="47"/>
      <c r="L241" s="47"/>
      <c r="M241" s="47"/>
      <c r="N241" s="47"/>
      <c r="O241" s="47"/>
    </row>
    <row r="242" customFormat="false" ht="14.25" hidden="false" customHeight="true" outlineLevel="0" collapsed="false">
      <c r="A242" s="51" t="s">
        <v>20</v>
      </c>
      <c r="B242" s="51" t="s">
        <v>272</v>
      </c>
      <c r="C242" s="51" t="s">
        <v>281</v>
      </c>
      <c r="D242" s="51" t="s">
        <v>180</v>
      </c>
      <c r="E242" s="51" t="s">
        <v>268</v>
      </c>
      <c r="F242" s="51" t="n">
        <v>11</v>
      </c>
      <c r="G242" s="52" t="n">
        <v>28.31</v>
      </c>
      <c r="H242" s="52" t="n">
        <f aca="false">F242*G242</f>
        <v>311.41</v>
      </c>
      <c r="I242" s="51" t="s">
        <v>285</v>
      </c>
      <c r="J242" s="47"/>
      <c r="K242" s="47"/>
      <c r="L242" s="47"/>
      <c r="M242" s="47"/>
      <c r="N242" s="47"/>
      <c r="O242" s="47"/>
    </row>
    <row r="243" customFormat="false" ht="14.25" hidden="false" customHeight="true" outlineLevel="0" collapsed="false">
      <c r="A243" s="51" t="s">
        <v>20</v>
      </c>
      <c r="B243" s="51" t="s">
        <v>272</v>
      </c>
      <c r="C243" s="51" t="s">
        <v>281</v>
      </c>
      <c r="D243" s="51" t="s">
        <v>181</v>
      </c>
      <c r="E243" s="51" t="s">
        <v>268</v>
      </c>
      <c r="F243" s="51" t="n">
        <v>11</v>
      </c>
      <c r="G243" s="52" t="n">
        <v>47.79</v>
      </c>
      <c r="H243" s="52" t="n">
        <f aca="false">F243*G243</f>
        <v>525.69</v>
      </c>
      <c r="I243" s="51" t="s">
        <v>285</v>
      </c>
      <c r="J243" s="47"/>
      <c r="K243" s="47"/>
      <c r="L243" s="47"/>
      <c r="M243" s="47"/>
      <c r="N243" s="47"/>
      <c r="O243" s="47"/>
    </row>
    <row r="244" customFormat="false" ht="14.25" hidden="false" customHeight="true" outlineLevel="0" collapsed="false">
      <c r="A244" s="51" t="s">
        <v>20</v>
      </c>
      <c r="B244" s="51" t="s">
        <v>272</v>
      </c>
      <c r="C244" s="51" t="s">
        <v>44</v>
      </c>
      <c r="D244" s="51" t="s">
        <v>182</v>
      </c>
      <c r="E244" s="51" t="s">
        <v>268</v>
      </c>
      <c r="F244" s="51" t="n">
        <v>11</v>
      </c>
      <c r="G244" s="52" t="n">
        <v>64.57</v>
      </c>
      <c r="H244" s="52" t="n">
        <f aca="false">F244*G244</f>
        <v>710.27</v>
      </c>
      <c r="I244" s="51" t="s">
        <v>285</v>
      </c>
      <c r="J244" s="47"/>
      <c r="K244" s="47"/>
      <c r="L244" s="47"/>
      <c r="M244" s="47"/>
      <c r="N244" s="47"/>
      <c r="O244" s="47"/>
    </row>
    <row r="245" customFormat="false" ht="14.25" hidden="false" customHeight="true" outlineLevel="0" collapsed="false">
      <c r="A245" s="51" t="s">
        <v>20</v>
      </c>
      <c r="B245" s="51" t="s">
        <v>272</v>
      </c>
      <c r="C245" s="51" t="s">
        <v>286</v>
      </c>
      <c r="D245" s="51" t="s">
        <v>157</v>
      </c>
      <c r="E245" s="51" t="s">
        <v>268</v>
      </c>
      <c r="F245" s="51" t="n">
        <v>11</v>
      </c>
      <c r="G245" s="52" t="n">
        <v>10.05</v>
      </c>
      <c r="H245" s="52" t="n">
        <f aca="false">F245*G245</f>
        <v>110.55</v>
      </c>
      <c r="I245" s="51" t="s">
        <v>285</v>
      </c>
      <c r="J245" s="47"/>
      <c r="K245" s="47"/>
      <c r="L245" s="47"/>
      <c r="M245" s="47"/>
      <c r="N245" s="47"/>
      <c r="O245" s="47"/>
    </row>
    <row r="246" customFormat="false" ht="14.25" hidden="false" customHeight="true" outlineLevel="0" collapsed="false">
      <c r="A246" s="51" t="s">
        <v>20</v>
      </c>
      <c r="B246" s="51" t="s">
        <v>272</v>
      </c>
      <c r="C246" s="51" t="s">
        <v>286</v>
      </c>
      <c r="D246" s="51" t="s">
        <v>158</v>
      </c>
      <c r="E246" s="51" t="s">
        <v>268</v>
      </c>
      <c r="F246" s="51" t="n">
        <v>11</v>
      </c>
      <c r="G246" s="52" t="n">
        <v>2.07</v>
      </c>
      <c r="H246" s="52" t="n">
        <f aca="false">F246*G246</f>
        <v>22.77</v>
      </c>
      <c r="I246" s="51" t="s">
        <v>285</v>
      </c>
      <c r="J246" s="47"/>
      <c r="K246" s="47"/>
      <c r="L246" s="47"/>
      <c r="M246" s="47"/>
      <c r="N246" s="47"/>
      <c r="O246" s="47"/>
    </row>
    <row r="247" customFormat="false" ht="14.25" hidden="false" customHeight="true" outlineLevel="0" collapsed="false">
      <c r="A247" s="51" t="s">
        <v>20</v>
      </c>
      <c r="B247" s="51" t="s">
        <v>272</v>
      </c>
      <c r="C247" s="51" t="s">
        <v>287</v>
      </c>
      <c r="D247" s="51" t="s">
        <v>318</v>
      </c>
      <c r="E247" s="51" t="s">
        <v>268</v>
      </c>
      <c r="F247" s="51" t="n">
        <v>1</v>
      </c>
      <c r="G247" s="52" t="n">
        <v>-247.34</v>
      </c>
      <c r="H247" s="52" t="n">
        <f aca="false">F247*G247</f>
        <v>-247.34</v>
      </c>
      <c r="I247" s="51" t="s">
        <v>297</v>
      </c>
      <c r="J247" s="47"/>
      <c r="K247" s="47"/>
      <c r="L247" s="47"/>
      <c r="M247" s="47"/>
      <c r="N247" s="47"/>
      <c r="O247" s="47"/>
    </row>
    <row r="248" customFormat="false" ht="14.25" hidden="false" customHeight="true" outlineLevel="0" collapsed="false">
      <c r="A248" s="51" t="s">
        <v>20</v>
      </c>
      <c r="B248" s="51" t="s">
        <v>272</v>
      </c>
      <c r="C248" s="51" t="s">
        <v>288</v>
      </c>
      <c r="D248" s="51" t="s">
        <v>179</v>
      </c>
      <c r="E248" s="51" t="s">
        <v>268</v>
      </c>
      <c r="F248" s="51" t="n">
        <v>11</v>
      </c>
      <c r="G248" s="52" t="n">
        <v>30</v>
      </c>
      <c r="H248" s="52" t="n">
        <f aca="false">F248*G248</f>
        <v>330</v>
      </c>
      <c r="I248" s="51" t="s">
        <v>285</v>
      </c>
      <c r="J248" s="47"/>
      <c r="K248" s="47"/>
      <c r="L248" s="47"/>
      <c r="M248" s="47"/>
      <c r="N248" s="47"/>
      <c r="O248" s="47"/>
    </row>
    <row r="249" customFormat="false" ht="14.25" hidden="false" customHeight="true" outlineLevel="0" collapsed="false">
      <c r="A249" s="51" t="s">
        <v>20</v>
      </c>
      <c r="B249" s="51" t="s">
        <v>272</v>
      </c>
      <c r="C249" s="51" t="s">
        <v>310</v>
      </c>
      <c r="D249" s="51" t="s">
        <v>323</v>
      </c>
      <c r="E249" s="51" t="s">
        <v>268</v>
      </c>
      <c r="F249" s="51" t="n">
        <v>2</v>
      </c>
      <c r="G249" s="52" t="n">
        <v>50</v>
      </c>
      <c r="H249" s="52" t="n">
        <f aca="false">F249*G249</f>
        <v>100</v>
      </c>
      <c r="I249" s="51" t="s">
        <v>312</v>
      </c>
      <c r="J249" s="47"/>
      <c r="K249" s="47"/>
      <c r="L249" s="47"/>
      <c r="M249" s="47"/>
      <c r="N249" s="47"/>
      <c r="O249" s="47"/>
    </row>
    <row r="250" customFormat="false" ht="14.25" hidden="false" customHeight="true" outlineLevel="0" collapsed="false">
      <c r="A250" s="51" t="s">
        <v>20</v>
      </c>
      <c r="B250" s="51" t="s">
        <v>272</v>
      </c>
      <c r="C250" s="51" t="s">
        <v>289</v>
      </c>
      <c r="D250" s="51" t="s">
        <v>186</v>
      </c>
      <c r="E250" s="51" t="s">
        <v>268</v>
      </c>
      <c r="F250" s="51" t="n">
        <v>1</v>
      </c>
      <c r="G250" s="52" t="n">
        <v>4192.85</v>
      </c>
      <c r="H250" s="52" t="n">
        <f aca="false">F250*G250</f>
        <v>4192.85</v>
      </c>
      <c r="I250" s="51" t="s">
        <v>295</v>
      </c>
      <c r="J250" s="47"/>
      <c r="K250" s="47"/>
      <c r="L250" s="47"/>
      <c r="M250" s="47"/>
      <c r="N250" s="47"/>
      <c r="O250" s="47"/>
    </row>
    <row r="251" customFormat="false" ht="14.25" hidden="false" customHeight="true" outlineLevel="0" collapsed="false">
      <c r="A251" s="51" t="s">
        <v>20</v>
      </c>
      <c r="B251" s="51" t="s">
        <v>275</v>
      </c>
      <c r="C251" s="51" t="s">
        <v>281</v>
      </c>
      <c r="D251" s="51" t="s">
        <v>220</v>
      </c>
      <c r="E251" s="51" t="s">
        <v>274</v>
      </c>
      <c r="F251" s="51" t="n">
        <v>1</v>
      </c>
      <c r="G251" s="52" t="n">
        <v>3529.37</v>
      </c>
      <c r="H251" s="52" t="n">
        <f aca="false">F251*G251</f>
        <v>3529.37</v>
      </c>
      <c r="I251" s="51" t="s">
        <v>308</v>
      </c>
      <c r="J251" s="47"/>
      <c r="K251" s="47"/>
      <c r="L251" s="47"/>
      <c r="M251" s="47"/>
      <c r="N251" s="47"/>
      <c r="O251" s="47"/>
    </row>
    <row r="252" customFormat="false" ht="14.25" hidden="false" customHeight="true" outlineLevel="0" collapsed="false">
      <c r="A252" s="51" t="s">
        <v>20</v>
      </c>
      <c r="B252" s="51" t="s">
        <v>275</v>
      </c>
      <c r="C252" s="51" t="s">
        <v>281</v>
      </c>
      <c r="D252" s="51" t="s">
        <v>180</v>
      </c>
      <c r="E252" s="51" t="s">
        <v>274</v>
      </c>
      <c r="F252" s="51" t="n">
        <v>1</v>
      </c>
      <c r="G252" s="52" t="n">
        <v>28.31</v>
      </c>
      <c r="H252" s="52" t="n">
        <f aca="false">F252*G252</f>
        <v>28.31</v>
      </c>
      <c r="I252" s="51" t="s">
        <v>285</v>
      </c>
      <c r="J252" s="47"/>
      <c r="K252" s="47"/>
      <c r="L252" s="47"/>
      <c r="M252" s="47"/>
      <c r="N252" s="47"/>
      <c r="O252" s="47"/>
    </row>
    <row r="253" customFormat="false" ht="15" hidden="false" customHeight="true" outlineLevel="0" collapsed="false">
      <c r="A253" s="51" t="s">
        <v>20</v>
      </c>
      <c r="B253" s="51" t="s">
        <v>275</v>
      </c>
      <c r="C253" s="51" t="s">
        <v>281</v>
      </c>
      <c r="D253" s="51" t="s">
        <v>181</v>
      </c>
      <c r="E253" s="51" t="s">
        <v>274</v>
      </c>
      <c r="F253" s="51" t="n">
        <v>1</v>
      </c>
      <c r="G253" s="52" t="n">
        <v>47.79</v>
      </c>
      <c r="H253" s="52" t="n">
        <f aca="false">F253*G253</f>
        <v>47.79</v>
      </c>
      <c r="I253" s="51" t="s">
        <v>285</v>
      </c>
      <c r="J253" s="47"/>
      <c r="K253" s="47"/>
      <c r="L253" s="47"/>
      <c r="M253" s="47"/>
      <c r="N253" s="47"/>
      <c r="O253" s="47"/>
    </row>
    <row r="254" customFormat="false" ht="15" hidden="false" customHeight="true" outlineLevel="0" collapsed="false">
      <c r="A254" s="51" t="s">
        <v>20</v>
      </c>
      <c r="B254" s="51" t="s">
        <v>275</v>
      </c>
      <c r="C254" s="51" t="s">
        <v>44</v>
      </c>
      <c r="D254" s="51" t="s">
        <v>182</v>
      </c>
      <c r="E254" s="51" t="s">
        <v>274</v>
      </c>
      <c r="F254" s="51" t="n">
        <v>1</v>
      </c>
      <c r="G254" s="52" t="n">
        <v>64.57</v>
      </c>
      <c r="H254" s="52" t="n">
        <f aca="false">F254*G254</f>
        <v>64.57</v>
      </c>
      <c r="I254" s="51" t="s">
        <v>285</v>
      </c>
      <c r="J254" s="47"/>
      <c r="K254" s="47"/>
      <c r="L254" s="47"/>
      <c r="M254" s="47"/>
      <c r="N254" s="47"/>
      <c r="O254" s="47"/>
    </row>
    <row r="255" customFormat="false" ht="14.25" hidden="false" customHeight="true" outlineLevel="0" collapsed="false">
      <c r="A255" s="51" t="s">
        <v>20</v>
      </c>
      <c r="B255" s="51" t="s">
        <v>275</v>
      </c>
      <c r="C255" s="51" t="s">
        <v>286</v>
      </c>
      <c r="D255" s="51" t="s">
        <v>157</v>
      </c>
      <c r="E255" s="51" t="s">
        <v>274</v>
      </c>
      <c r="F255" s="51" t="n">
        <v>1</v>
      </c>
      <c r="G255" s="52" t="n">
        <v>10.05</v>
      </c>
      <c r="H255" s="52" t="n">
        <f aca="false">F255*G255</f>
        <v>10.05</v>
      </c>
      <c r="I255" s="51" t="s">
        <v>285</v>
      </c>
      <c r="J255" s="47"/>
      <c r="K255" s="47"/>
      <c r="L255" s="47"/>
      <c r="M255" s="47"/>
      <c r="N255" s="47"/>
      <c r="O255" s="47"/>
    </row>
    <row r="256" customFormat="false" ht="14.25" hidden="false" customHeight="true" outlineLevel="0" collapsed="false">
      <c r="A256" s="51" t="s">
        <v>20</v>
      </c>
      <c r="B256" s="51" t="s">
        <v>275</v>
      </c>
      <c r="C256" s="51" t="s">
        <v>286</v>
      </c>
      <c r="D256" s="51" t="s">
        <v>158</v>
      </c>
      <c r="E256" s="51" t="s">
        <v>274</v>
      </c>
      <c r="F256" s="51" t="n">
        <v>1</v>
      </c>
      <c r="G256" s="52" t="n">
        <v>2.07</v>
      </c>
      <c r="H256" s="52" t="n">
        <f aca="false">F256*G256</f>
        <v>2.07</v>
      </c>
      <c r="I256" s="51" t="s">
        <v>285</v>
      </c>
      <c r="J256" s="47"/>
      <c r="K256" s="47"/>
      <c r="L256" s="47"/>
      <c r="M256" s="47"/>
      <c r="N256" s="47"/>
      <c r="O256" s="47"/>
    </row>
    <row r="257" customFormat="false" ht="14.25" hidden="false" customHeight="true" outlineLevel="0" collapsed="false">
      <c r="A257" s="51" t="s">
        <v>20</v>
      </c>
      <c r="B257" s="51" t="s">
        <v>275</v>
      </c>
      <c r="C257" s="51" t="s">
        <v>288</v>
      </c>
      <c r="D257" s="51" t="s">
        <v>179</v>
      </c>
      <c r="E257" s="51" t="s">
        <v>274</v>
      </c>
      <c r="F257" s="51" t="n">
        <v>1</v>
      </c>
      <c r="G257" s="52" t="n">
        <v>30</v>
      </c>
      <c r="H257" s="52" t="n">
        <f aca="false">F257*G257</f>
        <v>30</v>
      </c>
      <c r="I257" s="51" t="s">
        <v>285</v>
      </c>
      <c r="J257" s="47"/>
      <c r="K257" s="47"/>
      <c r="L257" s="47"/>
      <c r="M257" s="47"/>
      <c r="N257" s="47"/>
      <c r="O257" s="47"/>
    </row>
    <row r="258" customFormat="false" ht="14.25" hidden="false" customHeight="true" outlineLevel="0" collapsed="false">
      <c r="A258" s="51" t="s">
        <v>21</v>
      </c>
      <c r="B258" s="51" t="s">
        <v>257</v>
      </c>
      <c r="C258" s="51" t="s">
        <v>281</v>
      </c>
      <c r="D258" s="51" t="s">
        <v>220</v>
      </c>
      <c r="E258" s="51" t="s">
        <v>256</v>
      </c>
      <c r="F258" s="51" t="n">
        <v>1</v>
      </c>
      <c r="G258" s="52" t="n">
        <v>81072.3365155553</v>
      </c>
      <c r="H258" s="52" t="n">
        <v>81072.3365155553</v>
      </c>
      <c r="I258" s="51" t="s">
        <v>324</v>
      </c>
    </row>
    <row r="259" customFormat="false" ht="14.25" hidden="false" customHeight="true" outlineLevel="0" collapsed="false">
      <c r="A259" s="51" t="s">
        <v>21</v>
      </c>
      <c r="B259" s="51" t="s">
        <v>257</v>
      </c>
      <c r="C259" s="51" t="s">
        <v>281</v>
      </c>
      <c r="D259" s="51" t="s">
        <v>283</v>
      </c>
      <c r="E259" s="51" t="s">
        <v>256</v>
      </c>
      <c r="F259" s="51" t="n">
        <v>1</v>
      </c>
      <c r="G259" s="52" t="n">
        <v>3360.29</v>
      </c>
      <c r="H259" s="52" t="n">
        <v>3360.29</v>
      </c>
      <c r="I259" s="51" t="s">
        <v>325</v>
      </c>
    </row>
    <row r="260" customFormat="false" ht="14.25" hidden="false" customHeight="true" outlineLevel="0" collapsed="false">
      <c r="A260" s="51" t="s">
        <v>21</v>
      </c>
      <c r="B260" s="51" t="s">
        <v>257</v>
      </c>
      <c r="C260" s="51" t="s">
        <v>281</v>
      </c>
      <c r="D260" s="51" t="s">
        <v>180</v>
      </c>
      <c r="E260" s="51" t="s">
        <v>256</v>
      </c>
      <c r="F260" s="51" t="n">
        <v>47</v>
      </c>
      <c r="G260" s="52" t="n">
        <v>26</v>
      </c>
      <c r="H260" s="52" t="n">
        <v>1222</v>
      </c>
      <c r="I260" s="51" t="s">
        <v>326</v>
      </c>
    </row>
    <row r="261" customFormat="false" ht="14.25" hidden="false" customHeight="true" outlineLevel="0" collapsed="false">
      <c r="A261" s="51" t="s">
        <v>21</v>
      </c>
      <c r="B261" s="51" t="s">
        <v>257</v>
      </c>
      <c r="C261" s="51" t="s">
        <v>281</v>
      </c>
      <c r="D261" s="51" t="s">
        <v>181</v>
      </c>
      <c r="E261" s="51" t="s">
        <v>256</v>
      </c>
      <c r="F261" s="51" t="n">
        <v>47</v>
      </c>
      <c r="G261" s="52" t="n">
        <v>42.77</v>
      </c>
      <c r="H261" s="52" t="n">
        <v>2010.19</v>
      </c>
      <c r="I261" s="51" t="s">
        <v>326</v>
      </c>
    </row>
    <row r="262" customFormat="false" ht="14.25" hidden="false" customHeight="true" outlineLevel="0" collapsed="false">
      <c r="A262" s="51" t="s">
        <v>21</v>
      </c>
      <c r="B262" s="51" t="s">
        <v>257</v>
      </c>
      <c r="C262" s="51" t="s">
        <v>44</v>
      </c>
      <c r="D262" s="51" t="s">
        <v>182</v>
      </c>
      <c r="E262" s="51" t="s">
        <v>256</v>
      </c>
      <c r="F262" s="51" t="n">
        <v>47</v>
      </c>
      <c r="G262" s="52" t="n">
        <v>63.75</v>
      </c>
      <c r="H262" s="52" t="n">
        <v>2996.25</v>
      </c>
      <c r="I262" s="51" t="s">
        <v>326</v>
      </c>
    </row>
    <row r="263" customFormat="false" ht="14.25" hidden="false" customHeight="true" outlineLevel="0" collapsed="false">
      <c r="A263" s="51" t="s">
        <v>21</v>
      </c>
      <c r="B263" s="51" t="s">
        <v>257</v>
      </c>
      <c r="C263" s="51" t="s">
        <v>44</v>
      </c>
      <c r="D263" s="51" t="s">
        <v>221</v>
      </c>
      <c r="E263" s="51" t="s">
        <v>256</v>
      </c>
      <c r="F263" s="51" t="n">
        <v>1</v>
      </c>
      <c r="G263" s="52" t="n">
        <v>451.39</v>
      </c>
      <c r="H263" s="52" t="n">
        <v>451.39</v>
      </c>
      <c r="I263" s="51" t="s">
        <v>325</v>
      </c>
    </row>
    <row r="264" customFormat="false" ht="14.25" hidden="false" customHeight="true" outlineLevel="0" collapsed="false">
      <c r="A264" s="51" t="s">
        <v>21</v>
      </c>
      <c r="B264" s="51" t="s">
        <v>257</v>
      </c>
      <c r="C264" s="51" t="s">
        <v>287</v>
      </c>
      <c r="D264" s="51" t="s">
        <v>183</v>
      </c>
      <c r="E264" s="51" t="s">
        <v>256</v>
      </c>
      <c r="F264" s="51" t="n">
        <v>1</v>
      </c>
      <c r="G264" s="52" t="n">
        <v>865.91</v>
      </c>
      <c r="H264" s="52" t="n">
        <v>865.91</v>
      </c>
      <c r="I264" s="51" t="s">
        <v>325</v>
      </c>
    </row>
    <row r="265" customFormat="false" ht="14.25" hidden="false" customHeight="true" outlineLevel="0" collapsed="false">
      <c r="A265" s="51" t="s">
        <v>21</v>
      </c>
      <c r="B265" s="51" t="s">
        <v>257</v>
      </c>
      <c r="C265" s="51" t="s">
        <v>287</v>
      </c>
      <c r="D265" s="51" t="s">
        <v>185</v>
      </c>
      <c r="E265" s="51" t="s">
        <v>256</v>
      </c>
      <c r="F265" s="51" t="n">
        <v>1</v>
      </c>
      <c r="G265" s="52" t="n">
        <v>251.02</v>
      </c>
      <c r="H265" s="52" t="n">
        <v>251.02</v>
      </c>
      <c r="I265" s="51" t="s">
        <v>325</v>
      </c>
    </row>
    <row r="266" customFormat="false" ht="14.25" hidden="false" customHeight="true" outlineLevel="0" collapsed="false">
      <c r="A266" s="51" t="s">
        <v>21</v>
      </c>
      <c r="B266" s="51" t="s">
        <v>257</v>
      </c>
      <c r="C266" s="51" t="s">
        <v>288</v>
      </c>
      <c r="D266" s="51" t="s">
        <v>179</v>
      </c>
      <c r="E266" s="51" t="s">
        <v>256</v>
      </c>
      <c r="F266" s="51" t="n">
        <v>50</v>
      </c>
      <c r="G266" s="52" t="n">
        <v>30</v>
      </c>
      <c r="H266" s="52" t="n">
        <f aca="false">G266*F266</f>
        <v>1500</v>
      </c>
      <c r="I266" s="51" t="s">
        <v>326</v>
      </c>
    </row>
    <row r="267" customFormat="false" ht="15" hidden="false" customHeight="true" outlineLevel="0" collapsed="false">
      <c r="A267" s="51" t="s">
        <v>21</v>
      </c>
      <c r="B267" s="51" t="s">
        <v>257</v>
      </c>
      <c r="C267" s="51" t="s">
        <v>286</v>
      </c>
      <c r="D267" s="51" t="s">
        <v>157</v>
      </c>
      <c r="E267" s="51" t="s">
        <v>256</v>
      </c>
      <c r="F267" s="51" t="n">
        <v>47</v>
      </c>
      <c r="G267" s="52" t="n">
        <v>9.85</v>
      </c>
      <c r="H267" s="52" t="n">
        <v>462.95</v>
      </c>
      <c r="I267" s="51" t="s">
        <v>326</v>
      </c>
    </row>
    <row r="268" customFormat="false" ht="14.25" hidden="false" customHeight="true" outlineLevel="0" collapsed="false">
      <c r="A268" s="51" t="s">
        <v>21</v>
      </c>
      <c r="B268" s="51" t="s">
        <v>257</v>
      </c>
      <c r="C268" s="51" t="s">
        <v>286</v>
      </c>
      <c r="D268" s="51" t="s">
        <v>158</v>
      </c>
      <c r="E268" s="51" t="s">
        <v>256</v>
      </c>
      <c r="F268" s="51" t="n">
        <v>47</v>
      </c>
      <c r="G268" s="52" t="n">
        <v>2.04</v>
      </c>
      <c r="H268" s="52" t="n">
        <v>95.88</v>
      </c>
      <c r="I268" s="51" t="s">
        <v>326</v>
      </c>
    </row>
    <row r="269" customFormat="false" ht="14.25" hidden="false" customHeight="true" outlineLevel="0" collapsed="false">
      <c r="A269" s="51" t="s">
        <v>21</v>
      </c>
      <c r="B269" s="51" t="s">
        <v>257</v>
      </c>
      <c r="C269" s="51" t="s">
        <v>289</v>
      </c>
      <c r="D269" s="51" t="s">
        <v>186</v>
      </c>
      <c r="E269" s="51" t="s">
        <v>256</v>
      </c>
      <c r="F269" s="51" t="n">
        <v>1</v>
      </c>
      <c r="G269" s="52" t="n">
        <v>2038.91</v>
      </c>
      <c r="H269" s="52" t="n">
        <f aca="false">G269*F269</f>
        <v>2038.91</v>
      </c>
      <c r="I269" s="51" t="s">
        <v>327</v>
      </c>
    </row>
    <row r="270" customFormat="false" ht="14.25" hidden="false" customHeight="true" outlineLevel="0" collapsed="false">
      <c r="A270" s="51" t="s">
        <v>21</v>
      </c>
      <c r="B270" s="51" t="s">
        <v>257</v>
      </c>
      <c r="C270" s="51" t="s">
        <v>281</v>
      </c>
      <c r="D270" s="51" t="s">
        <v>314</v>
      </c>
      <c r="E270" s="51" t="s">
        <v>256</v>
      </c>
      <c r="F270" s="51" t="n">
        <v>1</v>
      </c>
      <c r="G270" s="52" t="n">
        <v>16815.54</v>
      </c>
      <c r="H270" s="52" t="n">
        <f aca="false">G270*F270</f>
        <v>16815.54</v>
      </c>
      <c r="I270" s="51" t="s">
        <v>328</v>
      </c>
    </row>
    <row r="271" customFormat="false" ht="14.25" hidden="false" customHeight="true" outlineLevel="0" collapsed="false">
      <c r="A271" s="51" t="s">
        <v>21</v>
      </c>
      <c r="B271" s="51" t="s">
        <v>257</v>
      </c>
      <c r="C271" s="51" t="s">
        <v>281</v>
      </c>
      <c r="D271" s="51" t="s">
        <v>220</v>
      </c>
      <c r="E271" s="51" t="s">
        <v>259</v>
      </c>
      <c r="F271" s="51" t="n">
        <v>1</v>
      </c>
      <c r="G271" s="52" t="n">
        <v>6270.1</v>
      </c>
      <c r="H271" s="52" t="n">
        <f aca="false">G271*F271</f>
        <v>6270.1</v>
      </c>
      <c r="I271" s="51" t="s">
        <v>329</v>
      </c>
    </row>
    <row r="272" customFormat="false" ht="14.25" hidden="false" customHeight="true" outlineLevel="0" collapsed="false">
      <c r="A272" s="51" t="s">
        <v>21</v>
      </c>
      <c r="B272" s="51" t="s">
        <v>257</v>
      </c>
      <c r="C272" s="51" t="s">
        <v>281</v>
      </c>
      <c r="D272" s="51" t="s">
        <v>283</v>
      </c>
      <c r="E272" s="51" t="s">
        <v>259</v>
      </c>
      <c r="F272" s="51" t="n">
        <v>1</v>
      </c>
      <c r="G272" s="52" t="n">
        <v>182.68</v>
      </c>
      <c r="H272" s="52" t="n">
        <f aca="false">G272*F272</f>
        <v>182.68</v>
      </c>
      <c r="I272" s="51" t="s">
        <v>330</v>
      </c>
    </row>
    <row r="273" customFormat="false" ht="14.25" hidden="false" customHeight="true" outlineLevel="0" collapsed="false">
      <c r="A273" s="51" t="s">
        <v>21</v>
      </c>
      <c r="B273" s="51" t="s">
        <v>257</v>
      </c>
      <c r="C273" s="51" t="s">
        <v>281</v>
      </c>
      <c r="D273" s="51" t="s">
        <v>180</v>
      </c>
      <c r="E273" s="51" t="s">
        <v>259</v>
      </c>
      <c r="F273" s="51" t="n">
        <v>5</v>
      </c>
      <c r="G273" s="52" t="n">
        <v>26</v>
      </c>
      <c r="H273" s="52" t="n">
        <f aca="false">G273*F273</f>
        <v>130</v>
      </c>
      <c r="I273" s="51" t="s">
        <v>326</v>
      </c>
    </row>
    <row r="274" customFormat="false" ht="14.25" hidden="false" customHeight="true" outlineLevel="0" collapsed="false">
      <c r="A274" s="51" t="s">
        <v>21</v>
      </c>
      <c r="B274" s="51" t="s">
        <v>257</v>
      </c>
      <c r="C274" s="51" t="s">
        <v>281</v>
      </c>
      <c r="D274" s="51" t="s">
        <v>181</v>
      </c>
      <c r="E274" s="51" t="s">
        <v>259</v>
      </c>
      <c r="F274" s="51" t="n">
        <v>5</v>
      </c>
      <c r="G274" s="52" t="n">
        <v>42.77</v>
      </c>
      <c r="H274" s="52" t="n">
        <f aca="false">G274*F274</f>
        <v>213.85</v>
      </c>
      <c r="I274" s="51" t="s">
        <v>326</v>
      </c>
    </row>
    <row r="275" customFormat="false" ht="14.25" hidden="false" customHeight="true" outlineLevel="0" collapsed="false">
      <c r="A275" s="51" t="s">
        <v>21</v>
      </c>
      <c r="B275" s="51" t="s">
        <v>257</v>
      </c>
      <c r="C275" s="51" t="s">
        <v>44</v>
      </c>
      <c r="D275" s="51" t="s">
        <v>182</v>
      </c>
      <c r="E275" s="51" t="s">
        <v>259</v>
      </c>
      <c r="F275" s="51" t="n">
        <v>5</v>
      </c>
      <c r="G275" s="52" t="n">
        <v>63.75</v>
      </c>
      <c r="H275" s="52" t="n">
        <f aca="false">G275*F275</f>
        <v>318.75</v>
      </c>
      <c r="I275" s="51" t="s">
        <v>326</v>
      </c>
    </row>
    <row r="276" customFormat="false" ht="14.25" hidden="false" customHeight="true" outlineLevel="0" collapsed="false">
      <c r="A276" s="51" t="s">
        <v>21</v>
      </c>
      <c r="B276" s="51" t="s">
        <v>257</v>
      </c>
      <c r="C276" s="51" t="s">
        <v>44</v>
      </c>
      <c r="D276" s="51" t="s">
        <v>221</v>
      </c>
      <c r="E276" s="51" t="s">
        <v>259</v>
      </c>
      <c r="F276" s="51" t="n">
        <v>1</v>
      </c>
      <c r="G276" s="52" t="n">
        <v>24.54</v>
      </c>
      <c r="H276" s="52" t="n">
        <f aca="false">G276*F276</f>
        <v>24.54</v>
      </c>
      <c r="I276" s="51" t="s">
        <v>330</v>
      </c>
    </row>
    <row r="277" customFormat="false" ht="14.25" hidden="false" customHeight="true" outlineLevel="0" collapsed="false">
      <c r="A277" s="51" t="s">
        <v>21</v>
      </c>
      <c r="B277" s="51" t="s">
        <v>257</v>
      </c>
      <c r="C277" s="51" t="s">
        <v>287</v>
      </c>
      <c r="D277" s="51" t="s">
        <v>183</v>
      </c>
      <c r="E277" s="51" t="s">
        <v>259</v>
      </c>
      <c r="F277" s="51" t="n">
        <v>1</v>
      </c>
      <c r="G277" s="52" t="n">
        <v>47.07</v>
      </c>
      <c r="H277" s="52" t="n">
        <f aca="false">G277*F277</f>
        <v>47.07</v>
      </c>
      <c r="I277" s="51" t="s">
        <v>330</v>
      </c>
    </row>
    <row r="278" customFormat="false" ht="15" hidden="false" customHeight="true" outlineLevel="0" collapsed="false">
      <c r="A278" s="51" t="s">
        <v>21</v>
      </c>
      <c r="B278" s="51" t="s">
        <v>257</v>
      </c>
      <c r="C278" s="51" t="s">
        <v>287</v>
      </c>
      <c r="D278" s="51" t="s">
        <v>185</v>
      </c>
      <c r="E278" s="51" t="s">
        <v>259</v>
      </c>
      <c r="F278" s="51" t="n">
        <v>1</v>
      </c>
      <c r="G278" s="52" t="n">
        <v>13.65</v>
      </c>
      <c r="H278" s="52" t="n">
        <f aca="false">G278*F278</f>
        <v>13.65</v>
      </c>
      <c r="I278" s="51" t="s">
        <v>330</v>
      </c>
    </row>
    <row r="279" customFormat="false" ht="14.25" hidden="false" customHeight="true" outlineLevel="0" collapsed="false">
      <c r="A279" s="51" t="s">
        <v>21</v>
      </c>
      <c r="B279" s="51" t="s">
        <v>257</v>
      </c>
      <c r="C279" s="51" t="s">
        <v>288</v>
      </c>
      <c r="D279" s="51" t="s">
        <v>179</v>
      </c>
      <c r="E279" s="51" t="s">
        <v>259</v>
      </c>
      <c r="F279" s="51" t="n">
        <v>5</v>
      </c>
      <c r="G279" s="52" t="n">
        <v>30</v>
      </c>
      <c r="H279" s="52" t="n">
        <f aca="false">G279*F279</f>
        <v>150</v>
      </c>
      <c r="I279" s="51" t="s">
        <v>326</v>
      </c>
    </row>
    <row r="280" customFormat="false" ht="14.25" hidden="false" customHeight="true" outlineLevel="0" collapsed="false">
      <c r="A280" s="51" t="s">
        <v>21</v>
      </c>
      <c r="B280" s="51" t="s">
        <v>257</v>
      </c>
      <c r="C280" s="51" t="s">
        <v>286</v>
      </c>
      <c r="D280" s="51" t="s">
        <v>157</v>
      </c>
      <c r="E280" s="51" t="s">
        <v>259</v>
      </c>
      <c r="F280" s="51" t="n">
        <v>5</v>
      </c>
      <c r="G280" s="52" t="n">
        <v>9.85</v>
      </c>
      <c r="H280" s="52" t="n">
        <f aca="false">G280*F280</f>
        <v>49.25</v>
      </c>
      <c r="I280" s="51" t="s">
        <v>326</v>
      </c>
    </row>
    <row r="281" customFormat="false" ht="14.25" hidden="false" customHeight="true" outlineLevel="0" collapsed="false">
      <c r="A281" s="51" t="s">
        <v>21</v>
      </c>
      <c r="B281" s="51" t="s">
        <v>257</v>
      </c>
      <c r="C281" s="51" t="s">
        <v>286</v>
      </c>
      <c r="D281" s="51" t="s">
        <v>158</v>
      </c>
      <c r="E281" s="51" t="s">
        <v>259</v>
      </c>
      <c r="F281" s="51" t="n">
        <v>5</v>
      </c>
      <c r="G281" s="52" t="n">
        <v>2.04</v>
      </c>
      <c r="H281" s="52" t="n">
        <f aca="false">G281*F281</f>
        <v>10.2</v>
      </c>
      <c r="I281" s="51" t="s">
        <v>326</v>
      </c>
    </row>
    <row r="282" customFormat="false" ht="14.25" hidden="false" customHeight="true" outlineLevel="0" collapsed="false">
      <c r="A282" s="51" t="s">
        <v>21</v>
      </c>
      <c r="B282" s="51" t="s">
        <v>257</v>
      </c>
      <c r="C282" s="51" t="s">
        <v>281</v>
      </c>
      <c r="D282" s="51" t="s">
        <v>220</v>
      </c>
      <c r="E282" s="51" t="s">
        <v>261</v>
      </c>
      <c r="F282" s="51" t="n">
        <v>1</v>
      </c>
      <c r="G282" s="52" t="n">
        <v>14541.12</v>
      </c>
      <c r="H282" s="52" t="n">
        <f aca="false">G282*F282</f>
        <v>14541.12</v>
      </c>
      <c r="I282" s="51" t="s">
        <v>331</v>
      </c>
    </row>
    <row r="283" customFormat="false" ht="14.25" hidden="false" customHeight="true" outlineLevel="0" collapsed="false">
      <c r="A283" s="51" t="s">
        <v>21</v>
      </c>
      <c r="B283" s="51" t="s">
        <v>257</v>
      </c>
      <c r="C283" s="51" t="s">
        <v>281</v>
      </c>
      <c r="D283" s="51" t="s">
        <v>283</v>
      </c>
      <c r="E283" s="51" t="s">
        <v>261</v>
      </c>
      <c r="F283" s="51" t="n">
        <v>1</v>
      </c>
      <c r="G283" s="52" t="n">
        <v>423.65</v>
      </c>
      <c r="H283" s="52" t="n">
        <f aca="false">G283*F283</f>
        <v>423.65</v>
      </c>
      <c r="I283" s="51" t="s">
        <v>332</v>
      </c>
    </row>
    <row r="284" customFormat="false" ht="14.25" hidden="false" customHeight="true" outlineLevel="0" collapsed="false">
      <c r="A284" s="51" t="s">
        <v>21</v>
      </c>
      <c r="B284" s="51" t="s">
        <v>257</v>
      </c>
      <c r="C284" s="51" t="s">
        <v>281</v>
      </c>
      <c r="D284" s="51" t="s">
        <v>180</v>
      </c>
      <c r="E284" s="51" t="s">
        <v>261</v>
      </c>
      <c r="F284" s="51" t="n">
        <v>6</v>
      </c>
      <c r="G284" s="52" t="n">
        <v>26</v>
      </c>
      <c r="H284" s="52" t="n">
        <f aca="false">G284*F284</f>
        <v>156</v>
      </c>
      <c r="I284" s="51" t="s">
        <v>326</v>
      </c>
    </row>
    <row r="285" customFormat="false" ht="14.25" hidden="false" customHeight="true" outlineLevel="0" collapsed="false">
      <c r="A285" s="51" t="s">
        <v>21</v>
      </c>
      <c r="B285" s="51" t="s">
        <v>257</v>
      </c>
      <c r="C285" s="51" t="s">
        <v>281</v>
      </c>
      <c r="D285" s="51" t="s">
        <v>181</v>
      </c>
      <c r="E285" s="51" t="s">
        <v>261</v>
      </c>
      <c r="F285" s="51" t="n">
        <v>6</v>
      </c>
      <c r="G285" s="52" t="n">
        <v>42.77</v>
      </c>
      <c r="H285" s="52" t="n">
        <f aca="false">G285*F285</f>
        <v>256.62</v>
      </c>
      <c r="I285" s="51" t="s">
        <v>326</v>
      </c>
    </row>
    <row r="286" customFormat="false" ht="14.25" hidden="false" customHeight="true" outlineLevel="0" collapsed="false">
      <c r="A286" s="51" t="s">
        <v>21</v>
      </c>
      <c r="B286" s="51" t="s">
        <v>257</v>
      </c>
      <c r="C286" s="51" t="s">
        <v>44</v>
      </c>
      <c r="D286" s="51" t="s">
        <v>182</v>
      </c>
      <c r="E286" s="51" t="s">
        <v>261</v>
      </c>
      <c r="F286" s="51" t="n">
        <v>6</v>
      </c>
      <c r="G286" s="52" t="n">
        <v>63.75</v>
      </c>
      <c r="H286" s="52" t="n">
        <f aca="false">G286*F286</f>
        <v>382.5</v>
      </c>
      <c r="I286" s="51" t="s">
        <v>326</v>
      </c>
    </row>
    <row r="287" customFormat="false" ht="14.25" hidden="false" customHeight="true" outlineLevel="0" collapsed="false">
      <c r="A287" s="51" t="s">
        <v>21</v>
      </c>
      <c r="B287" s="51" t="s">
        <v>257</v>
      </c>
      <c r="C287" s="51" t="s">
        <v>44</v>
      </c>
      <c r="D287" s="51" t="s">
        <v>221</v>
      </c>
      <c r="E287" s="51" t="s">
        <v>261</v>
      </c>
      <c r="F287" s="51" t="n">
        <v>1</v>
      </c>
      <c r="G287" s="52" t="n">
        <v>56.91</v>
      </c>
      <c r="H287" s="52" t="n">
        <f aca="false">G287*F287</f>
        <v>56.91</v>
      </c>
      <c r="I287" s="51" t="s">
        <v>332</v>
      </c>
    </row>
    <row r="288" customFormat="false" ht="14.25" hidden="false" customHeight="true" outlineLevel="0" collapsed="false">
      <c r="A288" s="51" t="s">
        <v>21</v>
      </c>
      <c r="B288" s="51" t="s">
        <v>257</v>
      </c>
      <c r="C288" s="51" t="s">
        <v>287</v>
      </c>
      <c r="D288" s="51" t="s">
        <v>183</v>
      </c>
      <c r="E288" s="51" t="s">
        <v>261</v>
      </c>
      <c r="F288" s="51" t="n">
        <v>1</v>
      </c>
      <c r="G288" s="52" t="n">
        <v>109.17</v>
      </c>
      <c r="H288" s="52" t="n">
        <f aca="false">G288*F288</f>
        <v>109.17</v>
      </c>
      <c r="I288" s="51" t="s">
        <v>332</v>
      </c>
    </row>
    <row r="289" customFormat="false" ht="14.25" hidden="false" customHeight="true" outlineLevel="0" collapsed="false">
      <c r="A289" s="51" t="s">
        <v>21</v>
      </c>
      <c r="B289" s="51" t="s">
        <v>257</v>
      </c>
      <c r="C289" s="51" t="s">
        <v>287</v>
      </c>
      <c r="D289" s="51" t="s">
        <v>185</v>
      </c>
      <c r="E289" s="51" t="s">
        <v>261</v>
      </c>
      <c r="F289" s="51" t="n">
        <v>1</v>
      </c>
      <c r="G289" s="52" t="n">
        <v>31.65</v>
      </c>
      <c r="H289" s="52" t="n">
        <f aca="false">G289*F289</f>
        <v>31.65</v>
      </c>
      <c r="I289" s="51" t="s">
        <v>332</v>
      </c>
    </row>
    <row r="290" customFormat="false" ht="14.25" hidden="false" customHeight="true" outlineLevel="0" collapsed="false">
      <c r="A290" s="51" t="s">
        <v>21</v>
      </c>
      <c r="B290" s="51" t="s">
        <v>257</v>
      </c>
      <c r="C290" s="51" t="s">
        <v>288</v>
      </c>
      <c r="D290" s="51" t="s">
        <v>179</v>
      </c>
      <c r="E290" s="51" t="s">
        <v>261</v>
      </c>
      <c r="F290" s="51" t="n">
        <v>6</v>
      </c>
      <c r="G290" s="52" t="n">
        <v>30</v>
      </c>
      <c r="H290" s="52" t="n">
        <f aca="false">G290*F290</f>
        <v>180</v>
      </c>
      <c r="I290" s="51" t="s">
        <v>326</v>
      </c>
    </row>
    <row r="291" customFormat="false" ht="14.25" hidden="false" customHeight="true" outlineLevel="0" collapsed="false">
      <c r="A291" s="51" t="s">
        <v>21</v>
      </c>
      <c r="B291" s="51" t="s">
        <v>257</v>
      </c>
      <c r="C291" s="51" t="s">
        <v>286</v>
      </c>
      <c r="D291" s="51" t="s">
        <v>157</v>
      </c>
      <c r="E291" s="51" t="s">
        <v>261</v>
      </c>
      <c r="F291" s="51" t="n">
        <v>6</v>
      </c>
      <c r="G291" s="52" t="n">
        <v>9.85</v>
      </c>
      <c r="H291" s="52" t="n">
        <f aca="false">G291*F291</f>
        <v>59.1</v>
      </c>
      <c r="I291" s="51" t="s">
        <v>326</v>
      </c>
    </row>
    <row r="292" customFormat="false" ht="14.25" hidden="false" customHeight="true" outlineLevel="0" collapsed="false">
      <c r="A292" s="51" t="s">
        <v>21</v>
      </c>
      <c r="B292" s="51" t="s">
        <v>257</v>
      </c>
      <c r="C292" s="51" t="s">
        <v>286</v>
      </c>
      <c r="D292" s="51" t="s">
        <v>158</v>
      </c>
      <c r="E292" s="51" t="s">
        <v>261</v>
      </c>
      <c r="F292" s="51" t="n">
        <v>6</v>
      </c>
      <c r="G292" s="52" t="n">
        <v>2.04</v>
      </c>
      <c r="H292" s="52" t="n">
        <f aca="false">G292*F292</f>
        <v>12.24</v>
      </c>
      <c r="I292" s="51" t="s">
        <v>326</v>
      </c>
    </row>
    <row r="293" customFormat="false" ht="14.25" hidden="false" customHeight="true" outlineLevel="0" collapsed="false">
      <c r="A293" s="51" t="s">
        <v>21</v>
      </c>
      <c r="B293" s="51" t="s">
        <v>257</v>
      </c>
      <c r="C293" s="51" t="s">
        <v>289</v>
      </c>
      <c r="D293" s="51" t="s">
        <v>186</v>
      </c>
      <c r="E293" s="51" t="s">
        <v>261</v>
      </c>
      <c r="F293" s="51" t="n">
        <v>1</v>
      </c>
      <c r="G293" s="52" t="n">
        <v>799.48</v>
      </c>
      <c r="H293" s="52" t="n">
        <f aca="false">G293*F293</f>
        <v>799.48</v>
      </c>
      <c r="I293" s="51" t="s">
        <v>295</v>
      </c>
    </row>
    <row r="294" customFormat="false" ht="14.25" hidden="false" customHeight="true" outlineLevel="0" collapsed="false">
      <c r="A294" s="51" t="s">
        <v>21</v>
      </c>
      <c r="B294" s="51" t="s">
        <v>257</v>
      </c>
      <c r="C294" s="51" t="s">
        <v>281</v>
      </c>
      <c r="D294" s="51" t="s">
        <v>220</v>
      </c>
      <c r="E294" s="51" t="s">
        <v>262</v>
      </c>
      <c r="F294" s="51" t="n">
        <v>1</v>
      </c>
      <c r="G294" s="52" t="n">
        <v>17414.61856</v>
      </c>
      <c r="H294" s="52" t="n">
        <f aca="false">G294*F294</f>
        <v>17414.61856</v>
      </c>
      <c r="I294" s="51" t="s">
        <v>333</v>
      </c>
    </row>
    <row r="295" customFormat="false" ht="15" hidden="false" customHeight="true" outlineLevel="0" collapsed="false">
      <c r="A295" s="51" t="s">
        <v>21</v>
      </c>
      <c r="B295" s="51" t="s">
        <v>257</v>
      </c>
      <c r="C295" s="51" t="s">
        <v>281</v>
      </c>
      <c r="D295" s="51" t="s">
        <v>283</v>
      </c>
      <c r="E295" s="51" t="s">
        <v>262</v>
      </c>
      <c r="F295" s="51" t="n">
        <v>1</v>
      </c>
      <c r="G295" s="52" t="n">
        <v>693.66</v>
      </c>
      <c r="H295" s="52" t="n">
        <f aca="false">G295*F295</f>
        <v>693.66</v>
      </c>
      <c r="I295" s="51" t="s">
        <v>334</v>
      </c>
    </row>
    <row r="296" customFormat="false" ht="14.25" hidden="false" customHeight="true" outlineLevel="0" collapsed="false">
      <c r="A296" s="51" t="s">
        <v>21</v>
      </c>
      <c r="B296" s="51" t="s">
        <v>257</v>
      </c>
      <c r="C296" s="51" t="s">
        <v>281</v>
      </c>
      <c r="D296" s="51" t="s">
        <v>180</v>
      </c>
      <c r="E296" s="51" t="s">
        <v>262</v>
      </c>
      <c r="F296" s="51" t="n">
        <v>11</v>
      </c>
      <c r="G296" s="52" t="n">
        <v>26</v>
      </c>
      <c r="H296" s="52" t="n">
        <f aca="false">G296*F296</f>
        <v>286</v>
      </c>
      <c r="I296" s="51" t="s">
        <v>326</v>
      </c>
    </row>
    <row r="297" customFormat="false" ht="14.25" hidden="false" customHeight="true" outlineLevel="0" collapsed="false">
      <c r="A297" s="51" t="s">
        <v>21</v>
      </c>
      <c r="B297" s="51" t="s">
        <v>257</v>
      </c>
      <c r="C297" s="51" t="s">
        <v>281</v>
      </c>
      <c r="D297" s="51" t="s">
        <v>181</v>
      </c>
      <c r="E297" s="51" t="s">
        <v>262</v>
      </c>
      <c r="F297" s="51" t="n">
        <v>11</v>
      </c>
      <c r="G297" s="52" t="n">
        <v>42.77</v>
      </c>
      <c r="H297" s="52" t="n">
        <f aca="false">G297*F297</f>
        <v>470.47</v>
      </c>
      <c r="I297" s="51" t="s">
        <v>326</v>
      </c>
    </row>
    <row r="298" customFormat="false" ht="14.25" hidden="false" customHeight="true" outlineLevel="0" collapsed="false">
      <c r="A298" s="51" t="s">
        <v>21</v>
      </c>
      <c r="B298" s="51" t="s">
        <v>257</v>
      </c>
      <c r="C298" s="51" t="s">
        <v>44</v>
      </c>
      <c r="D298" s="51" t="s">
        <v>182</v>
      </c>
      <c r="E298" s="51" t="s">
        <v>262</v>
      </c>
      <c r="F298" s="51" t="n">
        <v>11</v>
      </c>
      <c r="G298" s="52" t="n">
        <v>63.75</v>
      </c>
      <c r="H298" s="52" t="n">
        <f aca="false">G298*F298</f>
        <v>701.25</v>
      </c>
      <c r="I298" s="51" t="s">
        <v>326</v>
      </c>
    </row>
    <row r="299" customFormat="false" ht="14.25" hidden="false" customHeight="true" outlineLevel="0" collapsed="false">
      <c r="A299" s="51" t="s">
        <v>21</v>
      </c>
      <c r="B299" s="51" t="s">
        <v>257</v>
      </c>
      <c r="C299" s="51" t="s">
        <v>44</v>
      </c>
      <c r="D299" s="51" t="s">
        <v>221</v>
      </c>
      <c r="E299" s="51" t="s">
        <v>262</v>
      </c>
      <c r="F299" s="51" t="n">
        <v>1</v>
      </c>
      <c r="G299" s="52" t="n">
        <v>93.18</v>
      </c>
      <c r="H299" s="52" t="n">
        <f aca="false">G299*F299</f>
        <v>93.18</v>
      </c>
      <c r="I299" s="51" t="s">
        <v>334</v>
      </c>
    </row>
    <row r="300" customFormat="false" ht="14.25" hidden="false" customHeight="true" outlineLevel="0" collapsed="false">
      <c r="A300" s="51" t="s">
        <v>21</v>
      </c>
      <c r="B300" s="51" t="s">
        <v>257</v>
      </c>
      <c r="C300" s="51" t="s">
        <v>287</v>
      </c>
      <c r="D300" s="51" t="s">
        <v>183</v>
      </c>
      <c r="E300" s="51" t="s">
        <v>262</v>
      </c>
      <c r="F300" s="51" t="n">
        <v>1</v>
      </c>
      <c r="G300" s="52" t="n">
        <v>178.75</v>
      </c>
      <c r="H300" s="52" t="n">
        <f aca="false">G300*F300</f>
        <v>178.75</v>
      </c>
      <c r="I300" s="51" t="s">
        <v>334</v>
      </c>
    </row>
    <row r="301" customFormat="false" ht="14.25" hidden="false" customHeight="true" outlineLevel="0" collapsed="false">
      <c r="A301" s="51" t="s">
        <v>21</v>
      </c>
      <c r="B301" s="51" t="s">
        <v>257</v>
      </c>
      <c r="C301" s="51" t="s">
        <v>287</v>
      </c>
      <c r="D301" s="51" t="s">
        <v>185</v>
      </c>
      <c r="E301" s="51" t="s">
        <v>262</v>
      </c>
      <c r="F301" s="51" t="n">
        <v>1</v>
      </c>
      <c r="G301" s="52" t="n">
        <v>51.82</v>
      </c>
      <c r="H301" s="52" t="n">
        <f aca="false">G301*F301</f>
        <v>51.82</v>
      </c>
      <c r="I301" s="51" t="s">
        <v>334</v>
      </c>
    </row>
    <row r="302" customFormat="false" ht="14.25" hidden="false" customHeight="true" outlineLevel="0" collapsed="false">
      <c r="A302" s="51" t="s">
        <v>21</v>
      </c>
      <c r="B302" s="51" t="s">
        <v>257</v>
      </c>
      <c r="C302" s="51" t="s">
        <v>288</v>
      </c>
      <c r="D302" s="51" t="s">
        <v>179</v>
      </c>
      <c r="E302" s="51" t="s">
        <v>262</v>
      </c>
      <c r="F302" s="51" t="n">
        <v>11</v>
      </c>
      <c r="G302" s="52" t="n">
        <v>30</v>
      </c>
      <c r="H302" s="52" t="n">
        <f aca="false">G302*F302</f>
        <v>330</v>
      </c>
      <c r="I302" s="51" t="s">
        <v>326</v>
      </c>
    </row>
    <row r="303" customFormat="false" ht="14.25" hidden="false" customHeight="true" outlineLevel="0" collapsed="false">
      <c r="A303" s="51" t="s">
        <v>21</v>
      </c>
      <c r="B303" s="51" t="s">
        <v>257</v>
      </c>
      <c r="C303" s="51" t="s">
        <v>286</v>
      </c>
      <c r="D303" s="51" t="s">
        <v>157</v>
      </c>
      <c r="E303" s="51" t="s">
        <v>262</v>
      </c>
      <c r="F303" s="51" t="n">
        <v>11</v>
      </c>
      <c r="G303" s="52" t="n">
        <v>9.85</v>
      </c>
      <c r="H303" s="52" t="n">
        <f aca="false">G303*F303</f>
        <v>108.35</v>
      </c>
      <c r="I303" s="51" t="s">
        <v>326</v>
      </c>
    </row>
    <row r="304" customFormat="false" ht="14.25" hidden="false" customHeight="true" outlineLevel="0" collapsed="false">
      <c r="A304" s="51" t="s">
        <v>21</v>
      </c>
      <c r="B304" s="51" t="s">
        <v>257</v>
      </c>
      <c r="C304" s="51" t="s">
        <v>286</v>
      </c>
      <c r="D304" s="51" t="s">
        <v>158</v>
      </c>
      <c r="E304" s="51" t="s">
        <v>262</v>
      </c>
      <c r="F304" s="51" t="n">
        <v>11</v>
      </c>
      <c r="G304" s="52" t="n">
        <v>2.04</v>
      </c>
      <c r="H304" s="52" t="n">
        <f aca="false">G304*F304</f>
        <v>22.44</v>
      </c>
      <c r="I304" s="51" t="s">
        <v>326</v>
      </c>
    </row>
    <row r="305" customFormat="false" ht="14.25" hidden="false" customHeight="true" outlineLevel="0" collapsed="false">
      <c r="A305" s="51" t="s">
        <v>21</v>
      </c>
      <c r="B305" s="51" t="s">
        <v>257</v>
      </c>
      <c r="C305" s="51" t="s">
        <v>281</v>
      </c>
      <c r="D305" s="51" t="s">
        <v>314</v>
      </c>
      <c r="E305" s="51" t="s">
        <v>262</v>
      </c>
      <c r="F305" s="51" t="n">
        <v>1</v>
      </c>
      <c r="G305" s="52" t="n">
        <v>6816.97</v>
      </c>
      <c r="H305" s="52" t="n">
        <f aca="false">G305*F305</f>
        <v>6816.97</v>
      </c>
      <c r="I305" s="51" t="s">
        <v>328</v>
      </c>
    </row>
    <row r="306" customFormat="false" ht="14.25" hidden="false" customHeight="true" outlineLevel="0" collapsed="false">
      <c r="A306" s="51" t="s">
        <v>21</v>
      </c>
      <c r="B306" s="51" t="s">
        <v>257</v>
      </c>
      <c r="C306" s="51" t="s">
        <v>281</v>
      </c>
      <c r="D306" s="51" t="s">
        <v>220</v>
      </c>
      <c r="E306" s="51" t="s">
        <v>265</v>
      </c>
      <c r="F306" s="51" t="n">
        <v>1</v>
      </c>
      <c r="G306" s="52" t="n">
        <v>34886.0380622222</v>
      </c>
      <c r="H306" s="52" t="n">
        <f aca="false">G306*F306</f>
        <v>34886.0380622222</v>
      </c>
      <c r="I306" s="51" t="s">
        <v>335</v>
      </c>
    </row>
    <row r="307" customFormat="false" ht="14.25" hidden="false" customHeight="true" outlineLevel="0" collapsed="false">
      <c r="A307" s="51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2" t="n">
        <f aca="false">G307*F307</f>
        <v>1152.22</v>
      </c>
      <c r="I307" s="51" t="s">
        <v>336</v>
      </c>
    </row>
    <row r="308" customFormat="false" ht="14.25" hidden="false" customHeight="true" outlineLevel="0" collapsed="false">
      <c r="A308" s="51" t="s">
        <v>21</v>
      </c>
      <c r="B308" s="51" t="s">
        <v>257</v>
      </c>
      <c r="C308" s="51" t="s">
        <v>281</v>
      </c>
      <c r="D308" s="51" t="s">
        <v>180</v>
      </c>
      <c r="E308" s="51" t="s">
        <v>265</v>
      </c>
      <c r="F308" s="51" t="n">
        <v>17</v>
      </c>
      <c r="G308" s="52" t="n">
        <v>26</v>
      </c>
      <c r="H308" s="52" t="n">
        <f aca="false">G308*F308</f>
        <v>442</v>
      </c>
      <c r="I308" s="51" t="s">
        <v>326</v>
      </c>
    </row>
    <row r="309" customFormat="false" ht="14.25" hidden="false" customHeight="true" outlineLevel="0" collapsed="false">
      <c r="A309" s="51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326</v>
      </c>
    </row>
    <row r="310" customFormat="false" ht="14.25" hidden="false" customHeight="true" outlineLevel="0" collapsed="false">
      <c r="A310" s="51" t="s">
        <v>21</v>
      </c>
      <c r="B310" s="51" t="s">
        <v>257</v>
      </c>
      <c r="C310" s="51" t="s">
        <v>44</v>
      </c>
      <c r="D310" s="51" t="s">
        <v>182</v>
      </c>
      <c r="E310" s="51" t="s">
        <v>265</v>
      </c>
      <c r="F310" s="51" t="n">
        <v>17</v>
      </c>
      <c r="G310" s="52" t="n">
        <v>63.75</v>
      </c>
      <c r="H310" s="52" t="n">
        <f aca="false">G310*F310</f>
        <v>1083.75</v>
      </c>
      <c r="I310" s="51" t="s">
        <v>326</v>
      </c>
    </row>
    <row r="311" customFormat="false" ht="14.25" hidden="false" customHeight="true" outlineLevel="0" collapsed="false">
      <c r="A311" s="51" t="s">
        <v>21</v>
      </c>
      <c r="B311" s="51" t="s">
        <v>257</v>
      </c>
      <c r="C311" s="51" t="s">
        <v>44</v>
      </c>
      <c r="D311" s="51" t="s">
        <v>221</v>
      </c>
      <c r="E311" s="51" t="s">
        <v>265</v>
      </c>
      <c r="F311" s="51" t="n">
        <v>1</v>
      </c>
      <c r="G311" s="52" t="n">
        <v>154.78</v>
      </c>
      <c r="H311" s="52" t="n">
        <f aca="false">G311*F311</f>
        <v>154.78</v>
      </c>
      <c r="I311" s="51" t="s">
        <v>336</v>
      </c>
    </row>
    <row r="312" customFormat="false" ht="14.25" hidden="false" customHeight="true" outlineLevel="0" collapsed="false">
      <c r="A312" s="51" t="s">
        <v>21</v>
      </c>
      <c r="B312" s="51" t="s">
        <v>257</v>
      </c>
      <c r="C312" s="51" t="s">
        <v>287</v>
      </c>
      <c r="D312" s="51" t="s">
        <v>183</v>
      </c>
      <c r="E312" s="51" t="s">
        <v>265</v>
      </c>
      <c r="F312" s="51" t="n">
        <v>1</v>
      </c>
      <c r="G312" s="52" t="n">
        <v>296.91</v>
      </c>
      <c r="H312" s="52" t="n">
        <f aca="false">G312*F312</f>
        <v>296.91</v>
      </c>
      <c r="I312" s="51" t="s">
        <v>336</v>
      </c>
    </row>
    <row r="313" customFormat="false" ht="14.25" hidden="false" customHeight="true" outlineLevel="0" collapsed="false">
      <c r="A313" s="51" t="s">
        <v>21</v>
      </c>
      <c r="B313" s="51" t="s">
        <v>257</v>
      </c>
      <c r="C313" s="51" t="s">
        <v>287</v>
      </c>
      <c r="D313" s="51" t="s">
        <v>185</v>
      </c>
      <c r="E313" s="51" t="s">
        <v>265</v>
      </c>
      <c r="F313" s="51" t="n">
        <v>1</v>
      </c>
      <c r="G313" s="52" t="n">
        <v>86.07</v>
      </c>
      <c r="H313" s="52" t="n">
        <f aca="false">G313*F313</f>
        <v>86.07</v>
      </c>
      <c r="I313" s="51" t="s">
        <v>336</v>
      </c>
    </row>
    <row r="314" customFormat="false" ht="14.25" hidden="false" customHeight="true" outlineLevel="0" collapsed="false">
      <c r="A314" s="51" t="s">
        <v>21</v>
      </c>
      <c r="B314" s="51" t="s">
        <v>257</v>
      </c>
      <c r="C314" s="51" t="s">
        <v>288</v>
      </c>
      <c r="D314" s="51" t="s">
        <v>179</v>
      </c>
      <c r="E314" s="51" t="s">
        <v>265</v>
      </c>
      <c r="F314" s="51" t="n">
        <v>17</v>
      </c>
      <c r="G314" s="52" t="n">
        <v>30</v>
      </c>
      <c r="H314" s="52" t="n">
        <f aca="false">G314*F314</f>
        <v>510</v>
      </c>
      <c r="I314" s="51" t="s">
        <v>326</v>
      </c>
    </row>
    <row r="315" customFormat="false" ht="14.25" hidden="false" customHeight="true" outlineLevel="0" collapsed="false">
      <c r="A315" s="51" t="s">
        <v>21</v>
      </c>
      <c r="B315" s="51" t="s">
        <v>257</v>
      </c>
      <c r="C315" s="51" t="s">
        <v>286</v>
      </c>
      <c r="D315" s="51" t="s">
        <v>157</v>
      </c>
      <c r="E315" s="51" t="s">
        <v>265</v>
      </c>
      <c r="F315" s="51" t="n">
        <v>17</v>
      </c>
      <c r="G315" s="52" t="n">
        <v>9.85</v>
      </c>
      <c r="H315" s="52" t="n">
        <f aca="false">G315*F315</f>
        <v>167.45</v>
      </c>
      <c r="I315" s="51" t="s">
        <v>326</v>
      </c>
    </row>
    <row r="316" customFormat="false" ht="14.25" hidden="false" customHeight="true" outlineLevel="0" collapsed="false">
      <c r="A316" s="51" t="s">
        <v>21</v>
      </c>
      <c r="B316" s="51" t="s">
        <v>257</v>
      </c>
      <c r="C316" s="51" t="s">
        <v>286</v>
      </c>
      <c r="D316" s="51" t="s">
        <v>158</v>
      </c>
      <c r="E316" s="51" t="s">
        <v>265</v>
      </c>
      <c r="F316" s="51" t="n">
        <v>17</v>
      </c>
      <c r="G316" s="52" t="n">
        <v>2.04</v>
      </c>
      <c r="H316" s="52" t="n">
        <f aca="false">G316*F316</f>
        <v>34.68</v>
      </c>
      <c r="I316" s="51" t="s">
        <v>326</v>
      </c>
    </row>
    <row r="317" customFormat="false" ht="14.25" hidden="false" customHeight="true" outlineLevel="0" collapsed="false">
      <c r="A317" s="51" t="s">
        <v>21</v>
      </c>
      <c r="B317" s="51" t="s">
        <v>257</v>
      </c>
      <c r="C317" s="51" t="s">
        <v>289</v>
      </c>
      <c r="D317" s="51" t="s">
        <v>186</v>
      </c>
      <c r="E317" s="51" t="s">
        <v>265</v>
      </c>
      <c r="F317" s="51" t="n">
        <v>1</v>
      </c>
      <c r="G317" s="52" t="n">
        <v>4021.66</v>
      </c>
      <c r="H317" s="52" t="n">
        <f aca="false">G317*F317</f>
        <v>4021.66</v>
      </c>
      <c r="I317" s="51" t="s">
        <v>337</v>
      </c>
    </row>
    <row r="318" customFormat="false" ht="14.25" hidden="false" customHeight="true" outlineLevel="0" collapsed="false">
      <c r="A318" s="51" t="s">
        <v>21</v>
      </c>
      <c r="B318" s="51" t="s">
        <v>269</v>
      </c>
      <c r="C318" s="51" t="s">
        <v>281</v>
      </c>
      <c r="D318" s="51" t="s">
        <v>220</v>
      </c>
      <c r="E318" s="51" t="s">
        <v>268</v>
      </c>
      <c r="F318" s="51" t="n">
        <v>1</v>
      </c>
      <c r="G318" s="52" t="n">
        <v>24757.86</v>
      </c>
      <c r="H318" s="52" t="n">
        <f aca="false">G318*F318</f>
        <v>24757.86</v>
      </c>
      <c r="I318" s="51" t="s">
        <v>338</v>
      </c>
    </row>
    <row r="319" customFormat="false" ht="14.25" hidden="false" customHeight="true" outlineLevel="0" collapsed="false">
      <c r="A319" s="51" t="s">
        <v>21</v>
      </c>
      <c r="B319" s="51" t="s">
        <v>269</v>
      </c>
      <c r="C319" s="51" t="s">
        <v>281</v>
      </c>
      <c r="D319" s="51" t="s">
        <v>180</v>
      </c>
      <c r="E319" s="51" t="s">
        <v>268</v>
      </c>
      <c r="F319" s="51" t="n">
        <v>14</v>
      </c>
      <c r="G319" s="52" t="n">
        <v>26</v>
      </c>
      <c r="H319" s="52" t="n">
        <f aca="false">G319*F319</f>
        <v>364</v>
      </c>
      <c r="I319" s="51" t="s">
        <v>326</v>
      </c>
    </row>
    <row r="320" customFormat="false" ht="14.25" hidden="false" customHeight="true" outlineLevel="0" collapsed="false">
      <c r="A320" s="51" t="s">
        <v>21</v>
      </c>
      <c r="B320" s="51" t="s">
        <v>269</v>
      </c>
      <c r="C320" s="51" t="s">
        <v>281</v>
      </c>
      <c r="D320" s="51" t="s">
        <v>181</v>
      </c>
      <c r="E320" s="51" t="s">
        <v>268</v>
      </c>
      <c r="F320" s="51" t="n">
        <v>14</v>
      </c>
      <c r="G320" s="52" t="n">
        <v>42.77</v>
      </c>
      <c r="H320" s="52" t="n">
        <f aca="false">G320*F320</f>
        <v>598.78</v>
      </c>
      <c r="I320" s="51" t="s">
        <v>326</v>
      </c>
    </row>
    <row r="321" customFormat="false" ht="14.25" hidden="false" customHeight="true" outlineLevel="0" collapsed="false">
      <c r="A321" s="51" t="s">
        <v>21</v>
      </c>
      <c r="B321" s="51" t="s">
        <v>269</v>
      </c>
      <c r="C321" s="51" t="s">
        <v>44</v>
      </c>
      <c r="D321" s="51" t="s">
        <v>182</v>
      </c>
      <c r="E321" s="51" t="s">
        <v>268</v>
      </c>
      <c r="F321" s="51" t="n">
        <v>14</v>
      </c>
      <c r="G321" s="52" t="n">
        <v>63.75</v>
      </c>
      <c r="H321" s="52" t="n">
        <f aca="false">G321*F321</f>
        <v>892.5</v>
      </c>
      <c r="I321" s="51" t="s">
        <v>326</v>
      </c>
    </row>
    <row r="322" customFormat="false" ht="14.25" hidden="false" customHeight="true" outlineLevel="0" collapsed="false">
      <c r="A322" s="51" t="s">
        <v>21</v>
      </c>
      <c r="B322" s="51" t="s">
        <v>269</v>
      </c>
      <c r="C322" s="51" t="s">
        <v>44</v>
      </c>
      <c r="D322" s="51" t="s">
        <v>221</v>
      </c>
      <c r="E322" s="51" t="s">
        <v>268</v>
      </c>
      <c r="F322" s="51" t="n">
        <v>1</v>
      </c>
      <c r="G322" s="52" t="n">
        <v>151.6</v>
      </c>
      <c r="H322" s="52" t="n">
        <f aca="false">G322*F322</f>
        <v>151.6</v>
      </c>
      <c r="I322" s="51" t="s">
        <v>339</v>
      </c>
    </row>
    <row r="323" customFormat="false" ht="14.25" hidden="false" customHeight="true" outlineLevel="0" collapsed="false">
      <c r="A323" s="51" t="s">
        <v>21</v>
      </c>
      <c r="B323" s="51" t="s">
        <v>269</v>
      </c>
      <c r="C323" s="51" t="s">
        <v>288</v>
      </c>
      <c r="D323" s="51" t="s">
        <v>179</v>
      </c>
      <c r="E323" s="51" t="s">
        <v>268</v>
      </c>
      <c r="F323" s="51" t="n">
        <v>14</v>
      </c>
      <c r="G323" s="52" t="n">
        <v>30</v>
      </c>
      <c r="H323" s="52" t="n">
        <f aca="false">G323*F323</f>
        <v>420</v>
      </c>
      <c r="I323" s="51" t="s">
        <v>326</v>
      </c>
    </row>
    <row r="324" customFormat="false" ht="15" hidden="false" customHeight="true" outlineLevel="0" collapsed="false">
      <c r="A324" s="51" t="s">
        <v>21</v>
      </c>
      <c r="B324" s="51" t="s">
        <v>269</v>
      </c>
      <c r="C324" s="51" t="s">
        <v>286</v>
      </c>
      <c r="D324" s="51" t="s">
        <v>157</v>
      </c>
      <c r="E324" s="51" t="s">
        <v>268</v>
      </c>
      <c r="F324" s="51" t="n">
        <v>14</v>
      </c>
      <c r="G324" s="52" t="n">
        <v>9.85</v>
      </c>
      <c r="H324" s="52" t="n">
        <f aca="false">G324*F324</f>
        <v>137.9</v>
      </c>
      <c r="I324" s="51" t="s">
        <v>326</v>
      </c>
    </row>
    <row r="325" customFormat="false" ht="14.25" hidden="false" customHeight="true" outlineLevel="0" collapsed="false">
      <c r="A325" s="51" t="s">
        <v>21</v>
      </c>
      <c r="B325" s="51" t="s">
        <v>269</v>
      </c>
      <c r="C325" s="51" t="s">
        <v>286</v>
      </c>
      <c r="D325" s="51" t="s">
        <v>158</v>
      </c>
      <c r="E325" s="51" t="s">
        <v>268</v>
      </c>
      <c r="F325" s="51" t="n">
        <v>14</v>
      </c>
      <c r="G325" s="52" t="n">
        <v>2.04</v>
      </c>
      <c r="H325" s="52" t="n">
        <f aca="false">G325*F325</f>
        <v>28.56</v>
      </c>
      <c r="I325" s="51" t="s">
        <v>326</v>
      </c>
    </row>
    <row r="326" customFormat="false" ht="14.25" hidden="false" customHeight="true" outlineLevel="0" collapsed="false">
      <c r="A326" s="51" t="s">
        <v>21</v>
      </c>
      <c r="B326" s="51" t="s">
        <v>269</v>
      </c>
      <c r="C326" s="51" t="s">
        <v>289</v>
      </c>
      <c r="D326" s="51" t="s">
        <v>186</v>
      </c>
      <c r="E326" s="51" t="s">
        <v>268</v>
      </c>
      <c r="F326" s="51" t="n">
        <v>1</v>
      </c>
      <c r="G326" s="52" t="n">
        <v>1619.89</v>
      </c>
      <c r="H326" s="52" t="n">
        <f aca="false">G326*F326</f>
        <v>1619.89</v>
      </c>
      <c r="I326" s="51" t="s">
        <v>295</v>
      </c>
    </row>
    <row r="327" customFormat="false" ht="14.25" hidden="false" customHeight="true" outlineLevel="0" collapsed="false">
      <c r="A327" s="51" t="s">
        <v>21</v>
      </c>
      <c r="B327" s="51" t="s">
        <v>269</v>
      </c>
      <c r="C327" s="51" t="s">
        <v>281</v>
      </c>
      <c r="D327" s="51" t="s">
        <v>314</v>
      </c>
      <c r="E327" s="51" t="s">
        <v>268</v>
      </c>
      <c r="F327" s="51" t="n">
        <v>1</v>
      </c>
      <c r="G327" s="52" t="n">
        <v>13894.53</v>
      </c>
      <c r="H327" s="52" t="n">
        <f aca="false">G327*F327</f>
        <v>13894.53</v>
      </c>
      <c r="I327" s="51" t="s">
        <v>328</v>
      </c>
    </row>
    <row r="328" customFormat="false" ht="14.25" hidden="false" customHeight="true" outlineLevel="0" collapsed="false">
      <c r="A328" s="51" t="s">
        <v>21</v>
      </c>
      <c r="B328" s="51" t="s">
        <v>264</v>
      </c>
      <c r="C328" s="51" t="s">
        <v>281</v>
      </c>
      <c r="D328" s="51" t="s">
        <v>220</v>
      </c>
      <c r="E328" s="51" t="s">
        <v>262</v>
      </c>
      <c r="F328" s="51" t="n">
        <v>1</v>
      </c>
      <c r="G328" s="52" t="n">
        <v>5461.35</v>
      </c>
      <c r="H328" s="52" t="n">
        <f aca="false">G328*F328</f>
        <v>5461.35</v>
      </c>
      <c r="I328" s="51" t="s">
        <v>340</v>
      </c>
    </row>
    <row r="329" customFormat="false" ht="14.25" hidden="false" customHeight="true" outlineLevel="0" collapsed="false">
      <c r="A329" s="51" t="s">
        <v>21</v>
      </c>
      <c r="B329" s="51" t="s">
        <v>264</v>
      </c>
      <c r="C329" s="51" t="s">
        <v>281</v>
      </c>
      <c r="D329" s="51" t="s">
        <v>180</v>
      </c>
      <c r="E329" s="51" t="s">
        <v>262</v>
      </c>
      <c r="F329" s="51" t="n">
        <v>2</v>
      </c>
      <c r="G329" s="52" t="n">
        <v>26</v>
      </c>
      <c r="H329" s="52" t="n">
        <f aca="false">G329*F329</f>
        <v>52</v>
      </c>
      <c r="I329" s="51" t="s">
        <v>326</v>
      </c>
    </row>
    <row r="330" customFormat="false" ht="14.25" hidden="false" customHeight="true" outlineLevel="0" collapsed="false">
      <c r="A330" s="51" t="s">
        <v>21</v>
      </c>
      <c r="B330" s="51" t="s">
        <v>264</v>
      </c>
      <c r="C330" s="51" t="s">
        <v>281</v>
      </c>
      <c r="D330" s="51" t="s">
        <v>181</v>
      </c>
      <c r="E330" s="51" t="s">
        <v>262</v>
      </c>
      <c r="F330" s="51" t="n">
        <v>2</v>
      </c>
      <c r="G330" s="52" t="n">
        <v>42.77</v>
      </c>
      <c r="H330" s="52" t="n">
        <f aca="false">G330*F330</f>
        <v>85.54</v>
      </c>
      <c r="I330" s="51" t="s">
        <v>326</v>
      </c>
    </row>
    <row r="331" customFormat="false" ht="14.25" hidden="false" customHeight="true" outlineLevel="0" collapsed="false">
      <c r="A331" s="51" t="s">
        <v>21</v>
      </c>
      <c r="B331" s="51" t="s">
        <v>264</v>
      </c>
      <c r="C331" s="51" t="s">
        <v>44</v>
      </c>
      <c r="D331" s="51" t="s">
        <v>182</v>
      </c>
      <c r="E331" s="51" t="s">
        <v>262</v>
      </c>
      <c r="F331" s="51" t="n">
        <v>2</v>
      </c>
      <c r="G331" s="52" t="n">
        <v>63.75</v>
      </c>
      <c r="H331" s="52" t="n">
        <f aca="false">G331*F331</f>
        <v>127.5</v>
      </c>
      <c r="I331" s="51" t="s">
        <v>326</v>
      </c>
    </row>
    <row r="332" customFormat="false" ht="14.25" hidden="false" customHeight="true" outlineLevel="0" collapsed="false">
      <c r="A332" s="51" t="s">
        <v>21</v>
      </c>
      <c r="B332" s="51" t="s">
        <v>264</v>
      </c>
      <c r="C332" s="51" t="s">
        <v>288</v>
      </c>
      <c r="D332" s="51" t="s">
        <v>179</v>
      </c>
      <c r="E332" s="51" t="s">
        <v>262</v>
      </c>
      <c r="F332" s="51" t="n">
        <v>2</v>
      </c>
      <c r="G332" s="52" t="n">
        <v>30</v>
      </c>
      <c r="H332" s="52" t="n">
        <f aca="false">G332*F332</f>
        <v>60</v>
      </c>
      <c r="I332" s="51" t="s">
        <v>326</v>
      </c>
    </row>
    <row r="333" customFormat="false" ht="14.25" hidden="false" customHeight="true" outlineLevel="0" collapsed="false">
      <c r="A333" s="51" t="s">
        <v>21</v>
      </c>
      <c r="B333" s="51" t="s">
        <v>264</v>
      </c>
      <c r="C333" s="51" t="s">
        <v>286</v>
      </c>
      <c r="D333" s="51" t="s">
        <v>157</v>
      </c>
      <c r="E333" s="51" t="s">
        <v>262</v>
      </c>
      <c r="F333" s="51" t="n">
        <v>2</v>
      </c>
      <c r="G333" s="52" t="n">
        <v>9.85</v>
      </c>
      <c r="H333" s="52" t="n">
        <f aca="false">G333*F333</f>
        <v>19.7</v>
      </c>
      <c r="I333" s="51" t="s">
        <v>326</v>
      </c>
    </row>
    <row r="334" customFormat="false" ht="14.25" hidden="false" customHeight="true" outlineLevel="0" collapsed="false">
      <c r="A334" s="51" t="s">
        <v>21</v>
      </c>
      <c r="B334" s="51" t="s">
        <v>264</v>
      </c>
      <c r="C334" s="51" t="s">
        <v>286</v>
      </c>
      <c r="D334" s="51" t="s">
        <v>158</v>
      </c>
      <c r="E334" s="51" t="s">
        <v>262</v>
      </c>
      <c r="F334" s="51" t="n">
        <v>2</v>
      </c>
      <c r="G334" s="52" t="n">
        <v>2.04</v>
      </c>
      <c r="H334" s="52" t="n">
        <f aca="false">G334*F334</f>
        <v>4.08</v>
      </c>
      <c r="I334" s="51" t="s">
        <v>326</v>
      </c>
    </row>
    <row r="335" customFormat="false" ht="14.25" hidden="false" customHeight="true" outlineLevel="0" collapsed="false">
      <c r="A335" s="51" t="s">
        <v>21</v>
      </c>
      <c r="B335" s="51" t="s">
        <v>264</v>
      </c>
      <c r="C335" s="51" t="s">
        <v>289</v>
      </c>
      <c r="D335" s="51" t="s">
        <v>186</v>
      </c>
      <c r="E335" s="51" t="s">
        <v>262</v>
      </c>
      <c r="F335" s="51" t="n">
        <v>1</v>
      </c>
      <c r="G335" s="52" t="n">
        <v>819.89</v>
      </c>
      <c r="H335" s="52" t="n">
        <f aca="false">G335*F335</f>
        <v>819.89</v>
      </c>
      <c r="I335" s="51" t="s">
        <v>295</v>
      </c>
    </row>
    <row r="336" customFormat="false" ht="14.25" hidden="false" customHeight="true" outlineLevel="0" collapsed="false">
      <c r="A336" s="51" t="s">
        <v>21</v>
      </c>
      <c r="B336" s="51" t="s">
        <v>272</v>
      </c>
      <c r="C336" s="51" t="s">
        <v>281</v>
      </c>
      <c r="D336" s="51" t="s">
        <v>220</v>
      </c>
      <c r="E336" s="51" t="s">
        <v>268</v>
      </c>
      <c r="F336" s="51" t="n">
        <v>1</v>
      </c>
      <c r="G336" s="52" t="n">
        <v>30952.41</v>
      </c>
      <c r="H336" s="52" t="n">
        <f aca="false">G336*F336</f>
        <v>30952.41</v>
      </c>
      <c r="I336" s="51" t="s">
        <v>341</v>
      </c>
    </row>
    <row r="337" customFormat="false" ht="14.25" hidden="false" customHeight="true" outlineLevel="0" collapsed="false">
      <c r="A337" s="51" t="s">
        <v>21</v>
      </c>
      <c r="B337" s="51" t="s">
        <v>272</v>
      </c>
      <c r="C337" s="51" t="s">
        <v>281</v>
      </c>
      <c r="D337" s="51" t="s">
        <v>283</v>
      </c>
      <c r="E337" s="51" t="s">
        <v>268</v>
      </c>
      <c r="F337" s="51" t="n">
        <v>1</v>
      </c>
      <c r="G337" s="52" t="n">
        <v>1854</v>
      </c>
      <c r="H337" s="52" t="n">
        <f aca="false">G337*F337</f>
        <v>1854</v>
      </c>
      <c r="I337" s="51" t="s">
        <v>339</v>
      </c>
    </row>
    <row r="338" customFormat="false" ht="14.25" hidden="false" customHeight="true" outlineLevel="0" collapsed="false">
      <c r="A338" s="51" t="s">
        <v>21</v>
      </c>
      <c r="B338" s="51" t="s">
        <v>272</v>
      </c>
      <c r="C338" s="51" t="s">
        <v>281</v>
      </c>
      <c r="D338" s="51" t="s">
        <v>180</v>
      </c>
      <c r="E338" s="51" t="s">
        <v>268</v>
      </c>
      <c r="F338" s="51" t="n">
        <v>20</v>
      </c>
      <c r="G338" s="52" t="n">
        <v>26</v>
      </c>
      <c r="H338" s="52" t="n">
        <f aca="false">G338*F338</f>
        <v>520</v>
      </c>
      <c r="I338" s="51" t="s">
        <v>326</v>
      </c>
    </row>
    <row r="339" customFormat="false" ht="14.25" hidden="false" customHeight="true" outlineLevel="0" collapsed="false">
      <c r="A339" s="51" t="s">
        <v>21</v>
      </c>
      <c r="B339" s="51" t="s">
        <v>272</v>
      </c>
      <c r="C339" s="51" t="s">
        <v>281</v>
      </c>
      <c r="D339" s="51" t="s">
        <v>181</v>
      </c>
      <c r="E339" s="51" t="s">
        <v>268</v>
      </c>
      <c r="F339" s="51" t="n">
        <v>20</v>
      </c>
      <c r="G339" s="52" t="n">
        <v>42.77</v>
      </c>
      <c r="H339" s="52" t="n">
        <f aca="false">G339*F339</f>
        <v>855.4</v>
      </c>
      <c r="I339" s="51" t="s">
        <v>326</v>
      </c>
    </row>
    <row r="340" customFormat="false" ht="14.25" hidden="false" customHeight="true" outlineLevel="0" collapsed="false">
      <c r="A340" s="51" t="s">
        <v>21</v>
      </c>
      <c r="B340" s="51" t="s">
        <v>272</v>
      </c>
      <c r="C340" s="51" t="s">
        <v>44</v>
      </c>
      <c r="D340" s="51" t="s">
        <v>182</v>
      </c>
      <c r="E340" s="51" t="s">
        <v>268</v>
      </c>
      <c r="F340" s="51" t="n">
        <v>20</v>
      </c>
      <c r="G340" s="52" t="n">
        <v>63.75</v>
      </c>
      <c r="H340" s="52" t="n">
        <f aca="false">G340*F340</f>
        <v>1275</v>
      </c>
      <c r="I340" s="51" t="s">
        <v>326</v>
      </c>
    </row>
    <row r="341" customFormat="false" ht="14.25" hidden="false" customHeight="true" outlineLevel="0" collapsed="false">
      <c r="A341" s="51" t="s">
        <v>21</v>
      </c>
      <c r="B341" s="51" t="s">
        <v>272</v>
      </c>
      <c r="C341" s="51" t="s">
        <v>288</v>
      </c>
      <c r="D341" s="51" t="s">
        <v>179</v>
      </c>
      <c r="E341" s="51" t="s">
        <v>268</v>
      </c>
      <c r="F341" s="51" t="n">
        <v>20</v>
      </c>
      <c r="G341" s="52" t="n">
        <v>30</v>
      </c>
      <c r="H341" s="52" t="n">
        <f aca="false">G341*F341</f>
        <v>600</v>
      </c>
      <c r="I341" s="51" t="s">
        <v>326</v>
      </c>
    </row>
    <row r="342" customFormat="false" ht="14.25" hidden="false" customHeight="true" outlineLevel="0" collapsed="false">
      <c r="A342" s="51" t="s">
        <v>21</v>
      </c>
      <c r="B342" s="51" t="s">
        <v>272</v>
      </c>
      <c r="C342" s="51" t="s">
        <v>286</v>
      </c>
      <c r="D342" s="51" t="s">
        <v>157</v>
      </c>
      <c r="E342" s="51" t="s">
        <v>268</v>
      </c>
      <c r="F342" s="51" t="n">
        <v>20</v>
      </c>
      <c r="G342" s="52" t="n">
        <v>9.85</v>
      </c>
      <c r="H342" s="52" t="n">
        <f aca="false">G342*F342</f>
        <v>197</v>
      </c>
      <c r="I342" s="51" t="s">
        <v>326</v>
      </c>
    </row>
    <row r="343" customFormat="false" ht="14.25" hidden="false" customHeight="true" outlineLevel="0" collapsed="false">
      <c r="A343" s="51" t="s">
        <v>21</v>
      </c>
      <c r="B343" s="51" t="s">
        <v>272</v>
      </c>
      <c r="C343" s="51" t="s">
        <v>286</v>
      </c>
      <c r="D343" s="51" t="s">
        <v>158</v>
      </c>
      <c r="E343" s="51" t="s">
        <v>268</v>
      </c>
      <c r="F343" s="51" t="n">
        <v>20</v>
      </c>
      <c r="G343" s="52" t="n">
        <v>2.04</v>
      </c>
      <c r="H343" s="52" t="n">
        <f aca="false">G343*F343</f>
        <v>40.8</v>
      </c>
      <c r="I343" s="51" t="s">
        <v>326</v>
      </c>
    </row>
    <row r="344" customFormat="false" ht="14.25" hidden="false" customHeight="true" outlineLevel="0" collapsed="false">
      <c r="A344" s="51" t="s">
        <v>21</v>
      </c>
      <c r="B344" s="51" t="s">
        <v>272</v>
      </c>
      <c r="C344" s="51" t="s">
        <v>289</v>
      </c>
      <c r="D344" s="51" t="s">
        <v>186</v>
      </c>
      <c r="E344" s="51" t="s">
        <v>268</v>
      </c>
      <c r="F344" s="51" t="n">
        <v>1</v>
      </c>
      <c r="G344" s="52" t="n">
        <v>8955.16</v>
      </c>
      <c r="H344" s="52" t="n">
        <f aca="false">G344*F344</f>
        <v>8955.16</v>
      </c>
      <c r="I344" s="51" t="s">
        <v>295</v>
      </c>
    </row>
    <row r="345" customFormat="false" ht="14.25" hidden="false" customHeight="true" outlineLevel="0" collapsed="false">
      <c r="A345" s="51" t="s">
        <v>21</v>
      </c>
      <c r="B345" s="51" t="s">
        <v>272</v>
      </c>
      <c r="C345" s="51" t="s">
        <v>281</v>
      </c>
      <c r="D345" s="51" t="s">
        <v>314</v>
      </c>
      <c r="E345" s="51" t="s">
        <v>268</v>
      </c>
      <c r="F345" s="51" t="n">
        <v>1</v>
      </c>
      <c r="G345" s="52" t="n">
        <v>14147.43</v>
      </c>
      <c r="H345" s="52" t="n">
        <f aca="false">G345*F345</f>
        <v>14147.43</v>
      </c>
      <c r="I345" s="51" t="s">
        <v>328</v>
      </c>
    </row>
    <row r="346" customFormat="false" ht="14.25" hidden="false" customHeight="true" outlineLevel="0" collapsed="false">
      <c r="A346" s="51" t="s">
        <v>21</v>
      </c>
      <c r="B346" s="51" t="s">
        <v>267</v>
      </c>
      <c r="C346" s="51" t="s">
        <v>281</v>
      </c>
      <c r="D346" s="51" t="s">
        <v>220</v>
      </c>
      <c r="E346" s="51" t="s">
        <v>265</v>
      </c>
      <c r="F346" s="51" t="n">
        <v>1</v>
      </c>
      <c r="G346" s="52" t="n">
        <v>9667.49</v>
      </c>
      <c r="H346" s="52" t="n">
        <f aca="false">G346*F346</f>
        <v>9667.49</v>
      </c>
      <c r="I346" s="51" t="s">
        <v>342</v>
      </c>
    </row>
    <row r="347" customFormat="false" ht="14.25" hidden="false" customHeight="true" outlineLevel="0" collapsed="false">
      <c r="A347" s="51" t="s">
        <v>21</v>
      </c>
      <c r="B347" s="51" t="s">
        <v>267</v>
      </c>
      <c r="C347" s="51" t="s">
        <v>281</v>
      </c>
      <c r="D347" s="51" t="s">
        <v>180</v>
      </c>
      <c r="E347" s="51" t="s">
        <v>265</v>
      </c>
      <c r="F347" s="51" t="n">
        <v>5</v>
      </c>
      <c r="G347" s="52" t="n">
        <v>26</v>
      </c>
      <c r="H347" s="52" t="n">
        <f aca="false">G347*F347</f>
        <v>130</v>
      </c>
      <c r="I347" s="51" t="s">
        <v>326</v>
      </c>
    </row>
    <row r="348" customFormat="false" ht="14.25" hidden="false" customHeight="true" outlineLevel="0" collapsed="false">
      <c r="A348" s="51" t="s">
        <v>21</v>
      </c>
      <c r="B348" s="51" t="s">
        <v>267</v>
      </c>
      <c r="C348" s="51" t="s">
        <v>281</v>
      </c>
      <c r="D348" s="51" t="s">
        <v>181</v>
      </c>
      <c r="E348" s="51" t="s">
        <v>265</v>
      </c>
      <c r="F348" s="51" t="n">
        <v>5</v>
      </c>
      <c r="G348" s="52" t="n">
        <v>42.77</v>
      </c>
      <c r="H348" s="52" t="n">
        <f aca="false">G348*F348</f>
        <v>213.85</v>
      </c>
      <c r="I348" s="51" t="s">
        <v>326</v>
      </c>
    </row>
    <row r="349" customFormat="false" ht="15" hidden="false" customHeight="true" outlineLevel="0" collapsed="false">
      <c r="A349" s="51" t="s">
        <v>21</v>
      </c>
      <c r="B349" s="51" t="s">
        <v>267</v>
      </c>
      <c r="C349" s="51" t="s">
        <v>44</v>
      </c>
      <c r="D349" s="51" t="s">
        <v>182</v>
      </c>
      <c r="E349" s="51" t="s">
        <v>265</v>
      </c>
      <c r="F349" s="51" t="n">
        <v>5</v>
      </c>
      <c r="G349" s="52" t="n">
        <v>63.75</v>
      </c>
      <c r="H349" s="52" t="n">
        <f aca="false">G349*F349</f>
        <v>318.75</v>
      </c>
      <c r="I349" s="51" t="s">
        <v>326</v>
      </c>
    </row>
    <row r="350" customFormat="false" ht="14.25" hidden="false" customHeight="true" outlineLevel="0" collapsed="false">
      <c r="A350" s="51" t="s">
        <v>21</v>
      </c>
      <c r="B350" s="51" t="s">
        <v>267</v>
      </c>
      <c r="C350" s="51" t="s">
        <v>288</v>
      </c>
      <c r="D350" s="51" t="s">
        <v>179</v>
      </c>
      <c r="E350" s="51" t="s">
        <v>265</v>
      </c>
      <c r="F350" s="51" t="n">
        <v>5</v>
      </c>
      <c r="G350" s="52" t="n">
        <v>30</v>
      </c>
      <c r="H350" s="52" t="n">
        <f aca="false">G350*F350</f>
        <v>150</v>
      </c>
      <c r="I350" s="51" t="s">
        <v>326</v>
      </c>
    </row>
    <row r="351" customFormat="false" ht="14.25" hidden="false" customHeight="true" outlineLevel="0" collapsed="false">
      <c r="A351" s="51" t="s">
        <v>21</v>
      </c>
      <c r="B351" s="51" t="s">
        <v>267</v>
      </c>
      <c r="C351" s="51" t="s">
        <v>286</v>
      </c>
      <c r="D351" s="51" t="s">
        <v>157</v>
      </c>
      <c r="E351" s="51" t="s">
        <v>265</v>
      </c>
      <c r="F351" s="51" t="n">
        <v>5</v>
      </c>
      <c r="G351" s="52" t="n">
        <v>9.85</v>
      </c>
      <c r="H351" s="52" t="n">
        <f aca="false">G351*F351</f>
        <v>49.25</v>
      </c>
      <c r="I351" s="51" t="s">
        <v>326</v>
      </c>
    </row>
    <row r="352" customFormat="false" ht="14.25" hidden="false" customHeight="true" outlineLevel="0" collapsed="false">
      <c r="A352" s="51" t="s">
        <v>21</v>
      </c>
      <c r="B352" s="51" t="s">
        <v>267</v>
      </c>
      <c r="C352" s="51" t="s">
        <v>286</v>
      </c>
      <c r="D352" s="51" t="s">
        <v>158</v>
      </c>
      <c r="E352" s="51" t="s">
        <v>265</v>
      </c>
      <c r="F352" s="51" t="n">
        <v>5</v>
      </c>
      <c r="G352" s="52" t="n">
        <v>2.04</v>
      </c>
      <c r="H352" s="52" t="n">
        <f aca="false">G352*F352</f>
        <v>10.2</v>
      </c>
      <c r="I352" s="51" t="s">
        <v>326</v>
      </c>
    </row>
    <row r="353" customFormat="false" ht="14.25" hidden="false" customHeight="true" outlineLevel="0" collapsed="false">
      <c r="A353" s="51" t="s">
        <v>21</v>
      </c>
      <c r="B353" s="51" t="s">
        <v>267</v>
      </c>
      <c r="C353" s="51" t="s">
        <v>289</v>
      </c>
      <c r="D353" s="51" t="s">
        <v>186</v>
      </c>
      <c r="E353" s="51" t="s">
        <v>265</v>
      </c>
      <c r="F353" s="51" t="n">
        <v>1</v>
      </c>
      <c r="G353" s="52" t="n">
        <v>685.08</v>
      </c>
      <c r="H353" s="52" t="n">
        <f aca="false">G353*F353</f>
        <v>685.08</v>
      </c>
      <c r="I353" s="51" t="s">
        <v>295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343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344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345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346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343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344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345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346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343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344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345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346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347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344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348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346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347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344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348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346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347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344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348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346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349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344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350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346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349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344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350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346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349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344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350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346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351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344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352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353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351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344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352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353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351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344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352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353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354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344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355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346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354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344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355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346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354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344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355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346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356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357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358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353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356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357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358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353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356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357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358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353</v>
      </c>
    </row>
    <row r="390" customFormat="false" ht="14.25" hidden="false" customHeight="true" outlineLevel="0" collapsed="false">
      <c r="A390" s="53" t="s">
        <v>359</v>
      </c>
      <c r="B390" s="54"/>
      <c r="C390" s="54"/>
      <c r="D390" s="54"/>
      <c r="E390" s="54"/>
      <c r="F390" s="54"/>
      <c r="G390" s="55"/>
      <c r="H390" s="56" t="n">
        <f aca="false">SUM(H21:H389)</f>
        <v>1072725.58528287</v>
      </c>
      <c r="I390" s="47"/>
      <c r="J390" s="47"/>
      <c r="K390" s="47"/>
      <c r="L390" s="47"/>
      <c r="M390" s="47"/>
      <c r="N390" s="47"/>
      <c r="O390" s="47"/>
    </row>
    <row r="391" customFormat="false" ht="14.25" hidden="false" customHeight="true" outlineLevel="0" collapsed="false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</row>
    <row r="392" customFormat="false" ht="14.25" hidden="false" customHeight="true" outlineLevel="0" collapsed="false">
      <c r="A392" s="57" t="s">
        <v>360</v>
      </c>
      <c r="K392" s="47"/>
      <c r="L392" s="47"/>
      <c r="M392" s="47"/>
      <c r="N392" s="47"/>
      <c r="O392" s="47"/>
    </row>
    <row r="393" customFormat="false" ht="14.25" hidden="false" customHeight="true" outlineLevel="0" collapsed="false">
      <c r="A393" s="50" t="s">
        <v>9</v>
      </c>
      <c r="B393" s="50" t="s">
        <v>251</v>
      </c>
      <c r="C393" s="50" t="s">
        <v>3</v>
      </c>
      <c r="D393" s="50" t="s">
        <v>361</v>
      </c>
      <c r="E393" s="50" t="s">
        <v>362</v>
      </c>
      <c r="F393" s="50" t="s">
        <v>363</v>
      </c>
      <c r="G393" s="50" t="s">
        <v>364</v>
      </c>
      <c r="H393" s="50" t="s">
        <v>365</v>
      </c>
      <c r="I393" s="50" t="s">
        <v>366</v>
      </c>
      <c r="J393" s="50" t="s">
        <v>367</v>
      </c>
      <c r="K393" s="47"/>
      <c r="L393" s="47"/>
      <c r="M393" s="47"/>
      <c r="N393" s="47"/>
      <c r="O393" s="47"/>
    </row>
    <row r="394" customFormat="false" ht="14.25" hidden="false" customHeight="true" outlineLevel="0" collapsed="false">
      <c r="A394" s="51" t="s">
        <v>11</v>
      </c>
      <c r="B394" s="51" t="s">
        <v>256</v>
      </c>
      <c r="C394" s="51" t="s">
        <v>368</v>
      </c>
      <c r="D394" s="52" t="n">
        <v>121496.64</v>
      </c>
      <c r="E394" s="51" t="n">
        <v>537</v>
      </c>
      <c r="F394" s="51" t="n">
        <v>11</v>
      </c>
      <c r="G394" s="52" t="n">
        <v>41961.99</v>
      </c>
      <c r="H394" s="52" t="n">
        <v>1017.98</v>
      </c>
      <c r="I394" s="52" t="n">
        <v>42979.97</v>
      </c>
      <c r="J394" s="52" t="n">
        <v>221.71</v>
      </c>
      <c r="K394" s="47"/>
      <c r="L394" s="47"/>
      <c r="M394" s="47"/>
      <c r="N394" s="47"/>
      <c r="O394" s="47"/>
    </row>
    <row r="395" customFormat="false" ht="14.25" hidden="false" customHeight="true" outlineLevel="0" collapsed="false">
      <c r="A395" s="51" t="s">
        <v>11</v>
      </c>
      <c r="B395" s="51" t="s">
        <v>259</v>
      </c>
      <c r="C395" s="51" t="s">
        <v>368</v>
      </c>
      <c r="D395" s="52" t="n">
        <v>9414.77</v>
      </c>
      <c r="E395" s="51" t="n">
        <v>26</v>
      </c>
      <c r="F395" s="51" t="n">
        <v>1</v>
      </c>
      <c r="G395" s="52" t="n">
        <v>2047.79</v>
      </c>
      <c r="H395" s="52" t="n">
        <v>99.9</v>
      </c>
      <c r="I395" s="52" t="n">
        <v>2147.69</v>
      </c>
      <c r="J395" s="52" t="n">
        <v>348.7</v>
      </c>
      <c r="K395" s="47"/>
      <c r="L395" s="47"/>
      <c r="M395" s="47"/>
      <c r="N395" s="47"/>
      <c r="O395" s="47"/>
    </row>
    <row r="396" customFormat="false" ht="14.25" hidden="false" customHeight="true" outlineLevel="0" collapsed="false">
      <c r="A396" s="51" t="s">
        <v>11</v>
      </c>
      <c r="B396" s="51" t="s">
        <v>261</v>
      </c>
      <c r="C396" s="51" t="s">
        <v>368</v>
      </c>
      <c r="D396" s="52" t="n">
        <v>34081.23</v>
      </c>
      <c r="E396" s="51" t="n">
        <v>143</v>
      </c>
      <c r="F396" s="51" t="n">
        <v>2</v>
      </c>
      <c r="G396" s="52" t="n">
        <v>13522.34</v>
      </c>
      <c r="H396" s="52" t="n">
        <v>154.79</v>
      </c>
      <c r="I396" s="52" t="n">
        <v>13677.13</v>
      </c>
      <c r="J396" s="52" t="n">
        <v>235.04</v>
      </c>
      <c r="K396" s="47"/>
      <c r="L396" s="47"/>
      <c r="M396" s="47"/>
      <c r="N396" s="47"/>
      <c r="O396" s="47"/>
    </row>
    <row r="397" customFormat="false" ht="14.25" hidden="false" customHeight="true" outlineLevel="0" collapsed="false">
      <c r="A397" s="51" t="s">
        <v>11</v>
      </c>
      <c r="B397" s="51" t="s">
        <v>262</v>
      </c>
      <c r="C397" s="51" t="s">
        <v>368</v>
      </c>
      <c r="D397" s="52" t="n">
        <v>45540.01</v>
      </c>
      <c r="E397" s="51" t="n">
        <v>239</v>
      </c>
      <c r="F397" s="51" t="n">
        <v>1</v>
      </c>
      <c r="G397" s="52" t="n">
        <v>21837.84</v>
      </c>
      <c r="H397" s="52" t="n">
        <v>109.89</v>
      </c>
      <c r="I397" s="52" t="n">
        <v>21947.73</v>
      </c>
      <c r="J397" s="52" t="n">
        <v>189.75</v>
      </c>
      <c r="K397" s="47"/>
      <c r="L397" s="47"/>
      <c r="M397" s="47"/>
      <c r="N397" s="47"/>
      <c r="O397" s="47"/>
    </row>
    <row r="398" customFormat="false" ht="14.25" hidden="false" customHeight="true" outlineLevel="0" collapsed="false">
      <c r="A398" s="51" t="s">
        <v>11</v>
      </c>
      <c r="B398" s="51" t="s">
        <v>265</v>
      </c>
      <c r="C398" s="51" t="s">
        <v>368</v>
      </c>
      <c r="D398" s="52" t="n">
        <v>90875.72</v>
      </c>
      <c r="E398" s="51" t="n">
        <v>292</v>
      </c>
      <c r="F398" s="51" t="n">
        <v>3</v>
      </c>
      <c r="G398" s="52" t="n">
        <v>24097.75</v>
      </c>
      <c r="H398" s="52" t="n">
        <v>329.8</v>
      </c>
      <c r="I398" s="52" t="n">
        <v>24427.55</v>
      </c>
      <c r="J398" s="52" t="n">
        <v>308.05</v>
      </c>
      <c r="K398" s="47"/>
      <c r="L398" s="47"/>
      <c r="M398" s="47"/>
      <c r="N398" s="47"/>
      <c r="O398" s="47"/>
    </row>
    <row r="399" customFormat="false" ht="14.25" hidden="false" customHeight="true" outlineLevel="0" collapsed="false">
      <c r="A399" s="51" t="s">
        <v>11</v>
      </c>
      <c r="B399" s="51" t="s">
        <v>268</v>
      </c>
      <c r="C399" s="51" t="s">
        <v>368</v>
      </c>
      <c r="D399" s="52" t="n">
        <v>45425.95</v>
      </c>
      <c r="E399" s="51" t="n">
        <v>264</v>
      </c>
      <c r="F399" s="51" t="n">
        <v>8</v>
      </c>
      <c r="G399" s="52" t="n">
        <v>22685.42</v>
      </c>
      <c r="H399" s="52" t="n">
        <v>734.26</v>
      </c>
      <c r="I399" s="52" t="n">
        <v>23419.68</v>
      </c>
      <c r="J399" s="52" t="n">
        <v>167.01</v>
      </c>
      <c r="K399" s="47"/>
      <c r="L399" s="47"/>
      <c r="M399" s="47"/>
      <c r="N399" s="47"/>
      <c r="O399" s="47"/>
    </row>
    <row r="400" customFormat="false" ht="14.25" hidden="false" customHeight="true" outlineLevel="0" collapsed="false">
      <c r="A400" s="51" t="s">
        <v>11</v>
      </c>
      <c r="B400" s="51" t="s">
        <v>274</v>
      </c>
      <c r="C400" s="51" t="s">
        <v>368</v>
      </c>
      <c r="D400" s="52" t="n">
        <v>3703.62</v>
      </c>
      <c r="E400" s="51" t="n">
        <v>26</v>
      </c>
      <c r="F400" s="51" t="n">
        <v>0</v>
      </c>
      <c r="G400" s="52" t="n">
        <v>2307.4</v>
      </c>
      <c r="H400" s="52" t="n">
        <v>0</v>
      </c>
      <c r="I400" s="52" t="n">
        <v>2307.4</v>
      </c>
      <c r="J400" s="52" t="n">
        <v>142.45</v>
      </c>
      <c r="K400" s="47"/>
      <c r="L400" s="47"/>
      <c r="M400" s="47"/>
      <c r="N400" s="47"/>
      <c r="O400" s="47"/>
    </row>
    <row r="401" customFormat="false" ht="14.25" hidden="false" customHeight="true" outlineLevel="0" collapsed="false">
      <c r="A401" s="51" t="s">
        <v>20</v>
      </c>
      <c r="B401" s="51" t="s">
        <v>256</v>
      </c>
      <c r="C401" s="51" t="s">
        <v>368</v>
      </c>
      <c r="D401" s="52" t="n">
        <v>119150.38</v>
      </c>
      <c r="E401" s="51" t="n">
        <v>658</v>
      </c>
      <c r="F401" s="51" t="n">
        <v>10</v>
      </c>
      <c r="G401" s="52" t="n">
        <v>56085.27</v>
      </c>
      <c r="H401" s="52" t="n">
        <v>963.98</v>
      </c>
      <c r="I401" s="52" t="n">
        <v>57049.25</v>
      </c>
      <c r="J401" s="52" t="n">
        <v>178.37</v>
      </c>
      <c r="K401" s="47"/>
      <c r="L401" s="47"/>
      <c r="M401" s="47"/>
      <c r="N401" s="47"/>
      <c r="O401" s="47"/>
    </row>
    <row r="402" customFormat="false" ht="14.25" hidden="false" customHeight="true" outlineLevel="0" collapsed="false">
      <c r="A402" s="51" t="s">
        <v>20</v>
      </c>
      <c r="B402" s="51" t="s">
        <v>259</v>
      </c>
      <c r="C402" s="51" t="s">
        <v>368</v>
      </c>
      <c r="D402" s="52" t="n">
        <v>7367.92</v>
      </c>
      <c r="E402" s="51" t="n">
        <v>0</v>
      </c>
      <c r="F402" s="51" t="n">
        <v>0</v>
      </c>
      <c r="G402" s="52" t="n">
        <v>0</v>
      </c>
      <c r="H402" s="52" t="n">
        <v>0</v>
      </c>
      <c r="I402" s="52" t="n">
        <v>0</v>
      </c>
      <c r="J402" s="52"/>
      <c r="K402" s="47"/>
      <c r="L402" s="47"/>
      <c r="M402" s="47"/>
      <c r="N402" s="47"/>
      <c r="O402" s="47"/>
    </row>
    <row r="403" customFormat="false" ht="14.25" hidden="false" customHeight="true" outlineLevel="0" collapsed="false">
      <c r="A403" s="51" t="s">
        <v>20</v>
      </c>
      <c r="B403" s="51" t="s">
        <v>261</v>
      </c>
      <c r="C403" s="51" t="s">
        <v>368</v>
      </c>
      <c r="D403" s="52" t="n">
        <v>34042.65</v>
      </c>
      <c r="E403" s="51" t="n">
        <v>115</v>
      </c>
      <c r="F403" s="51" t="n">
        <v>5</v>
      </c>
      <c r="G403" s="52" t="n">
        <v>10449.44</v>
      </c>
      <c r="H403" s="52" t="n">
        <v>519.48</v>
      </c>
      <c r="I403" s="52" t="n">
        <v>10968.92</v>
      </c>
      <c r="J403" s="52" t="n">
        <v>283.69</v>
      </c>
      <c r="K403" s="47"/>
      <c r="L403" s="47"/>
      <c r="M403" s="47"/>
      <c r="N403" s="47"/>
      <c r="O403" s="47"/>
    </row>
    <row r="404" customFormat="false" ht="14.25" hidden="false" customHeight="true" outlineLevel="0" collapsed="false">
      <c r="A404" s="51" t="s">
        <v>20</v>
      </c>
      <c r="B404" s="51" t="s">
        <v>262</v>
      </c>
      <c r="C404" s="51" t="s">
        <v>368</v>
      </c>
      <c r="D404" s="52" t="n">
        <v>64543.96</v>
      </c>
      <c r="E404" s="51" t="n">
        <v>190</v>
      </c>
      <c r="F404" s="51" t="n">
        <v>0</v>
      </c>
      <c r="G404" s="52" t="n">
        <v>17667.07</v>
      </c>
      <c r="H404" s="52" t="n">
        <v>0</v>
      </c>
      <c r="I404" s="52" t="n">
        <v>17667.07</v>
      </c>
      <c r="J404" s="52" t="n">
        <v>339.71</v>
      </c>
      <c r="K404" s="47"/>
      <c r="L404" s="47"/>
      <c r="M404" s="47"/>
      <c r="N404" s="47"/>
      <c r="O404" s="47"/>
    </row>
    <row r="405" customFormat="false" ht="14.25" hidden="false" customHeight="true" outlineLevel="0" collapsed="false">
      <c r="A405" s="51" t="s">
        <v>20</v>
      </c>
      <c r="B405" s="51" t="s">
        <v>265</v>
      </c>
      <c r="C405" s="51" t="s">
        <v>368</v>
      </c>
      <c r="D405" s="52" t="n">
        <v>102992.51</v>
      </c>
      <c r="E405" s="51" t="n">
        <v>576</v>
      </c>
      <c r="F405" s="51" t="n">
        <v>6</v>
      </c>
      <c r="G405" s="52" t="n">
        <v>48361.21</v>
      </c>
      <c r="H405" s="52" t="n">
        <v>589.39</v>
      </c>
      <c r="I405" s="52" t="n">
        <v>48950.6</v>
      </c>
      <c r="J405" s="52" t="n">
        <v>176.96</v>
      </c>
      <c r="K405" s="47"/>
      <c r="L405" s="47"/>
      <c r="M405" s="47"/>
      <c r="N405" s="47"/>
      <c r="O405" s="47"/>
    </row>
    <row r="406" customFormat="false" ht="14.25" hidden="false" customHeight="true" outlineLevel="0" collapsed="false">
      <c r="A406" s="51" t="s">
        <v>20</v>
      </c>
      <c r="B406" s="51" t="s">
        <v>268</v>
      </c>
      <c r="C406" s="51" t="s">
        <v>368</v>
      </c>
      <c r="D406" s="52" t="n">
        <v>41682.6</v>
      </c>
      <c r="E406" s="51" t="n">
        <v>196</v>
      </c>
      <c r="F406" s="51" t="n">
        <v>11</v>
      </c>
      <c r="G406" s="52" t="n">
        <v>17775.09</v>
      </c>
      <c r="H406" s="52" t="n">
        <v>1108.79</v>
      </c>
      <c r="I406" s="52" t="n">
        <v>18883.88</v>
      </c>
      <c r="J406" s="52" t="n">
        <v>201.37</v>
      </c>
      <c r="K406" s="47"/>
      <c r="L406" s="47"/>
      <c r="M406" s="47"/>
      <c r="N406" s="47"/>
      <c r="O406" s="47"/>
    </row>
    <row r="407" customFormat="false" ht="14.25" hidden="false" customHeight="true" outlineLevel="0" collapsed="false">
      <c r="A407" s="51" t="s">
        <v>20</v>
      </c>
      <c r="B407" s="51" t="s">
        <v>274</v>
      </c>
      <c r="C407" s="51" t="s">
        <v>368</v>
      </c>
      <c r="D407" s="52" t="n">
        <v>3712.16</v>
      </c>
      <c r="E407" s="51" t="n">
        <v>23</v>
      </c>
      <c r="F407" s="51" t="n">
        <v>0</v>
      </c>
      <c r="G407" s="52" t="n">
        <v>1988.18</v>
      </c>
      <c r="H407" s="52" t="n">
        <v>0</v>
      </c>
      <c r="I407" s="52" t="n">
        <v>1988.18</v>
      </c>
      <c r="J407" s="52" t="n">
        <v>161.4</v>
      </c>
      <c r="K407" s="47"/>
      <c r="L407" s="47"/>
      <c r="M407" s="47"/>
      <c r="N407" s="47"/>
      <c r="O407" s="47"/>
    </row>
    <row r="408" customFormat="false" ht="14.25" hidden="false" customHeight="true" outlineLevel="0" collapsed="false">
      <c r="A408" s="51" t="s">
        <v>21</v>
      </c>
      <c r="B408" s="51" t="s">
        <v>256</v>
      </c>
      <c r="C408" s="51" t="s">
        <v>368</v>
      </c>
      <c r="D408" s="52" t="n">
        <v>161849.96</v>
      </c>
      <c r="E408" s="51" t="n">
        <v>808</v>
      </c>
      <c r="F408" s="51" t="n">
        <v>3</v>
      </c>
      <c r="G408" s="52" t="n">
        <v>67103</v>
      </c>
      <c r="H408" s="52" t="n">
        <v>74.9</v>
      </c>
      <c r="I408" s="52" t="n">
        <v>67177.9</v>
      </c>
      <c r="J408" s="52" t="n">
        <v>199.57</v>
      </c>
      <c r="K408" s="47"/>
      <c r="L408" s="47"/>
      <c r="M408" s="47"/>
      <c r="N408" s="47"/>
      <c r="O408" s="47"/>
    </row>
    <row r="409" customFormat="false" ht="14.25" hidden="false" customHeight="true" outlineLevel="0" collapsed="false">
      <c r="A409" s="51" t="s">
        <v>21</v>
      </c>
      <c r="B409" s="51" t="s">
        <v>259</v>
      </c>
      <c r="C409" s="51" t="s">
        <v>368</v>
      </c>
      <c r="D409" s="52" t="n">
        <v>7410.09</v>
      </c>
      <c r="E409" s="51" t="n">
        <v>138</v>
      </c>
      <c r="F409" s="51" t="n">
        <v>0</v>
      </c>
      <c r="G409" s="52" t="n">
        <v>11731.77</v>
      </c>
      <c r="H409" s="52" t="n">
        <v>0</v>
      </c>
      <c r="I409" s="52" t="n">
        <v>11731.77</v>
      </c>
      <c r="J409" s="52" t="n">
        <v>53.7</v>
      </c>
      <c r="K409" s="47"/>
      <c r="L409" s="47"/>
      <c r="M409" s="47"/>
      <c r="N409" s="47"/>
      <c r="O409" s="47"/>
    </row>
    <row r="410" customFormat="false" ht="14.25" hidden="false" customHeight="true" outlineLevel="0" collapsed="false">
      <c r="A410" s="51" t="s">
        <v>21</v>
      </c>
      <c r="B410" s="51" t="s">
        <v>261</v>
      </c>
      <c r="C410" s="51" t="s">
        <v>368</v>
      </c>
      <c r="D410" s="52" t="n">
        <v>17008.44</v>
      </c>
      <c r="E410" s="51" t="n">
        <v>128</v>
      </c>
      <c r="F410" s="51" t="n">
        <v>0</v>
      </c>
      <c r="G410" s="52" t="n">
        <v>11678.14</v>
      </c>
      <c r="H410" s="52" t="n">
        <v>0</v>
      </c>
      <c r="I410" s="52" t="n">
        <v>11678.14</v>
      </c>
      <c r="J410" s="52" t="n">
        <v>132.88</v>
      </c>
      <c r="K410" s="47"/>
      <c r="L410" s="47"/>
      <c r="M410" s="47"/>
      <c r="N410" s="47"/>
      <c r="O410" s="47"/>
    </row>
    <row r="411" customFormat="false" ht="14.25" hidden="false" customHeight="true" outlineLevel="0" collapsed="false">
      <c r="A411" s="51" t="s">
        <v>21</v>
      </c>
      <c r="B411" s="51" t="s">
        <v>262</v>
      </c>
      <c r="C411" s="51" t="s">
        <v>368</v>
      </c>
      <c r="D411" s="52" t="n">
        <v>41082.7</v>
      </c>
      <c r="E411" s="51" t="n">
        <v>327</v>
      </c>
      <c r="F411" s="51" t="n">
        <v>0</v>
      </c>
      <c r="G411" s="52" t="n">
        <v>29088.58</v>
      </c>
      <c r="H411" s="52" t="n">
        <v>0</v>
      </c>
      <c r="I411" s="52" t="n">
        <v>29088.58</v>
      </c>
      <c r="J411" s="52" t="n">
        <v>125.64</v>
      </c>
      <c r="K411" s="47"/>
      <c r="L411" s="47"/>
      <c r="M411" s="47"/>
      <c r="N411" s="47"/>
      <c r="O411" s="47"/>
    </row>
    <row r="412" customFormat="false" ht="14.25" hidden="false" customHeight="true" outlineLevel="0" collapsed="false">
      <c r="A412" s="51" t="s">
        <v>21</v>
      </c>
      <c r="B412" s="51" t="s">
        <v>265</v>
      </c>
      <c r="C412" s="51" t="s">
        <v>368</v>
      </c>
      <c r="D412" s="52" t="n">
        <v>65806.72</v>
      </c>
      <c r="E412" s="51" t="n">
        <v>342</v>
      </c>
      <c r="F412" s="51" t="n">
        <v>2</v>
      </c>
      <c r="G412" s="52" t="n">
        <v>28924.39</v>
      </c>
      <c r="H412" s="52" t="n">
        <v>25</v>
      </c>
      <c r="I412" s="52" t="n">
        <v>28949.39</v>
      </c>
      <c r="J412" s="52" t="n">
        <v>191.3</v>
      </c>
      <c r="K412" s="47"/>
      <c r="L412" s="47"/>
      <c r="M412" s="47"/>
      <c r="N412" s="47"/>
      <c r="O412" s="47"/>
    </row>
    <row r="413" customFormat="false" ht="14.25" hidden="false" customHeight="true" outlineLevel="0" collapsed="false">
      <c r="A413" s="51" t="s">
        <v>21</v>
      </c>
      <c r="B413" s="51" t="s">
        <v>268</v>
      </c>
      <c r="C413" s="51" t="s">
        <v>368</v>
      </c>
      <c r="D413" s="52" t="n">
        <v>92377.85</v>
      </c>
      <c r="E413" s="51" t="n">
        <v>266</v>
      </c>
      <c r="F413" s="51" t="n">
        <v>5</v>
      </c>
      <c r="G413" s="52" t="n">
        <v>23159.66</v>
      </c>
      <c r="H413" s="52" t="n">
        <v>105.09</v>
      </c>
      <c r="I413" s="52" t="n">
        <v>23264.75</v>
      </c>
      <c r="J413" s="52" t="n">
        <v>340.88</v>
      </c>
      <c r="K413" s="47"/>
      <c r="L413" s="47"/>
      <c r="M413" s="47"/>
      <c r="N413" s="47"/>
      <c r="O413" s="47"/>
    </row>
    <row r="414" customFormat="false" ht="14.25" hidden="false" customHeight="true" outlineLevel="0" collapsed="false">
      <c r="A414" s="51" t="s">
        <v>21</v>
      </c>
      <c r="B414" s="51" t="s">
        <v>274</v>
      </c>
      <c r="C414" s="51" t="s">
        <v>368</v>
      </c>
      <c r="D414" s="52" t="n">
        <v>0</v>
      </c>
      <c r="E414" s="51" t="n">
        <v>25</v>
      </c>
      <c r="F414" s="51" t="n">
        <v>1</v>
      </c>
      <c r="G414" s="52" t="n">
        <v>2177.7</v>
      </c>
      <c r="H414" s="52" t="n">
        <v>39.97</v>
      </c>
      <c r="I414" s="52" t="n">
        <v>2217.67</v>
      </c>
      <c r="J414" s="52" t="n">
        <v>0</v>
      </c>
      <c r="K414" s="47"/>
      <c r="L414" s="47"/>
      <c r="M414" s="47"/>
      <c r="N414" s="47"/>
      <c r="O414" s="47"/>
    </row>
    <row r="415" customFormat="false" ht="14.25" hidden="false" customHeight="true" outlineLevel="0" collapsed="false">
      <c r="A415" s="51"/>
      <c r="B415" s="51"/>
      <c r="C415" s="51"/>
      <c r="D415" s="52"/>
      <c r="E415" s="51"/>
      <c r="F415" s="51"/>
      <c r="G415" s="52"/>
      <c r="H415" s="52"/>
      <c r="I415" s="52"/>
      <c r="J415" s="51"/>
      <c r="K415" s="47"/>
      <c r="L415" s="47"/>
      <c r="M415" s="47"/>
      <c r="N415" s="47"/>
      <c r="O415" s="47"/>
    </row>
    <row r="416" customFormat="false" ht="14.25" hidden="false" customHeight="true" outlineLevel="0" collapsed="false">
      <c r="A416" s="51"/>
      <c r="B416" s="51"/>
      <c r="C416" s="51"/>
      <c r="D416" s="52"/>
      <c r="E416" s="51"/>
      <c r="F416" s="51"/>
      <c r="G416" s="52"/>
      <c r="H416" s="52"/>
      <c r="I416" s="52"/>
      <c r="J416" s="47"/>
      <c r="K416" s="47"/>
      <c r="L416" s="47"/>
      <c r="M416" s="47"/>
      <c r="N416" s="47"/>
      <c r="O416" s="47"/>
    </row>
    <row r="417" customFormat="false" ht="14.25" hidden="false" customHeight="true" outlineLevel="0" collapsed="false">
      <c r="A417" s="51"/>
      <c r="B417" s="51"/>
      <c r="C417" s="51"/>
      <c r="D417" s="52"/>
      <c r="E417" s="51"/>
      <c r="F417" s="51"/>
      <c r="G417" s="52"/>
      <c r="H417" s="52"/>
      <c r="I417" s="52"/>
      <c r="J417" s="47"/>
      <c r="K417" s="47"/>
      <c r="L417" s="47"/>
      <c r="M417" s="47"/>
      <c r="N417" s="47"/>
      <c r="O417" s="47"/>
    </row>
    <row r="418" customFormat="false" ht="14.25" hidden="false" customHeight="true" outlineLevel="0" collapsed="false">
      <c r="A418" s="51"/>
      <c r="B418" s="51"/>
      <c r="C418" s="51"/>
      <c r="D418" s="52"/>
      <c r="E418" s="51"/>
      <c r="F418" s="51"/>
      <c r="G418" s="52"/>
      <c r="H418" s="52"/>
      <c r="I418" s="52"/>
      <c r="J418" s="47"/>
      <c r="K418" s="47"/>
      <c r="L418" s="47"/>
      <c r="M418" s="47"/>
      <c r="N418" s="47"/>
      <c r="O418" s="47"/>
    </row>
    <row r="419" customFormat="false" ht="14.25" hidden="false" customHeight="true" outlineLevel="0" collapsed="false">
      <c r="A419" s="51"/>
      <c r="B419" s="51"/>
      <c r="C419" s="51"/>
      <c r="D419" s="52"/>
      <c r="E419" s="51"/>
      <c r="F419" s="51"/>
      <c r="G419" s="52"/>
      <c r="H419" s="52"/>
      <c r="I419" s="52"/>
      <c r="J419" s="47"/>
      <c r="K419" s="47"/>
      <c r="L419" s="47"/>
      <c r="M419" s="47"/>
      <c r="N419" s="47"/>
      <c r="O419" s="47"/>
    </row>
    <row r="420" customFormat="false" ht="14.25" hidden="false" customHeight="true" outlineLevel="0" collapsed="false">
      <c r="A420" s="51"/>
      <c r="B420" s="51"/>
      <c r="C420" s="51"/>
      <c r="D420" s="52"/>
      <c r="E420" s="51"/>
      <c r="F420" s="51"/>
      <c r="G420" s="52"/>
      <c r="H420" s="52"/>
      <c r="I420" s="52"/>
      <c r="J420" s="47"/>
      <c r="K420" s="47"/>
      <c r="L420" s="47"/>
      <c r="M420" s="47"/>
      <c r="N420" s="47"/>
      <c r="O420" s="47"/>
    </row>
    <row r="421" customFormat="false" ht="14.25" hidden="false" customHeight="true" outlineLevel="0" collapsed="false">
      <c r="A421" s="51"/>
      <c r="B421" s="51"/>
      <c r="C421" s="51"/>
      <c r="D421" s="52"/>
      <c r="E421" s="51"/>
      <c r="F421" s="51"/>
      <c r="G421" s="52"/>
      <c r="H421" s="52"/>
      <c r="I421" s="52"/>
      <c r="J421" s="47"/>
      <c r="K421" s="47"/>
      <c r="L421" s="47"/>
      <c r="M421" s="47"/>
      <c r="N421" s="47"/>
      <c r="O421" s="47"/>
    </row>
    <row r="422" customFormat="false" ht="14.25" hidden="false" customHeight="true" outlineLevel="0" collapsed="false">
      <c r="A422" s="51"/>
      <c r="B422" s="51"/>
      <c r="C422" s="51"/>
      <c r="D422" s="52"/>
      <c r="E422" s="51"/>
      <c r="F422" s="51"/>
      <c r="G422" s="52"/>
      <c r="H422" s="52"/>
      <c r="I422" s="52"/>
      <c r="J422" s="47"/>
      <c r="K422" s="47"/>
      <c r="L422" s="47"/>
      <c r="M422" s="47"/>
      <c r="N422" s="47"/>
      <c r="O422" s="47"/>
    </row>
    <row r="423" customFormat="false" ht="14.25" hidden="false" customHeight="true" outlineLevel="0" collapsed="false">
      <c r="A423" s="51"/>
      <c r="B423" s="51"/>
      <c r="C423" s="51"/>
      <c r="D423" s="52"/>
      <c r="E423" s="51"/>
      <c r="F423" s="51"/>
      <c r="G423" s="52"/>
      <c r="H423" s="52"/>
      <c r="I423" s="52"/>
      <c r="J423" s="47"/>
      <c r="K423" s="47"/>
      <c r="L423" s="47"/>
      <c r="M423" s="47"/>
      <c r="N423" s="47"/>
      <c r="O423" s="47"/>
    </row>
    <row r="424" customFormat="false" ht="14.25" hidden="false" customHeight="true" outlineLevel="0" collapsed="false">
      <c r="A424" s="51"/>
      <c r="B424" s="51"/>
      <c r="C424" s="51"/>
      <c r="D424" s="52"/>
      <c r="E424" s="51"/>
      <c r="F424" s="51"/>
      <c r="G424" s="52"/>
      <c r="H424" s="52"/>
      <c r="I424" s="52"/>
      <c r="J424" s="47"/>
      <c r="K424" s="47"/>
      <c r="L424" s="47"/>
      <c r="M424" s="47"/>
      <c r="N424" s="47"/>
      <c r="O424" s="47"/>
    </row>
    <row r="425" customFormat="false" ht="14.25" hidden="false" customHeight="true" outlineLevel="0" collapsed="false">
      <c r="A425" s="51"/>
      <c r="B425" s="51"/>
      <c r="C425" s="51"/>
      <c r="D425" s="52"/>
      <c r="E425" s="51"/>
      <c r="F425" s="51"/>
      <c r="G425" s="52"/>
      <c r="H425" s="52"/>
      <c r="I425" s="52"/>
      <c r="J425" s="47"/>
      <c r="K425" s="47"/>
      <c r="L425" s="47"/>
      <c r="M425" s="47"/>
      <c r="N425" s="47"/>
      <c r="O425" s="47"/>
    </row>
    <row r="426" customFormat="false" ht="14.25" hidden="false" customHeight="true" outlineLevel="0" collapsed="false">
      <c r="A426" s="51"/>
      <c r="B426" s="51"/>
      <c r="C426" s="51"/>
      <c r="D426" s="52"/>
      <c r="E426" s="51"/>
      <c r="F426" s="51"/>
      <c r="G426" s="52"/>
      <c r="H426" s="52"/>
      <c r="I426" s="52"/>
      <c r="J426" s="47"/>
      <c r="K426" s="47"/>
      <c r="L426" s="47"/>
      <c r="M426" s="47"/>
      <c r="N426" s="47"/>
      <c r="O426" s="47"/>
    </row>
    <row r="427" customFormat="false" ht="14.25" hidden="false" customHeight="true" outlineLevel="0" collapsed="false">
      <c r="A427" s="51"/>
      <c r="B427" s="51"/>
      <c r="C427" s="51"/>
      <c r="D427" s="52"/>
      <c r="E427" s="51"/>
      <c r="F427" s="51"/>
      <c r="G427" s="52"/>
      <c r="H427" s="52"/>
      <c r="I427" s="52"/>
      <c r="J427" s="47"/>
      <c r="K427" s="47"/>
      <c r="L427" s="47"/>
      <c r="M427" s="47"/>
      <c r="N427" s="47"/>
      <c r="O427" s="47"/>
    </row>
    <row r="428" customFormat="false" ht="14.25" hidden="false" customHeight="true" outlineLevel="0" collapsed="false">
      <c r="A428" s="51"/>
      <c r="B428" s="51"/>
      <c r="C428" s="51"/>
      <c r="D428" s="52"/>
      <c r="E428" s="51"/>
      <c r="F428" s="51"/>
      <c r="G428" s="52"/>
      <c r="H428" s="52"/>
      <c r="I428" s="52"/>
      <c r="J428" s="47"/>
      <c r="K428" s="47"/>
      <c r="L428" s="47"/>
      <c r="M428" s="47"/>
      <c r="N428" s="47"/>
      <c r="O428" s="47"/>
    </row>
    <row r="429" customFormat="false" ht="14.25" hidden="false" customHeight="true" outlineLevel="0" collapsed="false">
      <c r="A429" s="51"/>
      <c r="B429" s="51"/>
      <c r="C429" s="51"/>
      <c r="D429" s="52"/>
      <c r="E429" s="51"/>
      <c r="F429" s="51"/>
      <c r="G429" s="52"/>
      <c r="H429" s="52"/>
      <c r="I429" s="52"/>
      <c r="J429" s="47"/>
      <c r="K429" s="47"/>
      <c r="L429" s="47"/>
      <c r="M429" s="47"/>
      <c r="N429" s="47"/>
      <c r="O429" s="47"/>
    </row>
    <row r="430" customFormat="false" ht="14.25" hidden="false" customHeight="true" outlineLevel="0" collapsed="false">
      <c r="A430" s="51"/>
      <c r="B430" s="51"/>
      <c r="C430" s="51"/>
      <c r="D430" s="52"/>
      <c r="E430" s="51"/>
      <c r="F430" s="51"/>
      <c r="G430" s="52"/>
      <c r="H430" s="52"/>
      <c r="I430" s="52"/>
      <c r="J430" s="47"/>
      <c r="K430" s="47"/>
      <c r="L430" s="47"/>
      <c r="M430" s="47"/>
      <c r="N430" s="47"/>
      <c r="O430" s="47"/>
    </row>
    <row r="431" customFormat="false" ht="14.25" hidden="false" customHeight="true" outlineLevel="0" collapsed="false">
      <c r="A431" s="51"/>
      <c r="B431" s="51"/>
      <c r="C431" s="51"/>
      <c r="D431" s="52"/>
      <c r="E431" s="51"/>
      <c r="F431" s="51"/>
      <c r="G431" s="52"/>
      <c r="H431" s="52"/>
      <c r="I431" s="52"/>
      <c r="J431" s="47"/>
      <c r="K431" s="47"/>
      <c r="L431" s="47"/>
      <c r="M431" s="47"/>
      <c r="N431" s="47"/>
      <c r="O431" s="47"/>
    </row>
    <row r="432" customFormat="false" ht="14.25" hidden="false" customHeight="true" outlineLevel="0" collapsed="false">
      <c r="A432" s="51"/>
      <c r="B432" s="51"/>
      <c r="C432" s="51"/>
      <c r="D432" s="52"/>
      <c r="E432" s="51"/>
      <c r="F432" s="51"/>
      <c r="G432" s="52"/>
      <c r="H432" s="52"/>
      <c r="I432" s="52"/>
      <c r="J432" s="47"/>
      <c r="K432" s="47"/>
      <c r="L432" s="47"/>
      <c r="M432" s="47"/>
      <c r="N432" s="47"/>
      <c r="O432" s="47"/>
    </row>
    <row r="433" customFormat="false" ht="14.25" hidden="false" customHeight="true" outlineLevel="0" collapsed="false">
      <c r="A433" s="51"/>
      <c r="B433" s="51"/>
      <c r="C433" s="51"/>
      <c r="D433" s="52"/>
      <c r="E433" s="51"/>
      <c r="F433" s="51"/>
      <c r="G433" s="52"/>
      <c r="H433" s="52"/>
      <c r="I433" s="52"/>
      <c r="J433" s="47"/>
      <c r="K433" s="47"/>
      <c r="L433" s="47"/>
      <c r="M433" s="47"/>
      <c r="N433" s="47"/>
      <c r="O433" s="47"/>
    </row>
    <row r="434" customFormat="false" ht="14.25" hidden="false" customHeight="true" outlineLevel="0" collapsed="false">
      <c r="A434" s="51"/>
      <c r="B434" s="51"/>
      <c r="C434" s="51"/>
      <c r="D434" s="52"/>
      <c r="E434" s="51"/>
      <c r="F434" s="51"/>
      <c r="G434" s="52"/>
      <c r="H434" s="52"/>
      <c r="I434" s="52"/>
      <c r="J434" s="47"/>
      <c r="K434" s="47"/>
      <c r="L434" s="47"/>
      <c r="M434" s="47"/>
      <c r="N434" s="47"/>
      <c r="O434" s="47"/>
    </row>
    <row r="435" customFormat="false" ht="14.25" hidden="false" customHeight="true" outlineLevel="0" collapsed="false">
      <c r="A435" s="51"/>
      <c r="B435" s="51"/>
      <c r="C435" s="51"/>
      <c r="D435" s="52"/>
      <c r="E435" s="51"/>
      <c r="F435" s="51"/>
      <c r="G435" s="52"/>
      <c r="H435" s="52"/>
      <c r="I435" s="52"/>
      <c r="J435" s="47"/>
      <c r="K435" s="47"/>
      <c r="L435" s="47"/>
      <c r="M435" s="47"/>
      <c r="N435" s="47"/>
      <c r="O435" s="47"/>
    </row>
    <row r="436" customFormat="false" ht="14.25" hidden="false" customHeight="true" outlineLevel="0" collapsed="false">
      <c r="A436" s="51"/>
      <c r="B436" s="51"/>
      <c r="C436" s="51"/>
      <c r="D436" s="52"/>
      <c r="E436" s="51"/>
      <c r="F436" s="51"/>
      <c r="G436" s="52"/>
      <c r="H436" s="52"/>
      <c r="I436" s="52"/>
      <c r="J436" s="47"/>
      <c r="K436" s="47"/>
      <c r="L436" s="47"/>
      <c r="M436" s="47"/>
      <c r="N436" s="47"/>
      <c r="O436" s="47"/>
    </row>
    <row r="437" customFormat="false" ht="14.25" hidden="false" customHeight="true" outlineLevel="0" collapsed="false">
      <c r="A437" s="51"/>
      <c r="B437" s="51"/>
      <c r="C437" s="51"/>
      <c r="D437" s="52"/>
      <c r="E437" s="51"/>
      <c r="F437" s="51"/>
      <c r="G437" s="52"/>
      <c r="H437" s="52"/>
      <c r="I437" s="52"/>
      <c r="J437" s="47"/>
      <c r="K437" s="47"/>
      <c r="L437" s="47"/>
      <c r="M437" s="47"/>
      <c r="N437" s="47"/>
      <c r="O437" s="47"/>
    </row>
    <row r="438" customFormat="false" ht="14.25" hidden="false" customHeight="true" outlineLevel="0" collapsed="false">
      <c r="A438" s="51"/>
      <c r="B438" s="51"/>
      <c r="C438" s="51"/>
      <c r="D438" s="52"/>
      <c r="E438" s="51"/>
      <c r="F438" s="51"/>
      <c r="G438" s="52"/>
      <c r="H438" s="52"/>
      <c r="I438" s="52"/>
      <c r="J438" s="47"/>
      <c r="K438" s="47"/>
      <c r="L438" s="47"/>
      <c r="M438" s="47"/>
      <c r="N438" s="47"/>
      <c r="O438" s="47"/>
    </row>
    <row r="439" customFormat="false" ht="14.25" hidden="false" customHeight="true" outlineLevel="0" collapsed="false">
      <c r="A439" s="51"/>
      <c r="B439" s="51"/>
      <c r="C439" s="51"/>
      <c r="D439" s="52"/>
      <c r="E439" s="51"/>
      <c r="F439" s="51"/>
      <c r="G439" s="52"/>
      <c r="H439" s="52"/>
      <c r="I439" s="52"/>
      <c r="J439" s="47"/>
      <c r="K439" s="47"/>
      <c r="L439" s="47"/>
      <c r="M439" s="47"/>
      <c r="N439" s="47"/>
      <c r="O439" s="47"/>
    </row>
    <row r="440" customFormat="false" ht="14.25" hidden="false" customHeight="true" outlineLevel="0" collapsed="false">
      <c r="A440" s="51"/>
      <c r="B440" s="51"/>
      <c r="C440" s="51"/>
      <c r="D440" s="52"/>
      <c r="E440" s="51"/>
      <c r="F440" s="51"/>
      <c r="G440" s="52"/>
      <c r="H440" s="52"/>
      <c r="I440" s="52"/>
      <c r="J440" s="47"/>
      <c r="K440" s="47"/>
      <c r="L440" s="47"/>
      <c r="M440" s="47"/>
      <c r="N440" s="47"/>
      <c r="O440" s="47"/>
    </row>
    <row r="441" customFormat="false" ht="14.25" hidden="false" customHeight="true" outlineLevel="0" collapsed="false">
      <c r="A441" s="51"/>
      <c r="B441" s="51"/>
      <c r="C441" s="51"/>
      <c r="D441" s="52"/>
      <c r="E441" s="51"/>
      <c r="F441" s="51"/>
      <c r="G441" s="52"/>
      <c r="H441" s="52"/>
      <c r="I441" s="52"/>
      <c r="J441" s="47"/>
      <c r="K441" s="47"/>
      <c r="L441" s="47"/>
      <c r="M441" s="47"/>
      <c r="N441" s="47"/>
      <c r="O441" s="47"/>
    </row>
    <row r="442" customFormat="false" ht="14.25" hidden="false" customHeight="true" outlineLevel="0" collapsed="false">
      <c r="A442" s="51"/>
      <c r="B442" s="51"/>
      <c r="C442" s="51"/>
      <c r="D442" s="52"/>
      <c r="E442" s="51"/>
      <c r="F442" s="51"/>
      <c r="G442" s="52"/>
      <c r="H442" s="52"/>
      <c r="I442" s="52"/>
      <c r="J442" s="47"/>
      <c r="K442" s="47"/>
      <c r="L442" s="47"/>
      <c r="M442" s="47"/>
      <c r="N442" s="47"/>
      <c r="O442" s="47"/>
    </row>
    <row r="443" customFormat="false" ht="14.25" hidden="false" customHeight="true" outlineLevel="0" collapsed="false">
      <c r="A443" s="51"/>
      <c r="B443" s="51"/>
      <c r="C443" s="51"/>
      <c r="D443" s="52"/>
      <c r="E443" s="51"/>
      <c r="F443" s="51"/>
      <c r="G443" s="52"/>
      <c r="H443" s="52"/>
      <c r="I443" s="52"/>
      <c r="J443" s="47"/>
      <c r="K443" s="47"/>
      <c r="L443" s="47"/>
      <c r="M443" s="47"/>
      <c r="N443" s="47"/>
      <c r="O443" s="47"/>
    </row>
    <row r="444" customFormat="false" ht="14.25" hidden="false" customHeight="true" outlineLevel="0" collapsed="false">
      <c r="A444" s="51"/>
      <c r="B444" s="51"/>
      <c r="C444" s="51"/>
      <c r="D444" s="52"/>
      <c r="E444" s="51"/>
      <c r="F444" s="51"/>
      <c r="G444" s="52"/>
      <c r="H444" s="52"/>
      <c r="I444" s="52"/>
      <c r="J444" s="47"/>
      <c r="K444" s="47"/>
      <c r="L444" s="47"/>
      <c r="M444" s="47"/>
      <c r="N444" s="47"/>
      <c r="O444" s="47"/>
    </row>
    <row r="445" customFormat="false" ht="14.25" hidden="false" customHeight="true" outlineLevel="0" collapsed="false">
      <c r="A445" s="51"/>
      <c r="B445" s="51"/>
      <c r="C445" s="51"/>
      <c r="D445" s="52"/>
      <c r="E445" s="51"/>
      <c r="F445" s="51"/>
      <c r="G445" s="52"/>
      <c r="H445" s="52"/>
      <c r="I445" s="52"/>
      <c r="J445" s="47"/>
      <c r="K445" s="47"/>
      <c r="L445" s="47"/>
      <c r="M445" s="47"/>
      <c r="N445" s="47"/>
      <c r="O445" s="47"/>
    </row>
    <row r="446" customFormat="false" ht="14.25" hidden="false" customHeight="true" outlineLevel="0" collapsed="false">
      <c r="A446" s="51"/>
      <c r="B446" s="51"/>
      <c r="C446" s="51"/>
      <c r="D446" s="52"/>
      <c r="E446" s="51"/>
      <c r="F446" s="51"/>
      <c r="G446" s="52"/>
      <c r="H446" s="52"/>
      <c r="I446" s="52"/>
      <c r="J446" s="47"/>
      <c r="K446" s="47"/>
      <c r="L446" s="47"/>
      <c r="M446" s="47"/>
      <c r="N446" s="47"/>
      <c r="O446" s="47"/>
    </row>
    <row r="447" customFormat="false" ht="14.25" hidden="false" customHeight="true" outlineLevel="0" collapsed="false">
      <c r="A447" s="51"/>
      <c r="B447" s="51"/>
      <c r="C447" s="51"/>
      <c r="D447" s="52"/>
      <c r="E447" s="51"/>
      <c r="F447" s="51"/>
      <c r="G447" s="52"/>
      <c r="H447" s="52"/>
      <c r="I447" s="52"/>
      <c r="J447" s="47"/>
      <c r="K447" s="47"/>
      <c r="L447" s="47"/>
      <c r="M447" s="47"/>
      <c r="N447" s="47"/>
      <c r="O447" s="47"/>
    </row>
    <row r="448" customFormat="false" ht="14.25" hidden="false" customHeight="true" outlineLevel="0" collapsed="false">
      <c r="A448" s="51"/>
      <c r="B448" s="51"/>
      <c r="C448" s="51"/>
      <c r="D448" s="52"/>
      <c r="E448" s="51"/>
      <c r="F448" s="51"/>
      <c r="G448" s="52"/>
      <c r="H448" s="52"/>
      <c r="I448" s="52"/>
      <c r="J448" s="47"/>
      <c r="K448" s="47"/>
      <c r="L448" s="47"/>
      <c r="M448" s="47"/>
      <c r="N448" s="47"/>
      <c r="O448" s="47"/>
    </row>
    <row r="449" customFormat="false" ht="14.25" hidden="false" customHeight="true" outlineLevel="0" collapsed="false">
      <c r="A449" s="51"/>
      <c r="B449" s="51"/>
      <c r="C449" s="51"/>
      <c r="D449" s="52"/>
      <c r="E449" s="51"/>
      <c r="F449" s="51"/>
      <c r="G449" s="52"/>
      <c r="H449" s="52"/>
      <c r="I449" s="52"/>
      <c r="J449" s="47"/>
      <c r="K449" s="47"/>
      <c r="L449" s="47"/>
      <c r="M449" s="47"/>
      <c r="N449" s="47"/>
      <c r="O449" s="47"/>
    </row>
    <row r="450" customFormat="false" ht="14.25" hidden="false" customHeight="true" outlineLevel="0" collapsed="false">
      <c r="A450" s="51"/>
      <c r="B450" s="51"/>
      <c r="C450" s="51"/>
      <c r="D450" s="52"/>
      <c r="E450" s="51"/>
      <c r="F450" s="51"/>
      <c r="G450" s="52"/>
      <c r="H450" s="52"/>
      <c r="I450" s="52"/>
      <c r="J450" s="47"/>
      <c r="K450" s="47"/>
      <c r="L450" s="47"/>
      <c r="M450" s="47"/>
      <c r="N450" s="47"/>
      <c r="O450" s="47"/>
    </row>
    <row r="451" customFormat="false" ht="14.25" hidden="false" customHeight="true" outlineLevel="0" collapsed="false">
      <c r="A451" s="51"/>
      <c r="B451" s="51"/>
      <c r="C451" s="51"/>
      <c r="D451" s="52"/>
      <c r="E451" s="51"/>
      <c r="F451" s="51"/>
      <c r="G451" s="52"/>
      <c r="H451" s="52"/>
      <c r="I451" s="52"/>
      <c r="J451" s="47"/>
      <c r="K451" s="47"/>
      <c r="L451" s="47"/>
      <c r="M451" s="47"/>
      <c r="N451" s="47"/>
      <c r="O451" s="47"/>
    </row>
    <row r="452" customFormat="false" ht="14.25" hidden="false" customHeight="true" outlineLevel="0" collapsed="false">
      <c r="A452" s="51"/>
      <c r="B452" s="51"/>
      <c r="C452" s="51"/>
      <c r="D452" s="52"/>
      <c r="E452" s="51"/>
      <c r="F452" s="51"/>
      <c r="G452" s="52"/>
      <c r="H452" s="52"/>
      <c r="I452" s="52"/>
      <c r="J452" s="47"/>
      <c r="K452" s="47"/>
      <c r="L452" s="47"/>
      <c r="M452" s="47"/>
      <c r="N452" s="47"/>
      <c r="O452" s="47"/>
    </row>
    <row r="453" customFormat="false" ht="14.25" hidden="false" customHeight="true" outlineLevel="0" collapsed="false">
      <c r="A453" s="51"/>
      <c r="B453" s="51"/>
      <c r="C453" s="51"/>
      <c r="D453" s="52"/>
      <c r="E453" s="51"/>
      <c r="F453" s="51"/>
      <c r="G453" s="52"/>
      <c r="H453" s="52"/>
      <c r="I453" s="52"/>
      <c r="J453" s="47"/>
      <c r="K453" s="47"/>
      <c r="L453" s="47"/>
      <c r="M453" s="47"/>
      <c r="N453" s="47"/>
      <c r="O453" s="47"/>
    </row>
    <row r="454" customFormat="false" ht="14.25" hidden="false" customHeight="true" outlineLevel="0" collapsed="false">
      <c r="A454" s="51"/>
      <c r="B454" s="51"/>
      <c r="C454" s="51"/>
      <c r="D454" s="52"/>
      <c r="E454" s="51"/>
      <c r="F454" s="51"/>
      <c r="G454" s="52"/>
      <c r="H454" s="52"/>
      <c r="I454" s="52"/>
      <c r="J454" s="47"/>
      <c r="K454" s="47"/>
      <c r="L454" s="47"/>
      <c r="M454" s="47"/>
      <c r="N454" s="47"/>
      <c r="O454" s="47"/>
    </row>
    <row r="455" customFormat="false" ht="14.25" hidden="false" customHeight="true" outlineLevel="0" collapsed="false">
      <c r="A455" s="51"/>
      <c r="B455" s="51"/>
      <c r="C455" s="51"/>
      <c r="D455" s="52"/>
      <c r="E455" s="51"/>
      <c r="F455" s="51"/>
      <c r="G455" s="52"/>
      <c r="H455" s="52"/>
      <c r="I455" s="52"/>
      <c r="J455" s="47"/>
      <c r="K455" s="47"/>
      <c r="L455" s="47"/>
      <c r="M455" s="47"/>
      <c r="N455" s="47"/>
      <c r="O455" s="47"/>
    </row>
    <row r="456" customFormat="false" ht="14.25" hidden="false" customHeight="true" outlineLevel="0" collapsed="false">
      <c r="A456" s="51"/>
      <c r="B456" s="51"/>
      <c r="C456" s="51"/>
      <c r="D456" s="52"/>
      <c r="E456" s="51"/>
      <c r="F456" s="51"/>
      <c r="G456" s="52"/>
      <c r="H456" s="52"/>
      <c r="I456" s="52"/>
      <c r="J456" s="47"/>
      <c r="K456" s="47"/>
      <c r="L456" s="47"/>
      <c r="M456" s="47"/>
      <c r="N456" s="47"/>
      <c r="O456" s="47"/>
    </row>
    <row r="457" customFormat="false" ht="14.25" hidden="false" customHeight="true" outlineLevel="0" collapsed="false">
      <c r="A457" s="51"/>
      <c r="B457" s="51"/>
      <c r="C457" s="51"/>
      <c r="D457" s="52"/>
      <c r="E457" s="51"/>
      <c r="F457" s="51"/>
      <c r="G457" s="52"/>
      <c r="H457" s="52"/>
      <c r="I457" s="52"/>
      <c r="J457" s="47"/>
      <c r="K457" s="47"/>
      <c r="L457" s="47"/>
      <c r="M457" s="47"/>
      <c r="N457" s="47"/>
      <c r="O457" s="47"/>
    </row>
    <row r="458" customFormat="false" ht="14.25" hidden="false" customHeight="true" outlineLevel="0" collapsed="false">
      <c r="A458" s="51"/>
      <c r="B458" s="51"/>
      <c r="C458" s="51"/>
      <c r="D458" s="52"/>
      <c r="E458" s="51"/>
      <c r="F458" s="51"/>
      <c r="G458" s="52"/>
      <c r="H458" s="52"/>
      <c r="I458" s="52"/>
      <c r="J458" s="47"/>
      <c r="K458" s="47"/>
      <c r="L458" s="47"/>
      <c r="M458" s="47"/>
      <c r="N458" s="47"/>
      <c r="O458" s="47"/>
    </row>
    <row r="459" customFormat="false" ht="14.25" hidden="false" customHeight="true" outlineLevel="0" collapsed="false">
      <c r="A459" s="51"/>
      <c r="B459" s="51"/>
      <c r="C459" s="51"/>
      <c r="D459" s="52"/>
      <c r="E459" s="51"/>
      <c r="F459" s="51"/>
      <c r="G459" s="52"/>
      <c r="H459" s="52"/>
      <c r="I459" s="52"/>
      <c r="J459" s="47"/>
      <c r="K459" s="47"/>
      <c r="L459" s="47"/>
      <c r="M459" s="47"/>
      <c r="N459" s="47"/>
      <c r="O459" s="47"/>
    </row>
    <row r="460" customFormat="false" ht="14.25" hidden="false" customHeight="true" outlineLevel="0" collapsed="false">
      <c r="A460" s="51"/>
      <c r="B460" s="51"/>
      <c r="C460" s="51"/>
      <c r="D460" s="52"/>
      <c r="E460" s="51"/>
      <c r="F460" s="51"/>
      <c r="G460" s="52"/>
      <c r="H460" s="52"/>
      <c r="I460" s="52"/>
      <c r="J460" s="47"/>
      <c r="K460" s="47"/>
      <c r="L460" s="47"/>
      <c r="M460" s="47"/>
      <c r="N460" s="47"/>
      <c r="O460" s="47"/>
    </row>
    <row r="461" customFormat="false" ht="14.25" hidden="false" customHeight="true" outlineLevel="0" collapsed="false">
      <c r="A461" s="51"/>
      <c r="B461" s="51"/>
      <c r="C461" s="51"/>
      <c r="D461" s="52"/>
      <c r="E461" s="51"/>
      <c r="F461" s="51"/>
      <c r="G461" s="52"/>
      <c r="H461" s="52"/>
      <c r="I461" s="52"/>
      <c r="J461" s="47"/>
      <c r="K461" s="47"/>
      <c r="L461" s="47"/>
      <c r="M461" s="47"/>
      <c r="N461" s="47"/>
      <c r="O461" s="47"/>
    </row>
    <row r="462" customFormat="false" ht="14.25" hidden="false" customHeight="true" outlineLevel="0" collapsed="false">
      <c r="A462" s="51"/>
      <c r="B462" s="51"/>
      <c r="C462" s="51"/>
      <c r="D462" s="52"/>
      <c r="E462" s="51"/>
      <c r="F462" s="51"/>
      <c r="G462" s="52"/>
      <c r="H462" s="52"/>
      <c r="I462" s="52"/>
      <c r="J462" s="47"/>
      <c r="K462" s="47"/>
      <c r="L462" s="47"/>
      <c r="M462" s="47"/>
      <c r="N462" s="47"/>
      <c r="O462" s="47"/>
    </row>
    <row r="463" customFormat="false" ht="14.25" hidden="false" customHeight="true" outlineLevel="0" collapsed="false">
      <c r="A463" s="51"/>
      <c r="B463" s="51"/>
      <c r="C463" s="51"/>
      <c r="D463" s="52"/>
      <c r="E463" s="51"/>
      <c r="F463" s="51"/>
      <c r="G463" s="52"/>
      <c r="H463" s="52"/>
      <c r="I463" s="52"/>
      <c r="J463" s="47"/>
      <c r="K463" s="47"/>
      <c r="L463" s="47"/>
      <c r="M463" s="47"/>
      <c r="N463" s="47"/>
      <c r="O463" s="47"/>
    </row>
    <row r="464" customFormat="false" ht="14.25" hidden="false" customHeight="true" outlineLevel="0" collapsed="false">
      <c r="A464" s="51"/>
      <c r="B464" s="51"/>
      <c r="C464" s="51"/>
      <c r="D464" s="52"/>
      <c r="E464" s="51"/>
      <c r="F464" s="51"/>
      <c r="G464" s="52"/>
      <c r="H464" s="52"/>
      <c r="I464" s="52"/>
      <c r="J464" s="47"/>
      <c r="K464" s="47"/>
      <c r="L464" s="47"/>
      <c r="M464" s="47"/>
      <c r="N464" s="47"/>
      <c r="O464" s="47"/>
    </row>
    <row r="465" customFormat="false" ht="14.25" hidden="false" customHeight="true" outlineLevel="0" collapsed="false">
      <c r="A465" s="51"/>
      <c r="B465" s="51"/>
      <c r="C465" s="51"/>
      <c r="D465" s="52"/>
      <c r="E465" s="51"/>
      <c r="F465" s="51"/>
      <c r="G465" s="52"/>
      <c r="H465" s="52"/>
      <c r="I465" s="52"/>
      <c r="J465" s="47"/>
      <c r="K465" s="47"/>
      <c r="L465" s="47"/>
      <c r="M465" s="47"/>
      <c r="N465" s="47"/>
      <c r="O465" s="47"/>
    </row>
    <row r="466" customFormat="false" ht="14.25" hidden="false" customHeight="true" outlineLevel="0" collapsed="false">
      <c r="A466" s="51"/>
      <c r="B466" s="51"/>
      <c r="C466" s="51"/>
      <c r="D466" s="52"/>
      <c r="E466" s="51"/>
      <c r="F466" s="51"/>
      <c r="G466" s="52"/>
      <c r="H466" s="52"/>
      <c r="I466" s="52"/>
      <c r="J466" s="47"/>
      <c r="K466" s="47"/>
      <c r="L466" s="47"/>
      <c r="M466" s="47"/>
      <c r="N466" s="47"/>
      <c r="O466" s="47"/>
    </row>
    <row r="467" customFormat="false" ht="14.25" hidden="false" customHeight="true" outlineLevel="0" collapsed="false">
      <c r="A467" s="51"/>
      <c r="B467" s="51"/>
      <c r="C467" s="51"/>
      <c r="D467" s="52"/>
      <c r="E467" s="51"/>
      <c r="F467" s="51"/>
      <c r="G467" s="52"/>
      <c r="H467" s="52"/>
      <c r="I467" s="52"/>
      <c r="J467" s="47"/>
      <c r="K467" s="47"/>
      <c r="L467" s="47"/>
      <c r="M467" s="47"/>
      <c r="N467" s="47"/>
      <c r="O467" s="47"/>
    </row>
    <row r="468" customFormat="false" ht="14.25" hidden="false" customHeight="true" outlineLevel="0" collapsed="false">
      <c r="A468" s="51"/>
      <c r="B468" s="51"/>
      <c r="C468" s="51"/>
      <c r="D468" s="52"/>
      <c r="E468" s="51"/>
      <c r="F468" s="51"/>
      <c r="G468" s="52"/>
      <c r="H468" s="52"/>
      <c r="I468" s="52"/>
      <c r="J468" s="47"/>
      <c r="K468" s="47"/>
      <c r="L468" s="47"/>
      <c r="M468" s="47"/>
      <c r="N468" s="47"/>
      <c r="O468" s="47"/>
    </row>
    <row r="469" customFormat="false" ht="14.25" hidden="false" customHeight="true" outlineLevel="0" collapsed="false">
      <c r="A469" s="51"/>
      <c r="B469" s="51"/>
      <c r="C469" s="51"/>
      <c r="D469" s="52"/>
      <c r="E469" s="51"/>
      <c r="F469" s="51"/>
      <c r="G469" s="52"/>
      <c r="H469" s="52"/>
      <c r="I469" s="52"/>
      <c r="J469" s="47"/>
      <c r="K469" s="47"/>
      <c r="L469" s="47"/>
      <c r="M469" s="47"/>
      <c r="N469" s="47"/>
      <c r="O469" s="47"/>
    </row>
    <row r="470" customFormat="false" ht="14.25" hidden="false" customHeight="true" outlineLevel="0" collapsed="false">
      <c r="A470" s="51"/>
      <c r="B470" s="51"/>
      <c r="C470" s="51"/>
      <c r="D470" s="52"/>
      <c r="E470" s="51"/>
      <c r="F470" s="51"/>
      <c r="G470" s="52"/>
      <c r="H470" s="52"/>
      <c r="I470" s="52"/>
      <c r="J470" s="47"/>
      <c r="K470" s="47"/>
      <c r="L470" s="47"/>
      <c r="M470" s="47"/>
      <c r="N470" s="47"/>
      <c r="O470" s="47"/>
    </row>
    <row r="471" customFormat="false" ht="14.25" hidden="false" customHeight="true" outlineLevel="0" collapsed="false">
      <c r="A471" s="51"/>
      <c r="B471" s="51"/>
      <c r="C471" s="51"/>
      <c r="D471" s="52"/>
      <c r="E471" s="51"/>
      <c r="F471" s="51"/>
      <c r="G471" s="52"/>
      <c r="H471" s="52"/>
      <c r="I471" s="52"/>
      <c r="J471" s="47"/>
      <c r="K471" s="47"/>
      <c r="L471" s="47"/>
      <c r="M471" s="47"/>
      <c r="N471" s="47"/>
      <c r="O471" s="47"/>
    </row>
    <row r="472" customFormat="false" ht="14.25" hidden="false" customHeight="true" outlineLevel="0" collapsed="false">
      <c r="A472" s="51"/>
      <c r="B472" s="51"/>
      <c r="C472" s="51"/>
      <c r="D472" s="52"/>
      <c r="E472" s="51"/>
      <c r="F472" s="51"/>
      <c r="G472" s="52"/>
      <c r="H472" s="52"/>
      <c r="I472" s="52"/>
      <c r="J472" s="47"/>
      <c r="K472" s="47"/>
      <c r="L472" s="47"/>
      <c r="M472" s="47"/>
      <c r="N472" s="47"/>
      <c r="O472" s="47"/>
    </row>
    <row r="473" customFormat="false" ht="14.25" hidden="false" customHeight="true" outlineLevel="0" collapsed="false">
      <c r="A473" s="51"/>
      <c r="B473" s="51"/>
      <c r="C473" s="51"/>
      <c r="D473" s="52"/>
      <c r="E473" s="51"/>
      <c r="F473" s="51"/>
      <c r="G473" s="52"/>
      <c r="H473" s="52"/>
      <c r="I473" s="52"/>
      <c r="J473" s="47"/>
      <c r="K473" s="47"/>
      <c r="L473" s="47"/>
      <c r="M473" s="47"/>
      <c r="N473" s="47"/>
      <c r="O473" s="47"/>
    </row>
    <row r="474" customFormat="false" ht="14.25" hidden="false" customHeight="true" outlineLevel="0" collapsed="false">
      <c r="A474" s="51"/>
      <c r="B474" s="51"/>
      <c r="C474" s="51"/>
      <c r="D474" s="52"/>
      <c r="E474" s="51"/>
      <c r="F474" s="51"/>
      <c r="G474" s="52"/>
      <c r="H474" s="52"/>
      <c r="I474" s="52"/>
      <c r="J474" s="47"/>
      <c r="K474" s="47"/>
      <c r="L474" s="47"/>
      <c r="M474" s="47"/>
      <c r="N474" s="47"/>
      <c r="O474" s="47"/>
    </row>
    <row r="475" customFormat="false" ht="14.25" hidden="false" customHeight="true" outlineLevel="0" collapsed="false">
      <c r="A475" s="51"/>
      <c r="B475" s="51"/>
      <c r="C475" s="51"/>
      <c r="D475" s="52"/>
      <c r="E475" s="51"/>
      <c r="F475" s="51"/>
      <c r="G475" s="52"/>
      <c r="H475" s="52"/>
      <c r="I475" s="52"/>
      <c r="J475" s="47"/>
      <c r="K475" s="47"/>
      <c r="L475" s="47"/>
      <c r="M475" s="47"/>
      <c r="N475" s="47"/>
      <c r="O475" s="47"/>
    </row>
    <row r="476" customFormat="false" ht="14.25" hidden="false" customHeight="true" outlineLevel="0" collapsed="false">
      <c r="A476" s="51"/>
      <c r="B476" s="51"/>
      <c r="C476" s="51"/>
      <c r="D476" s="52"/>
      <c r="E476" s="51"/>
      <c r="F476" s="51"/>
      <c r="G476" s="52"/>
      <c r="H476" s="52"/>
      <c r="I476" s="52"/>
      <c r="J476" s="47"/>
      <c r="K476" s="47"/>
      <c r="L476" s="47"/>
      <c r="M476" s="47"/>
      <c r="N476" s="47"/>
      <c r="O476" s="47"/>
    </row>
    <row r="477" customFormat="false" ht="14.25" hidden="false" customHeight="true" outlineLevel="0" collapsed="false">
      <c r="A477" s="51"/>
      <c r="B477" s="51"/>
      <c r="C477" s="51"/>
      <c r="D477" s="52"/>
      <c r="E477" s="51"/>
      <c r="F477" s="51"/>
      <c r="G477" s="52"/>
      <c r="H477" s="52"/>
      <c r="I477" s="52"/>
      <c r="J477" s="47"/>
      <c r="K477" s="47"/>
      <c r="L477" s="47"/>
      <c r="M477" s="47"/>
      <c r="N477" s="47"/>
      <c r="O477" s="47"/>
    </row>
    <row r="478" customFormat="false" ht="14.25" hidden="false" customHeight="true" outlineLevel="0" collapsed="false">
      <c r="A478" s="51"/>
      <c r="B478" s="51"/>
      <c r="C478" s="51"/>
      <c r="D478" s="52"/>
      <c r="E478" s="51"/>
      <c r="F478" s="51"/>
      <c r="G478" s="52"/>
      <c r="H478" s="52"/>
      <c r="I478" s="52"/>
      <c r="J478" s="47"/>
      <c r="K478" s="47"/>
      <c r="L478" s="47"/>
      <c r="M478" s="47"/>
      <c r="N478" s="47"/>
      <c r="O478" s="47"/>
    </row>
    <row r="479" customFormat="false" ht="14.25" hidden="false" customHeight="true" outlineLevel="0" collapsed="false">
      <c r="A479" s="51"/>
      <c r="B479" s="51"/>
      <c r="C479" s="51"/>
      <c r="D479" s="52"/>
      <c r="E479" s="51"/>
      <c r="F479" s="51"/>
      <c r="G479" s="52"/>
      <c r="H479" s="52"/>
      <c r="I479" s="52"/>
      <c r="J479" s="47"/>
      <c r="K479" s="47"/>
      <c r="L479" s="47"/>
      <c r="M479" s="47"/>
      <c r="N479" s="47"/>
      <c r="O479" s="47"/>
    </row>
    <row r="480" customFormat="false" ht="14.25" hidden="false" customHeight="true" outlineLevel="0" collapsed="false">
      <c r="A480" s="51"/>
      <c r="B480" s="51"/>
      <c r="C480" s="51"/>
      <c r="D480" s="52"/>
      <c r="E480" s="51"/>
      <c r="F480" s="51"/>
      <c r="G480" s="52"/>
      <c r="H480" s="52"/>
      <c r="I480" s="52"/>
      <c r="J480" s="47"/>
      <c r="K480" s="47"/>
      <c r="L480" s="47"/>
      <c r="M480" s="47"/>
      <c r="N480" s="47"/>
      <c r="O480" s="47"/>
    </row>
    <row r="481" customFormat="false" ht="14.25" hidden="false" customHeight="true" outlineLevel="0" collapsed="false">
      <c r="A481" s="51"/>
      <c r="B481" s="51"/>
      <c r="C481" s="51"/>
      <c r="D481" s="52"/>
      <c r="E481" s="51"/>
      <c r="F481" s="51"/>
      <c r="G481" s="52"/>
      <c r="H481" s="52"/>
      <c r="I481" s="52"/>
      <c r="J481" s="47"/>
      <c r="K481" s="47"/>
      <c r="L481" s="47"/>
      <c r="M481" s="47"/>
      <c r="N481" s="47"/>
      <c r="O481" s="47"/>
    </row>
    <row r="482" customFormat="false" ht="14.25" hidden="false" customHeight="true" outlineLevel="0" collapsed="false">
      <c r="A482" s="51"/>
      <c r="B482" s="51"/>
      <c r="C482" s="51"/>
      <c r="D482" s="52"/>
      <c r="E482" s="51"/>
      <c r="F482" s="51"/>
      <c r="G482" s="52"/>
      <c r="H482" s="52"/>
      <c r="I482" s="52"/>
      <c r="J482" s="47"/>
      <c r="K482" s="47"/>
      <c r="L482" s="47"/>
      <c r="M482" s="47"/>
      <c r="N482" s="47"/>
      <c r="O482" s="47"/>
    </row>
    <row r="483" customFormat="false" ht="14.25" hidden="false" customHeight="true" outlineLevel="0" collapsed="false">
      <c r="A483" s="51"/>
      <c r="B483" s="51"/>
      <c r="C483" s="51"/>
      <c r="D483" s="52"/>
      <c r="E483" s="51"/>
      <c r="F483" s="51"/>
      <c r="G483" s="52"/>
      <c r="H483" s="52"/>
      <c r="I483" s="52"/>
      <c r="J483" s="47"/>
      <c r="K483" s="47"/>
      <c r="L483" s="47"/>
      <c r="M483" s="47"/>
      <c r="N483" s="47"/>
      <c r="O483" s="47"/>
    </row>
    <row r="484" customFormat="false" ht="14.25" hidden="false" customHeight="true" outlineLevel="0" collapsed="false">
      <c r="A484" s="51"/>
      <c r="B484" s="51"/>
      <c r="C484" s="51"/>
      <c r="D484" s="52"/>
      <c r="E484" s="51"/>
      <c r="F484" s="51"/>
      <c r="G484" s="52"/>
      <c r="H484" s="52"/>
      <c r="I484" s="52"/>
      <c r="J484" s="47"/>
      <c r="K484" s="47"/>
      <c r="L484" s="47"/>
      <c r="M484" s="47"/>
      <c r="N484" s="47"/>
      <c r="O484" s="47"/>
    </row>
    <row r="485" customFormat="false" ht="14.25" hidden="false" customHeight="true" outlineLevel="0" collapsed="false">
      <c r="A485" s="51"/>
      <c r="B485" s="51"/>
      <c r="C485" s="51"/>
      <c r="D485" s="52"/>
      <c r="E485" s="51"/>
      <c r="F485" s="51"/>
      <c r="G485" s="52"/>
      <c r="H485" s="52"/>
      <c r="I485" s="52"/>
      <c r="J485" s="47"/>
      <c r="K485" s="47"/>
      <c r="L485" s="47"/>
      <c r="M485" s="47"/>
      <c r="N485" s="47"/>
      <c r="O485" s="47"/>
    </row>
    <row r="486" customFormat="false" ht="14.25" hidden="false" customHeight="true" outlineLevel="0" collapsed="false">
      <c r="A486" s="51"/>
      <c r="B486" s="51"/>
      <c r="C486" s="51"/>
      <c r="D486" s="52"/>
      <c r="E486" s="51"/>
      <c r="F486" s="51"/>
      <c r="G486" s="52"/>
      <c r="H486" s="52"/>
      <c r="I486" s="52"/>
      <c r="J486" s="47"/>
      <c r="K486" s="47"/>
      <c r="L486" s="47"/>
      <c r="M486" s="47"/>
      <c r="N486" s="47"/>
      <c r="O486" s="47"/>
    </row>
    <row r="487" customFormat="false" ht="14.25" hidden="false" customHeight="true" outlineLevel="0" collapsed="false">
      <c r="A487" s="51"/>
      <c r="B487" s="51"/>
      <c r="C487" s="51"/>
      <c r="D487" s="52"/>
      <c r="E487" s="51"/>
      <c r="F487" s="51"/>
      <c r="G487" s="52"/>
      <c r="H487" s="52"/>
      <c r="I487" s="52"/>
      <c r="J487" s="47"/>
      <c r="K487" s="47"/>
      <c r="L487" s="47"/>
      <c r="M487" s="47"/>
      <c r="N487" s="47"/>
      <c r="O487" s="47"/>
    </row>
    <row r="488" customFormat="false" ht="14.25" hidden="false" customHeight="true" outlineLevel="0" collapsed="false">
      <c r="A488" s="51"/>
      <c r="B488" s="51"/>
      <c r="C488" s="51"/>
      <c r="D488" s="52"/>
      <c r="E488" s="51"/>
      <c r="F488" s="51"/>
      <c r="G488" s="52"/>
      <c r="H488" s="52"/>
      <c r="I488" s="52"/>
      <c r="J488" s="47"/>
      <c r="K488" s="47"/>
      <c r="L488" s="47"/>
      <c r="M488" s="47"/>
      <c r="N488" s="47"/>
      <c r="O488" s="47"/>
    </row>
    <row r="489" customFormat="false" ht="14.25" hidden="false" customHeight="true" outlineLevel="0" collapsed="false">
      <c r="A489" s="51"/>
      <c r="B489" s="51"/>
      <c r="C489" s="51"/>
      <c r="D489" s="52"/>
      <c r="E489" s="51"/>
      <c r="F489" s="51"/>
      <c r="G489" s="52"/>
      <c r="H489" s="52"/>
      <c r="I489" s="52"/>
      <c r="J489" s="47"/>
      <c r="K489" s="47"/>
      <c r="L489" s="47"/>
      <c r="M489" s="47"/>
      <c r="N489" s="47"/>
      <c r="O489" s="47"/>
    </row>
    <row r="490" customFormat="false" ht="14.25" hidden="false" customHeight="true" outlineLevel="0" collapsed="false">
      <c r="A490" s="51"/>
      <c r="B490" s="51"/>
      <c r="C490" s="51"/>
      <c r="D490" s="52"/>
      <c r="E490" s="51"/>
      <c r="F490" s="51"/>
      <c r="G490" s="52"/>
      <c r="H490" s="52"/>
      <c r="I490" s="52"/>
      <c r="J490" s="47"/>
      <c r="K490" s="47"/>
      <c r="L490" s="47"/>
      <c r="M490" s="47"/>
      <c r="N490" s="47"/>
      <c r="O490" s="47"/>
    </row>
    <row r="491" customFormat="false" ht="14.25" hidden="false" customHeight="true" outlineLevel="0" collapsed="false">
      <c r="A491" s="51"/>
      <c r="B491" s="51"/>
      <c r="C491" s="51"/>
      <c r="D491" s="52"/>
      <c r="E491" s="51"/>
      <c r="F491" s="51"/>
      <c r="G491" s="52"/>
      <c r="H491" s="52"/>
      <c r="I491" s="52"/>
      <c r="J491" s="47"/>
      <c r="K491" s="47"/>
      <c r="L491" s="47"/>
      <c r="M491" s="47"/>
      <c r="N491" s="47"/>
      <c r="O491" s="47"/>
    </row>
    <row r="492" customFormat="false" ht="14.25" hidden="false" customHeight="true" outlineLevel="0" collapsed="false">
      <c r="A492" s="51"/>
      <c r="B492" s="51"/>
      <c r="C492" s="51"/>
      <c r="D492" s="52"/>
      <c r="E492" s="51"/>
      <c r="F492" s="51"/>
      <c r="G492" s="52"/>
      <c r="H492" s="52"/>
      <c r="I492" s="52"/>
      <c r="J492" s="47"/>
      <c r="K492" s="47"/>
      <c r="L492" s="47"/>
      <c r="M492" s="47"/>
      <c r="N492" s="47"/>
      <c r="O492" s="47"/>
    </row>
    <row r="493" customFormat="false" ht="14.25" hidden="false" customHeight="true" outlineLevel="0" collapsed="false">
      <c r="A493" s="51"/>
      <c r="B493" s="51"/>
      <c r="C493" s="51"/>
      <c r="D493" s="52"/>
      <c r="E493" s="51"/>
      <c r="F493" s="51"/>
      <c r="G493" s="52"/>
      <c r="H493" s="52"/>
      <c r="I493" s="52"/>
      <c r="J493" s="47"/>
      <c r="K493" s="47"/>
      <c r="L493" s="47"/>
      <c r="M493" s="47"/>
      <c r="N493" s="47"/>
      <c r="O493" s="47"/>
    </row>
    <row r="494" customFormat="false" ht="14.25" hidden="false" customHeight="true" outlineLevel="0" collapsed="false">
      <c r="A494" s="51"/>
      <c r="B494" s="51"/>
      <c r="C494" s="51"/>
      <c r="D494" s="52"/>
      <c r="E494" s="51"/>
      <c r="F494" s="51"/>
      <c r="G494" s="52"/>
      <c r="H494" s="52"/>
      <c r="I494" s="52"/>
      <c r="J494" s="47"/>
      <c r="K494" s="47"/>
      <c r="L494" s="47"/>
      <c r="M494" s="47"/>
      <c r="N494" s="47"/>
      <c r="O494" s="47"/>
    </row>
    <row r="495" customFormat="false" ht="14.25" hidden="false" customHeight="true" outlineLevel="0" collapsed="false">
      <c r="A495" s="51"/>
      <c r="B495" s="51"/>
      <c r="C495" s="51"/>
      <c r="D495" s="52"/>
      <c r="E495" s="51"/>
      <c r="F495" s="51"/>
      <c r="G495" s="52"/>
      <c r="H495" s="52"/>
      <c r="I495" s="52"/>
      <c r="J495" s="47"/>
      <c r="K495" s="47"/>
      <c r="L495" s="47"/>
      <c r="M495" s="47"/>
      <c r="N495" s="47"/>
      <c r="O495" s="47"/>
    </row>
    <row r="496" customFormat="false" ht="14.25" hidden="false" customHeight="true" outlineLevel="0" collapsed="false">
      <c r="A496" s="51"/>
      <c r="B496" s="51"/>
      <c r="C496" s="51"/>
      <c r="D496" s="52"/>
      <c r="E496" s="51"/>
      <c r="F496" s="51"/>
      <c r="G496" s="52"/>
      <c r="H496" s="52"/>
      <c r="I496" s="52"/>
      <c r="J496" s="47"/>
      <c r="K496" s="47"/>
      <c r="L496" s="47"/>
      <c r="M496" s="47"/>
      <c r="N496" s="47"/>
      <c r="O496" s="47"/>
    </row>
    <row r="497" customFormat="false" ht="14.25" hidden="false" customHeight="true" outlineLevel="0" collapsed="false">
      <c r="A497" s="51"/>
      <c r="B497" s="51"/>
      <c r="C497" s="51"/>
      <c r="D497" s="52"/>
      <c r="E497" s="51"/>
      <c r="F497" s="51"/>
      <c r="G497" s="52"/>
      <c r="H497" s="52"/>
      <c r="I497" s="52"/>
      <c r="J497" s="47"/>
      <c r="K497" s="47"/>
      <c r="L497" s="47"/>
      <c r="M497" s="47"/>
      <c r="N497" s="47"/>
      <c r="O497" s="47"/>
    </row>
    <row r="498" customFormat="false" ht="14.25" hidden="false" customHeight="true" outlineLevel="0" collapsed="false">
      <c r="A498" s="51"/>
      <c r="B498" s="51"/>
      <c r="C498" s="51"/>
      <c r="D498" s="52"/>
      <c r="E498" s="51"/>
      <c r="F498" s="51"/>
      <c r="G498" s="52"/>
      <c r="H498" s="52"/>
      <c r="I498" s="52"/>
      <c r="J498" s="47"/>
      <c r="K498" s="47"/>
      <c r="L498" s="47"/>
      <c r="M498" s="47"/>
      <c r="N498" s="47"/>
      <c r="O498" s="47"/>
    </row>
    <row r="499" customFormat="false" ht="14.25" hidden="false" customHeight="true" outlineLevel="0" collapsed="false">
      <c r="A499" s="51"/>
      <c r="B499" s="51"/>
      <c r="C499" s="51"/>
      <c r="D499" s="52"/>
      <c r="E499" s="51"/>
      <c r="F499" s="51"/>
      <c r="G499" s="52"/>
      <c r="H499" s="52"/>
      <c r="I499" s="52"/>
      <c r="J499" s="47"/>
      <c r="K499" s="47"/>
      <c r="L499" s="47"/>
      <c r="M499" s="47"/>
      <c r="N499" s="47"/>
      <c r="O499" s="47"/>
    </row>
    <row r="500" customFormat="false" ht="14.25" hidden="false" customHeight="true" outlineLevel="0" collapsed="false">
      <c r="A500" s="51"/>
      <c r="B500" s="51"/>
      <c r="C500" s="51"/>
      <c r="D500" s="52"/>
      <c r="E500" s="51"/>
      <c r="F500" s="51"/>
      <c r="G500" s="52"/>
      <c r="H500" s="52"/>
      <c r="I500" s="52"/>
      <c r="J500" s="47"/>
      <c r="K500" s="47"/>
      <c r="L500" s="47"/>
      <c r="M500" s="47"/>
      <c r="N500" s="47"/>
      <c r="O500" s="47"/>
    </row>
    <row r="501" customFormat="false" ht="14.25" hidden="false" customHeight="true" outlineLevel="0" collapsed="false">
      <c r="A501" s="51"/>
      <c r="B501" s="51"/>
      <c r="C501" s="51"/>
      <c r="D501" s="52"/>
      <c r="E501" s="51"/>
      <c r="F501" s="51"/>
      <c r="G501" s="52"/>
      <c r="H501" s="52"/>
      <c r="I501" s="52"/>
      <c r="J501" s="47"/>
      <c r="K501" s="47"/>
      <c r="L501" s="47"/>
      <c r="M501" s="47"/>
      <c r="N501" s="47"/>
      <c r="O501" s="47"/>
    </row>
    <row r="502" customFormat="false" ht="14.25" hidden="false" customHeight="true" outlineLevel="0" collapsed="false">
      <c r="A502" s="51"/>
      <c r="B502" s="51"/>
      <c r="C502" s="51"/>
      <c r="D502" s="52"/>
      <c r="E502" s="51"/>
      <c r="F502" s="51"/>
      <c r="G502" s="52"/>
      <c r="H502" s="52"/>
      <c r="I502" s="52"/>
      <c r="J502" s="47"/>
      <c r="K502" s="47"/>
      <c r="L502" s="47"/>
      <c r="M502" s="47"/>
      <c r="N502" s="47"/>
      <c r="O502" s="47"/>
    </row>
    <row r="503" customFormat="false" ht="14.25" hidden="false" customHeight="true" outlineLevel="0" collapsed="false">
      <c r="A503" s="51"/>
      <c r="B503" s="51"/>
      <c r="C503" s="51"/>
      <c r="D503" s="52"/>
      <c r="E503" s="51"/>
      <c r="F503" s="51"/>
      <c r="G503" s="52"/>
      <c r="H503" s="52"/>
      <c r="I503" s="52"/>
      <c r="J503" s="47"/>
      <c r="K503" s="47"/>
      <c r="L503" s="47"/>
      <c r="M503" s="47"/>
      <c r="N503" s="47"/>
      <c r="O503" s="47"/>
    </row>
    <row r="504" customFormat="false" ht="14.25" hidden="false" customHeight="true" outlineLevel="0" collapsed="false">
      <c r="A504" s="51"/>
      <c r="B504" s="51"/>
      <c r="C504" s="51"/>
      <c r="D504" s="52"/>
      <c r="E504" s="51"/>
      <c r="F504" s="51"/>
      <c r="G504" s="52"/>
      <c r="H504" s="52"/>
      <c r="I504" s="52"/>
      <c r="J504" s="47"/>
      <c r="K504" s="47"/>
      <c r="L504" s="47"/>
      <c r="M504" s="47"/>
      <c r="N504" s="47"/>
      <c r="O504" s="47"/>
    </row>
    <row r="505" customFormat="false" ht="14.25" hidden="false" customHeight="true" outlineLevel="0" collapsed="false">
      <c r="A505" s="51"/>
      <c r="B505" s="51"/>
      <c r="C505" s="51"/>
      <c r="D505" s="52"/>
      <c r="E505" s="51"/>
      <c r="F505" s="51"/>
      <c r="G505" s="52"/>
      <c r="H505" s="52"/>
      <c r="I505" s="52"/>
      <c r="J505" s="47"/>
      <c r="K505" s="47"/>
      <c r="L505" s="47"/>
      <c r="M505" s="47"/>
      <c r="N505" s="47"/>
      <c r="O505" s="47"/>
    </row>
    <row r="506" customFormat="false" ht="14.25" hidden="false" customHeight="true" outlineLevel="0" collapsed="false">
      <c r="A506" s="51"/>
      <c r="B506" s="51"/>
      <c r="C506" s="51"/>
      <c r="D506" s="52"/>
      <c r="E506" s="51"/>
      <c r="F506" s="51"/>
      <c r="G506" s="52"/>
      <c r="H506" s="52"/>
      <c r="I506" s="52"/>
      <c r="J506" s="47"/>
      <c r="K506" s="47"/>
      <c r="L506" s="47"/>
      <c r="M506" s="47"/>
      <c r="N506" s="47"/>
      <c r="O506" s="47"/>
    </row>
    <row r="507" customFormat="false" ht="14.25" hidden="false" customHeight="true" outlineLevel="0" collapsed="false">
      <c r="A507" s="51"/>
      <c r="B507" s="51"/>
      <c r="C507" s="51"/>
      <c r="D507" s="52"/>
      <c r="E507" s="51"/>
      <c r="F507" s="51"/>
      <c r="G507" s="52"/>
      <c r="H507" s="52"/>
      <c r="I507" s="52"/>
      <c r="J507" s="47"/>
      <c r="K507" s="47"/>
      <c r="L507" s="47"/>
      <c r="M507" s="47"/>
      <c r="N507" s="47"/>
      <c r="O507" s="47"/>
    </row>
    <row r="508" customFormat="false" ht="14.25" hidden="false" customHeight="true" outlineLevel="0" collapsed="false">
      <c r="A508" s="51"/>
      <c r="B508" s="51"/>
      <c r="C508" s="51"/>
      <c r="D508" s="52"/>
      <c r="E508" s="51"/>
      <c r="F508" s="51"/>
      <c r="G508" s="52"/>
      <c r="H508" s="52"/>
      <c r="I508" s="52"/>
      <c r="J508" s="47"/>
      <c r="K508" s="47"/>
      <c r="L508" s="47"/>
      <c r="M508" s="47"/>
      <c r="N508" s="47"/>
      <c r="O508" s="47"/>
    </row>
    <row r="509" customFormat="false" ht="14.25" hidden="false" customHeight="true" outlineLevel="0" collapsed="false">
      <c r="A509" s="51"/>
      <c r="B509" s="51"/>
      <c r="C509" s="51"/>
      <c r="D509" s="52"/>
      <c r="E509" s="51"/>
      <c r="F509" s="51"/>
      <c r="G509" s="52"/>
      <c r="H509" s="52"/>
      <c r="I509" s="52"/>
      <c r="J509" s="47"/>
      <c r="K509" s="47"/>
      <c r="L509" s="47"/>
      <c r="M509" s="47"/>
      <c r="N509" s="47"/>
      <c r="O509" s="47"/>
    </row>
    <row r="510" customFormat="false" ht="14.25" hidden="false" customHeight="true" outlineLevel="0" collapsed="false">
      <c r="A510" s="51"/>
      <c r="B510" s="51"/>
      <c r="C510" s="51"/>
      <c r="D510" s="52"/>
      <c r="E510" s="51"/>
      <c r="F510" s="51"/>
      <c r="G510" s="52"/>
      <c r="H510" s="52"/>
      <c r="I510" s="52"/>
      <c r="J510" s="47"/>
      <c r="K510" s="47"/>
      <c r="L510" s="47"/>
      <c r="M510" s="47"/>
      <c r="N510" s="47"/>
      <c r="O510" s="47"/>
    </row>
    <row r="511" customFormat="false" ht="14.25" hidden="false" customHeight="true" outlineLevel="0" collapsed="false">
      <c r="A511" s="51"/>
      <c r="B511" s="51"/>
      <c r="C511" s="51"/>
      <c r="D511" s="52"/>
      <c r="E511" s="51"/>
      <c r="F511" s="51"/>
      <c r="G511" s="52"/>
      <c r="H511" s="52"/>
      <c r="I511" s="52"/>
      <c r="J511" s="47"/>
      <c r="K511" s="47"/>
      <c r="L511" s="47"/>
      <c r="M511" s="47"/>
      <c r="N511" s="47"/>
      <c r="O511" s="47"/>
    </row>
    <row r="512" customFormat="false" ht="14.25" hidden="false" customHeight="true" outlineLevel="0" collapsed="false">
      <c r="A512" s="51"/>
      <c r="B512" s="51"/>
      <c r="C512" s="51"/>
      <c r="D512" s="52"/>
      <c r="E512" s="51"/>
      <c r="F512" s="51"/>
      <c r="G512" s="52"/>
      <c r="H512" s="52"/>
      <c r="I512" s="52"/>
      <c r="J512" s="47"/>
      <c r="K512" s="47"/>
      <c r="L512" s="47"/>
      <c r="M512" s="47"/>
      <c r="N512" s="47"/>
      <c r="O512" s="47"/>
    </row>
    <row r="513" customFormat="false" ht="14.25" hidden="false" customHeight="true" outlineLevel="0" collapsed="false">
      <c r="A513" s="51"/>
      <c r="B513" s="51"/>
      <c r="C513" s="51"/>
      <c r="D513" s="52"/>
      <c r="E513" s="51"/>
      <c r="F513" s="51"/>
      <c r="G513" s="52"/>
      <c r="H513" s="52"/>
      <c r="I513" s="52"/>
      <c r="J513" s="47"/>
      <c r="K513" s="47"/>
      <c r="L513" s="47"/>
      <c r="M513" s="47"/>
      <c r="N513" s="47"/>
      <c r="O513" s="47"/>
    </row>
    <row r="514" customFormat="false" ht="14.25" hidden="false" customHeight="true" outlineLevel="0" collapsed="false">
      <c r="A514" s="51"/>
      <c r="B514" s="51"/>
      <c r="C514" s="51"/>
      <c r="D514" s="52"/>
      <c r="E514" s="51"/>
      <c r="F514" s="51"/>
      <c r="G514" s="52"/>
      <c r="H514" s="52"/>
      <c r="I514" s="52"/>
      <c r="J514" s="47"/>
      <c r="K514" s="47"/>
      <c r="L514" s="47"/>
      <c r="M514" s="47"/>
      <c r="N514" s="47"/>
      <c r="O514" s="47"/>
    </row>
    <row r="515" customFormat="false" ht="14.25" hidden="false" customHeight="true" outlineLevel="0" collapsed="false">
      <c r="A515" s="51"/>
      <c r="B515" s="51"/>
      <c r="C515" s="51"/>
      <c r="D515" s="52"/>
      <c r="E515" s="51"/>
      <c r="F515" s="51"/>
      <c r="G515" s="52"/>
      <c r="H515" s="52"/>
      <c r="I515" s="52"/>
      <c r="J515" s="47"/>
      <c r="K515" s="47"/>
      <c r="L515" s="47"/>
      <c r="M515" s="47"/>
      <c r="N515" s="47"/>
      <c r="O515" s="47"/>
    </row>
    <row r="516" customFormat="false" ht="14.25" hidden="false" customHeight="true" outlineLevel="0" collapsed="false">
      <c r="A516" s="51"/>
      <c r="B516" s="51"/>
      <c r="C516" s="51"/>
      <c r="D516" s="52"/>
      <c r="E516" s="51"/>
      <c r="F516" s="51"/>
      <c r="G516" s="52"/>
      <c r="H516" s="52"/>
      <c r="I516" s="52"/>
      <c r="J516" s="47"/>
      <c r="K516" s="47"/>
      <c r="L516" s="47"/>
      <c r="M516" s="47"/>
      <c r="N516" s="47"/>
      <c r="O516" s="47"/>
    </row>
    <row r="517" customFormat="false" ht="14.25" hidden="false" customHeight="true" outlineLevel="0" collapsed="false">
      <c r="A517" s="51"/>
      <c r="B517" s="51"/>
      <c r="C517" s="51"/>
      <c r="D517" s="52"/>
      <c r="E517" s="51"/>
      <c r="F517" s="51"/>
      <c r="G517" s="52"/>
      <c r="H517" s="52"/>
      <c r="I517" s="52"/>
      <c r="J517" s="47"/>
      <c r="K517" s="47"/>
      <c r="L517" s="47"/>
      <c r="M517" s="47"/>
      <c r="N517" s="47"/>
      <c r="O517" s="47"/>
    </row>
    <row r="518" customFormat="false" ht="14.25" hidden="false" customHeight="true" outlineLevel="0" collapsed="false">
      <c r="A518" s="51"/>
      <c r="B518" s="51"/>
      <c r="C518" s="51"/>
      <c r="D518" s="52"/>
      <c r="E518" s="51"/>
      <c r="F518" s="51"/>
      <c r="G518" s="52"/>
      <c r="H518" s="52"/>
      <c r="I518" s="52"/>
      <c r="J518" s="47"/>
      <c r="K518" s="47"/>
      <c r="L518" s="47"/>
      <c r="M518" s="47"/>
      <c r="N518" s="47"/>
      <c r="O518" s="47"/>
    </row>
    <row r="519" customFormat="false" ht="14.25" hidden="false" customHeight="true" outlineLevel="0" collapsed="false">
      <c r="A519" s="51"/>
      <c r="B519" s="51"/>
      <c r="C519" s="51"/>
      <c r="D519" s="52"/>
      <c r="E519" s="51"/>
      <c r="F519" s="51"/>
      <c r="G519" s="52"/>
      <c r="H519" s="52"/>
      <c r="I519" s="52"/>
      <c r="J519" s="47"/>
      <c r="K519" s="47"/>
      <c r="L519" s="47"/>
      <c r="M519" s="47"/>
      <c r="N519" s="47"/>
      <c r="O519" s="47"/>
    </row>
    <row r="520" customFormat="false" ht="14.25" hidden="false" customHeight="true" outlineLevel="0" collapsed="false">
      <c r="A520" s="51"/>
      <c r="B520" s="51"/>
      <c r="C520" s="51"/>
      <c r="D520" s="52"/>
      <c r="E520" s="51"/>
      <c r="F520" s="51"/>
      <c r="G520" s="52"/>
      <c r="H520" s="52"/>
      <c r="I520" s="52"/>
      <c r="J520" s="47"/>
      <c r="K520" s="47"/>
      <c r="L520" s="47"/>
      <c r="M520" s="47"/>
      <c r="N520" s="47"/>
      <c r="O520" s="47"/>
    </row>
    <row r="521" customFormat="false" ht="14.25" hidden="false" customHeight="true" outlineLevel="0" collapsed="false">
      <c r="A521" s="51"/>
      <c r="B521" s="51"/>
      <c r="C521" s="51"/>
      <c r="D521" s="52"/>
      <c r="E521" s="51"/>
      <c r="F521" s="51"/>
      <c r="G521" s="52"/>
      <c r="H521" s="52"/>
      <c r="I521" s="52"/>
      <c r="J521" s="47"/>
      <c r="K521" s="47"/>
      <c r="L521" s="47"/>
      <c r="M521" s="47"/>
      <c r="N521" s="47"/>
      <c r="O521" s="47"/>
    </row>
    <row r="522" customFormat="false" ht="14.25" hidden="false" customHeight="true" outlineLevel="0" collapsed="false">
      <c r="A522" s="51"/>
      <c r="B522" s="51"/>
      <c r="C522" s="51"/>
      <c r="D522" s="52"/>
      <c r="E522" s="51"/>
      <c r="F522" s="51"/>
      <c r="G522" s="52"/>
      <c r="H522" s="52"/>
      <c r="I522" s="52"/>
      <c r="J522" s="47"/>
      <c r="K522" s="47"/>
      <c r="L522" s="47"/>
      <c r="M522" s="47"/>
      <c r="N522" s="47"/>
      <c r="O522" s="47"/>
    </row>
    <row r="523" customFormat="false" ht="14.25" hidden="false" customHeight="true" outlineLevel="0" collapsed="false">
      <c r="A523" s="51"/>
      <c r="B523" s="51"/>
      <c r="C523" s="51"/>
      <c r="D523" s="52"/>
      <c r="E523" s="51"/>
      <c r="F523" s="51"/>
      <c r="G523" s="52"/>
      <c r="H523" s="52"/>
      <c r="I523" s="52"/>
      <c r="J523" s="47"/>
      <c r="K523" s="47"/>
      <c r="L523" s="47"/>
      <c r="M523" s="47"/>
      <c r="N523" s="47"/>
      <c r="O523" s="47"/>
    </row>
    <row r="524" customFormat="false" ht="14.25" hidden="false" customHeight="true" outlineLevel="0" collapsed="false">
      <c r="A524" s="51"/>
      <c r="B524" s="51"/>
      <c r="C524" s="51"/>
      <c r="D524" s="52"/>
      <c r="E524" s="51"/>
      <c r="F524" s="51"/>
      <c r="G524" s="52"/>
      <c r="H524" s="52"/>
      <c r="I524" s="52"/>
      <c r="J524" s="47"/>
      <c r="K524" s="47"/>
      <c r="L524" s="47"/>
      <c r="M524" s="47"/>
      <c r="N524" s="47"/>
      <c r="O524" s="47"/>
    </row>
    <row r="525" customFormat="false" ht="14.25" hidden="false" customHeight="true" outlineLevel="0" collapsed="false">
      <c r="A525" s="51"/>
      <c r="B525" s="51"/>
      <c r="C525" s="51"/>
      <c r="D525" s="52"/>
      <c r="E525" s="51"/>
      <c r="F525" s="51"/>
      <c r="G525" s="52"/>
      <c r="H525" s="52"/>
      <c r="I525" s="52"/>
      <c r="J525" s="47"/>
      <c r="K525" s="47"/>
      <c r="L525" s="47"/>
      <c r="M525" s="47"/>
      <c r="N525" s="47"/>
      <c r="O525" s="47"/>
    </row>
    <row r="526" customFormat="false" ht="14.25" hidden="false" customHeight="true" outlineLevel="0" collapsed="false">
      <c r="A526" s="51"/>
      <c r="B526" s="51"/>
      <c r="C526" s="51"/>
      <c r="D526" s="52"/>
      <c r="E526" s="51"/>
      <c r="F526" s="51"/>
      <c r="G526" s="52"/>
      <c r="H526" s="52"/>
      <c r="I526" s="52"/>
      <c r="J526" s="47"/>
      <c r="K526" s="47"/>
      <c r="L526" s="47"/>
      <c r="M526" s="47"/>
      <c r="N526" s="47"/>
      <c r="O526" s="47"/>
    </row>
    <row r="527" customFormat="false" ht="14.25" hidden="false" customHeight="true" outlineLevel="0" collapsed="false">
      <c r="A527" s="51"/>
      <c r="B527" s="51"/>
      <c r="C527" s="51"/>
      <c r="D527" s="52"/>
      <c r="E527" s="51"/>
      <c r="F527" s="51"/>
      <c r="G527" s="52"/>
      <c r="H527" s="52"/>
      <c r="I527" s="52"/>
      <c r="J527" s="47"/>
      <c r="K527" s="47"/>
      <c r="L527" s="47"/>
      <c r="M527" s="47"/>
      <c r="N527" s="47"/>
      <c r="O527" s="47"/>
    </row>
    <row r="528" customFormat="false" ht="14.25" hidden="false" customHeight="true" outlineLevel="0" collapsed="false">
      <c r="A528" s="51"/>
      <c r="B528" s="51"/>
      <c r="C528" s="51"/>
      <c r="D528" s="52"/>
      <c r="E528" s="51"/>
      <c r="F528" s="51"/>
      <c r="G528" s="52"/>
      <c r="H528" s="52"/>
      <c r="I528" s="52"/>
      <c r="J528" s="47"/>
      <c r="K528" s="47"/>
      <c r="L528" s="47"/>
      <c r="M528" s="47"/>
      <c r="N528" s="47"/>
      <c r="O528" s="47"/>
    </row>
    <row r="529" customFormat="false" ht="14.25" hidden="false" customHeight="true" outlineLevel="0" collapsed="false">
      <c r="A529" s="51"/>
      <c r="B529" s="51"/>
      <c r="C529" s="51"/>
      <c r="D529" s="52"/>
      <c r="E529" s="51"/>
      <c r="F529" s="51"/>
      <c r="G529" s="52"/>
      <c r="H529" s="52"/>
      <c r="I529" s="52"/>
      <c r="J529" s="47"/>
      <c r="K529" s="47"/>
      <c r="L529" s="47"/>
      <c r="M529" s="47"/>
      <c r="N529" s="47"/>
      <c r="O529" s="47"/>
    </row>
    <row r="530" customFormat="false" ht="14.25" hidden="false" customHeight="true" outlineLevel="0" collapsed="false">
      <c r="A530" s="51"/>
      <c r="B530" s="51"/>
      <c r="C530" s="51"/>
      <c r="D530" s="52"/>
      <c r="E530" s="51"/>
      <c r="F530" s="51"/>
      <c r="G530" s="52"/>
      <c r="H530" s="52"/>
      <c r="I530" s="52"/>
      <c r="J530" s="47"/>
      <c r="K530" s="47"/>
      <c r="L530" s="47"/>
      <c r="M530" s="47"/>
      <c r="N530" s="47"/>
      <c r="O530" s="47"/>
    </row>
    <row r="531" customFormat="false" ht="14.25" hidden="false" customHeight="true" outlineLevel="0" collapsed="false">
      <c r="A531" s="51"/>
      <c r="B531" s="51"/>
      <c r="C531" s="51"/>
      <c r="D531" s="52"/>
      <c r="E531" s="51"/>
      <c r="F531" s="51"/>
      <c r="G531" s="52"/>
      <c r="H531" s="52"/>
      <c r="I531" s="52"/>
      <c r="J531" s="47"/>
      <c r="K531" s="47"/>
      <c r="L531" s="47"/>
      <c r="M531" s="47"/>
      <c r="N531" s="47"/>
      <c r="O531" s="47"/>
    </row>
    <row r="532" customFormat="false" ht="14.25" hidden="false" customHeight="true" outlineLevel="0" collapsed="false">
      <c r="A532" s="51"/>
      <c r="B532" s="51"/>
      <c r="C532" s="51"/>
      <c r="D532" s="52"/>
      <c r="E532" s="51"/>
      <c r="F532" s="51"/>
      <c r="G532" s="52"/>
      <c r="H532" s="52"/>
      <c r="I532" s="52"/>
      <c r="J532" s="47"/>
      <c r="K532" s="47"/>
      <c r="L532" s="47"/>
      <c r="M532" s="47"/>
      <c r="N532" s="47"/>
      <c r="O532" s="47"/>
    </row>
    <row r="533" customFormat="false" ht="14.25" hidden="false" customHeight="true" outlineLevel="0" collapsed="false">
      <c r="A533" s="51"/>
      <c r="B533" s="51"/>
      <c r="C533" s="51"/>
      <c r="D533" s="52"/>
      <c r="E533" s="51"/>
      <c r="F533" s="51"/>
      <c r="G533" s="52"/>
      <c r="H533" s="52"/>
      <c r="I533" s="52"/>
      <c r="J533" s="47"/>
      <c r="K533" s="47"/>
      <c r="L533" s="47"/>
      <c r="M533" s="47"/>
      <c r="N533" s="47"/>
      <c r="O533" s="47"/>
    </row>
    <row r="534" customFormat="false" ht="14.25" hidden="false" customHeight="true" outlineLevel="0" collapsed="false">
      <c r="A534" s="51"/>
      <c r="B534" s="51"/>
      <c r="C534" s="51"/>
      <c r="D534" s="52"/>
      <c r="E534" s="51"/>
      <c r="F534" s="51"/>
      <c r="G534" s="52"/>
      <c r="H534" s="52"/>
      <c r="I534" s="52"/>
      <c r="J534" s="47"/>
      <c r="K534" s="47"/>
      <c r="L534" s="47"/>
      <c r="M534" s="47"/>
      <c r="N534" s="47"/>
      <c r="O534" s="47"/>
    </row>
    <row r="535" customFormat="false" ht="14.25" hidden="false" customHeight="true" outlineLevel="0" collapsed="false">
      <c r="A535" s="51"/>
      <c r="B535" s="51"/>
      <c r="C535" s="51"/>
      <c r="D535" s="52"/>
      <c r="E535" s="51"/>
      <c r="F535" s="51"/>
      <c r="G535" s="52"/>
      <c r="H535" s="52"/>
      <c r="I535" s="52"/>
      <c r="J535" s="47"/>
      <c r="K535" s="47"/>
      <c r="L535" s="47"/>
      <c r="M535" s="47"/>
      <c r="N535" s="47"/>
      <c r="O535" s="47"/>
    </row>
    <row r="536" customFormat="false" ht="14.25" hidden="false" customHeight="true" outlineLevel="0" collapsed="false">
      <c r="A536" s="51"/>
      <c r="B536" s="51"/>
      <c r="C536" s="51"/>
      <c r="D536" s="52"/>
      <c r="E536" s="51"/>
      <c r="F536" s="51"/>
      <c r="G536" s="52"/>
      <c r="H536" s="52"/>
      <c r="I536" s="52"/>
      <c r="J536" s="47"/>
      <c r="K536" s="47"/>
      <c r="L536" s="47"/>
      <c r="M536" s="47"/>
      <c r="N536" s="47"/>
      <c r="O536" s="47"/>
    </row>
    <row r="537" customFormat="false" ht="14.25" hidden="false" customHeight="true" outlineLevel="0" collapsed="false">
      <c r="A537" s="51"/>
      <c r="B537" s="51"/>
      <c r="C537" s="51"/>
      <c r="D537" s="52"/>
      <c r="E537" s="51"/>
      <c r="F537" s="51"/>
      <c r="G537" s="52"/>
      <c r="H537" s="52"/>
      <c r="I537" s="52"/>
      <c r="J537" s="47"/>
      <c r="K537" s="47"/>
      <c r="L537" s="47"/>
      <c r="M537" s="47"/>
      <c r="N537" s="47"/>
      <c r="O537" s="47"/>
    </row>
    <row r="538" customFormat="false" ht="14.25" hidden="false" customHeight="true" outlineLevel="0" collapsed="false">
      <c r="A538" s="51"/>
      <c r="B538" s="51"/>
      <c r="C538" s="51"/>
      <c r="D538" s="52"/>
      <c r="E538" s="51"/>
      <c r="F538" s="51"/>
      <c r="G538" s="52"/>
      <c r="H538" s="52"/>
      <c r="I538" s="52"/>
      <c r="J538" s="47"/>
      <c r="K538" s="47"/>
      <c r="L538" s="47"/>
      <c r="M538" s="47"/>
      <c r="N538" s="47"/>
      <c r="O538" s="47"/>
    </row>
    <row r="539" customFormat="false" ht="14.25" hidden="false" customHeight="true" outlineLevel="0" collapsed="false">
      <c r="A539" s="51"/>
      <c r="B539" s="51"/>
      <c r="C539" s="51"/>
      <c r="D539" s="52"/>
      <c r="E539" s="51"/>
      <c r="F539" s="51"/>
      <c r="G539" s="52"/>
      <c r="H539" s="52"/>
      <c r="I539" s="52"/>
      <c r="J539" s="47"/>
      <c r="K539" s="47"/>
      <c r="L539" s="47"/>
      <c r="M539" s="47"/>
      <c r="N539" s="47"/>
      <c r="O539" s="47"/>
    </row>
    <row r="540" customFormat="false" ht="14.25" hidden="false" customHeight="true" outlineLevel="0" collapsed="false">
      <c r="A540" s="51"/>
      <c r="B540" s="51"/>
      <c r="C540" s="51"/>
      <c r="D540" s="52"/>
      <c r="E540" s="51"/>
      <c r="F540" s="51"/>
      <c r="G540" s="52"/>
      <c r="H540" s="52"/>
      <c r="I540" s="52"/>
      <c r="J540" s="47"/>
      <c r="K540" s="47"/>
      <c r="L540" s="47"/>
      <c r="M540" s="47"/>
      <c r="N540" s="47"/>
      <c r="O540" s="47"/>
    </row>
    <row r="541" customFormat="false" ht="14.25" hidden="false" customHeight="true" outlineLevel="0" collapsed="false">
      <c r="A541" s="51"/>
      <c r="B541" s="51"/>
      <c r="C541" s="51"/>
      <c r="D541" s="52"/>
      <c r="E541" s="51"/>
      <c r="F541" s="51"/>
      <c r="G541" s="52"/>
      <c r="H541" s="52"/>
      <c r="I541" s="52"/>
      <c r="J541" s="47"/>
      <c r="K541" s="47"/>
      <c r="L541" s="47"/>
      <c r="M541" s="47"/>
      <c r="N541" s="47"/>
      <c r="O541" s="47"/>
    </row>
    <row r="542" customFormat="false" ht="14.25" hidden="false" customHeight="true" outlineLevel="0" collapsed="false">
      <c r="A542" s="51"/>
      <c r="B542" s="51"/>
      <c r="C542" s="51"/>
      <c r="D542" s="52"/>
      <c r="E542" s="51"/>
      <c r="F542" s="51"/>
      <c r="G542" s="52"/>
      <c r="H542" s="52"/>
      <c r="I542" s="52"/>
      <c r="J542" s="47"/>
      <c r="K542" s="47"/>
      <c r="L542" s="47"/>
      <c r="M542" s="47"/>
      <c r="N542" s="47"/>
      <c r="O542" s="47"/>
    </row>
    <row r="543" customFormat="false" ht="14.25" hidden="false" customHeight="true" outlineLevel="0" collapsed="false">
      <c r="A543" s="51"/>
      <c r="B543" s="51"/>
      <c r="C543" s="51"/>
      <c r="D543" s="52"/>
      <c r="E543" s="51"/>
      <c r="F543" s="51"/>
      <c r="G543" s="52"/>
      <c r="H543" s="52"/>
      <c r="I543" s="52"/>
      <c r="J543" s="47"/>
      <c r="K543" s="47"/>
      <c r="L543" s="47"/>
      <c r="M543" s="47"/>
      <c r="N543" s="47"/>
      <c r="O543" s="47"/>
    </row>
    <row r="544" customFormat="false" ht="14.25" hidden="false" customHeight="true" outlineLevel="0" collapsed="false">
      <c r="A544" s="51"/>
      <c r="B544" s="51"/>
      <c r="C544" s="51"/>
      <c r="D544" s="52"/>
      <c r="E544" s="51"/>
      <c r="F544" s="51"/>
      <c r="G544" s="52"/>
      <c r="H544" s="52"/>
      <c r="I544" s="52"/>
      <c r="J544" s="47"/>
      <c r="K544" s="47"/>
      <c r="L544" s="47"/>
      <c r="M544" s="47"/>
      <c r="N544" s="47"/>
      <c r="O544" s="47"/>
    </row>
    <row r="545" customFormat="false" ht="14.25" hidden="false" customHeight="true" outlineLevel="0" collapsed="false">
      <c r="A545" s="51"/>
      <c r="B545" s="51"/>
      <c r="C545" s="51"/>
      <c r="D545" s="52"/>
      <c r="E545" s="51"/>
      <c r="F545" s="51"/>
      <c r="G545" s="52"/>
      <c r="H545" s="52"/>
      <c r="I545" s="52"/>
      <c r="J545" s="47"/>
      <c r="K545" s="47"/>
      <c r="L545" s="47"/>
      <c r="M545" s="47"/>
      <c r="N545" s="47"/>
      <c r="O545" s="47"/>
    </row>
    <row r="546" customFormat="false" ht="14.25" hidden="false" customHeight="true" outlineLevel="0" collapsed="false">
      <c r="A546" s="51"/>
      <c r="B546" s="51"/>
      <c r="C546" s="51"/>
      <c r="D546" s="52"/>
      <c r="E546" s="51"/>
      <c r="F546" s="51"/>
      <c r="G546" s="52"/>
      <c r="H546" s="52"/>
      <c r="I546" s="52"/>
      <c r="J546" s="47"/>
      <c r="K546" s="47"/>
      <c r="L546" s="47"/>
      <c r="M546" s="47"/>
      <c r="N546" s="47"/>
      <c r="O546" s="47"/>
    </row>
    <row r="547" customFormat="false" ht="14.25" hidden="false" customHeight="true" outlineLevel="0" collapsed="false">
      <c r="A547" s="51"/>
      <c r="B547" s="51"/>
      <c r="C547" s="51"/>
      <c r="D547" s="52"/>
      <c r="E547" s="51"/>
      <c r="F547" s="51"/>
      <c r="G547" s="52"/>
      <c r="H547" s="52"/>
      <c r="I547" s="52"/>
      <c r="J547" s="47"/>
      <c r="K547" s="47"/>
      <c r="L547" s="47"/>
      <c r="M547" s="47"/>
      <c r="N547" s="47"/>
      <c r="O547" s="47"/>
    </row>
    <row r="548" customFormat="false" ht="14.25" hidden="false" customHeight="true" outlineLevel="0" collapsed="false">
      <c r="A548" s="51"/>
      <c r="B548" s="51"/>
      <c r="C548" s="51"/>
      <c r="D548" s="52"/>
      <c r="E548" s="51"/>
      <c r="F548" s="51"/>
      <c r="G548" s="52"/>
      <c r="H548" s="52"/>
      <c r="I548" s="52"/>
      <c r="J548" s="47"/>
      <c r="K548" s="47"/>
      <c r="L548" s="47"/>
      <c r="M548" s="47"/>
      <c r="N548" s="47"/>
      <c r="O548" s="47"/>
    </row>
    <row r="549" customFormat="false" ht="14.25" hidden="false" customHeight="true" outlineLevel="0" collapsed="false">
      <c r="A549" s="51"/>
      <c r="B549" s="51"/>
      <c r="C549" s="51"/>
      <c r="D549" s="52"/>
      <c r="E549" s="51"/>
      <c r="F549" s="51"/>
      <c r="G549" s="52"/>
      <c r="H549" s="52"/>
      <c r="I549" s="52"/>
      <c r="J549" s="47"/>
      <c r="K549" s="47"/>
      <c r="L549" s="47"/>
      <c r="M549" s="47"/>
      <c r="N549" s="47"/>
      <c r="O549" s="47"/>
    </row>
    <row r="550" customFormat="false" ht="14.25" hidden="false" customHeight="true" outlineLevel="0" collapsed="false">
      <c r="A550" s="51"/>
      <c r="B550" s="51"/>
      <c r="C550" s="51"/>
      <c r="D550" s="52"/>
      <c r="E550" s="51"/>
      <c r="F550" s="51"/>
      <c r="G550" s="52"/>
      <c r="H550" s="52"/>
      <c r="I550" s="52"/>
      <c r="J550" s="47"/>
      <c r="K550" s="47"/>
      <c r="L550" s="47"/>
      <c r="M550" s="47"/>
      <c r="N550" s="47"/>
      <c r="O550" s="47"/>
    </row>
    <row r="551" customFormat="false" ht="14.25" hidden="false" customHeight="true" outlineLevel="0" collapsed="false">
      <c r="A551" s="51"/>
      <c r="B551" s="51"/>
      <c r="C551" s="51"/>
      <c r="D551" s="52"/>
      <c r="E551" s="51"/>
      <c r="F551" s="51"/>
      <c r="G551" s="52"/>
      <c r="H551" s="52"/>
      <c r="I551" s="52"/>
      <c r="J551" s="47"/>
      <c r="K551" s="47"/>
      <c r="L551" s="47"/>
      <c r="M551" s="47"/>
      <c r="N551" s="47"/>
      <c r="O551" s="47"/>
    </row>
    <row r="552" customFormat="false" ht="14.25" hidden="false" customHeight="true" outlineLevel="0" collapsed="false">
      <c r="A552" s="51"/>
      <c r="B552" s="51"/>
      <c r="C552" s="51"/>
      <c r="D552" s="52"/>
      <c r="E552" s="51"/>
      <c r="F552" s="51"/>
      <c r="G552" s="52"/>
      <c r="H552" s="52"/>
      <c r="I552" s="52"/>
      <c r="J552" s="47"/>
      <c r="K552" s="47"/>
      <c r="L552" s="47"/>
      <c r="M552" s="47"/>
      <c r="N552" s="47"/>
      <c r="O552" s="47"/>
    </row>
    <row r="553" customFormat="false" ht="14.25" hidden="false" customHeight="true" outlineLevel="0" collapsed="false">
      <c r="A553" s="51"/>
      <c r="B553" s="51"/>
      <c r="C553" s="51"/>
      <c r="D553" s="52"/>
      <c r="E553" s="51"/>
      <c r="F553" s="51"/>
      <c r="G553" s="52"/>
      <c r="H553" s="52"/>
      <c r="I553" s="52"/>
      <c r="J553" s="47"/>
      <c r="K553" s="47"/>
      <c r="L553" s="47"/>
      <c r="M553" s="47"/>
      <c r="N553" s="47"/>
      <c r="O553" s="47"/>
    </row>
    <row r="554" customFormat="false" ht="14.25" hidden="false" customHeight="true" outlineLevel="0" collapsed="false">
      <c r="A554" s="51"/>
      <c r="B554" s="51"/>
      <c r="C554" s="51"/>
      <c r="D554" s="52"/>
      <c r="E554" s="51"/>
      <c r="F554" s="51"/>
      <c r="G554" s="52"/>
      <c r="H554" s="52"/>
      <c r="I554" s="52"/>
      <c r="J554" s="47"/>
      <c r="K554" s="47"/>
      <c r="L554" s="47"/>
      <c r="M554" s="47"/>
      <c r="N554" s="47"/>
      <c r="O554" s="47"/>
    </row>
    <row r="555" customFormat="false" ht="14.25" hidden="false" customHeight="true" outlineLevel="0" collapsed="false">
      <c r="A555" s="51"/>
      <c r="B555" s="51"/>
      <c r="C555" s="51"/>
      <c r="D555" s="52"/>
      <c r="E555" s="51"/>
      <c r="F555" s="51"/>
      <c r="G555" s="52"/>
      <c r="H555" s="52"/>
      <c r="I555" s="52"/>
      <c r="J555" s="47"/>
      <c r="K555" s="47"/>
      <c r="L555" s="47"/>
      <c r="M555" s="47"/>
      <c r="N555" s="47"/>
      <c r="O555" s="47"/>
    </row>
    <row r="556" customFormat="false" ht="14.25" hidden="false" customHeight="true" outlineLevel="0" collapsed="false">
      <c r="A556" s="51"/>
      <c r="B556" s="51"/>
      <c r="C556" s="51"/>
      <c r="D556" s="52"/>
      <c r="E556" s="51"/>
      <c r="F556" s="51"/>
      <c r="G556" s="52"/>
      <c r="H556" s="52"/>
      <c r="I556" s="52"/>
      <c r="J556" s="47"/>
      <c r="K556" s="47"/>
      <c r="L556" s="47"/>
      <c r="M556" s="47"/>
      <c r="N556" s="47"/>
      <c r="O556" s="47"/>
    </row>
    <row r="557" customFormat="false" ht="14.25" hidden="false" customHeight="true" outlineLevel="0" collapsed="false">
      <c r="A557" s="51"/>
      <c r="B557" s="51"/>
      <c r="C557" s="51"/>
      <c r="D557" s="52"/>
      <c r="E557" s="51"/>
      <c r="F557" s="51"/>
      <c r="G557" s="52"/>
      <c r="H557" s="52"/>
      <c r="I557" s="52"/>
      <c r="J557" s="47"/>
      <c r="K557" s="47"/>
      <c r="L557" s="47"/>
      <c r="M557" s="47"/>
      <c r="N557" s="47"/>
      <c r="O557" s="47"/>
    </row>
    <row r="558" customFormat="false" ht="14.25" hidden="false" customHeight="true" outlineLevel="0" collapsed="false">
      <c r="A558" s="51"/>
      <c r="B558" s="51"/>
      <c r="C558" s="51"/>
      <c r="D558" s="52"/>
      <c r="E558" s="51"/>
      <c r="F558" s="51"/>
      <c r="G558" s="52"/>
      <c r="H558" s="52"/>
      <c r="I558" s="52"/>
      <c r="J558" s="47"/>
      <c r="K558" s="47"/>
      <c r="L558" s="47"/>
      <c r="M558" s="47"/>
      <c r="N558" s="47"/>
      <c r="O558" s="47"/>
    </row>
    <row r="559" customFormat="false" ht="14.25" hidden="false" customHeight="true" outlineLevel="0" collapsed="false">
      <c r="A559" s="51"/>
      <c r="B559" s="51"/>
      <c r="C559" s="51"/>
      <c r="D559" s="52"/>
      <c r="E559" s="51"/>
      <c r="F559" s="51"/>
      <c r="G559" s="52"/>
      <c r="H559" s="52"/>
      <c r="I559" s="52"/>
      <c r="J559" s="47"/>
      <c r="K559" s="47"/>
      <c r="L559" s="47"/>
      <c r="M559" s="47"/>
      <c r="N559" s="47"/>
      <c r="O559" s="47"/>
    </row>
    <row r="560" customFormat="false" ht="14.25" hidden="false" customHeight="true" outlineLevel="0" collapsed="false">
      <c r="A560" s="51"/>
      <c r="B560" s="51"/>
      <c r="C560" s="51"/>
      <c r="D560" s="52"/>
      <c r="E560" s="51"/>
      <c r="F560" s="51"/>
      <c r="G560" s="52"/>
      <c r="H560" s="52"/>
      <c r="I560" s="52"/>
      <c r="J560" s="47"/>
      <c r="K560" s="47"/>
      <c r="L560" s="47"/>
      <c r="M560" s="47"/>
      <c r="N560" s="47"/>
      <c r="O560" s="47"/>
    </row>
    <row r="561" customFormat="false" ht="14.25" hidden="false" customHeight="true" outlineLevel="0" collapsed="false">
      <c r="A561" s="51"/>
      <c r="B561" s="51"/>
      <c r="C561" s="51"/>
      <c r="D561" s="52"/>
      <c r="E561" s="51"/>
      <c r="F561" s="51"/>
      <c r="G561" s="52"/>
      <c r="H561" s="52"/>
      <c r="I561" s="52"/>
      <c r="J561" s="47"/>
      <c r="K561" s="47"/>
      <c r="L561" s="47"/>
      <c r="M561" s="47"/>
      <c r="N561" s="47"/>
      <c r="O561" s="47"/>
    </row>
    <row r="562" customFormat="false" ht="14.25" hidden="false" customHeight="true" outlineLevel="0" collapsed="false">
      <c r="A562" s="51"/>
      <c r="B562" s="51"/>
      <c r="C562" s="51"/>
      <c r="D562" s="52"/>
      <c r="E562" s="51"/>
      <c r="F562" s="51"/>
      <c r="G562" s="52"/>
      <c r="H562" s="52"/>
      <c r="I562" s="52"/>
      <c r="J562" s="47"/>
      <c r="K562" s="47"/>
      <c r="L562" s="47"/>
      <c r="M562" s="47"/>
      <c r="N562" s="47"/>
      <c r="O562" s="47"/>
    </row>
    <row r="563" customFormat="false" ht="14.25" hidden="false" customHeight="true" outlineLevel="0" collapsed="false">
      <c r="A563" s="51"/>
      <c r="B563" s="51"/>
      <c r="C563" s="51"/>
      <c r="D563" s="52"/>
      <c r="E563" s="51"/>
      <c r="F563" s="51"/>
      <c r="G563" s="52"/>
      <c r="H563" s="52"/>
      <c r="I563" s="52"/>
      <c r="J563" s="47"/>
      <c r="K563" s="47"/>
      <c r="L563" s="47"/>
      <c r="M563" s="47"/>
      <c r="N563" s="47"/>
      <c r="O563" s="47"/>
    </row>
    <row r="564" customFormat="false" ht="14.25" hidden="false" customHeight="true" outlineLevel="0" collapsed="false">
      <c r="A564" s="51"/>
      <c r="B564" s="51"/>
      <c r="C564" s="51"/>
      <c r="D564" s="52"/>
      <c r="E564" s="51"/>
      <c r="F564" s="51"/>
      <c r="G564" s="52"/>
      <c r="H564" s="52"/>
      <c r="I564" s="52"/>
      <c r="J564" s="47"/>
      <c r="K564" s="47"/>
      <c r="L564" s="47"/>
      <c r="M564" s="47"/>
      <c r="N564" s="47"/>
      <c r="O564" s="47"/>
    </row>
    <row r="565" customFormat="false" ht="14.25" hidden="false" customHeight="true" outlineLevel="0" collapsed="false">
      <c r="A565" s="51"/>
      <c r="B565" s="51"/>
      <c r="C565" s="51"/>
      <c r="D565" s="52"/>
      <c r="E565" s="51"/>
      <c r="F565" s="51"/>
      <c r="G565" s="52"/>
      <c r="H565" s="52"/>
      <c r="I565" s="52"/>
      <c r="J565" s="47"/>
      <c r="K565" s="47"/>
      <c r="L565" s="47"/>
      <c r="M565" s="47"/>
      <c r="N565" s="47"/>
      <c r="O565" s="47"/>
    </row>
    <row r="566" customFormat="false" ht="14.25" hidden="false" customHeight="true" outlineLevel="0" collapsed="false">
      <c r="A566" s="51"/>
      <c r="B566" s="51"/>
      <c r="C566" s="51"/>
      <c r="D566" s="52"/>
      <c r="E566" s="51"/>
      <c r="F566" s="51"/>
      <c r="G566" s="52"/>
      <c r="H566" s="52"/>
      <c r="I566" s="52"/>
      <c r="J566" s="47"/>
      <c r="K566" s="47"/>
      <c r="L566" s="47"/>
      <c r="M566" s="47"/>
      <c r="N566" s="47"/>
      <c r="O566" s="47"/>
    </row>
    <row r="567" customFormat="false" ht="14.25" hidden="false" customHeight="true" outlineLevel="0" collapsed="false">
      <c r="A567" s="51"/>
      <c r="B567" s="51"/>
      <c r="C567" s="51"/>
      <c r="D567" s="52"/>
      <c r="E567" s="51"/>
      <c r="F567" s="51"/>
      <c r="G567" s="52"/>
      <c r="H567" s="52"/>
      <c r="I567" s="52"/>
      <c r="J567" s="47"/>
      <c r="K567" s="47"/>
      <c r="L567" s="47"/>
      <c r="M567" s="47"/>
      <c r="N567" s="47"/>
      <c r="O567" s="47"/>
    </row>
    <row r="568" customFormat="false" ht="14.25" hidden="false" customHeight="true" outlineLevel="0" collapsed="false">
      <c r="A568" s="51"/>
      <c r="B568" s="51"/>
      <c r="C568" s="51"/>
      <c r="D568" s="52"/>
      <c r="E568" s="51"/>
      <c r="F568" s="51"/>
      <c r="G568" s="52"/>
      <c r="H568" s="52"/>
      <c r="I568" s="52"/>
      <c r="J568" s="47"/>
      <c r="K568" s="47"/>
      <c r="L568" s="47"/>
      <c r="M568" s="47"/>
      <c r="N568" s="47"/>
      <c r="O568" s="47"/>
    </row>
    <row r="569" customFormat="false" ht="14.25" hidden="false" customHeight="true" outlineLevel="0" collapsed="false">
      <c r="A569" s="51"/>
      <c r="B569" s="51"/>
      <c r="C569" s="51"/>
      <c r="D569" s="52"/>
      <c r="E569" s="51"/>
      <c r="F569" s="51"/>
      <c r="G569" s="52"/>
      <c r="H569" s="52"/>
      <c r="I569" s="52"/>
      <c r="J569" s="47"/>
      <c r="K569" s="47"/>
      <c r="L569" s="47"/>
      <c r="M569" s="47"/>
      <c r="N569" s="47"/>
      <c r="O569" s="47"/>
    </row>
    <row r="570" customFormat="false" ht="14.25" hidden="false" customHeight="true" outlineLevel="0" collapsed="false">
      <c r="A570" s="51"/>
      <c r="B570" s="51"/>
      <c r="C570" s="51"/>
      <c r="D570" s="52"/>
      <c r="E570" s="51"/>
      <c r="F570" s="51"/>
      <c r="G570" s="52"/>
      <c r="H570" s="52"/>
      <c r="I570" s="52"/>
      <c r="J570" s="47"/>
      <c r="K570" s="47"/>
      <c r="L570" s="47"/>
      <c r="M570" s="47"/>
      <c r="N570" s="47"/>
      <c r="O570" s="47"/>
    </row>
    <row r="571" customFormat="false" ht="14.25" hidden="false" customHeight="true" outlineLevel="0" collapsed="false">
      <c r="A571" s="51"/>
      <c r="B571" s="51"/>
      <c r="C571" s="51"/>
      <c r="D571" s="52"/>
      <c r="E571" s="51"/>
      <c r="F571" s="51"/>
      <c r="G571" s="52"/>
      <c r="H571" s="52"/>
      <c r="I571" s="52"/>
      <c r="J571" s="47"/>
      <c r="K571" s="47"/>
      <c r="L571" s="47"/>
      <c r="M571" s="47"/>
      <c r="N571" s="47"/>
      <c r="O571" s="47"/>
    </row>
    <row r="572" customFormat="false" ht="14.25" hidden="false" customHeight="true" outlineLevel="0" collapsed="false">
      <c r="A572" s="51"/>
      <c r="B572" s="51"/>
      <c r="C572" s="51"/>
      <c r="D572" s="52"/>
      <c r="E572" s="51"/>
      <c r="F572" s="51"/>
      <c r="G572" s="52"/>
      <c r="H572" s="52"/>
      <c r="I572" s="52"/>
      <c r="J572" s="47"/>
      <c r="K572" s="47"/>
      <c r="L572" s="47"/>
      <c r="M572" s="47"/>
      <c r="N572" s="47"/>
      <c r="O572" s="47"/>
    </row>
    <row r="573" customFormat="false" ht="14.25" hidden="false" customHeight="true" outlineLevel="0" collapsed="false">
      <c r="A573" s="51"/>
      <c r="B573" s="51"/>
      <c r="C573" s="51"/>
      <c r="D573" s="52"/>
      <c r="E573" s="51"/>
      <c r="F573" s="51"/>
      <c r="G573" s="52"/>
      <c r="H573" s="52"/>
      <c r="I573" s="52"/>
      <c r="J573" s="47"/>
      <c r="K573" s="47"/>
      <c r="L573" s="47"/>
      <c r="M573" s="47"/>
      <c r="N573" s="47"/>
      <c r="O573" s="47"/>
    </row>
    <row r="574" customFormat="false" ht="14.25" hidden="false" customHeight="true" outlineLevel="0" collapsed="false">
      <c r="A574" s="51"/>
      <c r="B574" s="51"/>
      <c r="C574" s="51"/>
      <c r="D574" s="52"/>
      <c r="E574" s="51"/>
      <c r="F574" s="51"/>
      <c r="G574" s="52"/>
      <c r="H574" s="52"/>
      <c r="I574" s="52"/>
      <c r="J574" s="47"/>
      <c r="K574" s="47"/>
      <c r="L574" s="47"/>
      <c r="M574" s="47"/>
      <c r="N574" s="47"/>
      <c r="O574" s="47"/>
    </row>
    <row r="575" customFormat="false" ht="14.25" hidden="false" customHeight="true" outlineLevel="0" collapsed="false">
      <c r="A575" s="51"/>
      <c r="B575" s="51"/>
      <c r="C575" s="51"/>
      <c r="D575" s="52"/>
      <c r="E575" s="51"/>
      <c r="F575" s="51"/>
      <c r="G575" s="52"/>
      <c r="H575" s="52"/>
      <c r="I575" s="52"/>
      <c r="J575" s="47"/>
      <c r="K575" s="47"/>
      <c r="L575" s="47"/>
      <c r="M575" s="47"/>
      <c r="N575" s="47"/>
      <c r="O575" s="47"/>
    </row>
    <row r="576" customFormat="false" ht="14.25" hidden="false" customHeight="true" outlineLevel="0" collapsed="false">
      <c r="A576" s="51"/>
      <c r="B576" s="51"/>
      <c r="C576" s="51"/>
      <c r="D576" s="52"/>
      <c r="E576" s="51"/>
      <c r="F576" s="51"/>
      <c r="G576" s="52"/>
      <c r="H576" s="52"/>
      <c r="I576" s="52"/>
      <c r="J576" s="47"/>
      <c r="K576" s="47"/>
      <c r="L576" s="47"/>
      <c r="M576" s="47"/>
      <c r="N576" s="47"/>
      <c r="O576" s="47"/>
    </row>
    <row r="577" customFormat="false" ht="14.25" hidden="false" customHeight="true" outlineLevel="0" collapsed="false">
      <c r="A577" s="51"/>
      <c r="B577" s="51"/>
      <c r="C577" s="51"/>
      <c r="D577" s="52"/>
      <c r="E577" s="51"/>
      <c r="F577" s="51"/>
      <c r="G577" s="52"/>
      <c r="H577" s="52"/>
      <c r="I577" s="52"/>
      <c r="J577" s="47"/>
      <c r="K577" s="47"/>
      <c r="L577" s="47"/>
      <c r="M577" s="47"/>
      <c r="N577" s="47"/>
      <c r="O577" s="47"/>
    </row>
    <row r="578" customFormat="false" ht="14.25" hidden="false" customHeight="true" outlineLevel="0" collapsed="false">
      <c r="A578" s="51"/>
      <c r="B578" s="51"/>
      <c r="C578" s="51"/>
      <c r="D578" s="52"/>
      <c r="E578" s="51"/>
      <c r="F578" s="51"/>
      <c r="G578" s="52"/>
      <c r="H578" s="52"/>
      <c r="I578" s="52"/>
      <c r="J578" s="47"/>
      <c r="K578" s="47"/>
      <c r="L578" s="47"/>
      <c r="M578" s="47"/>
      <c r="N578" s="47"/>
      <c r="O578" s="47"/>
    </row>
    <row r="579" customFormat="false" ht="14.25" hidden="false" customHeight="true" outlineLevel="0" collapsed="false">
      <c r="A579" s="51"/>
      <c r="B579" s="51"/>
      <c r="C579" s="51"/>
      <c r="D579" s="52"/>
      <c r="E579" s="51"/>
      <c r="F579" s="51"/>
      <c r="G579" s="52"/>
      <c r="H579" s="52"/>
      <c r="I579" s="52"/>
      <c r="J579" s="47"/>
      <c r="K579" s="47"/>
      <c r="L579" s="47"/>
      <c r="M579" s="47"/>
      <c r="N579" s="47"/>
      <c r="O579" s="47"/>
    </row>
    <row r="580" customFormat="false" ht="14.25" hidden="false" customHeight="true" outlineLevel="0" collapsed="false">
      <c r="A580" s="51"/>
      <c r="B580" s="51"/>
      <c r="C580" s="51"/>
      <c r="D580" s="52"/>
      <c r="E580" s="51"/>
      <c r="F580" s="51"/>
      <c r="G580" s="52"/>
      <c r="H580" s="52"/>
      <c r="I580" s="52"/>
      <c r="J580" s="47"/>
      <c r="K580" s="47"/>
      <c r="L580" s="47"/>
      <c r="M580" s="47"/>
      <c r="N580" s="47"/>
      <c r="O580" s="47"/>
    </row>
    <row r="581" customFormat="false" ht="14.25" hidden="false" customHeight="true" outlineLevel="0" collapsed="false">
      <c r="A581" s="51"/>
      <c r="B581" s="51"/>
      <c r="C581" s="51"/>
      <c r="D581" s="52"/>
      <c r="E581" s="51"/>
      <c r="F581" s="51"/>
      <c r="G581" s="52"/>
      <c r="H581" s="52"/>
      <c r="I581" s="52"/>
      <c r="J581" s="47"/>
      <c r="K581" s="47"/>
      <c r="L581" s="47"/>
      <c r="M581" s="47"/>
      <c r="N581" s="47"/>
      <c r="O581" s="47"/>
    </row>
    <row r="582" customFormat="false" ht="14.25" hidden="false" customHeight="true" outlineLevel="0" collapsed="false">
      <c r="A582" s="51"/>
      <c r="B582" s="51"/>
      <c r="C582" s="51"/>
      <c r="D582" s="52"/>
      <c r="E582" s="51"/>
      <c r="F582" s="51"/>
      <c r="G582" s="52"/>
      <c r="H582" s="52"/>
      <c r="I582" s="52"/>
      <c r="J582" s="47"/>
      <c r="K582" s="47"/>
      <c r="L582" s="47"/>
      <c r="M582" s="47"/>
      <c r="N582" s="47"/>
      <c r="O582" s="47"/>
    </row>
    <row r="583" customFormat="false" ht="14.25" hidden="false" customHeight="true" outlineLevel="0" collapsed="false">
      <c r="A583" s="51"/>
      <c r="B583" s="51"/>
      <c r="C583" s="51"/>
      <c r="D583" s="52"/>
      <c r="E583" s="51"/>
      <c r="F583" s="51"/>
      <c r="G583" s="52"/>
      <c r="H583" s="52"/>
      <c r="I583" s="52"/>
      <c r="J583" s="47"/>
      <c r="K583" s="47"/>
      <c r="L583" s="47"/>
      <c r="M583" s="47"/>
      <c r="N583" s="47"/>
      <c r="O583" s="47"/>
    </row>
    <row r="584" customFormat="false" ht="14.25" hidden="false" customHeight="true" outlineLevel="0" collapsed="false">
      <c r="A584" s="51"/>
      <c r="B584" s="51"/>
      <c r="C584" s="51"/>
      <c r="D584" s="52"/>
      <c r="E584" s="51"/>
      <c r="F584" s="51"/>
      <c r="G584" s="52"/>
      <c r="H584" s="52"/>
      <c r="I584" s="52"/>
      <c r="J584" s="47"/>
      <c r="K584" s="47"/>
      <c r="L584" s="47"/>
      <c r="M584" s="47"/>
      <c r="N584" s="47"/>
      <c r="O584" s="47"/>
    </row>
    <row r="585" customFormat="false" ht="14.25" hidden="false" customHeight="true" outlineLevel="0" collapsed="false">
      <c r="A585" s="51"/>
      <c r="B585" s="51"/>
      <c r="C585" s="51"/>
      <c r="D585" s="52"/>
      <c r="E585" s="51"/>
      <c r="F585" s="51"/>
      <c r="G585" s="52"/>
      <c r="H585" s="52"/>
      <c r="I585" s="52"/>
      <c r="J585" s="47"/>
      <c r="K585" s="47"/>
      <c r="L585" s="47"/>
      <c r="M585" s="47"/>
      <c r="N585" s="47"/>
      <c r="O585" s="47"/>
    </row>
    <row r="586" customFormat="false" ht="14.25" hidden="false" customHeight="true" outlineLevel="0" collapsed="false">
      <c r="A586" s="51"/>
      <c r="B586" s="51"/>
      <c r="C586" s="51"/>
      <c r="D586" s="52"/>
      <c r="E586" s="51"/>
      <c r="F586" s="51"/>
      <c r="G586" s="52"/>
      <c r="H586" s="52"/>
      <c r="I586" s="52"/>
      <c r="J586" s="47"/>
      <c r="K586" s="47"/>
      <c r="L586" s="47"/>
      <c r="M586" s="47"/>
      <c r="N586" s="47"/>
      <c r="O586" s="47"/>
    </row>
    <row r="587" customFormat="false" ht="14.25" hidden="false" customHeight="true" outlineLevel="0" collapsed="false">
      <c r="A587" s="51"/>
      <c r="B587" s="51"/>
      <c r="C587" s="51"/>
      <c r="D587" s="52"/>
      <c r="E587" s="51"/>
      <c r="F587" s="51"/>
      <c r="G587" s="52"/>
      <c r="H587" s="52"/>
      <c r="I587" s="52"/>
      <c r="J587" s="47"/>
      <c r="K587" s="47"/>
      <c r="L587" s="47"/>
      <c r="M587" s="47"/>
      <c r="N587" s="47"/>
      <c r="O587" s="47"/>
    </row>
    <row r="588" customFormat="false" ht="14.25" hidden="false" customHeight="true" outlineLevel="0" collapsed="false">
      <c r="A588" s="51"/>
      <c r="B588" s="51"/>
      <c r="C588" s="51"/>
      <c r="D588" s="52"/>
      <c r="E588" s="51"/>
      <c r="F588" s="51"/>
      <c r="G588" s="52"/>
      <c r="H588" s="52"/>
      <c r="I588" s="52"/>
      <c r="J588" s="47"/>
      <c r="K588" s="47"/>
      <c r="L588" s="47"/>
      <c r="M588" s="47"/>
      <c r="N588" s="47"/>
      <c r="O588" s="47"/>
    </row>
    <row r="589" customFormat="false" ht="14.25" hidden="false" customHeight="true" outlineLevel="0" collapsed="false">
      <c r="A589" s="51"/>
      <c r="B589" s="51"/>
      <c r="C589" s="51"/>
      <c r="D589" s="52"/>
      <c r="E589" s="51"/>
      <c r="F589" s="51"/>
      <c r="G589" s="52"/>
      <c r="H589" s="52"/>
      <c r="I589" s="52"/>
      <c r="J589" s="47"/>
      <c r="K589" s="47"/>
      <c r="L589" s="47"/>
      <c r="M589" s="47"/>
      <c r="N589" s="47"/>
      <c r="O589" s="47"/>
    </row>
    <row r="590" customFormat="false" ht="14.25" hidden="false" customHeight="true" outlineLevel="0" collapsed="false">
      <c r="A590" s="51"/>
      <c r="B590" s="51"/>
      <c r="C590" s="51"/>
      <c r="D590" s="52"/>
      <c r="E590" s="51"/>
      <c r="F590" s="51"/>
      <c r="G590" s="52"/>
      <c r="H590" s="52"/>
      <c r="I590" s="52"/>
      <c r="J590" s="47"/>
      <c r="K590" s="47"/>
      <c r="L590" s="47"/>
      <c r="M590" s="47"/>
      <c r="N590" s="47"/>
      <c r="O590" s="47"/>
    </row>
    <row r="591" customFormat="false" ht="14.25" hidden="false" customHeight="true" outlineLevel="0" collapsed="false">
      <c r="A591" s="51"/>
      <c r="B591" s="51"/>
      <c r="C591" s="51"/>
      <c r="D591" s="52"/>
      <c r="E591" s="51"/>
      <c r="F591" s="51"/>
      <c r="G591" s="52"/>
      <c r="H591" s="52"/>
      <c r="I591" s="52"/>
      <c r="J591" s="47"/>
      <c r="K591" s="47"/>
      <c r="L591" s="47"/>
      <c r="M591" s="47"/>
      <c r="N591" s="47"/>
      <c r="O591" s="47"/>
    </row>
    <row r="592" customFormat="false" ht="14.25" hidden="false" customHeight="true" outlineLevel="0" collapsed="false">
      <c r="A592" s="51"/>
      <c r="B592" s="51"/>
      <c r="C592" s="51"/>
      <c r="D592" s="52"/>
      <c r="E592" s="51"/>
      <c r="F592" s="51"/>
      <c r="G592" s="52"/>
      <c r="H592" s="52"/>
      <c r="I592" s="52"/>
      <c r="J592" s="47"/>
      <c r="K592" s="47"/>
      <c r="L592" s="47"/>
      <c r="M592" s="47"/>
      <c r="N592" s="47"/>
      <c r="O592" s="47"/>
    </row>
    <row r="593" customFormat="false" ht="14.25" hidden="false" customHeight="true" outlineLevel="0" collapsed="false">
      <c r="A593" s="51"/>
      <c r="B593" s="51"/>
      <c r="C593" s="51"/>
      <c r="D593" s="52"/>
      <c r="E593" s="51"/>
      <c r="F593" s="51"/>
      <c r="G593" s="52"/>
      <c r="H593" s="52"/>
      <c r="I593" s="52"/>
      <c r="J593" s="47"/>
      <c r="K593" s="47"/>
      <c r="L593" s="47"/>
      <c r="M593" s="47"/>
      <c r="N593" s="47"/>
      <c r="O593" s="47"/>
    </row>
    <row r="594" customFormat="false" ht="14.25" hidden="false" customHeight="true" outlineLevel="0" collapsed="false">
      <c r="A594" s="51"/>
      <c r="B594" s="51"/>
      <c r="C594" s="51"/>
      <c r="D594" s="52"/>
      <c r="E594" s="51"/>
      <c r="F594" s="51"/>
      <c r="G594" s="52"/>
      <c r="H594" s="52"/>
      <c r="I594" s="52"/>
      <c r="J594" s="47"/>
      <c r="K594" s="47"/>
      <c r="L594" s="47"/>
      <c r="M594" s="47"/>
      <c r="N594" s="47"/>
      <c r="O594" s="47"/>
    </row>
    <row r="595" customFormat="false" ht="14.25" hidden="false" customHeight="true" outlineLevel="0" collapsed="false">
      <c r="A595" s="51"/>
      <c r="B595" s="51"/>
      <c r="C595" s="51"/>
      <c r="D595" s="52"/>
      <c r="E595" s="51"/>
      <c r="F595" s="51"/>
      <c r="G595" s="52"/>
      <c r="H595" s="52"/>
      <c r="I595" s="52"/>
      <c r="J595" s="47"/>
      <c r="K595" s="47"/>
      <c r="L595" s="47"/>
      <c r="M595" s="47"/>
      <c r="N595" s="47"/>
      <c r="O595" s="47"/>
    </row>
    <row r="596" customFormat="false" ht="14.25" hidden="false" customHeight="true" outlineLevel="0" collapsed="false">
      <c r="A596" s="51"/>
      <c r="B596" s="51"/>
      <c r="C596" s="51"/>
      <c r="D596" s="52"/>
      <c r="E596" s="51"/>
      <c r="F596" s="51"/>
      <c r="G596" s="52"/>
      <c r="H596" s="52"/>
      <c r="I596" s="52"/>
      <c r="J596" s="47"/>
      <c r="K596" s="47"/>
      <c r="L596" s="47"/>
      <c r="M596" s="47"/>
      <c r="N596" s="47"/>
      <c r="O596" s="47"/>
    </row>
    <row r="597" customFormat="false" ht="14.25" hidden="false" customHeight="true" outlineLevel="0" collapsed="false">
      <c r="A597" s="51"/>
      <c r="B597" s="51"/>
      <c r="C597" s="51"/>
      <c r="D597" s="52"/>
      <c r="E597" s="51"/>
      <c r="F597" s="51"/>
      <c r="G597" s="52"/>
      <c r="H597" s="52"/>
      <c r="I597" s="52"/>
      <c r="J597" s="47"/>
      <c r="K597" s="47"/>
      <c r="L597" s="47"/>
      <c r="M597" s="47"/>
      <c r="N597" s="47"/>
      <c r="O597" s="47"/>
    </row>
    <row r="598" customFormat="false" ht="14.25" hidden="false" customHeight="true" outlineLevel="0" collapsed="false">
      <c r="A598" s="51"/>
      <c r="B598" s="51"/>
      <c r="C598" s="51"/>
      <c r="D598" s="52"/>
      <c r="E598" s="51"/>
      <c r="F598" s="51"/>
      <c r="G598" s="52"/>
      <c r="H598" s="52"/>
      <c r="I598" s="52"/>
      <c r="J598" s="47"/>
      <c r="K598" s="47"/>
      <c r="L598" s="47"/>
      <c r="M598" s="47"/>
      <c r="N598" s="47"/>
      <c r="O598" s="47"/>
    </row>
    <row r="599" customFormat="false" ht="14.25" hidden="false" customHeight="true" outlineLevel="0" collapsed="false">
      <c r="A599" s="51"/>
      <c r="B599" s="51"/>
      <c r="C599" s="51"/>
      <c r="D599" s="52"/>
      <c r="E599" s="51"/>
      <c r="F599" s="51"/>
      <c r="G599" s="52"/>
      <c r="H599" s="52"/>
      <c r="I599" s="52"/>
      <c r="J599" s="47"/>
      <c r="K599" s="47"/>
      <c r="L599" s="47"/>
      <c r="M599" s="47"/>
      <c r="N599" s="47"/>
      <c r="O599" s="47"/>
    </row>
    <row r="600" customFormat="false" ht="14.25" hidden="false" customHeight="true" outlineLevel="0" collapsed="false">
      <c r="A600" s="51"/>
      <c r="B600" s="51"/>
      <c r="C600" s="51"/>
      <c r="D600" s="52"/>
      <c r="E600" s="51"/>
      <c r="F600" s="51"/>
      <c r="G600" s="52"/>
      <c r="H600" s="52"/>
      <c r="I600" s="52"/>
      <c r="J600" s="47"/>
      <c r="K600" s="47"/>
      <c r="L600" s="47"/>
      <c r="M600" s="47"/>
      <c r="N600" s="47"/>
      <c r="O600" s="47"/>
    </row>
    <row r="601" customFormat="false" ht="14.25" hidden="false" customHeight="true" outlineLevel="0" collapsed="false">
      <c r="A601" s="51"/>
      <c r="B601" s="51"/>
      <c r="C601" s="51"/>
      <c r="D601" s="52"/>
      <c r="E601" s="51"/>
      <c r="F601" s="51"/>
      <c r="G601" s="52"/>
      <c r="H601" s="52"/>
      <c r="I601" s="52"/>
      <c r="J601" s="47"/>
      <c r="K601" s="47"/>
      <c r="L601" s="47"/>
      <c r="M601" s="47"/>
      <c r="N601" s="47"/>
      <c r="O601" s="47"/>
    </row>
    <row r="602" customFormat="false" ht="14.25" hidden="false" customHeight="true" outlineLevel="0" collapsed="false">
      <c r="A602" s="51"/>
      <c r="B602" s="51"/>
      <c r="C602" s="51"/>
      <c r="D602" s="52"/>
      <c r="E602" s="51"/>
      <c r="F602" s="51"/>
      <c r="G602" s="52"/>
      <c r="H602" s="52"/>
      <c r="I602" s="52"/>
      <c r="J602" s="47"/>
      <c r="K602" s="47"/>
      <c r="L602" s="47"/>
      <c r="M602" s="47"/>
      <c r="N602" s="47"/>
      <c r="O602" s="47"/>
    </row>
    <row r="603" customFormat="false" ht="14.25" hidden="false" customHeight="true" outlineLevel="0" collapsed="false">
      <c r="A603" s="51"/>
      <c r="B603" s="51"/>
      <c r="C603" s="51"/>
      <c r="D603" s="52"/>
      <c r="E603" s="51"/>
      <c r="F603" s="51"/>
      <c r="G603" s="52"/>
      <c r="H603" s="52"/>
      <c r="I603" s="52"/>
      <c r="J603" s="47"/>
      <c r="K603" s="47"/>
      <c r="L603" s="47"/>
      <c r="M603" s="47"/>
      <c r="N603" s="47"/>
      <c r="O603" s="47"/>
    </row>
    <row r="604" customFormat="false" ht="14.25" hidden="false" customHeight="true" outlineLevel="0" collapsed="false">
      <c r="A604" s="51"/>
      <c r="B604" s="51"/>
      <c r="C604" s="51"/>
      <c r="D604" s="52"/>
      <c r="E604" s="51"/>
      <c r="F604" s="51"/>
      <c r="G604" s="52"/>
      <c r="H604" s="52"/>
      <c r="I604" s="52"/>
      <c r="J604" s="47"/>
      <c r="K604" s="47"/>
      <c r="L604" s="47"/>
      <c r="M604" s="47"/>
      <c r="N604" s="47"/>
      <c r="O604" s="47"/>
    </row>
    <row r="605" customFormat="false" ht="14.25" hidden="false" customHeight="true" outlineLevel="0" collapsed="false">
      <c r="A605" s="51"/>
      <c r="B605" s="51"/>
      <c r="C605" s="51"/>
      <c r="D605" s="52"/>
      <c r="E605" s="51"/>
      <c r="F605" s="51"/>
      <c r="G605" s="52"/>
      <c r="H605" s="52"/>
      <c r="I605" s="52"/>
      <c r="J605" s="47"/>
      <c r="K605" s="47"/>
      <c r="L605" s="47"/>
      <c r="M605" s="47"/>
      <c r="N605" s="47"/>
      <c r="O605" s="47"/>
    </row>
    <row r="606" customFormat="false" ht="14.25" hidden="false" customHeight="true" outlineLevel="0" collapsed="false">
      <c r="A606" s="51"/>
      <c r="B606" s="51"/>
      <c r="C606" s="51"/>
      <c r="D606" s="52"/>
      <c r="E606" s="51"/>
      <c r="F606" s="51"/>
      <c r="G606" s="52"/>
      <c r="H606" s="52"/>
      <c r="I606" s="52"/>
      <c r="J606" s="47"/>
      <c r="K606" s="47"/>
      <c r="L606" s="47"/>
      <c r="M606" s="47"/>
      <c r="N606" s="47"/>
      <c r="O606" s="47"/>
    </row>
    <row r="607" customFormat="false" ht="14.25" hidden="false" customHeight="true" outlineLevel="0" collapsed="false">
      <c r="A607" s="51"/>
      <c r="B607" s="51"/>
      <c r="C607" s="51"/>
      <c r="D607" s="52"/>
      <c r="E607" s="51"/>
      <c r="F607" s="51"/>
      <c r="G607" s="52"/>
      <c r="H607" s="52"/>
      <c r="I607" s="52"/>
      <c r="J607" s="47"/>
      <c r="K607" s="47"/>
      <c r="L607" s="47"/>
      <c r="M607" s="47"/>
      <c r="N607" s="47"/>
      <c r="O607" s="47"/>
    </row>
    <row r="608" customFormat="false" ht="14.25" hidden="false" customHeight="true" outlineLevel="0" collapsed="false">
      <c r="A608" s="51"/>
      <c r="B608" s="51"/>
      <c r="C608" s="51"/>
      <c r="D608" s="52"/>
      <c r="E608" s="51"/>
      <c r="F608" s="51"/>
      <c r="G608" s="52"/>
      <c r="H608" s="52"/>
      <c r="I608" s="52"/>
      <c r="J608" s="47"/>
      <c r="K608" s="47"/>
      <c r="L608" s="47"/>
      <c r="M608" s="47"/>
      <c r="N608" s="47"/>
      <c r="O608" s="47"/>
    </row>
    <row r="609" customFormat="false" ht="14.25" hidden="false" customHeight="true" outlineLevel="0" collapsed="false">
      <c r="A609" s="51"/>
      <c r="B609" s="51"/>
      <c r="C609" s="51"/>
      <c r="D609" s="52"/>
      <c r="E609" s="51"/>
      <c r="F609" s="51"/>
      <c r="G609" s="52"/>
      <c r="H609" s="52"/>
      <c r="I609" s="52"/>
      <c r="J609" s="47"/>
      <c r="K609" s="47"/>
      <c r="L609" s="47"/>
      <c r="M609" s="47"/>
      <c r="N609" s="47"/>
      <c r="O609" s="47"/>
    </row>
    <row r="610" customFormat="false" ht="14.25" hidden="false" customHeight="true" outlineLevel="0" collapsed="false">
      <c r="A610" s="51"/>
      <c r="B610" s="51"/>
      <c r="C610" s="51"/>
      <c r="D610" s="52"/>
      <c r="E610" s="51"/>
      <c r="F610" s="51"/>
      <c r="G610" s="52"/>
      <c r="H610" s="52"/>
      <c r="I610" s="52"/>
      <c r="J610" s="47"/>
      <c r="K610" s="47"/>
      <c r="L610" s="47"/>
      <c r="M610" s="47"/>
      <c r="N610" s="47"/>
      <c r="O610" s="47"/>
    </row>
    <row r="611" customFormat="false" ht="14.25" hidden="false" customHeight="true" outlineLevel="0" collapsed="false">
      <c r="A611" s="51"/>
      <c r="B611" s="51"/>
      <c r="C611" s="51"/>
      <c r="D611" s="52"/>
      <c r="E611" s="51"/>
      <c r="F611" s="51"/>
      <c r="G611" s="52"/>
      <c r="H611" s="52"/>
      <c r="I611" s="52"/>
      <c r="J611" s="47"/>
      <c r="K611" s="47"/>
      <c r="L611" s="47"/>
      <c r="M611" s="47"/>
      <c r="N611" s="47"/>
      <c r="O611" s="47"/>
    </row>
    <row r="612" customFormat="false" ht="14.25" hidden="false" customHeight="true" outlineLevel="0" collapsed="false">
      <c r="A612" s="51"/>
      <c r="B612" s="51"/>
      <c r="C612" s="51"/>
      <c r="D612" s="52"/>
      <c r="E612" s="51"/>
      <c r="F612" s="51"/>
      <c r="G612" s="52"/>
      <c r="H612" s="52"/>
      <c r="I612" s="52"/>
      <c r="J612" s="47"/>
      <c r="K612" s="47"/>
      <c r="L612" s="47"/>
      <c r="M612" s="47"/>
      <c r="N612" s="47"/>
      <c r="O612" s="47"/>
    </row>
    <row r="613" customFormat="false" ht="14.25" hidden="false" customHeight="true" outlineLevel="0" collapsed="false">
      <c r="A613" s="51"/>
      <c r="B613" s="51"/>
      <c r="C613" s="51"/>
      <c r="D613" s="52"/>
      <c r="E613" s="51"/>
      <c r="F613" s="51"/>
      <c r="G613" s="52"/>
      <c r="H613" s="52"/>
      <c r="I613" s="52"/>
      <c r="J613" s="47"/>
      <c r="K613" s="47"/>
      <c r="L613" s="47"/>
      <c r="M613" s="47"/>
      <c r="N613" s="47"/>
      <c r="O613" s="47"/>
    </row>
    <row r="614" customFormat="false" ht="14.25" hidden="false" customHeight="true" outlineLevel="0" collapsed="false">
      <c r="A614" s="51"/>
      <c r="B614" s="51"/>
      <c r="C614" s="51"/>
      <c r="D614" s="52"/>
      <c r="E614" s="51"/>
      <c r="F614" s="51"/>
      <c r="G614" s="52"/>
      <c r="H614" s="52"/>
      <c r="I614" s="52"/>
      <c r="J614" s="47"/>
      <c r="K614" s="47"/>
      <c r="L614" s="47"/>
      <c r="M614" s="47"/>
      <c r="N614" s="47"/>
      <c r="O614" s="47"/>
    </row>
    <row r="615" customFormat="false" ht="14.25" hidden="false" customHeight="true" outlineLevel="0" collapsed="false">
      <c r="A615" s="51"/>
      <c r="B615" s="51"/>
      <c r="C615" s="51"/>
      <c r="D615" s="52"/>
      <c r="E615" s="51"/>
      <c r="F615" s="51"/>
      <c r="G615" s="52"/>
      <c r="H615" s="52"/>
      <c r="I615" s="52"/>
      <c r="J615" s="47"/>
      <c r="K615" s="47"/>
      <c r="L615" s="47"/>
      <c r="M615" s="47"/>
      <c r="N615" s="47"/>
      <c r="O615" s="47"/>
    </row>
    <row r="616" customFormat="false" ht="14.25" hidden="false" customHeight="true" outlineLevel="0" collapsed="false">
      <c r="A616" s="51"/>
      <c r="B616" s="51"/>
      <c r="C616" s="51"/>
      <c r="D616" s="52"/>
      <c r="E616" s="51"/>
      <c r="F616" s="51"/>
      <c r="G616" s="52"/>
      <c r="H616" s="52"/>
      <c r="I616" s="52"/>
      <c r="J616" s="47"/>
      <c r="K616" s="47"/>
      <c r="L616" s="47"/>
      <c r="M616" s="47"/>
      <c r="N616" s="47"/>
      <c r="O616" s="47"/>
    </row>
    <row r="617" customFormat="false" ht="14.25" hidden="false" customHeight="true" outlineLevel="0" collapsed="false">
      <c r="A617" s="51"/>
      <c r="B617" s="51"/>
      <c r="C617" s="51"/>
      <c r="D617" s="52"/>
      <c r="E617" s="51"/>
      <c r="F617" s="51"/>
      <c r="G617" s="52"/>
      <c r="H617" s="52"/>
      <c r="I617" s="52"/>
      <c r="J617" s="47"/>
      <c r="K617" s="47"/>
      <c r="L617" s="47"/>
      <c r="M617" s="47"/>
      <c r="N617" s="47"/>
      <c r="O617" s="47"/>
    </row>
    <row r="618" customFormat="false" ht="14.25" hidden="false" customHeight="true" outlineLevel="0" collapsed="false">
      <c r="A618" s="51"/>
      <c r="B618" s="51"/>
      <c r="C618" s="51"/>
      <c r="D618" s="52"/>
      <c r="E618" s="51"/>
      <c r="F618" s="51"/>
      <c r="G618" s="52"/>
      <c r="H618" s="52"/>
      <c r="I618" s="52"/>
      <c r="J618" s="47"/>
      <c r="K618" s="47"/>
      <c r="L618" s="47"/>
      <c r="M618" s="47"/>
      <c r="N618" s="47"/>
      <c r="O618" s="47"/>
    </row>
    <row r="619" customFormat="false" ht="14.25" hidden="false" customHeight="true" outlineLevel="0" collapsed="false">
      <c r="A619" s="51"/>
      <c r="B619" s="51"/>
      <c r="C619" s="51"/>
      <c r="D619" s="52"/>
      <c r="E619" s="51"/>
      <c r="F619" s="51"/>
      <c r="G619" s="52"/>
      <c r="H619" s="52"/>
      <c r="I619" s="52"/>
      <c r="J619" s="47"/>
      <c r="K619" s="47"/>
      <c r="L619" s="47"/>
      <c r="M619" s="47"/>
      <c r="N619" s="47"/>
      <c r="O619" s="47"/>
    </row>
    <row r="620" customFormat="false" ht="14.25" hidden="false" customHeight="true" outlineLevel="0" collapsed="false">
      <c r="A620" s="51"/>
      <c r="B620" s="51"/>
      <c r="C620" s="51"/>
      <c r="D620" s="52"/>
      <c r="E620" s="51"/>
      <c r="F620" s="51"/>
      <c r="G620" s="52"/>
      <c r="H620" s="52"/>
      <c r="I620" s="52"/>
      <c r="J620" s="47"/>
      <c r="K620" s="47"/>
      <c r="L620" s="47"/>
      <c r="M620" s="47"/>
      <c r="N620" s="47"/>
      <c r="O620" s="47"/>
    </row>
    <row r="621" customFormat="false" ht="14.25" hidden="false" customHeight="true" outlineLevel="0" collapsed="false">
      <c r="A621" s="51"/>
      <c r="B621" s="51"/>
      <c r="C621" s="51"/>
      <c r="D621" s="52"/>
      <c r="E621" s="51"/>
      <c r="F621" s="51"/>
      <c r="G621" s="52"/>
      <c r="H621" s="52"/>
      <c r="I621" s="52"/>
      <c r="J621" s="47"/>
      <c r="K621" s="47"/>
      <c r="L621" s="47"/>
      <c r="M621" s="47"/>
      <c r="N621" s="47"/>
      <c r="O621" s="47"/>
    </row>
    <row r="622" customFormat="false" ht="14.25" hidden="false" customHeight="true" outlineLevel="0" collapsed="false">
      <c r="A622" s="51"/>
      <c r="B622" s="51"/>
      <c r="C622" s="51"/>
      <c r="D622" s="52"/>
      <c r="E622" s="51"/>
      <c r="F622" s="51"/>
      <c r="G622" s="52"/>
      <c r="H622" s="52"/>
      <c r="I622" s="52"/>
      <c r="J622" s="47"/>
      <c r="K622" s="47"/>
      <c r="L622" s="47"/>
      <c r="M622" s="47"/>
      <c r="N622" s="47"/>
      <c r="O622" s="47"/>
    </row>
    <row r="623" customFormat="false" ht="14.25" hidden="false" customHeight="true" outlineLevel="0" collapsed="false">
      <c r="A623" s="51"/>
      <c r="B623" s="51"/>
      <c r="C623" s="51"/>
      <c r="D623" s="52"/>
      <c r="E623" s="51"/>
      <c r="F623" s="51"/>
      <c r="G623" s="52"/>
      <c r="H623" s="52"/>
      <c r="I623" s="52"/>
      <c r="J623" s="47"/>
      <c r="K623" s="47"/>
      <c r="L623" s="47"/>
      <c r="M623" s="47"/>
      <c r="N623" s="47"/>
      <c r="O623" s="47"/>
    </row>
    <row r="624" customFormat="false" ht="14.25" hidden="false" customHeight="true" outlineLevel="0" collapsed="false">
      <c r="A624" s="51"/>
      <c r="B624" s="51"/>
      <c r="C624" s="51"/>
      <c r="D624" s="52"/>
      <c r="E624" s="51"/>
      <c r="F624" s="51"/>
      <c r="G624" s="52"/>
      <c r="H624" s="52"/>
      <c r="I624" s="52"/>
      <c r="J624" s="47"/>
      <c r="K624" s="47"/>
      <c r="L624" s="47"/>
      <c r="M624" s="47"/>
      <c r="N624" s="47"/>
      <c r="O624" s="47"/>
    </row>
    <row r="625" customFormat="false" ht="14.25" hidden="false" customHeight="true" outlineLevel="0" collapsed="false">
      <c r="A625" s="51"/>
      <c r="B625" s="51"/>
      <c r="C625" s="51"/>
      <c r="D625" s="52"/>
      <c r="E625" s="51"/>
      <c r="F625" s="51"/>
      <c r="G625" s="52"/>
      <c r="H625" s="52"/>
      <c r="I625" s="52"/>
      <c r="J625" s="47"/>
      <c r="K625" s="47"/>
      <c r="L625" s="47"/>
      <c r="M625" s="47"/>
      <c r="N625" s="47"/>
      <c r="O625" s="47"/>
    </row>
    <row r="626" customFormat="false" ht="14.25" hidden="false" customHeight="true" outlineLevel="0" collapsed="false">
      <c r="A626" s="51"/>
      <c r="B626" s="51"/>
      <c r="C626" s="51"/>
      <c r="D626" s="52"/>
      <c r="E626" s="51"/>
      <c r="F626" s="51"/>
      <c r="G626" s="52"/>
      <c r="H626" s="52"/>
      <c r="I626" s="52"/>
      <c r="J626" s="47"/>
      <c r="K626" s="47"/>
      <c r="L626" s="47"/>
      <c r="M626" s="47"/>
      <c r="N626" s="47"/>
      <c r="O626" s="47"/>
    </row>
    <row r="627" customFormat="false" ht="14.25" hidden="false" customHeight="true" outlineLevel="0" collapsed="false">
      <c r="A627" s="51"/>
      <c r="B627" s="51"/>
      <c r="C627" s="51"/>
      <c r="D627" s="52"/>
      <c r="E627" s="51"/>
      <c r="F627" s="51"/>
      <c r="G627" s="52"/>
      <c r="H627" s="52"/>
      <c r="I627" s="52"/>
      <c r="J627" s="47"/>
      <c r="K627" s="47"/>
      <c r="L627" s="47"/>
      <c r="M627" s="47"/>
      <c r="N627" s="47"/>
      <c r="O627" s="47"/>
    </row>
    <row r="628" customFormat="false" ht="14.25" hidden="false" customHeight="true" outlineLevel="0" collapsed="false">
      <c r="A628" s="51"/>
      <c r="B628" s="51"/>
      <c r="C628" s="51"/>
      <c r="D628" s="52"/>
      <c r="E628" s="51"/>
      <c r="F628" s="51"/>
      <c r="G628" s="52"/>
      <c r="H628" s="52"/>
      <c r="I628" s="52"/>
      <c r="J628" s="47"/>
      <c r="K628" s="47"/>
      <c r="L628" s="47"/>
      <c r="M628" s="47"/>
      <c r="N628" s="47"/>
      <c r="O628" s="47"/>
    </row>
    <row r="629" customFormat="false" ht="14.25" hidden="false" customHeight="true" outlineLevel="0" collapsed="false">
      <c r="A629" s="51"/>
      <c r="B629" s="51"/>
      <c r="C629" s="51"/>
      <c r="D629" s="52"/>
      <c r="E629" s="51"/>
      <c r="F629" s="51"/>
      <c r="G629" s="52"/>
      <c r="H629" s="52"/>
      <c r="I629" s="52"/>
      <c r="J629" s="47"/>
      <c r="K629" s="47"/>
      <c r="L629" s="47"/>
      <c r="M629" s="47"/>
      <c r="N629" s="47"/>
      <c r="O629" s="47"/>
    </row>
    <row r="630" customFormat="false" ht="14.25" hidden="false" customHeight="true" outlineLevel="0" collapsed="false">
      <c r="A630" s="51"/>
      <c r="B630" s="51"/>
      <c r="C630" s="51"/>
      <c r="D630" s="52"/>
      <c r="E630" s="51"/>
      <c r="F630" s="51"/>
      <c r="G630" s="52"/>
      <c r="H630" s="52"/>
      <c r="I630" s="52"/>
      <c r="J630" s="47"/>
      <c r="K630" s="47"/>
      <c r="L630" s="47"/>
      <c r="M630" s="47"/>
      <c r="N630" s="47"/>
      <c r="O630" s="47"/>
    </row>
    <row r="631" customFormat="false" ht="14.25" hidden="false" customHeight="true" outlineLevel="0" collapsed="false">
      <c r="A631" s="51"/>
      <c r="B631" s="51"/>
      <c r="C631" s="51"/>
      <c r="D631" s="52"/>
      <c r="E631" s="51"/>
      <c r="F631" s="51"/>
      <c r="G631" s="52"/>
      <c r="H631" s="52"/>
      <c r="I631" s="52"/>
      <c r="J631" s="47"/>
      <c r="K631" s="47"/>
      <c r="L631" s="47"/>
      <c r="M631" s="47"/>
      <c r="N631" s="47"/>
      <c r="O631" s="47"/>
    </row>
    <row r="632" customFormat="false" ht="14.25" hidden="false" customHeight="true" outlineLevel="0" collapsed="false">
      <c r="A632" s="51"/>
      <c r="B632" s="51"/>
      <c r="C632" s="51"/>
      <c r="D632" s="52"/>
      <c r="E632" s="51"/>
      <c r="F632" s="51"/>
      <c r="G632" s="52"/>
      <c r="H632" s="52"/>
      <c r="I632" s="52"/>
      <c r="J632" s="47"/>
      <c r="K632" s="47"/>
      <c r="L632" s="47"/>
      <c r="M632" s="47"/>
      <c r="N632" s="47"/>
      <c r="O632" s="47"/>
    </row>
    <row r="633" customFormat="false" ht="14.25" hidden="false" customHeight="true" outlineLevel="0" collapsed="false">
      <c r="A633" s="51"/>
      <c r="B633" s="51"/>
      <c r="C633" s="51"/>
      <c r="D633" s="52"/>
      <c r="E633" s="51"/>
      <c r="F633" s="51"/>
      <c r="G633" s="52"/>
      <c r="H633" s="52"/>
      <c r="I633" s="52"/>
      <c r="J633" s="47"/>
      <c r="K633" s="47"/>
      <c r="L633" s="47"/>
      <c r="M633" s="47"/>
      <c r="N633" s="47"/>
      <c r="O633" s="47"/>
    </row>
    <row r="634" customFormat="false" ht="14.25" hidden="false" customHeight="true" outlineLevel="0" collapsed="false">
      <c r="A634" s="51"/>
      <c r="B634" s="51"/>
      <c r="C634" s="51"/>
      <c r="D634" s="52"/>
      <c r="E634" s="51"/>
      <c r="F634" s="51"/>
      <c r="G634" s="52"/>
      <c r="H634" s="52"/>
      <c r="I634" s="52"/>
      <c r="J634" s="47"/>
      <c r="K634" s="47"/>
      <c r="L634" s="47"/>
      <c r="M634" s="47"/>
      <c r="N634" s="47"/>
      <c r="O634" s="47"/>
    </row>
    <row r="635" customFormat="false" ht="14.25" hidden="false" customHeight="true" outlineLevel="0" collapsed="false">
      <c r="A635" s="51"/>
      <c r="B635" s="51"/>
      <c r="C635" s="51"/>
      <c r="D635" s="52"/>
      <c r="E635" s="51"/>
      <c r="F635" s="51"/>
      <c r="G635" s="52"/>
      <c r="H635" s="52"/>
      <c r="I635" s="52"/>
      <c r="J635" s="47"/>
      <c r="K635" s="47"/>
      <c r="L635" s="47"/>
      <c r="M635" s="47"/>
      <c r="N635" s="47"/>
      <c r="O635" s="47"/>
    </row>
    <row r="636" customFormat="false" ht="14.25" hidden="false" customHeight="true" outlineLevel="0" collapsed="false">
      <c r="A636" s="51"/>
      <c r="B636" s="51"/>
      <c r="C636" s="51"/>
      <c r="D636" s="52"/>
      <c r="E636" s="51"/>
      <c r="F636" s="51"/>
      <c r="G636" s="52"/>
      <c r="H636" s="52"/>
      <c r="I636" s="52"/>
      <c r="J636" s="47"/>
      <c r="K636" s="47"/>
      <c r="L636" s="47"/>
      <c r="M636" s="47"/>
      <c r="N636" s="47"/>
      <c r="O636" s="47"/>
    </row>
    <row r="637" customFormat="false" ht="14.25" hidden="false" customHeight="true" outlineLevel="0" collapsed="false">
      <c r="A637" s="51"/>
      <c r="B637" s="51"/>
      <c r="C637" s="51"/>
      <c r="D637" s="52"/>
      <c r="E637" s="51"/>
      <c r="F637" s="51"/>
      <c r="G637" s="52"/>
      <c r="H637" s="52"/>
      <c r="I637" s="52"/>
      <c r="J637" s="47"/>
      <c r="K637" s="47"/>
      <c r="L637" s="47"/>
      <c r="M637" s="47"/>
      <c r="N637" s="47"/>
      <c r="O637" s="47"/>
    </row>
    <row r="638" customFormat="false" ht="14.25" hidden="false" customHeight="true" outlineLevel="0" collapsed="false">
      <c r="A638" s="51"/>
      <c r="B638" s="51"/>
      <c r="C638" s="51"/>
      <c r="D638" s="52"/>
      <c r="E638" s="51"/>
      <c r="F638" s="51"/>
      <c r="G638" s="52"/>
      <c r="H638" s="52"/>
      <c r="I638" s="52"/>
      <c r="J638" s="47"/>
      <c r="K638" s="47"/>
      <c r="L638" s="47"/>
      <c r="M638" s="47"/>
      <c r="N638" s="47"/>
      <c r="O638" s="47"/>
    </row>
    <row r="639" customFormat="false" ht="14.25" hidden="false" customHeight="true" outlineLevel="0" collapsed="false">
      <c r="A639" s="51"/>
      <c r="B639" s="51"/>
      <c r="C639" s="51"/>
      <c r="D639" s="52"/>
      <c r="E639" s="51"/>
      <c r="F639" s="51"/>
      <c r="G639" s="52"/>
      <c r="H639" s="52"/>
      <c r="I639" s="52"/>
      <c r="J639" s="47"/>
      <c r="K639" s="47"/>
      <c r="L639" s="47"/>
      <c r="M639" s="47"/>
      <c r="N639" s="47"/>
      <c r="O639" s="47"/>
    </row>
    <row r="640" customFormat="false" ht="14.25" hidden="false" customHeight="true" outlineLevel="0" collapsed="false">
      <c r="A640" s="51"/>
      <c r="B640" s="51"/>
      <c r="C640" s="51"/>
      <c r="D640" s="52"/>
      <c r="E640" s="51"/>
      <c r="F640" s="51"/>
      <c r="G640" s="52"/>
      <c r="H640" s="52"/>
      <c r="I640" s="52"/>
      <c r="J640" s="47"/>
      <c r="K640" s="47"/>
      <c r="L640" s="47"/>
      <c r="M640" s="47"/>
      <c r="N640" s="47"/>
      <c r="O640" s="47"/>
    </row>
    <row r="641" customFormat="false" ht="14.25" hidden="false" customHeight="true" outlineLevel="0" collapsed="false">
      <c r="A641" s="51"/>
      <c r="B641" s="51"/>
      <c r="C641" s="51"/>
      <c r="D641" s="52"/>
      <c r="E641" s="51"/>
      <c r="F641" s="51"/>
      <c r="G641" s="52"/>
      <c r="H641" s="52"/>
      <c r="I641" s="52"/>
      <c r="J641" s="47"/>
      <c r="K641" s="47"/>
      <c r="L641" s="47"/>
      <c r="M641" s="47"/>
      <c r="N641" s="47"/>
      <c r="O641" s="47"/>
    </row>
    <row r="642" customFormat="false" ht="14.25" hidden="false" customHeight="true" outlineLevel="0" collapsed="false">
      <c r="A642" s="51"/>
      <c r="B642" s="51"/>
      <c r="C642" s="51"/>
      <c r="D642" s="52"/>
      <c r="E642" s="51"/>
      <c r="F642" s="51"/>
      <c r="G642" s="52"/>
      <c r="H642" s="52"/>
      <c r="I642" s="52"/>
      <c r="J642" s="47"/>
      <c r="K642" s="47"/>
      <c r="L642" s="47"/>
      <c r="M642" s="47"/>
      <c r="N642" s="47"/>
      <c r="O642" s="47"/>
    </row>
    <row r="643" customFormat="false" ht="14.25" hidden="false" customHeight="true" outlineLevel="0" collapsed="false">
      <c r="A643" s="51"/>
      <c r="B643" s="51"/>
      <c r="C643" s="51"/>
      <c r="D643" s="52"/>
      <c r="E643" s="51"/>
      <c r="F643" s="51"/>
      <c r="G643" s="52"/>
      <c r="H643" s="52"/>
      <c r="I643" s="52"/>
      <c r="J643" s="47"/>
      <c r="K643" s="47"/>
      <c r="L643" s="47"/>
      <c r="M643" s="47"/>
      <c r="N643" s="47"/>
      <c r="O643" s="47"/>
    </row>
    <row r="644" customFormat="false" ht="14.25" hidden="false" customHeight="true" outlineLevel="0" collapsed="false">
      <c r="A644" s="51"/>
      <c r="B644" s="51"/>
      <c r="C644" s="51"/>
      <c r="D644" s="52"/>
      <c r="E644" s="51"/>
      <c r="F644" s="51"/>
      <c r="G644" s="52"/>
      <c r="H644" s="52"/>
      <c r="I644" s="52"/>
      <c r="J644" s="47"/>
      <c r="K644" s="47"/>
      <c r="L644" s="47"/>
      <c r="M644" s="47"/>
      <c r="N644" s="47"/>
      <c r="O644" s="47"/>
    </row>
    <row r="645" customFormat="false" ht="14.25" hidden="false" customHeight="true" outlineLevel="0" collapsed="false">
      <c r="A645" s="51"/>
      <c r="B645" s="51"/>
      <c r="C645" s="51"/>
      <c r="D645" s="52"/>
      <c r="E645" s="51"/>
      <c r="F645" s="51"/>
      <c r="G645" s="52"/>
      <c r="H645" s="52"/>
      <c r="I645" s="52"/>
      <c r="J645" s="47"/>
      <c r="K645" s="47"/>
      <c r="L645" s="47"/>
      <c r="M645" s="47"/>
      <c r="N645" s="47"/>
      <c r="O645" s="47"/>
    </row>
    <row r="646" customFormat="false" ht="14.25" hidden="false" customHeight="true" outlineLevel="0" collapsed="false">
      <c r="A646" s="51"/>
      <c r="B646" s="51"/>
      <c r="C646" s="51"/>
      <c r="D646" s="52"/>
      <c r="E646" s="51"/>
      <c r="F646" s="51"/>
      <c r="G646" s="52"/>
      <c r="H646" s="52"/>
      <c r="I646" s="52"/>
      <c r="J646" s="47"/>
      <c r="K646" s="47"/>
      <c r="L646" s="47"/>
      <c r="M646" s="47"/>
      <c r="N646" s="47"/>
      <c r="O646" s="47"/>
    </row>
    <row r="647" customFormat="false" ht="14.25" hidden="false" customHeight="true" outlineLevel="0" collapsed="false">
      <c r="A647" s="51"/>
      <c r="B647" s="51"/>
      <c r="C647" s="51"/>
      <c r="D647" s="52"/>
      <c r="E647" s="51"/>
      <c r="F647" s="51"/>
      <c r="G647" s="52"/>
      <c r="H647" s="52"/>
      <c r="I647" s="52"/>
      <c r="J647" s="47"/>
      <c r="K647" s="47"/>
      <c r="L647" s="47"/>
      <c r="M647" s="47"/>
      <c r="N647" s="47"/>
      <c r="O647" s="47"/>
    </row>
    <row r="648" customFormat="false" ht="14.25" hidden="false" customHeight="true" outlineLevel="0" collapsed="false">
      <c r="A648" s="51"/>
      <c r="B648" s="51"/>
      <c r="C648" s="51"/>
      <c r="D648" s="52"/>
      <c r="E648" s="51"/>
      <c r="F648" s="51"/>
      <c r="G648" s="52"/>
      <c r="H648" s="52"/>
      <c r="I648" s="52"/>
      <c r="J648" s="47"/>
      <c r="K648" s="47"/>
      <c r="L648" s="47"/>
      <c r="M648" s="47"/>
      <c r="N648" s="47"/>
      <c r="O648" s="47"/>
    </row>
    <row r="649" customFormat="false" ht="14.25" hidden="false" customHeight="true" outlineLevel="0" collapsed="false">
      <c r="A649" s="51"/>
      <c r="B649" s="51"/>
      <c r="C649" s="51"/>
      <c r="D649" s="52"/>
      <c r="E649" s="51"/>
      <c r="F649" s="51"/>
      <c r="G649" s="52"/>
      <c r="H649" s="52"/>
      <c r="I649" s="52"/>
      <c r="J649" s="47"/>
      <c r="K649" s="47"/>
      <c r="L649" s="47"/>
      <c r="M649" s="47"/>
      <c r="N649" s="47"/>
      <c r="O649" s="47"/>
    </row>
    <row r="650" customFormat="false" ht="14.25" hidden="false" customHeight="true" outlineLevel="0" collapsed="false">
      <c r="A650" s="51"/>
      <c r="B650" s="51"/>
      <c r="C650" s="51"/>
      <c r="D650" s="52"/>
      <c r="E650" s="51"/>
      <c r="F650" s="51"/>
      <c r="G650" s="52"/>
      <c r="H650" s="52"/>
      <c r="I650" s="52"/>
      <c r="J650" s="47"/>
      <c r="K650" s="47"/>
      <c r="L650" s="47"/>
      <c r="M650" s="47"/>
      <c r="N650" s="47"/>
      <c r="O650" s="47"/>
    </row>
    <row r="651" customFormat="false" ht="14.25" hidden="false" customHeight="true" outlineLevel="0" collapsed="false">
      <c r="A651" s="51"/>
      <c r="B651" s="51"/>
      <c r="C651" s="51"/>
      <c r="D651" s="52"/>
      <c r="E651" s="51"/>
      <c r="F651" s="51"/>
      <c r="G651" s="52"/>
      <c r="H651" s="52"/>
      <c r="I651" s="52"/>
      <c r="J651" s="47"/>
      <c r="K651" s="47"/>
      <c r="L651" s="47"/>
      <c r="M651" s="47"/>
      <c r="N651" s="47"/>
      <c r="O651" s="47"/>
    </row>
    <row r="652" customFormat="false" ht="14.25" hidden="false" customHeight="true" outlineLevel="0" collapsed="false">
      <c r="A652" s="51"/>
      <c r="B652" s="51"/>
      <c r="C652" s="51"/>
      <c r="D652" s="52"/>
      <c r="E652" s="51"/>
      <c r="F652" s="51"/>
      <c r="G652" s="52"/>
      <c r="H652" s="52"/>
      <c r="I652" s="52"/>
      <c r="J652" s="47"/>
      <c r="K652" s="47"/>
      <c r="L652" s="47"/>
      <c r="M652" s="47"/>
      <c r="N652" s="47"/>
      <c r="O652" s="47"/>
    </row>
    <row r="653" customFormat="false" ht="14.25" hidden="false" customHeight="true" outlineLevel="0" collapsed="false">
      <c r="A653" s="51"/>
      <c r="B653" s="51"/>
      <c r="C653" s="51"/>
      <c r="D653" s="52"/>
      <c r="E653" s="51"/>
      <c r="F653" s="51"/>
      <c r="G653" s="52"/>
      <c r="H653" s="52"/>
      <c r="I653" s="52"/>
      <c r="J653" s="47"/>
      <c r="K653" s="47"/>
      <c r="L653" s="47"/>
      <c r="M653" s="47"/>
      <c r="N653" s="47"/>
      <c r="O653" s="47"/>
    </row>
    <row r="654" customFormat="false" ht="14.25" hidden="false" customHeight="true" outlineLevel="0" collapsed="false">
      <c r="A654" s="51"/>
      <c r="B654" s="51"/>
      <c r="C654" s="51"/>
      <c r="D654" s="52"/>
      <c r="E654" s="51"/>
      <c r="F654" s="51"/>
      <c r="G654" s="52"/>
      <c r="H654" s="52"/>
      <c r="I654" s="52"/>
      <c r="J654" s="47"/>
      <c r="K654" s="47"/>
      <c r="L654" s="47"/>
      <c r="M654" s="47"/>
      <c r="N654" s="47"/>
      <c r="O654" s="47"/>
    </row>
    <row r="655" customFormat="false" ht="14.25" hidden="false" customHeight="true" outlineLevel="0" collapsed="false">
      <c r="A655" s="51"/>
      <c r="B655" s="51"/>
      <c r="C655" s="51"/>
      <c r="D655" s="52"/>
      <c r="E655" s="51"/>
      <c r="F655" s="51"/>
      <c r="G655" s="52"/>
      <c r="H655" s="52"/>
      <c r="I655" s="52"/>
      <c r="J655" s="47"/>
      <c r="K655" s="47"/>
      <c r="L655" s="47"/>
      <c r="M655" s="47"/>
      <c r="N655" s="47"/>
      <c r="O655" s="47"/>
    </row>
    <row r="656" customFormat="false" ht="14.25" hidden="false" customHeight="true" outlineLevel="0" collapsed="false">
      <c r="A656" s="51"/>
      <c r="B656" s="51"/>
      <c r="C656" s="51"/>
      <c r="D656" s="52"/>
      <c r="E656" s="51"/>
      <c r="F656" s="51"/>
      <c r="G656" s="52"/>
      <c r="H656" s="52"/>
      <c r="I656" s="52"/>
      <c r="J656" s="47"/>
      <c r="K656" s="47"/>
      <c r="L656" s="47"/>
      <c r="M656" s="47"/>
      <c r="N656" s="47"/>
      <c r="O656" s="47"/>
    </row>
    <row r="657" customFormat="false" ht="14.25" hidden="false" customHeight="true" outlineLevel="0" collapsed="false">
      <c r="A657" s="51"/>
      <c r="B657" s="51"/>
      <c r="C657" s="51"/>
      <c r="D657" s="52"/>
      <c r="E657" s="51"/>
      <c r="F657" s="51"/>
      <c r="G657" s="52"/>
      <c r="H657" s="52"/>
      <c r="I657" s="52"/>
      <c r="J657" s="47"/>
      <c r="K657" s="47"/>
      <c r="L657" s="47"/>
      <c r="M657" s="47"/>
      <c r="N657" s="47"/>
      <c r="O657" s="47"/>
    </row>
    <row r="658" customFormat="false" ht="14.25" hidden="false" customHeight="true" outlineLevel="0" collapsed="false">
      <c r="A658" s="51"/>
      <c r="B658" s="51"/>
      <c r="C658" s="51"/>
      <c r="D658" s="52"/>
      <c r="E658" s="51"/>
      <c r="F658" s="51"/>
      <c r="G658" s="52"/>
      <c r="H658" s="52"/>
      <c r="I658" s="52"/>
      <c r="J658" s="47"/>
      <c r="K658" s="47"/>
      <c r="L658" s="47"/>
      <c r="M658" s="47"/>
      <c r="N658" s="47"/>
      <c r="O658" s="47"/>
    </row>
    <row r="659" customFormat="false" ht="14.25" hidden="false" customHeight="true" outlineLevel="0" collapsed="false">
      <c r="A659" s="51"/>
      <c r="B659" s="51"/>
      <c r="C659" s="51"/>
      <c r="D659" s="52"/>
      <c r="E659" s="51"/>
      <c r="F659" s="51"/>
      <c r="G659" s="52"/>
      <c r="H659" s="52"/>
      <c r="I659" s="52"/>
      <c r="J659" s="47"/>
      <c r="K659" s="47"/>
      <c r="L659" s="47"/>
      <c r="M659" s="47"/>
      <c r="N659" s="47"/>
      <c r="O659" s="47"/>
    </row>
    <row r="660" customFormat="false" ht="14.25" hidden="false" customHeight="true" outlineLevel="0" collapsed="false">
      <c r="A660" s="51"/>
      <c r="B660" s="51"/>
      <c r="C660" s="51"/>
      <c r="D660" s="52"/>
      <c r="E660" s="51"/>
      <c r="F660" s="51"/>
      <c r="G660" s="52"/>
      <c r="H660" s="52"/>
      <c r="I660" s="52"/>
      <c r="J660" s="47"/>
      <c r="K660" s="47"/>
      <c r="L660" s="47"/>
      <c r="M660" s="47"/>
      <c r="N660" s="47"/>
      <c r="O660" s="47"/>
    </row>
    <row r="661" customFormat="false" ht="14.25" hidden="false" customHeight="true" outlineLevel="0" collapsed="false">
      <c r="A661" s="51"/>
      <c r="B661" s="51"/>
      <c r="C661" s="51"/>
      <c r="D661" s="52"/>
      <c r="E661" s="51"/>
      <c r="F661" s="51"/>
      <c r="G661" s="52"/>
      <c r="H661" s="52"/>
      <c r="I661" s="52"/>
      <c r="J661" s="47"/>
      <c r="K661" s="47"/>
      <c r="L661" s="47"/>
      <c r="M661" s="47"/>
      <c r="N661" s="47"/>
      <c r="O661" s="47"/>
    </row>
    <row r="662" customFormat="false" ht="14.25" hidden="false" customHeight="true" outlineLevel="0" collapsed="false">
      <c r="A662" s="51"/>
      <c r="B662" s="51"/>
      <c r="C662" s="51"/>
      <c r="D662" s="52"/>
      <c r="E662" s="51"/>
      <c r="F662" s="51"/>
      <c r="G662" s="52"/>
      <c r="H662" s="52"/>
      <c r="I662" s="52"/>
      <c r="J662" s="47"/>
      <c r="K662" s="47"/>
      <c r="L662" s="47"/>
      <c r="M662" s="47"/>
      <c r="N662" s="47"/>
      <c r="O662" s="47"/>
    </row>
    <row r="663" customFormat="false" ht="14.25" hidden="false" customHeight="true" outlineLevel="0" collapsed="false">
      <c r="A663" s="51"/>
      <c r="B663" s="51"/>
      <c r="C663" s="51"/>
      <c r="D663" s="52"/>
      <c r="E663" s="51"/>
      <c r="F663" s="51"/>
      <c r="G663" s="52"/>
      <c r="H663" s="52"/>
      <c r="I663" s="52"/>
      <c r="J663" s="47"/>
      <c r="K663" s="47"/>
      <c r="L663" s="47"/>
      <c r="M663" s="47"/>
      <c r="N663" s="47"/>
      <c r="O663" s="47"/>
    </row>
    <row r="664" customFormat="false" ht="14.25" hidden="false" customHeight="true" outlineLevel="0" collapsed="false">
      <c r="A664" s="51"/>
      <c r="B664" s="51"/>
      <c r="C664" s="51"/>
      <c r="D664" s="52"/>
      <c r="E664" s="51"/>
      <c r="F664" s="51"/>
      <c r="G664" s="52"/>
      <c r="H664" s="52"/>
      <c r="I664" s="52"/>
      <c r="J664" s="47"/>
      <c r="K664" s="47"/>
      <c r="L664" s="47"/>
      <c r="M664" s="47"/>
      <c r="N664" s="47"/>
      <c r="O664" s="47"/>
    </row>
    <row r="665" customFormat="false" ht="14.25" hidden="false" customHeight="true" outlineLevel="0" collapsed="false">
      <c r="A665" s="51"/>
      <c r="B665" s="51"/>
      <c r="C665" s="51"/>
      <c r="D665" s="52"/>
      <c r="E665" s="51"/>
      <c r="F665" s="51"/>
      <c r="G665" s="52"/>
      <c r="H665" s="52"/>
      <c r="I665" s="52"/>
      <c r="J665" s="47"/>
      <c r="K665" s="47"/>
      <c r="L665" s="47"/>
      <c r="M665" s="47"/>
      <c r="N665" s="47"/>
      <c r="O665" s="47"/>
    </row>
    <row r="666" customFormat="false" ht="14.25" hidden="false" customHeight="true" outlineLevel="0" collapsed="false">
      <c r="A666" s="51"/>
      <c r="B666" s="51"/>
      <c r="C666" s="51"/>
      <c r="D666" s="52"/>
      <c r="E666" s="51"/>
      <c r="F666" s="51"/>
      <c r="G666" s="52"/>
      <c r="H666" s="52"/>
      <c r="I666" s="52"/>
      <c r="J666" s="47"/>
      <c r="K666" s="47"/>
      <c r="L666" s="47"/>
      <c r="M666" s="47"/>
      <c r="N666" s="47"/>
      <c r="O666" s="47"/>
    </row>
    <row r="667" customFormat="false" ht="14.25" hidden="false" customHeight="true" outlineLevel="0" collapsed="false">
      <c r="A667" s="51"/>
      <c r="B667" s="51"/>
      <c r="C667" s="51"/>
      <c r="D667" s="52"/>
      <c r="E667" s="51"/>
      <c r="F667" s="51"/>
      <c r="G667" s="52"/>
      <c r="H667" s="52"/>
      <c r="I667" s="52"/>
      <c r="J667" s="47"/>
      <c r="K667" s="47"/>
      <c r="L667" s="47"/>
      <c r="M667" s="47"/>
      <c r="N667" s="47"/>
      <c r="O667" s="47"/>
    </row>
    <row r="668" customFormat="false" ht="14.25" hidden="false" customHeight="true" outlineLevel="0" collapsed="false">
      <c r="A668" s="51"/>
      <c r="B668" s="51"/>
      <c r="C668" s="51"/>
      <c r="D668" s="52"/>
      <c r="E668" s="51"/>
      <c r="F668" s="51"/>
      <c r="G668" s="52"/>
      <c r="H668" s="52"/>
      <c r="I668" s="52"/>
      <c r="J668" s="47"/>
      <c r="K668" s="47"/>
      <c r="L668" s="47"/>
      <c r="M668" s="47"/>
      <c r="N668" s="47"/>
      <c r="O668" s="47"/>
    </row>
    <row r="669" customFormat="false" ht="14.25" hidden="false" customHeight="true" outlineLevel="0" collapsed="false">
      <c r="A669" s="51"/>
      <c r="B669" s="51"/>
      <c r="C669" s="51"/>
      <c r="D669" s="52"/>
      <c r="E669" s="51"/>
      <c r="F669" s="51"/>
      <c r="G669" s="52"/>
      <c r="H669" s="52"/>
      <c r="I669" s="52"/>
      <c r="J669" s="47"/>
      <c r="K669" s="47"/>
      <c r="L669" s="47"/>
      <c r="M669" s="47"/>
      <c r="N669" s="47"/>
      <c r="O669" s="47"/>
    </row>
    <row r="670" customFormat="false" ht="14.25" hidden="false" customHeight="true" outlineLevel="0" collapsed="false">
      <c r="A670" s="51"/>
      <c r="B670" s="51"/>
      <c r="C670" s="51"/>
      <c r="D670" s="52"/>
      <c r="E670" s="51"/>
      <c r="F670" s="51"/>
      <c r="G670" s="52"/>
      <c r="H670" s="52"/>
      <c r="I670" s="52"/>
      <c r="J670" s="47"/>
      <c r="K670" s="47"/>
      <c r="L670" s="47"/>
      <c r="M670" s="47"/>
      <c r="N670" s="47"/>
      <c r="O670" s="47"/>
    </row>
    <row r="671" customFormat="false" ht="14.25" hidden="false" customHeight="true" outlineLevel="0" collapsed="false">
      <c r="A671" s="51"/>
      <c r="B671" s="51"/>
      <c r="C671" s="51"/>
      <c r="D671" s="52"/>
      <c r="E671" s="51"/>
      <c r="F671" s="51"/>
      <c r="G671" s="52"/>
      <c r="H671" s="52"/>
      <c r="I671" s="52"/>
      <c r="J671" s="47"/>
      <c r="K671" s="47"/>
      <c r="L671" s="47"/>
      <c r="M671" s="47"/>
      <c r="N671" s="47"/>
      <c r="O671" s="47"/>
    </row>
    <row r="672" customFormat="false" ht="14.25" hidden="false" customHeight="true" outlineLevel="0" collapsed="false">
      <c r="A672" s="51"/>
      <c r="B672" s="51"/>
      <c r="C672" s="51"/>
      <c r="D672" s="52"/>
      <c r="E672" s="51"/>
      <c r="F672" s="51"/>
      <c r="G672" s="52"/>
      <c r="H672" s="52"/>
      <c r="I672" s="52"/>
      <c r="J672" s="47"/>
      <c r="K672" s="47"/>
      <c r="L672" s="47"/>
      <c r="M672" s="47"/>
      <c r="N672" s="47"/>
      <c r="O672" s="47"/>
    </row>
    <row r="673" customFormat="false" ht="14.25" hidden="false" customHeight="true" outlineLevel="0" collapsed="false">
      <c r="A673" s="51"/>
      <c r="B673" s="51"/>
      <c r="C673" s="51"/>
      <c r="D673" s="52"/>
      <c r="E673" s="51"/>
      <c r="F673" s="51"/>
      <c r="G673" s="52"/>
      <c r="H673" s="52"/>
      <c r="I673" s="52"/>
      <c r="J673" s="47"/>
      <c r="K673" s="47"/>
      <c r="L673" s="47"/>
      <c r="M673" s="47"/>
      <c r="N673" s="47"/>
      <c r="O673" s="47"/>
    </row>
    <row r="674" customFormat="false" ht="14.25" hidden="false" customHeight="true" outlineLevel="0" collapsed="false">
      <c r="A674" s="51"/>
      <c r="B674" s="51"/>
      <c r="C674" s="51"/>
      <c r="D674" s="52"/>
      <c r="E674" s="51"/>
      <c r="F674" s="51"/>
      <c r="G674" s="52"/>
      <c r="H674" s="52"/>
      <c r="I674" s="52"/>
      <c r="J674" s="47"/>
      <c r="K674" s="47"/>
      <c r="L674" s="47"/>
      <c r="M674" s="47"/>
      <c r="N674" s="47"/>
      <c r="O674" s="47"/>
    </row>
    <row r="675" customFormat="false" ht="14.25" hidden="false" customHeight="true" outlineLevel="0" collapsed="false">
      <c r="A675" s="51"/>
      <c r="B675" s="51"/>
      <c r="C675" s="51"/>
      <c r="D675" s="52"/>
      <c r="E675" s="51"/>
      <c r="F675" s="51"/>
      <c r="G675" s="52"/>
      <c r="H675" s="52"/>
      <c r="I675" s="52"/>
      <c r="J675" s="47"/>
      <c r="K675" s="47"/>
      <c r="L675" s="47"/>
      <c r="M675" s="47"/>
      <c r="N675" s="47"/>
      <c r="O675" s="47"/>
    </row>
    <row r="676" customFormat="false" ht="14.25" hidden="false" customHeight="true" outlineLevel="0" collapsed="false">
      <c r="A676" s="51"/>
      <c r="B676" s="51"/>
      <c r="C676" s="51"/>
      <c r="D676" s="52"/>
      <c r="E676" s="51"/>
      <c r="F676" s="51"/>
      <c r="G676" s="52"/>
      <c r="H676" s="52"/>
      <c r="I676" s="52"/>
      <c r="J676" s="47"/>
      <c r="K676" s="47"/>
      <c r="L676" s="47"/>
      <c r="M676" s="47"/>
      <c r="N676" s="47"/>
      <c r="O676" s="47"/>
    </row>
    <row r="677" customFormat="false" ht="14.25" hidden="false" customHeight="true" outlineLevel="0" collapsed="false">
      <c r="A677" s="51"/>
      <c r="B677" s="51"/>
      <c r="C677" s="51"/>
      <c r="D677" s="52"/>
      <c r="E677" s="51"/>
      <c r="F677" s="51"/>
      <c r="G677" s="52"/>
      <c r="H677" s="52"/>
      <c r="I677" s="52"/>
      <c r="J677" s="47"/>
      <c r="K677" s="47"/>
      <c r="L677" s="47"/>
      <c r="M677" s="47"/>
      <c r="N677" s="47"/>
      <c r="O677" s="47"/>
    </row>
    <row r="678" customFormat="false" ht="14.25" hidden="false" customHeight="true" outlineLevel="0" collapsed="false">
      <c r="A678" s="51"/>
      <c r="B678" s="51"/>
      <c r="C678" s="51"/>
      <c r="D678" s="52"/>
      <c r="E678" s="51"/>
      <c r="F678" s="51"/>
      <c r="G678" s="52"/>
      <c r="H678" s="52"/>
      <c r="I678" s="52"/>
      <c r="J678" s="47"/>
      <c r="K678" s="47"/>
      <c r="L678" s="47"/>
      <c r="M678" s="47"/>
      <c r="N678" s="47"/>
      <c r="O678" s="47"/>
    </row>
    <row r="679" customFormat="false" ht="14.25" hidden="false" customHeight="true" outlineLevel="0" collapsed="false">
      <c r="A679" s="51"/>
      <c r="B679" s="51"/>
      <c r="C679" s="51"/>
      <c r="D679" s="52"/>
      <c r="E679" s="51"/>
      <c r="F679" s="51"/>
      <c r="G679" s="52"/>
      <c r="H679" s="52"/>
      <c r="I679" s="52"/>
      <c r="J679" s="47"/>
      <c r="K679" s="47"/>
      <c r="L679" s="47"/>
      <c r="M679" s="47"/>
      <c r="N679" s="47"/>
      <c r="O679" s="47"/>
    </row>
    <row r="680" customFormat="false" ht="14.25" hidden="false" customHeight="true" outlineLevel="0" collapsed="false">
      <c r="A680" s="51"/>
      <c r="B680" s="51"/>
      <c r="C680" s="51"/>
      <c r="D680" s="52"/>
      <c r="E680" s="51"/>
      <c r="F680" s="51"/>
      <c r="G680" s="52"/>
      <c r="H680" s="52"/>
      <c r="I680" s="52"/>
      <c r="J680" s="47"/>
      <c r="K680" s="47"/>
      <c r="L680" s="47"/>
      <c r="M680" s="47"/>
      <c r="N680" s="47"/>
      <c r="O680" s="47"/>
    </row>
    <row r="681" customFormat="false" ht="14.25" hidden="false" customHeight="true" outlineLevel="0" collapsed="false">
      <c r="A681" s="51"/>
      <c r="B681" s="51"/>
      <c r="C681" s="51"/>
      <c r="D681" s="52"/>
      <c r="E681" s="51"/>
      <c r="F681" s="51"/>
      <c r="G681" s="52"/>
      <c r="H681" s="52"/>
      <c r="I681" s="52"/>
      <c r="J681" s="47"/>
      <c r="K681" s="47"/>
      <c r="L681" s="47"/>
      <c r="M681" s="47"/>
      <c r="N681" s="47"/>
      <c r="O681" s="47"/>
    </row>
    <row r="682" customFormat="false" ht="14.25" hidden="false" customHeight="true" outlineLevel="0" collapsed="false">
      <c r="A682" s="51"/>
      <c r="B682" s="51"/>
      <c r="C682" s="51"/>
      <c r="D682" s="52"/>
      <c r="E682" s="51"/>
      <c r="F682" s="51"/>
      <c r="G682" s="52"/>
      <c r="H682" s="52"/>
      <c r="I682" s="52"/>
      <c r="J682" s="47"/>
      <c r="K682" s="47"/>
      <c r="L682" s="47"/>
      <c r="M682" s="47"/>
      <c r="N682" s="47"/>
      <c r="O682" s="47"/>
    </row>
    <row r="683" customFormat="false" ht="14.25" hidden="false" customHeight="true" outlineLevel="0" collapsed="false">
      <c r="A683" s="51"/>
      <c r="B683" s="51"/>
      <c r="C683" s="51"/>
      <c r="D683" s="52"/>
      <c r="E683" s="51"/>
      <c r="F683" s="51"/>
      <c r="G683" s="52"/>
      <c r="H683" s="52"/>
      <c r="I683" s="52"/>
      <c r="J683" s="47"/>
      <c r="K683" s="47"/>
      <c r="L683" s="47"/>
      <c r="M683" s="47"/>
      <c r="N683" s="47"/>
      <c r="O683" s="47"/>
    </row>
    <row r="684" customFormat="false" ht="14.25" hidden="false" customHeight="true" outlineLevel="0" collapsed="false">
      <c r="A684" s="51"/>
      <c r="B684" s="51"/>
      <c r="C684" s="51"/>
      <c r="D684" s="52"/>
      <c r="E684" s="51"/>
      <c r="F684" s="51"/>
      <c r="G684" s="52"/>
      <c r="H684" s="52"/>
      <c r="I684" s="52"/>
      <c r="J684" s="47"/>
      <c r="K684" s="47"/>
      <c r="L684" s="47"/>
      <c r="M684" s="47"/>
      <c r="N684" s="47"/>
      <c r="O684" s="47"/>
    </row>
    <row r="685" customFormat="false" ht="14.25" hidden="false" customHeight="true" outlineLevel="0" collapsed="false">
      <c r="A685" s="51"/>
      <c r="B685" s="51"/>
      <c r="C685" s="51"/>
      <c r="D685" s="52"/>
      <c r="E685" s="51"/>
      <c r="F685" s="51"/>
      <c r="G685" s="52"/>
      <c r="H685" s="52"/>
      <c r="I685" s="52"/>
      <c r="J685" s="47"/>
      <c r="K685" s="47"/>
      <c r="L685" s="47"/>
      <c r="M685" s="47"/>
      <c r="N685" s="47"/>
      <c r="O685" s="47"/>
    </row>
    <row r="686" customFormat="false" ht="14.25" hidden="false" customHeight="true" outlineLevel="0" collapsed="false">
      <c r="A686" s="51"/>
      <c r="B686" s="51"/>
      <c r="C686" s="51"/>
      <c r="D686" s="52"/>
      <c r="E686" s="51"/>
      <c r="F686" s="51"/>
      <c r="G686" s="52"/>
      <c r="H686" s="52"/>
      <c r="I686" s="52"/>
      <c r="J686" s="47"/>
      <c r="K686" s="47"/>
      <c r="L686" s="47"/>
      <c r="M686" s="47"/>
      <c r="N686" s="47"/>
      <c r="O686" s="47"/>
    </row>
    <row r="687" customFormat="false" ht="14.25" hidden="false" customHeight="true" outlineLevel="0" collapsed="false">
      <c r="A687" s="51"/>
      <c r="B687" s="51"/>
      <c r="C687" s="51"/>
      <c r="D687" s="52"/>
      <c r="E687" s="51"/>
      <c r="F687" s="51"/>
      <c r="G687" s="52"/>
      <c r="H687" s="52"/>
      <c r="I687" s="52"/>
      <c r="J687" s="47"/>
      <c r="K687" s="47"/>
      <c r="L687" s="47"/>
      <c r="M687" s="47"/>
      <c r="N687" s="47"/>
      <c r="O687" s="47"/>
    </row>
    <row r="688" customFormat="false" ht="14.25" hidden="false" customHeight="true" outlineLevel="0" collapsed="false">
      <c r="A688" s="51"/>
      <c r="B688" s="51"/>
      <c r="C688" s="51"/>
      <c r="D688" s="52"/>
      <c r="E688" s="51"/>
      <c r="F688" s="51"/>
      <c r="G688" s="52"/>
      <c r="H688" s="52"/>
      <c r="I688" s="52"/>
      <c r="J688" s="47"/>
      <c r="K688" s="47"/>
      <c r="L688" s="47"/>
      <c r="M688" s="47"/>
      <c r="N688" s="47"/>
      <c r="O688" s="47"/>
    </row>
    <row r="689" customFormat="false" ht="14.25" hidden="false" customHeight="true" outlineLevel="0" collapsed="false">
      <c r="A689" s="51"/>
      <c r="B689" s="51"/>
      <c r="C689" s="51"/>
      <c r="D689" s="52"/>
      <c r="E689" s="51"/>
      <c r="F689" s="51"/>
      <c r="G689" s="52"/>
      <c r="H689" s="52"/>
      <c r="I689" s="52"/>
      <c r="J689" s="47"/>
      <c r="K689" s="47"/>
      <c r="L689" s="47"/>
      <c r="M689" s="47"/>
      <c r="N689" s="47"/>
      <c r="O689" s="47"/>
    </row>
    <row r="690" customFormat="false" ht="14.25" hidden="false" customHeight="true" outlineLevel="0" collapsed="false">
      <c r="A690" s="51"/>
      <c r="B690" s="51"/>
      <c r="C690" s="51"/>
      <c r="D690" s="52"/>
      <c r="E690" s="51"/>
      <c r="F690" s="51"/>
      <c r="G690" s="52"/>
      <c r="H690" s="52"/>
      <c r="I690" s="52"/>
      <c r="J690" s="47"/>
      <c r="K690" s="47"/>
      <c r="L690" s="47"/>
      <c r="M690" s="47"/>
      <c r="N690" s="47"/>
      <c r="O690" s="47"/>
    </row>
    <row r="691" customFormat="false" ht="14.25" hidden="false" customHeight="true" outlineLevel="0" collapsed="false">
      <c r="A691" s="51"/>
      <c r="B691" s="51"/>
      <c r="C691" s="51"/>
      <c r="D691" s="52"/>
      <c r="E691" s="51"/>
      <c r="F691" s="51"/>
      <c r="G691" s="52"/>
      <c r="H691" s="52"/>
      <c r="I691" s="52"/>
      <c r="J691" s="47"/>
      <c r="K691" s="47"/>
      <c r="L691" s="47"/>
      <c r="M691" s="47"/>
      <c r="N691" s="47"/>
      <c r="O691" s="47"/>
    </row>
    <row r="692" customFormat="false" ht="14.25" hidden="false" customHeight="true" outlineLevel="0" collapsed="false">
      <c r="A692" s="51"/>
      <c r="B692" s="51"/>
      <c r="C692" s="51"/>
      <c r="D692" s="52"/>
      <c r="E692" s="51"/>
      <c r="F692" s="51"/>
      <c r="G692" s="52"/>
      <c r="H692" s="52"/>
      <c r="I692" s="52"/>
      <c r="J692" s="47"/>
      <c r="K692" s="47"/>
      <c r="L692" s="47"/>
      <c r="M692" s="47"/>
      <c r="N692" s="47"/>
      <c r="O692" s="47"/>
    </row>
    <row r="693" customFormat="false" ht="14.25" hidden="false" customHeight="true" outlineLevel="0" collapsed="false">
      <c r="A693" s="51"/>
      <c r="B693" s="51"/>
      <c r="C693" s="51"/>
      <c r="D693" s="52"/>
      <c r="E693" s="51"/>
      <c r="F693" s="51"/>
      <c r="G693" s="52"/>
      <c r="H693" s="52"/>
      <c r="I693" s="52"/>
      <c r="J693" s="47"/>
      <c r="K693" s="47"/>
      <c r="L693" s="47"/>
      <c r="M693" s="47"/>
      <c r="N693" s="47"/>
      <c r="O693" s="47"/>
    </row>
    <row r="694" customFormat="false" ht="14.25" hidden="false" customHeight="true" outlineLevel="0" collapsed="false">
      <c r="A694" s="51"/>
      <c r="B694" s="51"/>
      <c r="C694" s="51"/>
      <c r="D694" s="52"/>
      <c r="E694" s="51"/>
      <c r="F694" s="51"/>
      <c r="G694" s="52"/>
      <c r="H694" s="52"/>
      <c r="I694" s="52"/>
      <c r="J694" s="47"/>
      <c r="K694" s="47"/>
      <c r="L694" s="47"/>
      <c r="M694" s="47"/>
      <c r="N694" s="47"/>
      <c r="O694" s="47"/>
    </row>
    <row r="695" customFormat="false" ht="14.25" hidden="false" customHeight="true" outlineLevel="0" collapsed="false">
      <c r="A695" s="51"/>
      <c r="B695" s="51"/>
      <c r="C695" s="51"/>
      <c r="D695" s="52"/>
      <c r="E695" s="51"/>
      <c r="F695" s="51"/>
      <c r="G695" s="52"/>
      <c r="H695" s="52"/>
      <c r="I695" s="52"/>
      <c r="J695" s="47"/>
      <c r="K695" s="47"/>
      <c r="L695" s="47"/>
      <c r="M695" s="47"/>
      <c r="N695" s="47"/>
      <c r="O695" s="47"/>
    </row>
    <row r="696" customFormat="false" ht="14.25" hidden="false" customHeight="true" outlineLevel="0" collapsed="false">
      <c r="A696" s="51"/>
      <c r="B696" s="51"/>
      <c r="C696" s="51"/>
      <c r="D696" s="52"/>
      <c r="E696" s="51"/>
      <c r="F696" s="51"/>
      <c r="G696" s="52"/>
      <c r="H696" s="52"/>
      <c r="I696" s="52"/>
      <c r="J696" s="47"/>
      <c r="K696" s="47"/>
      <c r="L696" s="47"/>
      <c r="M696" s="47"/>
      <c r="N696" s="47"/>
      <c r="O696" s="47"/>
    </row>
    <row r="697" customFormat="false" ht="14.25" hidden="false" customHeight="true" outlineLevel="0" collapsed="false">
      <c r="A697" s="51"/>
      <c r="B697" s="51"/>
      <c r="C697" s="51"/>
      <c r="D697" s="52"/>
      <c r="E697" s="51"/>
      <c r="F697" s="51"/>
      <c r="G697" s="52"/>
      <c r="H697" s="52"/>
      <c r="I697" s="52"/>
      <c r="J697" s="47"/>
      <c r="K697" s="47"/>
      <c r="L697" s="47"/>
      <c r="M697" s="47"/>
      <c r="N697" s="47"/>
      <c r="O697" s="47"/>
    </row>
    <row r="698" customFormat="false" ht="14.25" hidden="false" customHeight="true" outlineLevel="0" collapsed="false">
      <c r="A698" s="51"/>
      <c r="B698" s="51"/>
      <c r="C698" s="51"/>
      <c r="D698" s="52"/>
      <c r="E698" s="51"/>
      <c r="F698" s="51"/>
      <c r="G698" s="52"/>
      <c r="H698" s="52"/>
      <c r="I698" s="52"/>
      <c r="J698" s="47"/>
      <c r="K698" s="47"/>
      <c r="L698" s="47"/>
      <c r="M698" s="47"/>
      <c r="N698" s="47"/>
      <c r="O698" s="47"/>
    </row>
    <row r="699" customFormat="false" ht="14.25" hidden="false" customHeight="true" outlineLevel="0" collapsed="false">
      <c r="A699" s="51"/>
      <c r="B699" s="51"/>
      <c r="C699" s="51"/>
      <c r="D699" s="52"/>
      <c r="E699" s="51"/>
      <c r="F699" s="51"/>
      <c r="G699" s="52"/>
      <c r="H699" s="52"/>
      <c r="I699" s="52"/>
      <c r="J699" s="47"/>
      <c r="K699" s="47"/>
      <c r="L699" s="47"/>
      <c r="M699" s="47"/>
      <c r="N699" s="47"/>
      <c r="O699" s="47"/>
    </row>
    <row r="700" customFormat="false" ht="14.25" hidden="false" customHeight="true" outlineLevel="0" collapsed="false">
      <c r="A700" s="51"/>
      <c r="B700" s="51"/>
      <c r="C700" s="51"/>
      <c r="D700" s="52"/>
      <c r="E700" s="51"/>
      <c r="F700" s="51"/>
      <c r="G700" s="52"/>
      <c r="H700" s="52"/>
      <c r="I700" s="52"/>
      <c r="J700" s="47"/>
      <c r="K700" s="47"/>
      <c r="L700" s="47"/>
      <c r="M700" s="47"/>
      <c r="N700" s="47"/>
      <c r="O700" s="47"/>
    </row>
    <row r="701" customFormat="false" ht="14.25" hidden="false" customHeight="true" outlineLevel="0" collapsed="false">
      <c r="A701" s="51"/>
      <c r="B701" s="51"/>
      <c r="C701" s="51"/>
      <c r="D701" s="52"/>
      <c r="E701" s="51"/>
      <c r="F701" s="51"/>
      <c r="G701" s="52"/>
      <c r="H701" s="52"/>
      <c r="I701" s="52"/>
      <c r="J701" s="47"/>
      <c r="K701" s="47"/>
      <c r="L701" s="47"/>
      <c r="M701" s="47"/>
      <c r="N701" s="47"/>
      <c r="O701" s="47"/>
    </row>
    <row r="702" customFormat="false" ht="14.25" hidden="false" customHeight="true" outlineLevel="0" collapsed="false">
      <c r="A702" s="51"/>
      <c r="B702" s="51"/>
      <c r="C702" s="51"/>
      <c r="D702" s="52"/>
      <c r="E702" s="51"/>
      <c r="F702" s="51"/>
      <c r="G702" s="52"/>
      <c r="H702" s="52"/>
      <c r="I702" s="52"/>
      <c r="J702" s="47"/>
      <c r="K702" s="47"/>
      <c r="L702" s="47"/>
      <c r="M702" s="47"/>
      <c r="N702" s="47"/>
      <c r="O702" s="47"/>
    </row>
    <row r="703" customFormat="false" ht="14.25" hidden="false" customHeight="true" outlineLevel="0" collapsed="false">
      <c r="A703" s="51"/>
      <c r="B703" s="51"/>
      <c r="C703" s="51"/>
      <c r="D703" s="52"/>
      <c r="E703" s="51"/>
      <c r="F703" s="51"/>
      <c r="G703" s="52"/>
      <c r="H703" s="52"/>
      <c r="I703" s="52"/>
      <c r="J703" s="47"/>
      <c r="K703" s="47"/>
      <c r="L703" s="47"/>
      <c r="M703" s="47"/>
      <c r="N703" s="47"/>
      <c r="O703" s="47"/>
    </row>
    <row r="704" customFormat="false" ht="14.25" hidden="false" customHeight="true" outlineLevel="0" collapsed="false">
      <c r="A704" s="51"/>
      <c r="B704" s="51"/>
      <c r="C704" s="51"/>
      <c r="D704" s="52"/>
      <c r="E704" s="51"/>
      <c r="F704" s="51"/>
      <c r="G704" s="52"/>
      <c r="H704" s="52"/>
      <c r="I704" s="52"/>
      <c r="J704" s="47"/>
      <c r="K704" s="47"/>
      <c r="L704" s="47"/>
      <c r="M704" s="47"/>
      <c r="N704" s="47"/>
      <c r="O704" s="47"/>
    </row>
    <row r="705" customFormat="false" ht="14.25" hidden="false" customHeight="true" outlineLevel="0" collapsed="false">
      <c r="A705" s="51"/>
      <c r="B705" s="51"/>
      <c r="C705" s="51"/>
      <c r="D705" s="52"/>
      <c r="E705" s="51"/>
      <c r="F705" s="51"/>
      <c r="G705" s="52"/>
      <c r="H705" s="52"/>
      <c r="I705" s="52"/>
      <c r="J705" s="47"/>
      <c r="K705" s="47"/>
      <c r="L705" s="47"/>
      <c r="M705" s="47"/>
      <c r="N705" s="47"/>
      <c r="O705" s="47"/>
    </row>
    <row r="706" customFormat="false" ht="14.25" hidden="false" customHeight="true" outlineLevel="0" collapsed="false">
      <c r="A706" s="51"/>
      <c r="B706" s="51"/>
      <c r="C706" s="51"/>
      <c r="D706" s="52"/>
      <c r="E706" s="51"/>
      <c r="F706" s="51"/>
      <c r="G706" s="52"/>
      <c r="H706" s="52"/>
      <c r="I706" s="52"/>
      <c r="J706" s="47"/>
      <c r="K706" s="47"/>
      <c r="L706" s="47"/>
      <c r="M706" s="47"/>
      <c r="N706" s="47"/>
      <c r="O706" s="47"/>
    </row>
    <row r="707" customFormat="false" ht="14.25" hidden="false" customHeight="true" outlineLevel="0" collapsed="false">
      <c r="A707" s="51"/>
      <c r="B707" s="51"/>
      <c r="C707" s="51"/>
      <c r="D707" s="52"/>
      <c r="E707" s="51"/>
      <c r="F707" s="51"/>
      <c r="G707" s="52"/>
      <c r="H707" s="52"/>
      <c r="I707" s="52"/>
      <c r="J707" s="47"/>
      <c r="K707" s="47"/>
      <c r="L707" s="47"/>
      <c r="M707" s="47"/>
      <c r="N707" s="47"/>
      <c r="O707" s="47"/>
    </row>
    <row r="708" customFormat="false" ht="14.25" hidden="false" customHeight="true" outlineLevel="0" collapsed="false">
      <c r="A708" s="51"/>
      <c r="B708" s="51"/>
      <c r="C708" s="51"/>
      <c r="D708" s="52"/>
      <c r="E708" s="51"/>
      <c r="F708" s="51"/>
      <c r="G708" s="52"/>
      <c r="H708" s="52"/>
      <c r="I708" s="52"/>
      <c r="J708" s="47"/>
      <c r="K708" s="47"/>
      <c r="L708" s="47"/>
      <c r="M708" s="47"/>
      <c r="N708" s="47"/>
      <c r="O708" s="47"/>
    </row>
    <row r="709" customFormat="false" ht="14.25" hidden="false" customHeight="true" outlineLevel="0" collapsed="false">
      <c r="A709" s="51"/>
      <c r="B709" s="51"/>
      <c r="C709" s="51"/>
      <c r="D709" s="52"/>
      <c r="E709" s="51"/>
      <c r="F709" s="51"/>
      <c r="G709" s="52"/>
      <c r="H709" s="52"/>
      <c r="I709" s="52"/>
      <c r="J709" s="47"/>
      <c r="K709" s="47"/>
      <c r="L709" s="47"/>
      <c r="M709" s="47"/>
      <c r="N709" s="47"/>
      <c r="O709" s="47"/>
    </row>
    <row r="710" customFormat="false" ht="14.25" hidden="false" customHeight="true" outlineLevel="0" collapsed="false">
      <c r="A710" s="51"/>
      <c r="B710" s="51"/>
      <c r="C710" s="51"/>
      <c r="D710" s="52"/>
      <c r="E710" s="51"/>
      <c r="F710" s="51"/>
      <c r="G710" s="52"/>
      <c r="H710" s="52"/>
      <c r="I710" s="52"/>
      <c r="J710" s="47"/>
      <c r="K710" s="47"/>
      <c r="L710" s="47"/>
      <c r="M710" s="47"/>
      <c r="N710" s="47"/>
      <c r="O710" s="47"/>
    </row>
    <row r="711" customFormat="false" ht="14.25" hidden="false" customHeight="true" outlineLevel="0" collapsed="false">
      <c r="A711" s="51"/>
      <c r="B711" s="51"/>
      <c r="C711" s="51"/>
      <c r="D711" s="52"/>
      <c r="E711" s="51"/>
      <c r="F711" s="51"/>
      <c r="G711" s="52"/>
      <c r="H711" s="52"/>
      <c r="I711" s="52"/>
      <c r="J711" s="47"/>
      <c r="K711" s="47"/>
      <c r="L711" s="47"/>
      <c r="M711" s="47"/>
      <c r="N711" s="47"/>
      <c r="O711" s="47"/>
    </row>
    <row r="712" customFormat="false" ht="14.25" hidden="false" customHeight="true" outlineLevel="0" collapsed="false">
      <c r="A712" s="51"/>
      <c r="B712" s="51"/>
      <c r="C712" s="51"/>
      <c r="D712" s="52"/>
      <c r="E712" s="51"/>
      <c r="F712" s="51"/>
      <c r="G712" s="52"/>
      <c r="H712" s="52"/>
      <c r="I712" s="52"/>
      <c r="J712" s="47"/>
      <c r="K712" s="47"/>
      <c r="L712" s="47"/>
      <c r="M712" s="47"/>
      <c r="N712" s="47"/>
      <c r="O712" s="47"/>
    </row>
    <row r="713" customFormat="false" ht="14.25" hidden="false" customHeight="true" outlineLevel="0" collapsed="false">
      <c r="A713" s="51"/>
      <c r="B713" s="51"/>
      <c r="C713" s="51"/>
      <c r="D713" s="52"/>
      <c r="E713" s="51"/>
      <c r="F713" s="51"/>
      <c r="G713" s="52"/>
      <c r="H713" s="52"/>
      <c r="I713" s="52"/>
      <c r="J713" s="47"/>
      <c r="K713" s="47"/>
      <c r="L713" s="47"/>
      <c r="M713" s="47"/>
      <c r="N713" s="47"/>
      <c r="O713" s="47"/>
    </row>
    <row r="714" customFormat="false" ht="14.25" hidden="false" customHeight="true" outlineLevel="0" collapsed="false">
      <c r="A714" s="51"/>
      <c r="B714" s="51"/>
      <c r="C714" s="51"/>
      <c r="D714" s="52"/>
      <c r="E714" s="51"/>
      <c r="F714" s="51"/>
      <c r="G714" s="52"/>
      <c r="H714" s="52"/>
      <c r="I714" s="52"/>
      <c r="J714" s="47"/>
      <c r="K714" s="47"/>
      <c r="L714" s="47"/>
      <c r="M714" s="47"/>
      <c r="N714" s="47"/>
      <c r="O714" s="47"/>
    </row>
    <row r="715" customFormat="false" ht="14.25" hidden="false" customHeight="true" outlineLevel="0" collapsed="false">
      <c r="A715" s="51"/>
      <c r="B715" s="51"/>
      <c r="C715" s="51"/>
      <c r="D715" s="52"/>
      <c r="E715" s="51"/>
      <c r="F715" s="51"/>
      <c r="G715" s="52"/>
      <c r="H715" s="52"/>
      <c r="I715" s="52"/>
      <c r="J715" s="47"/>
      <c r="K715" s="47"/>
      <c r="L715" s="47"/>
      <c r="M715" s="47"/>
      <c r="N715" s="47"/>
      <c r="O715" s="47"/>
    </row>
    <row r="716" customFormat="false" ht="14.25" hidden="false" customHeight="true" outlineLevel="0" collapsed="false">
      <c r="A716" s="51"/>
      <c r="B716" s="51"/>
      <c r="C716" s="51"/>
      <c r="D716" s="52"/>
      <c r="E716" s="51"/>
      <c r="F716" s="51"/>
      <c r="G716" s="52"/>
      <c r="H716" s="52"/>
      <c r="I716" s="52"/>
      <c r="J716" s="47"/>
      <c r="K716" s="47"/>
      <c r="L716" s="47"/>
      <c r="M716" s="47"/>
      <c r="N716" s="47"/>
      <c r="O716" s="47"/>
    </row>
    <row r="717" customFormat="false" ht="14.25" hidden="false" customHeight="true" outlineLevel="0" collapsed="false">
      <c r="A717" s="51"/>
      <c r="B717" s="51"/>
      <c r="C717" s="51"/>
      <c r="D717" s="52"/>
      <c r="E717" s="51"/>
      <c r="F717" s="51"/>
      <c r="G717" s="52"/>
      <c r="H717" s="52"/>
      <c r="I717" s="52"/>
      <c r="J717" s="47"/>
      <c r="K717" s="47"/>
      <c r="L717" s="47"/>
      <c r="M717" s="47"/>
      <c r="N717" s="47"/>
      <c r="O717" s="47"/>
    </row>
    <row r="718" customFormat="false" ht="14.25" hidden="false" customHeight="true" outlineLevel="0" collapsed="false">
      <c r="A718" s="51"/>
      <c r="B718" s="51"/>
      <c r="C718" s="51"/>
      <c r="D718" s="52"/>
      <c r="E718" s="51"/>
      <c r="F718" s="51"/>
      <c r="G718" s="52"/>
      <c r="H718" s="52"/>
      <c r="I718" s="52"/>
      <c r="J718" s="47"/>
      <c r="K718" s="47"/>
      <c r="L718" s="47"/>
      <c r="M718" s="47"/>
      <c r="N718" s="47"/>
      <c r="O718" s="47"/>
    </row>
    <row r="719" customFormat="false" ht="14.25" hidden="false" customHeight="true" outlineLevel="0" collapsed="false">
      <c r="A719" s="51"/>
      <c r="B719" s="51"/>
      <c r="C719" s="51"/>
      <c r="D719" s="52"/>
      <c r="E719" s="51"/>
      <c r="F719" s="51"/>
      <c r="G719" s="52"/>
      <c r="H719" s="52"/>
      <c r="I719" s="52"/>
      <c r="J719" s="47"/>
      <c r="K719" s="47"/>
      <c r="L719" s="47"/>
      <c r="M719" s="47"/>
      <c r="N719" s="47"/>
      <c r="O719" s="47"/>
    </row>
    <row r="720" customFormat="false" ht="14.25" hidden="false" customHeight="true" outlineLevel="0" collapsed="false">
      <c r="A720" s="51"/>
      <c r="B720" s="51"/>
      <c r="C720" s="51"/>
      <c r="D720" s="52"/>
      <c r="E720" s="51"/>
      <c r="F720" s="51"/>
      <c r="G720" s="52"/>
      <c r="H720" s="52"/>
      <c r="I720" s="52"/>
      <c r="J720" s="47"/>
      <c r="K720" s="47"/>
      <c r="L720" s="47"/>
      <c r="M720" s="47"/>
      <c r="N720" s="47"/>
      <c r="O720" s="47"/>
    </row>
    <row r="721" customFormat="false" ht="14.25" hidden="false" customHeight="true" outlineLevel="0" collapsed="false">
      <c r="A721" s="51"/>
      <c r="B721" s="51"/>
      <c r="C721" s="51"/>
      <c r="D721" s="52"/>
      <c r="E721" s="51"/>
      <c r="F721" s="51"/>
      <c r="G721" s="52"/>
      <c r="H721" s="52"/>
      <c r="I721" s="52"/>
      <c r="J721" s="47"/>
      <c r="K721" s="47"/>
      <c r="L721" s="47"/>
      <c r="M721" s="47"/>
      <c r="N721" s="47"/>
      <c r="O721" s="47"/>
    </row>
    <row r="722" customFormat="false" ht="14.25" hidden="false" customHeight="true" outlineLevel="0" collapsed="false">
      <c r="A722" s="51"/>
      <c r="B722" s="51"/>
      <c r="C722" s="51"/>
      <c r="D722" s="52"/>
      <c r="E722" s="51"/>
      <c r="F722" s="51"/>
      <c r="G722" s="52"/>
      <c r="H722" s="52"/>
      <c r="I722" s="52"/>
      <c r="J722" s="47"/>
      <c r="K722" s="47"/>
      <c r="L722" s="47"/>
      <c r="M722" s="47"/>
      <c r="N722" s="47"/>
      <c r="O722" s="47"/>
    </row>
    <row r="723" customFormat="false" ht="14.25" hidden="false" customHeight="true" outlineLevel="0" collapsed="false">
      <c r="A723" s="51"/>
      <c r="B723" s="51"/>
      <c r="C723" s="51"/>
      <c r="D723" s="52"/>
      <c r="E723" s="51"/>
      <c r="F723" s="51"/>
      <c r="G723" s="52"/>
      <c r="H723" s="52"/>
      <c r="I723" s="52"/>
      <c r="J723" s="47"/>
      <c r="K723" s="47"/>
      <c r="L723" s="47"/>
      <c r="M723" s="47"/>
      <c r="N723" s="47"/>
      <c r="O723" s="47"/>
    </row>
    <row r="724" customFormat="false" ht="14.25" hidden="false" customHeight="true" outlineLevel="0" collapsed="false">
      <c r="A724" s="51"/>
      <c r="B724" s="51"/>
      <c r="C724" s="51"/>
      <c r="D724" s="52"/>
      <c r="E724" s="51"/>
      <c r="F724" s="51"/>
      <c r="G724" s="52"/>
      <c r="H724" s="52"/>
      <c r="I724" s="52"/>
      <c r="J724" s="47"/>
      <c r="K724" s="47"/>
      <c r="L724" s="47"/>
      <c r="M724" s="47"/>
      <c r="N724" s="47"/>
      <c r="O724" s="47"/>
    </row>
    <row r="725" customFormat="false" ht="14.25" hidden="false" customHeight="true" outlineLevel="0" collapsed="false">
      <c r="A725" s="51"/>
      <c r="B725" s="51"/>
      <c r="C725" s="51"/>
      <c r="D725" s="52"/>
      <c r="E725" s="51"/>
      <c r="F725" s="51"/>
      <c r="G725" s="52"/>
      <c r="H725" s="52"/>
      <c r="I725" s="52"/>
      <c r="J725" s="47"/>
      <c r="K725" s="47"/>
      <c r="L725" s="47"/>
      <c r="M725" s="47"/>
      <c r="N725" s="47"/>
      <c r="O725" s="47"/>
    </row>
    <row r="726" customFormat="false" ht="14.25" hidden="false" customHeight="true" outlineLevel="0" collapsed="false">
      <c r="A726" s="51"/>
      <c r="B726" s="51"/>
      <c r="C726" s="51"/>
      <c r="D726" s="52"/>
      <c r="E726" s="51"/>
      <c r="F726" s="51"/>
      <c r="G726" s="52"/>
      <c r="H726" s="52"/>
      <c r="I726" s="52"/>
      <c r="J726" s="47"/>
      <c r="K726" s="47"/>
      <c r="L726" s="47"/>
      <c r="M726" s="47"/>
      <c r="N726" s="47"/>
      <c r="O726" s="47"/>
    </row>
    <row r="727" customFormat="false" ht="14.25" hidden="false" customHeight="true" outlineLevel="0" collapsed="false">
      <c r="A727" s="51"/>
      <c r="B727" s="51"/>
      <c r="C727" s="51"/>
      <c r="D727" s="52"/>
      <c r="E727" s="51"/>
      <c r="F727" s="51"/>
      <c r="G727" s="52"/>
      <c r="H727" s="52"/>
      <c r="I727" s="52"/>
      <c r="J727" s="47"/>
      <c r="K727" s="47"/>
      <c r="L727" s="47"/>
      <c r="M727" s="47"/>
      <c r="N727" s="47"/>
      <c r="O727" s="47"/>
    </row>
    <row r="728" customFormat="false" ht="14.25" hidden="false" customHeight="true" outlineLevel="0" collapsed="false">
      <c r="A728" s="51"/>
      <c r="B728" s="51"/>
      <c r="C728" s="51"/>
      <c r="D728" s="52"/>
      <c r="E728" s="51"/>
      <c r="F728" s="51"/>
      <c r="G728" s="52"/>
      <c r="H728" s="52"/>
      <c r="I728" s="52"/>
      <c r="J728" s="47"/>
      <c r="K728" s="47"/>
      <c r="L728" s="47"/>
      <c r="M728" s="47"/>
      <c r="N728" s="47"/>
      <c r="O728" s="47"/>
    </row>
    <row r="729" customFormat="false" ht="14.25" hidden="false" customHeight="true" outlineLevel="0" collapsed="false">
      <c r="A729" s="51"/>
      <c r="B729" s="51"/>
      <c r="C729" s="51"/>
      <c r="D729" s="52"/>
      <c r="E729" s="51"/>
      <c r="F729" s="51"/>
      <c r="G729" s="52"/>
      <c r="H729" s="52"/>
      <c r="I729" s="52"/>
      <c r="J729" s="47"/>
      <c r="K729" s="47"/>
      <c r="L729" s="47"/>
      <c r="M729" s="47"/>
      <c r="N729" s="47"/>
      <c r="O729" s="47"/>
    </row>
    <row r="730" customFormat="false" ht="14.25" hidden="false" customHeight="true" outlineLevel="0" collapsed="false">
      <c r="A730" s="51"/>
      <c r="B730" s="51"/>
      <c r="C730" s="51"/>
      <c r="D730" s="52"/>
      <c r="E730" s="51"/>
      <c r="F730" s="51"/>
      <c r="G730" s="52"/>
      <c r="H730" s="52"/>
      <c r="I730" s="52"/>
      <c r="J730" s="47"/>
      <c r="K730" s="47"/>
      <c r="L730" s="47"/>
      <c r="M730" s="47"/>
      <c r="N730" s="47"/>
      <c r="O730" s="47"/>
    </row>
    <row r="731" customFormat="false" ht="14.25" hidden="false" customHeight="true" outlineLevel="0" collapsed="false">
      <c r="A731" s="51"/>
      <c r="B731" s="51"/>
      <c r="C731" s="51"/>
      <c r="D731" s="52"/>
      <c r="E731" s="51"/>
      <c r="F731" s="51"/>
      <c r="G731" s="52"/>
      <c r="H731" s="52"/>
      <c r="I731" s="52"/>
      <c r="J731" s="47"/>
      <c r="K731" s="47"/>
      <c r="L731" s="47"/>
      <c r="M731" s="47"/>
      <c r="N731" s="47"/>
      <c r="O731" s="47"/>
    </row>
    <row r="732" customFormat="false" ht="14.25" hidden="false" customHeight="true" outlineLevel="0" collapsed="false">
      <c r="A732" s="51"/>
      <c r="B732" s="51"/>
      <c r="C732" s="51"/>
      <c r="D732" s="52"/>
      <c r="E732" s="51"/>
      <c r="F732" s="51"/>
      <c r="G732" s="52"/>
      <c r="H732" s="52"/>
      <c r="I732" s="52"/>
      <c r="J732" s="47"/>
      <c r="K732" s="47"/>
      <c r="L732" s="47"/>
      <c r="M732" s="47"/>
      <c r="N732" s="47"/>
      <c r="O732" s="47"/>
    </row>
    <row r="733" customFormat="false" ht="14.25" hidden="false" customHeight="true" outlineLevel="0" collapsed="false">
      <c r="A733" s="51"/>
      <c r="B733" s="51"/>
      <c r="C733" s="51"/>
      <c r="D733" s="52"/>
      <c r="E733" s="51"/>
      <c r="F733" s="51"/>
      <c r="G733" s="52"/>
      <c r="H733" s="52"/>
      <c r="I733" s="52"/>
      <c r="J733" s="47"/>
      <c r="K733" s="47"/>
      <c r="L733" s="47"/>
      <c r="M733" s="47"/>
      <c r="N733" s="47"/>
      <c r="O733" s="47"/>
    </row>
    <row r="734" customFormat="false" ht="14.25" hidden="false" customHeight="true" outlineLevel="0" collapsed="false">
      <c r="A734" s="51"/>
      <c r="B734" s="51"/>
      <c r="C734" s="51"/>
      <c r="D734" s="52"/>
      <c r="E734" s="51"/>
      <c r="F734" s="51"/>
      <c r="G734" s="52"/>
      <c r="H734" s="52"/>
      <c r="I734" s="52"/>
      <c r="J734" s="47"/>
      <c r="K734" s="47"/>
      <c r="L734" s="47"/>
      <c r="M734" s="47"/>
      <c r="N734" s="47"/>
      <c r="O734" s="47"/>
    </row>
    <row r="735" customFormat="false" ht="14.25" hidden="false" customHeight="true" outlineLevel="0" collapsed="false">
      <c r="A735" s="51"/>
      <c r="B735" s="51"/>
      <c r="C735" s="51"/>
      <c r="D735" s="52"/>
      <c r="E735" s="51"/>
      <c r="F735" s="51"/>
      <c r="G735" s="52"/>
      <c r="H735" s="52"/>
      <c r="I735" s="52"/>
      <c r="J735" s="47"/>
      <c r="K735" s="47"/>
      <c r="L735" s="47"/>
      <c r="M735" s="47"/>
      <c r="N735" s="47"/>
      <c r="O735" s="47"/>
    </row>
    <row r="736" customFormat="false" ht="14.25" hidden="false" customHeight="true" outlineLevel="0" collapsed="false">
      <c r="A736" s="51"/>
      <c r="B736" s="51"/>
      <c r="C736" s="51"/>
      <c r="D736" s="52"/>
      <c r="E736" s="51"/>
      <c r="F736" s="51"/>
      <c r="G736" s="52"/>
      <c r="H736" s="52"/>
      <c r="I736" s="52"/>
      <c r="J736" s="47"/>
      <c r="K736" s="47"/>
      <c r="L736" s="47"/>
      <c r="M736" s="47"/>
      <c r="N736" s="47"/>
      <c r="O736" s="47"/>
    </row>
    <row r="737" customFormat="false" ht="14.25" hidden="false" customHeight="true" outlineLevel="0" collapsed="false">
      <c r="A737" s="51"/>
      <c r="B737" s="51"/>
      <c r="C737" s="51"/>
      <c r="D737" s="52"/>
      <c r="E737" s="51"/>
      <c r="F737" s="51"/>
      <c r="G737" s="52"/>
      <c r="H737" s="52"/>
      <c r="I737" s="52"/>
      <c r="J737" s="47"/>
      <c r="K737" s="47"/>
      <c r="L737" s="47"/>
      <c r="M737" s="47"/>
      <c r="N737" s="47"/>
      <c r="O737" s="47"/>
    </row>
    <row r="738" customFormat="false" ht="14.25" hidden="false" customHeight="true" outlineLevel="0" collapsed="false">
      <c r="A738" s="51"/>
      <c r="B738" s="51"/>
      <c r="C738" s="51"/>
      <c r="D738" s="52"/>
      <c r="E738" s="51"/>
      <c r="F738" s="51"/>
      <c r="G738" s="52"/>
      <c r="H738" s="52"/>
      <c r="I738" s="52"/>
      <c r="J738" s="47"/>
      <c r="K738" s="47"/>
      <c r="L738" s="47"/>
      <c r="M738" s="47"/>
      <c r="N738" s="47"/>
      <c r="O738" s="47"/>
    </row>
    <row r="739" customFormat="false" ht="14.25" hidden="false" customHeight="true" outlineLevel="0" collapsed="false">
      <c r="A739" s="51"/>
      <c r="B739" s="51"/>
      <c r="C739" s="51"/>
      <c r="D739" s="52"/>
      <c r="E739" s="51"/>
      <c r="F739" s="51"/>
      <c r="G739" s="52"/>
      <c r="H739" s="52"/>
      <c r="I739" s="52"/>
      <c r="J739" s="47"/>
      <c r="K739" s="47"/>
      <c r="L739" s="47"/>
      <c r="M739" s="47"/>
      <c r="N739" s="47"/>
      <c r="O739" s="47"/>
    </row>
    <row r="740" customFormat="false" ht="14.25" hidden="false" customHeight="true" outlineLevel="0" collapsed="false">
      <c r="A740" s="51"/>
      <c r="B740" s="51"/>
      <c r="C740" s="51"/>
      <c r="D740" s="52"/>
      <c r="E740" s="51"/>
      <c r="F740" s="51"/>
      <c r="G740" s="52"/>
      <c r="H740" s="52"/>
      <c r="I740" s="52"/>
      <c r="J740" s="47"/>
      <c r="K740" s="47"/>
      <c r="L740" s="47"/>
      <c r="M740" s="47"/>
      <c r="N740" s="47"/>
      <c r="O740" s="47"/>
    </row>
    <row r="741" customFormat="false" ht="14.25" hidden="false" customHeight="true" outlineLevel="0" collapsed="false">
      <c r="A741" s="51"/>
      <c r="B741" s="51"/>
      <c r="C741" s="51"/>
      <c r="D741" s="52"/>
      <c r="E741" s="51"/>
      <c r="F741" s="51"/>
      <c r="G741" s="52"/>
      <c r="H741" s="52"/>
      <c r="I741" s="52"/>
      <c r="J741" s="47"/>
      <c r="K741" s="47"/>
      <c r="L741" s="47"/>
      <c r="M741" s="47"/>
      <c r="N741" s="47"/>
      <c r="O741" s="47"/>
    </row>
    <row r="742" customFormat="false" ht="14.25" hidden="false" customHeight="true" outlineLevel="0" collapsed="false">
      <c r="A742" s="51"/>
      <c r="B742" s="51"/>
      <c r="C742" s="51"/>
      <c r="D742" s="52"/>
      <c r="E742" s="51"/>
      <c r="F742" s="51"/>
      <c r="G742" s="52"/>
      <c r="H742" s="52"/>
      <c r="I742" s="52"/>
      <c r="J742" s="47"/>
      <c r="K742" s="47"/>
      <c r="L742" s="47"/>
      <c r="M742" s="47"/>
      <c r="N742" s="47"/>
      <c r="O742" s="47"/>
    </row>
    <row r="743" customFormat="false" ht="14.25" hidden="false" customHeight="true" outlineLevel="0" collapsed="false">
      <c r="A743" s="51"/>
      <c r="B743" s="51"/>
      <c r="C743" s="51"/>
      <c r="D743" s="52"/>
      <c r="E743" s="51"/>
      <c r="F743" s="51"/>
      <c r="G743" s="52"/>
      <c r="H743" s="52"/>
      <c r="I743" s="52"/>
      <c r="J743" s="47"/>
      <c r="K743" s="47"/>
      <c r="L743" s="47"/>
      <c r="M743" s="47"/>
      <c r="N743" s="47"/>
      <c r="O743" s="47"/>
    </row>
    <row r="744" customFormat="false" ht="14.25" hidden="false" customHeight="true" outlineLevel="0" collapsed="false">
      <c r="A744" s="51"/>
      <c r="B744" s="51"/>
      <c r="C744" s="51"/>
      <c r="D744" s="52"/>
      <c r="E744" s="51"/>
      <c r="F744" s="51"/>
      <c r="G744" s="52"/>
      <c r="H744" s="52"/>
      <c r="I744" s="52"/>
      <c r="J744" s="47"/>
      <c r="K744" s="47"/>
      <c r="L744" s="47"/>
      <c r="M744" s="47"/>
      <c r="N744" s="47"/>
      <c r="O744" s="47"/>
    </row>
    <row r="745" customFormat="false" ht="14.25" hidden="false" customHeight="true" outlineLevel="0" collapsed="false">
      <c r="A745" s="51"/>
      <c r="B745" s="51"/>
      <c r="C745" s="51"/>
      <c r="D745" s="52"/>
      <c r="E745" s="51"/>
      <c r="F745" s="51"/>
      <c r="G745" s="52"/>
      <c r="H745" s="52"/>
      <c r="I745" s="52"/>
      <c r="J745" s="47"/>
      <c r="K745" s="47"/>
      <c r="L745" s="47"/>
      <c r="M745" s="47"/>
      <c r="N745" s="47"/>
      <c r="O745" s="47"/>
    </row>
    <row r="746" customFormat="false" ht="14.25" hidden="false" customHeight="true" outlineLevel="0" collapsed="false">
      <c r="A746" s="51"/>
      <c r="B746" s="51"/>
      <c r="C746" s="51"/>
      <c r="D746" s="52"/>
      <c r="E746" s="51"/>
      <c r="F746" s="51"/>
      <c r="G746" s="52"/>
      <c r="H746" s="52"/>
      <c r="I746" s="52"/>
      <c r="J746" s="47"/>
      <c r="K746" s="47"/>
      <c r="L746" s="47"/>
      <c r="M746" s="47"/>
      <c r="N746" s="47"/>
      <c r="O746" s="47"/>
    </row>
    <row r="747" customFormat="false" ht="14.25" hidden="false" customHeight="true" outlineLevel="0" collapsed="false">
      <c r="A747" s="51"/>
      <c r="B747" s="51"/>
      <c r="C747" s="51"/>
      <c r="D747" s="52"/>
      <c r="E747" s="51"/>
      <c r="F747" s="51"/>
      <c r="G747" s="52"/>
      <c r="H747" s="52"/>
      <c r="I747" s="52"/>
      <c r="J747" s="47"/>
      <c r="K747" s="47"/>
      <c r="L747" s="47"/>
      <c r="M747" s="47"/>
      <c r="N747" s="47"/>
      <c r="O747" s="47"/>
    </row>
    <row r="748" customFormat="false" ht="14.25" hidden="false" customHeight="true" outlineLevel="0" collapsed="false">
      <c r="A748" s="51"/>
      <c r="B748" s="51"/>
      <c r="C748" s="51"/>
      <c r="D748" s="52"/>
      <c r="E748" s="51"/>
      <c r="F748" s="51"/>
      <c r="G748" s="52"/>
      <c r="H748" s="52"/>
      <c r="I748" s="52"/>
      <c r="J748" s="47"/>
      <c r="K748" s="47"/>
      <c r="L748" s="47"/>
      <c r="M748" s="47"/>
      <c r="N748" s="47"/>
      <c r="O748" s="47"/>
    </row>
    <row r="749" customFormat="false" ht="14.25" hidden="false" customHeight="true" outlineLevel="0" collapsed="false">
      <c r="A749" s="51"/>
      <c r="B749" s="51"/>
      <c r="C749" s="51"/>
      <c r="D749" s="52"/>
      <c r="E749" s="51"/>
      <c r="F749" s="51"/>
      <c r="G749" s="52"/>
      <c r="H749" s="52"/>
      <c r="I749" s="52"/>
      <c r="J749" s="47"/>
      <c r="K749" s="47"/>
      <c r="L749" s="47"/>
      <c r="M749" s="47"/>
      <c r="N749" s="47"/>
      <c r="O749" s="47"/>
    </row>
    <row r="750" customFormat="false" ht="14.25" hidden="false" customHeight="true" outlineLevel="0" collapsed="false">
      <c r="A750" s="51"/>
      <c r="B750" s="51"/>
      <c r="C750" s="51"/>
      <c r="D750" s="52"/>
      <c r="E750" s="51"/>
      <c r="F750" s="51"/>
      <c r="G750" s="52"/>
      <c r="H750" s="52"/>
      <c r="I750" s="52"/>
      <c r="J750" s="47"/>
      <c r="K750" s="47"/>
      <c r="L750" s="47"/>
      <c r="M750" s="47"/>
      <c r="N750" s="47"/>
      <c r="O750" s="47"/>
    </row>
    <row r="751" customFormat="false" ht="14.25" hidden="false" customHeight="true" outlineLevel="0" collapsed="false">
      <c r="A751" s="51"/>
      <c r="B751" s="51"/>
      <c r="C751" s="51"/>
      <c r="D751" s="52"/>
      <c r="E751" s="51"/>
      <c r="F751" s="51"/>
      <c r="G751" s="52"/>
      <c r="H751" s="52"/>
      <c r="I751" s="52"/>
      <c r="J751" s="47"/>
      <c r="K751" s="47"/>
      <c r="L751" s="47"/>
      <c r="M751" s="47"/>
      <c r="N751" s="47"/>
      <c r="O751" s="47"/>
    </row>
    <row r="752" customFormat="false" ht="14.25" hidden="false" customHeight="true" outlineLevel="0" collapsed="false">
      <c r="A752" s="51"/>
      <c r="B752" s="51"/>
      <c r="C752" s="51"/>
      <c r="D752" s="52"/>
      <c r="E752" s="51"/>
      <c r="F752" s="51"/>
      <c r="G752" s="52"/>
      <c r="H752" s="52"/>
      <c r="I752" s="52"/>
      <c r="J752" s="47"/>
      <c r="K752" s="47"/>
      <c r="L752" s="47"/>
      <c r="M752" s="47"/>
      <c r="N752" s="47"/>
      <c r="O752" s="47"/>
    </row>
    <row r="753" customFormat="false" ht="14.25" hidden="false" customHeight="true" outlineLevel="0" collapsed="false">
      <c r="A753" s="51"/>
      <c r="B753" s="51"/>
      <c r="C753" s="51"/>
      <c r="D753" s="52"/>
      <c r="E753" s="51"/>
      <c r="F753" s="51"/>
      <c r="G753" s="52"/>
      <c r="H753" s="52"/>
      <c r="I753" s="52"/>
      <c r="J753" s="47"/>
      <c r="K753" s="47"/>
      <c r="L753" s="47"/>
      <c r="M753" s="47"/>
      <c r="N753" s="47"/>
      <c r="O753" s="47"/>
    </row>
    <row r="754" customFormat="false" ht="14.25" hidden="false" customHeight="true" outlineLevel="0" collapsed="false">
      <c r="A754" s="51"/>
      <c r="B754" s="51"/>
      <c r="C754" s="51"/>
      <c r="D754" s="52"/>
      <c r="E754" s="51"/>
      <c r="F754" s="51"/>
      <c r="G754" s="52"/>
      <c r="H754" s="52"/>
      <c r="I754" s="52"/>
      <c r="J754" s="47"/>
      <c r="K754" s="47"/>
      <c r="L754" s="47"/>
      <c r="M754" s="47"/>
      <c r="N754" s="47"/>
      <c r="O754" s="47"/>
    </row>
    <row r="755" customFormat="false" ht="14.25" hidden="false" customHeight="true" outlineLevel="0" collapsed="false">
      <c r="A755" s="51"/>
      <c r="B755" s="51"/>
      <c r="C755" s="51"/>
      <c r="D755" s="52"/>
      <c r="E755" s="51"/>
      <c r="F755" s="51"/>
      <c r="G755" s="52"/>
      <c r="H755" s="52"/>
      <c r="I755" s="52"/>
      <c r="J755" s="47"/>
      <c r="K755" s="47"/>
      <c r="L755" s="47"/>
      <c r="M755" s="47"/>
      <c r="N755" s="47"/>
      <c r="O755" s="47"/>
    </row>
    <row r="756" customFormat="false" ht="14.25" hidden="false" customHeight="true" outlineLevel="0" collapsed="false">
      <c r="A756" s="51"/>
      <c r="B756" s="51"/>
      <c r="C756" s="51"/>
      <c r="D756" s="52"/>
      <c r="E756" s="51"/>
      <c r="F756" s="51"/>
      <c r="G756" s="52"/>
      <c r="H756" s="52"/>
      <c r="I756" s="52"/>
      <c r="J756" s="47"/>
      <c r="K756" s="47"/>
      <c r="L756" s="47"/>
      <c r="M756" s="47"/>
      <c r="N756" s="47"/>
      <c r="O756" s="47"/>
    </row>
    <row r="757" customFormat="false" ht="14.25" hidden="false" customHeight="true" outlineLevel="0" collapsed="false">
      <c r="A757" s="51"/>
      <c r="B757" s="51"/>
      <c r="C757" s="51"/>
      <c r="D757" s="52"/>
      <c r="E757" s="51"/>
      <c r="F757" s="51"/>
      <c r="G757" s="52"/>
      <c r="H757" s="52"/>
      <c r="I757" s="52"/>
      <c r="J757" s="47"/>
      <c r="K757" s="47"/>
      <c r="L757" s="47"/>
      <c r="M757" s="47"/>
      <c r="N757" s="47"/>
      <c r="O757" s="47"/>
    </row>
    <row r="758" customFormat="false" ht="14.25" hidden="false" customHeight="true" outlineLevel="0" collapsed="false">
      <c r="A758" s="51"/>
      <c r="B758" s="51"/>
      <c r="C758" s="51"/>
      <c r="D758" s="52"/>
      <c r="E758" s="51"/>
      <c r="F758" s="51"/>
      <c r="G758" s="52"/>
      <c r="H758" s="52"/>
      <c r="I758" s="52"/>
      <c r="J758" s="47"/>
      <c r="K758" s="47"/>
      <c r="L758" s="47"/>
      <c r="M758" s="47"/>
      <c r="N758" s="47"/>
      <c r="O758" s="47"/>
    </row>
    <row r="759" customFormat="false" ht="14.25" hidden="false" customHeight="true" outlineLevel="0" collapsed="false">
      <c r="A759" s="51"/>
      <c r="B759" s="51"/>
      <c r="C759" s="51"/>
      <c r="D759" s="52"/>
      <c r="E759" s="51"/>
      <c r="F759" s="51"/>
      <c r="G759" s="52"/>
      <c r="H759" s="52"/>
      <c r="I759" s="52"/>
      <c r="J759" s="47"/>
      <c r="K759" s="47"/>
      <c r="L759" s="47"/>
      <c r="M759" s="47"/>
      <c r="N759" s="47"/>
      <c r="O759" s="47"/>
    </row>
    <row r="760" customFormat="false" ht="14.25" hidden="false" customHeight="true" outlineLevel="0" collapsed="false">
      <c r="A760" s="51"/>
      <c r="B760" s="51"/>
      <c r="C760" s="51"/>
      <c r="D760" s="52"/>
      <c r="E760" s="51"/>
      <c r="F760" s="51"/>
      <c r="G760" s="52"/>
      <c r="H760" s="52"/>
      <c r="I760" s="52"/>
      <c r="J760" s="47"/>
      <c r="K760" s="47"/>
      <c r="L760" s="47"/>
      <c r="M760" s="47"/>
      <c r="N760" s="47"/>
      <c r="O760" s="47"/>
    </row>
    <row r="761" customFormat="false" ht="14.25" hidden="false" customHeight="true" outlineLevel="0" collapsed="false">
      <c r="A761" s="51"/>
      <c r="B761" s="51"/>
      <c r="C761" s="51"/>
      <c r="D761" s="52"/>
      <c r="E761" s="51"/>
      <c r="F761" s="51"/>
      <c r="G761" s="52"/>
      <c r="H761" s="52"/>
      <c r="I761" s="52"/>
      <c r="J761" s="47"/>
      <c r="K761" s="47"/>
      <c r="L761" s="47"/>
      <c r="M761" s="47"/>
      <c r="N761" s="47"/>
      <c r="O761" s="47"/>
    </row>
    <row r="762" customFormat="false" ht="14.25" hidden="false" customHeight="true" outlineLevel="0" collapsed="false">
      <c r="A762" s="51"/>
      <c r="B762" s="51"/>
      <c r="C762" s="51"/>
      <c r="D762" s="52"/>
      <c r="E762" s="51"/>
      <c r="F762" s="51"/>
      <c r="G762" s="52"/>
      <c r="H762" s="52"/>
      <c r="I762" s="52"/>
      <c r="J762" s="47"/>
      <c r="K762" s="47"/>
      <c r="L762" s="47"/>
      <c r="M762" s="47"/>
      <c r="N762" s="47"/>
      <c r="O762" s="47"/>
    </row>
    <row r="763" customFormat="false" ht="14.25" hidden="false" customHeight="true" outlineLevel="0" collapsed="false">
      <c r="A763" s="51"/>
      <c r="B763" s="51"/>
      <c r="C763" s="51"/>
      <c r="D763" s="52"/>
      <c r="E763" s="51"/>
      <c r="F763" s="51"/>
      <c r="G763" s="52"/>
      <c r="H763" s="52"/>
      <c r="I763" s="52"/>
      <c r="J763" s="47"/>
      <c r="K763" s="47"/>
      <c r="L763" s="47"/>
      <c r="M763" s="47"/>
      <c r="N763" s="47"/>
      <c r="O763" s="47"/>
    </row>
    <row r="764" customFormat="false" ht="14.25" hidden="false" customHeight="true" outlineLevel="0" collapsed="false">
      <c r="A764" s="51"/>
      <c r="B764" s="51"/>
      <c r="C764" s="51"/>
      <c r="D764" s="52"/>
      <c r="E764" s="51"/>
      <c r="F764" s="51"/>
      <c r="G764" s="52"/>
      <c r="H764" s="52"/>
      <c r="I764" s="52"/>
      <c r="J764" s="47"/>
      <c r="K764" s="47"/>
      <c r="L764" s="47"/>
      <c r="M764" s="47"/>
      <c r="N764" s="47"/>
      <c r="O764" s="47"/>
    </row>
    <row r="765" customFormat="false" ht="14.25" hidden="false" customHeight="true" outlineLevel="0" collapsed="false">
      <c r="A765" s="51"/>
      <c r="B765" s="51"/>
      <c r="C765" s="51"/>
      <c r="D765" s="52"/>
      <c r="E765" s="51"/>
      <c r="F765" s="51"/>
      <c r="G765" s="52"/>
      <c r="H765" s="52"/>
      <c r="I765" s="52"/>
      <c r="J765" s="47"/>
      <c r="K765" s="47"/>
      <c r="L765" s="47"/>
      <c r="M765" s="47"/>
      <c r="N765" s="47"/>
      <c r="O765" s="47"/>
    </row>
    <row r="766" customFormat="false" ht="14.25" hidden="false" customHeight="true" outlineLevel="0" collapsed="false">
      <c r="A766" s="51"/>
      <c r="B766" s="51"/>
      <c r="C766" s="51"/>
      <c r="D766" s="52"/>
      <c r="E766" s="51"/>
      <c r="F766" s="51"/>
      <c r="G766" s="52"/>
      <c r="H766" s="52"/>
      <c r="I766" s="52"/>
      <c r="J766" s="47"/>
      <c r="K766" s="47"/>
      <c r="L766" s="47"/>
      <c r="M766" s="47"/>
      <c r="N766" s="47"/>
      <c r="O766" s="47"/>
    </row>
    <row r="767" customFormat="false" ht="14.25" hidden="false" customHeight="true" outlineLevel="0" collapsed="false">
      <c r="A767" s="51"/>
      <c r="B767" s="51"/>
      <c r="C767" s="51"/>
      <c r="D767" s="52"/>
      <c r="E767" s="51"/>
      <c r="F767" s="51"/>
      <c r="G767" s="52"/>
      <c r="H767" s="52"/>
      <c r="I767" s="52"/>
      <c r="J767" s="47"/>
      <c r="K767" s="47"/>
      <c r="L767" s="47"/>
      <c r="M767" s="47"/>
      <c r="N767" s="47"/>
      <c r="O767" s="47"/>
    </row>
    <row r="768" customFormat="false" ht="14.25" hidden="false" customHeight="true" outlineLevel="0" collapsed="false">
      <c r="A768" s="51"/>
      <c r="B768" s="51"/>
      <c r="C768" s="51"/>
      <c r="D768" s="52"/>
      <c r="E768" s="51"/>
      <c r="F768" s="51"/>
      <c r="G768" s="52"/>
      <c r="H768" s="52"/>
      <c r="I768" s="52"/>
      <c r="J768" s="47"/>
      <c r="K768" s="47"/>
      <c r="L768" s="47"/>
      <c r="M768" s="47"/>
      <c r="N768" s="47"/>
      <c r="O768" s="47"/>
    </row>
    <row r="769" customFormat="false" ht="14.25" hidden="false" customHeight="true" outlineLevel="0" collapsed="false">
      <c r="A769" s="51"/>
      <c r="B769" s="51"/>
      <c r="C769" s="51"/>
      <c r="D769" s="52"/>
      <c r="E769" s="51"/>
      <c r="F769" s="51"/>
      <c r="G769" s="52"/>
      <c r="H769" s="52"/>
      <c r="I769" s="52"/>
      <c r="J769" s="47"/>
      <c r="K769" s="47"/>
      <c r="L769" s="47"/>
      <c r="M769" s="47"/>
      <c r="N769" s="47"/>
      <c r="O769" s="47"/>
    </row>
    <row r="770" customFormat="false" ht="14.25" hidden="false" customHeight="true" outlineLevel="0" collapsed="false">
      <c r="A770" s="51"/>
      <c r="B770" s="51"/>
      <c r="C770" s="51"/>
      <c r="D770" s="52"/>
      <c r="E770" s="51"/>
      <c r="F770" s="51"/>
      <c r="G770" s="52"/>
      <c r="H770" s="52"/>
      <c r="I770" s="52"/>
      <c r="J770" s="47"/>
      <c r="K770" s="47"/>
      <c r="L770" s="47"/>
      <c r="M770" s="47"/>
      <c r="N770" s="47"/>
      <c r="O770" s="47"/>
    </row>
    <row r="771" customFormat="false" ht="14.25" hidden="false" customHeight="true" outlineLevel="0" collapsed="false">
      <c r="A771" s="51"/>
      <c r="B771" s="51"/>
      <c r="C771" s="51"/>
      <c r="D771" s="52"/>
      <c r="E771" s="51"/>
      <c r="F771" s="51"/>
      <c r="G771" s="52"/>
      <c r="H771" s="52"/>
      <c r="I771" s="52"/>
      <c r="J771" s="47"/>
      <c r="K771" s="47"/>
      <c r="L771" s="47"/>
      <c r="M771" s="47"/>
      <c r="N771" s="47"/>
      <c r="O771" s="47"/>
    </row>
    <row r="772" customFormat="false" ht="14.25" hidden="false" customHeight="true" outlineLevel="0" collapsed="false">
      <c r="A772" s="51"/>
      <c r="B772" s="51"/>
      <c r="C772" s="51"/>
      <c r="D772" s="52"/>
      <c r="E772" s="51"/>
      <c r="F772" s="51"/>
      <c r="G772" s="52"/>
      <c r="H772" s="52"/>
      <c r="I772" s="52"/>
      <c r="J772" s="47"/>
      <c r="K772" s="47"/>
      <c r="L772" s="47"/>
      <c r="M772" s="47"/>
      <c r="N772" s="47"/>
      <c r="O772" s="47"/>
    </row>
    <row r="773" customFormat="false" ht="14.25" hidden="false" customHeight="true" outlineLevel="0" collapsed="false">
      <c r="A773" s="51"/>
      <c r="B773" s="51"/>
      <c r="C773" s="51"/>
      <c r="D773" s="52"/>
      <c r="E773" s="51"/>
      <c r="F773" s="51"/>
      <c r="G773" s="52"/>
      <c r="H773" s="52"/>
      <c r="I773" s="52"/>
      <c r="J773" s="47"/>
      <c r="K773" s="47"/>
      <c r="L773" s="47"/>
      <c r="M773" s="47"/>
      <c r="N773" s="47"/>
      <c r="O773" s="47"/>
    </row>
    <row r="774" customFormat="false" ht="14.25" hidden="false" customHeight="true" outlineLevel="0" collapsed="false">
      <c r="A774" s="51"/>
      <c r="B774" s="51"/>
      <c r="C774" s="51"/>
      <c r="D774" s="52"/>
      <c r="E774" s="51"/>
      <c r="F774" s="51"/>
      <c r="G774" s="52"/>
      <c r="H774" s="52"/>
      <c r="I774" s="52"/>
      <c r="J774" s="47"/>
      <c r="K774" s="47"/>
      <c r="L774" s="47"/>
      <c r="M774" s="47"/>
      <c r="N774" s="47"/>
      <c r="O774" s="47"/>
    </row>
    <row r="775" customFormat="false" ht="14.25" hidden="false" customHeight="true" outlineLevel="0" collapsed="false">
      <c r="A775" s="51"/>
      <c r="B775" s="51"/>
      <c r="C775" s="51"/>
      <c r="D775" s="52"/>
      <c r="E775" s="51"/>
      <c r="F775" s="51"/>
      <c r="G775" s="52"/>
      <c r="H775" s="52"/>
      <c r="I775" s="52"/>
      <c r="J775" s="47"/>
      <c r="K775" s="47"/>
      <c r="L775" s="47"/>
      <c r="M775" s="47"/>
      <c r="N775" s="47"/>
      <c r="O775" s="47"/>
    </row>
    <row r="776" customFormat="false" ht="14.25" hidden="false" customHeight="true" outlineLevel="0" collapsed="false">
      <c r="A776" s="51"/>
      <c r="B776" s="51"/>
      <c r="C776" s="51"/>
      <c r="D776" s="52"/>
      <c r="E776" s="51"/>
      <c r="F776" s="51"/>
      <c r="G776" s="52"/>
      <c r="H776" s="52"/>
      <c r="I776" s="52"/>
      <c r="J776" s="47"/>
      <c r="K776" s="47"/>
      <c r="L776" s="47"/>
      <c r="M776" s="47"/>
      <c r="N776" s="47"/>
      <c r="O776" s="47"/>
    </row>
    <row r="777" customFormat="false" ht="14.25" hidden="false" customHeight="true" outlineLevel="0" collapsed="false">
      <c r="A777" s="51"/>
      <c r="B777" s="51"/>
      <c r="C777" s="51"/>
      <c r="D777" s="52"/>
      <c r="E777" s="51"/>
      <c r="F777" s="51"/>
      <c r="G777" s="52"/>
      <c r="H777" s="52"/>
      <c r="I777" s="52"/>
      <c r="J777" s="47"/>
      <c r="K777" s="47"/>
      <c r="L777" s="47"/>
      <c r="M777" s="47"/>
      <c r="N777" s="47"/>
      <c r="O777" s="47"/>
    </row>
    <row r="778" customFormat="false" ht="14.25" hidden="false" customHeight="true" outlineLevel="0" collapsed="false">
      <c r="A778" s="51"/>
      <c r="B778" s="51"/>
      <c r="C778" s="51"/>
      <c r="D778" s="52"/>
      <c r="E778" s="51"/>
      <c r="F778" s="51"/>
      <c r="G778" s="52"/>
      <c r="H778" s="52"/>
      <c r="I778" s="52"/>
      <c r="J778" s="47"/>
      <c r="K778" s="47"/>
      <c r="L778" s="47"/>
      <c r="M778" s="47"/>
      <c r="N778" s="47"/>
      <c r="O778" s="47"/>
    </row>
    <row r="779" customFormat="false" ht="14.25" hidden="false" customHeight="true" outlineLevel="0" collapsed="false">
      <c r="A779" s="51"/>
      <c r="B779" s="51"/>
      <c r="C779" s="51"/>
      <c r="D779" s="52"/>
      <c r="E779" s="51"/>
      <c r="F779" s="51"/>
      <c r="G779" s="52"/>
      <c r="H779" s="52"/>
      <c r="I779" s="52"/>
      <c r="J779" s="47"/>
      <c r="K779" s="47"/>
      <c r="L779" s="47"/>
      <c r="M779" s="47"/>
      <c r="N779" s="47"/>
      <c r="O779" s="47"/>
    </row>
    <row r="780" customFormat="false" ht="14.25" hidden="false" customHeight="true" outlineLevel="0" collapsed="false">
      <c r="A780" s="51"/>
      <c r="B780" s="51"/>
      <c r="C780" s="51"/>
      <c r="D780" s="52"/>
      <c r="E780" s="51"/>
      <c r="F780" s="51"/>
      <c r="G780" s="52"/>
      <c r="H780" s="52"/>
      <c r="I780" s="52"/>
      <c r="J780" s="47"/>
      <c r="K780" s="47"/>
      <c r="L780" s="47"/>
      <c r="M780" s="47"/>
      <c r="N780" s="47"/>
      <c r="O780" s="47"/>
    </row>
    <row r="781" customFormat="false" ht="14.25" hidden="false" customHeight="true" outlineLevel="0" collapsed="false">
      <c r="A781" s="51"/>
      <c r="B781" s="51"/>
      <c r="C781" s="51"/>
      <c r="D781" s="52"/>
      <c r="E781" s="51"/>
      <c r="F781" s="51"/>
      <c r="G781" s="52"/>
      <c r="H781" s="52"/>
      <c r="I781" s="52"/>
      <c r="J781" s="47"/>
      <c r="K781" s="47"/>
      <c r="L781" s="47"/>
      <c r="M781" s="47"/>
      <c r="N781" s="47"/>
      <c r="O781" s="47"/>
    </row>
    <row r="782" customFormat="false" ht="14.25" hidden="false" customHeight="true" outlineLevel="0" collapsed="false">
      <c r="A782" s="51"/>
      <c r="B782" s="51"/>
      <c r="C782" s="51"/>
      <c r="D782" s="52"/>
      <c r="E782" s="51"/>
      <c r="F782" s="51"/>
      <c r="G782" s="52"/>
      <c r="H782" s="52"/>
      <c r="I782" s="52"/>
      <c r="J782" s="47"/>
      <c r="K782" s="47"/>
      <c r="L782" s="47"/>
      <c r="M782" s="47"/>
      <c r="N782" s="47"/>
      <c r="O782" s="47"/>
    </row>
    <row r="783" customFormat="false" ht="14.25" hidden="false" customHeight="true" outlineLevel="0" collapsed="false">
      <c r="A783" s="51"/>
      <c r="B783" s="51"/>
      <c r="C783" s="51"/>
      <c r="D783" s="52"/>
      <c r="E783" s="51"/>
      <c r="F783" s="51"/>
      <c r="G783" s="52"/>
      <c r="H783" s="52"/>
      <c r="I783" s="52"/>
      <c r="J783" s="47"/>
      <c r="K783" s="47"/>
      <c r="L783" s="47"/>
      <c r="M783" s="47"/>
      <c r="N783" s="47"/>
      <c r="O783" s="47"/>
    </row>
    <row r="784" customFormat="false" ht="14.25" hidden="false" customHeight="true" outlineLevel="0" collapsed="false">
      <c r="A784" s="51"/>
      <c r="B784" s="51"/>
      <c r="C784" s="51"/>
      <c r="D784" s="52"/>
      <c r="E784" s="51"/>
      <c r="F784" s="51"/>
      <c r="G784" s="52"/>
      <c r="H784" s="52"/>
      <c r="I784" s="52"/>
      <c r="J784" s="47"/>
      <c r="K784" s="47"/>
      <c r="L784" s="47"/>
      <c r="M784" s="47"/>
      <c r="N784" s="47"/>
      <c r="O784" s="47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8" t="s">
        <v>369</v>
      </c>
      <c r="B1" s="58"/>
      <c r="C1" s="58"/>
      <c r="D1" s="58"/>
    </row>
    <row r="2" customFormat="false" ht="15" hidden="false" customHeight="true" outlineLevel="0" collapsed="false">
      <c r="A2" s="59" t="s">
        <v>370</v>
      </c>
      <c r="B2" s="59"/>
      <c r="C2" s="59"/>
      <c r="D2" s="59"/>
    </row>
    <row r="4" customFormat="false" ht="15" hidden="false" customHeight="true" outlineLevel="0" collapsed="false">
      <c r="A4" s="60" t="s">
        <v>9</v>
      </c>
      <c r="B4" s="60" t="s">
        <v>140</v>
      </c>
      <c r="C4" s="60" t="s">
        <v>277</v>
      </c>
      <c r="D4" s="60" t="s">
        <v>279</v>
      </c>
    </row>
    <row r="5" customFormat="false" ht="15" hidden="false" customHeight="true" outlineLevel="0" collapsed="false">
      <c r="A5" s="44" t="s">
        <v>11</v>
      </c>
      <c r="B5" s="44" t="s">
        <v>85</v>
      </c>
      <c r="C5" s="44" t="s">
        <v>176</v>
      </c>
      <c r="D5" s="61" t="n">
        <f aca="false">'CUSTOS MENSAIS'!F271</f>
        <v>359.291803</v>
      </c>
    </row>
    <row r="6" customFormat="false" ht="15" hidden="false" customHeight="true" outlineLevel="0" collapsed="false">
      <c r="A6" s="45" t="s">
        <v>11</v>
      </c>
      <c r="B6" s="45" t="s">
        <v>310</v>
      </c>
      <c r="C6" s="45" t="s">
        <v>178</v>
      </c>
      <c r="D6" s="62" t="n">
        <f aca="false">'CUSTOS MENSAIS'!F273</f>
        <v>0.291</v>
      </c>
    </row>
    <row r="7" customFormat="false" ht="15" hidden="false" customHeight="true" outlineLevel="0" collapsed="false">
      <c r="A7" s="44" t="s">
        <v>11</v>
      </c>
      <c r="B7" s="44" t="s">
        <v>281</v>
      </c>
      <c r="C7" s="44" t="s">
        <v>220</v>
      </c>
      <c r="D7" s="61" t="n">
        <f aca="false">'CUSTOS MENSAIS'!F274</f>
        <v>0</v>
      </c>
    </row>
    <row r="8" customFormat="false" ht="15" hidden="false" customHeight="true" outlineLevel="0" collapsed="false">
      <c r="A8" s="45" t="s">
        <v>11</v>
      </c>
      <c r="B8" s="45" t="s">
        <v>288</v>
      </c>
      <c r="C8" s="45" t="s">
        <v>179</v>
      </c>
      <c r="D8" s="62" t="n">
        <f aca="false">'CUSTOS MENSAIS'!F275</f>
        <v>38376.56</v>
      </c>
    </row>
    <row r="9" customFormat="false" ht="15" hidden="false" customHeight="true" outlineLevel="0" collapsed="false">
      <c r="A9" s="44" t="s">
        <v>11</v>
      </c>
      <c r="B9" s="44" t="s">
        <v>281</v>
      </c>
      <c r="C9" s="44" t="s">
        <v>180</v>
      </c>
      <c r="D9" s="61" t="n">
        <f aca="false">'CUSTOS MENSAIS'!F276</f>
        <v>0</v>
      </c>
    </row>
    <row r="10" customFormat="false" ht="15" hidden="false" customHeight="true" outlineLevel="0" collapsed="false">
      <c r="A10" s="45" t="s">
        <v>11</v>
      </c>
      <c r="B10" s="45" t="s">
        <v>281</v>
      </c>
      <c r="C10" s="45" t="s">
        <v>181</v>
      </c>
      <c r="D10" s="62" t="n">
        <f aca="false">'CUSTOS MENSAIS'!F277</f>
        <v>0</v>
      </c>
    </row>
    <row r="11" customFormat="false" ht="15" hidden="false" customHeight="true" outlineLevel="0" collapsed="false">
      <c r="A11" s="44" t="s">
        <v>11</v>
      </c>
      <c r="B11" s="44" t="s">
        <v>44</v>
      </c>
      <c r="C11" s="44" t="s">
        <v>182</v>
      </c>
      <c r="D11" s="61" t="n">
        <f aca="false">'CUSTOS MENSAIS'!F278</f>
        <v>10389.2</v>
      </c>
    </row>
    <row r="12" customFormat="false" ht="15" hidden="false" customHeight="true" outlineLevel="0" collapsed="false">
      <c r="A12" s="45" t="s">
        <v>11</v>
      </c>
      <c r="B12" s="45" t="s">
        <v>44</v>
      </c>
      <c r="C12" s="45" t="s">
        <v>221</v>
      </c>
      <c r="D12" s="62" t="n">
        <f aca="false">'CUSTOS MENSAIS'!F279</f>
        <v>100</v>
      </c>
    </row>
    <row r="13" customFormat="false" ht="15" hidden="false" customHeight="true" outlineLevel="0" collapsed="false">
      <c r="A13" s="44" t="s">
        <v>11</v>
      </c>
      <c r="B13" s="44" t="s">
        <v>287</v>
      </c>
      <c r="C13" s="44" t="s">
        <v>183</v>
      </c>
      <c r="D13" s="61" t="n">
        <f aca="false">'CUSTOS MENSAIS'!F295</f>
        <v>35</v>
      </c>
    </row>
    <row r="14" customFormat="false" ht="15" hidden="false" customHeight="true" outlineLevel="0" collapsed="false">
      <c r="A14" s="45" t="s">
        <v>11</v>
      </c>
      <c r="B14" s="45" t="s">
        <v>287</v>
      </c>
      <c r="C14" s="45" t="s">
        <v>184</v>
      </c>
      <c r="D14" s="62" t="n">
        <f aca="false">'CUSTOS MENSAIS'!F296</f>
        <v>180</v>
      </c>
    </row>
    <row r="15" customFormat="false" ht="15" hidden="false" customHeight="true" outlineLevel="0" collapsed="false">
      <c r="A15" s="44" t="s">
        <v>11</v>
      </c>
      <c r="B15" s="44" t="s">
        <v>287</v>
      </c>
      <c r="C15" s="44" t="s">
        <v>185</v>
      </c>
      <c r="D15" s="61" t="n">
        <f aca="false">'CUSTOS MENSAIS'!F297</f>
        <v>0</v>
      </c>
    </row>
    <row r="16" customFormat="false" ht="15" hidden="false" customHeight="true" outlineLevel="0" collapsed="false">
      <c r="A16" s="45" t="s">
        <v>11</v>
      </c>
      <c r="B16" s="45" t="s">
        <v>289</v>
      </c>
      <c r="C16" s="45" t="s">
        <v>186</v>
      </c>
      <c r="D16" s="62" t="n">
        <f aca="false">'CUSTOS MENSAIS'!F298</f>
        <v>692.28</v>
      </c>
    </row>
    <row r="17" customFormat="false" ht="15" hidden="false" customHeight="true" outlineLevel="0" collapsed="false">
      <c r="A17" s="44" t="s">
        <v>11</v>
      </c>
      <c r="B17" s="44" t="s">
        <v>286</v>
      </c>
      <c r="C17" s="44" t="s">
        <v>157</v>
      </c>
      <c r="D17" s="61" t="n">
        <f aca="false">'CUSTOS MENSAIS'!F299</f>
        <v>7689.5</v>
      </c>
    </row>
    <row r="18" customFormat="false" ht="15" hidden="false" customHeight="true" outlineLevel="0" collapsed="false">
      <c r="A18" s="45" t="s">
        <v>11</v>
      </c>
      <c r="B18" s="45" t="s">
        <v>286</v>
      </c>
      <c r="C18" s="45" t="s">
        <v>158</v>
      </c>
      <c r="D18" s="62" t="n">
        <f aca="false">'CUSTOS MENSAIS'!F300</f>
        <v>350</v>
      </c>
    </row>
    <row r="19" customFormat="false" ht="15" hidden="false" customHeight="true" outlineLevel="0" collapsed="false">
      <c r="A19" s="44" t="s">
        <v>11</v>
      </c>
      <c r="B19" s="44" t="s">
        <v>281</v>
      </c>
      <c r="C19" s="44" t="s">
        <v>187</v>
      </c>
      <c r="D19" s="61" t="n">
        <f aca="false">'CUSTOS MENSAIS'!F301</f>
        <v>5036.91</v>
      </c>
    </row>
    <row r="20" customFormat="false" ht="15" hidden="false" customHeight="true" outlineLevel="0" collapsed="false">
      <c r="A20" s="45" t="s">
        <v>11</v>
      </c>
      <c r="B20" s="45" t="s">
        <v>310</v>
      </c>
      <c r="C20" s="45" t="s">
        <v>188</v>
      </c>
      <c r="D20" s="62" t="n">
        <f aca="false">'CUSTOS MENSAIS'!F302</f>
        <v>570</v>
      </c>
    </row>
    <row r="21" customFormat="false" ht="15" hidden="false" customHeight="true" outlineLevel="0" collapsed="false">
      <c r="A21" s="44" t="s">
        <v>11</v>
      </c>
      <c r="B21" s="44" t="s">
        <v>310</v>
      </c>
      <c r="C21" s="44" t="s">
        <v>189</v>
      </c>
      <c r="D21" s="61" t="n">
        <f aca="false">'CUSTOS MENSAIS'!F303</f>
        <v>89.28</v>
      </c>
    </row>
    <row r="22" customFormat="false" ht="15" hidden="false" customHeight="true" outlineLevel="0" collapsed="false">
      <c r="A22" s="45" t="s">
        <v>11</v>
      </c>
      <c r="B22" s="45" t="s">
        <v>310</v>
      </c>
      <c r="C22" s="45" t="s">
        <v>190</v>
      </c>
      <c r="D22" s="62" t="n">
        <f aca="false">'CUSTOS MENSAIS'!F304</f>
        <v>18.45</v>
      </c>
    </row>
    <row r="23" customFormat="false" ht="15" hidden="false" customHeight="true" outlineLevel="0" collapsed="false">
      <c r="A23" s="44" t="s">
        <v>11</v>
      </c>
      <c r="B23" s="44" t="s">
        <v>310</v>
      </c>
      <c r="C23" s="44" t="s">
        <v>191</v>
      </c>
      <c r="D23" s="61" t="n">
        <f aca="false">'CUSTOS MENSAIS'!F305</f>
        <v>7.8808</v>
      </c>
    </row>
    <row r="24" customFormat="false" ht="15" hidden="false" customHeight="true" outlineLevel="0" collapsed="false">
      <c r="A24" s="63" t="s">
        <v>11</v>
      </c>
      <c r="B24" s="63"/>
      <c r="C24" s="63" t="s">
        <v>371</v>
      </c>
      <c r="D24" s="64" t="n">
        <f aca="false">SUM(D5:D23)</f>
        <v>63894.643603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4" t="s">
        <v>20</v>
      </c>
      <c r="B26" s="44" t="s">
        <v>85</v>
      </c>
      <c r="C26" s="44" t="s">
        <v>176</v>
      </c>
      <c r="D26" s="61" t="n">
        <f aca="false">'CUSTOS MENSAIS'!F306</f>
        <v>239.527869</v>
      </c>
    </row>
    <row r="27" customFormat="false" ht="15" hidden="false" customHeight="true" outlineLevel="0" collapsed="false">
      <c r="A27" s="45" t="s">
        <v>20</v>
      </c>
      <c r="B27" s="45" t="s">
        <v>310</v>
      </c>
      <c r="C27" s="45" t="s">
        <v>178</v>
      </c>
      <c r="D27" s="62" t="n">
        <f aca="false">'CUSTOS MENSAIS'!F308</f>
        <v>0.194</v>
      </c>
    </row>
    <row r="28" customFormat="false" ht="15" hidden="false" customHeight="true" outlineLevel="0" collapsed="false">
      <c r="A28" s="44" t="s">
        <v>20</v>
      </c>
      <c r="B28" s="44" t="s">
        <v>281</v>
      </c>
      <c r="C28" s="44" t="s">
        <v>220</v>
      </c>
      <c r="D28" s="61" t="n">
        <f aca="false">'CUSTOS MENSAIS'!F309</f>
        <v>0</v>
      </c>
    </row>
    <row r="29" customFormat="false" ht="15" hidden="false" customHeight="true" outlineLevel="0" collapsed="false">
      <c r="A29" s="45" t="s">
        <v>20</v>
      </c>
      <c r="B29" s="45" t="s">
        <v>288</v>
      </c>
      <c r="C29" s="45" t="s">
        <v>179</v>
      </c>
      <c r="D29" s="62" t="n">
        <f aca="false">'CUSTOS MENSAIS'!F310</f>
        <v>26304.95</v>
      </c>
    </row>
    <row r="30" customFormat="false" ht="15" hidden="false" customHeight="true" outlineLevel="0" collapsed="false">
      <c r="A30" s="44" t="s">
        <v>20</v>
      </c>
      <c r="B30" s="44" t="s">
        <v>281</v>
      </c>
      <c r="C30" s="44" t="s">
        <v>180</v>
      </c>
      <c r="D30" s="61" t="n">
        <f aca="false">'CUSTOS MENSAIS'!F329</f>
        <v>107.549</v>
      </c>
    </row>
    <row r="31" customFormat="false" ht="15" hidden="false" customHeight="true" outlineLevel="0" collapsed="false">
      <c r="A31" s="45" t="s">
        <v>20</v>
      </c>
      <c r="B31" s="45" t="s">
        <v>281</v>
      </c>
      <c r="C31" s="45" t="s">
        <v>181</v>
      </c>
      <c r="D31" s="62" t="n">
        <f aca="false">'CUSTOS MENSAIS'!F330</f>
        <v>0.3152</v>
      </c>
    </row>
    <row r="32" customFormat="false" ht="15" hidden="false" customHeight="true" outlineLevel="0" collapsed="false">
      <c r="A32" s="44" t="s">
        <v>20</v>
      </c>
      <c r="B32" s="44" t="s">
        <v>44</v>
      </c>
      <c r="C32" s="44" t="s">
        <v>182</v>
      </c>
      <c r="D32" s="61" t="n">
        <f aca="false">'CUSTOS MENSAIS'!F331</f>
        <v>0</v>
      </c>
    </row>
    <row r="33" customFormat="false" ht="15" hidden="false" customHeight="true" outlineLevel="0" collapsed="false">
      <c r="A33" s="45" t="s">
        <v>20</v>
      </c>
      <c r="B33" s="45" t="s">
        <v>44</v>
      </c>
      <c r="C33" s="45" t="s">
        <v>221</v>
      </c>
      <c r="D33" s="62" t="n">
        <f aca="false">'CUSTOS MENSAIS'!F332</f>
        <v>130589.439786667</v>
      </c>
    </row>
    <row r="34" customFormat="false" ht="15" hidden="false" customHeight="true" outlineLevel="0" collapsed="false">
      <c r="A34" s="44" t="s">
        <v>20</v>
      </c>
      <c r="B34" s="44" t="s">
        <v>287</v>
      </c>
      <c r="C34" s="44" t="s">
        <v>183</v>
      </c>
      <c r="D34" s="61" t="n">
        <f aca="false">'CUSTOS MENSAIS'!F333</f>
        <v>700</v>
      </c>
    </row>
    <row r="35" customFormat="false" ht="15" hidden="false" customHeight="true" outlineLevel="0" collapsed="false">
      <c r="A35" s="45" t="s">
        <v>20</v>
      </c>
      <c r="B35" s="45" t="s">
        <v>287</v>
      </c>
      <c r="C35" s="45" t="s">
        <v>184</v>
      </c>
      <c r="D35" s="62" t="n">
        <f aca="false">'CUSTOS MENSAIS'!F334</f>
        <v>128.96</v>
      </c>
    </row>
    <row r="36" customFormat="false" ht="15" hidden="false" customHeight="true" outlineLevel="0" collapsed="false">
      <c r="A36" s="44" t="s">
        <v>20</v>
      </c>
      <c r="B36" s="44" t="s">
        <v>287</v>
      </c>
      <c r="C36" s="44" t="s">
        <v>185</v>
      </c>
      <c r="D36" s="61" t="n">
        <f aca="false">'CUSTOS MENSAIS'!F335</f>
        <v>26.65</v>
      </c>
    </row>
    <row r="37" customFormat="false" ht="15" hidden="false" customHeight="true" outlineLevel="0" collapsed="false">
      <c r="A37" s="45" t="s">
        <v>20</v>
      </c>
      <c r="B37" s="45" t="s">
        <v>289</v>
      </c>
      <c r="C37" s="45" t="s">
        <v>186</v>
      </c>
      <c r="D37" s="62" t="n">
        <f aca="false">'CUSTOS MENSAIS'!F336</f>
        <v>21454</v>
      </c>
    </row>
    <row r="38" customFormat="false" ht="15" hidden="false" customHeight="true" outlineLevel="0" collapsed="false">
      <c r="A38" s="44" t="s">
        <v>20</v>
      </c>
      <c r="B38" s="44" t="s">
        <v>286</v>
      </c>
      <c r="C38" s="44" t="s">
        <v>157</v>
      </c>
      <c r="D38" s="61" t="n">
        <f aca="false">'CUSTOS MENSAIS'!F337</f>
        <v>178.44</v>
      </c>
    </row>
    <row r="39" customFormat="false" ht="15" hidden="false" customHeight="true" outlineLevel="0" collapsed="false">
      <c r="A39" s="45" t="s">
        <v>20</v>
      </c>
      <c r="B39" s="45" t="s">
        <v>286</v>
      </c>
      <c r="C39" s="45" t="s">
        <v>158</v>
      </c>
      <c r="D39" s="62" t="n">
        <f aca="false">'CUSTOS MENSAIS'!F338</f>
        <v>261.24</v>
      </c>
    </row>
    <row r="40" customFormat="false" ht="15" hidden="false" customHeight="true" outlineLevel="0" collapsed="false">
      <c r="A40" s="44" t="s">
        <v>20</v>
      </c>
      <c r="B40" s="44" t="s">
        <v>281</v>
      </c>
      <c r="C40" s="44" t="s">
        <v>187</v>
      </c>
      <c r="D40" s="61" t="n">
        <f aca="false">'CUSTOS MENSAIS'!F339</f>
        <v>285.96</v>
      </c>
    </row>
    <row r="41" customFormat="false" ht="15" hidden="false" customHeight="true" outlineLevel="0" collapsed="false">
      <c r="A41" s="45" t="s">
        <v>20</v>
      </c>
      <c r="B41" s="45" t="s">
        <v>310</v>
      </c>
      <c r="C41" s="45" t="s">
        <v>188</v>
      </c>
      <c r="D41" s="62" t="n">
        <f aca="false">'CUSTOS MENSAIS'!F340</f>
        <v>89.22</v>
      </c>
    </row>
    <row r="42" customFormat="false" ht="15" hidden="false" customHeight="true" outlineLevel="0" collapsed="false">
      <c r="A42" s="44" t="s">
        <v>20</v>
      </c>
      <c r="B42" s="44" t="s">
        <v>310</v>
      </c>
      <c r="C42" s="44" t="s">
        <v>189</v>
      </c>
      <c r="D42" s="61" t="n">
        <f aca="false">'CUSTOS MENSAIS'!F341</f>
        <v>130.62</v>
      </c>
    </row>
    <row r="43" customFormat="false" ht="15" hidden="false" customHeight="true" outlineLevel="0" collapsed="false">
      <c r="A43" s="45" t="s">
        <v>20</v>
      </c>
      <c r="B43" s="45" t="s">
        <v>310</v>
      </c>
      <c r="C43" s="45" t="s">
        <v>190</v>
      </c>
      <c r="D43" s="62" t="n">
        <f aca="false">'CUSTOS MENSAIS'!F342</f>
        <v>142.98</v>
      </c>
    </row>
    <row r="44" customFormat="false" ht="15" hidden="false" customHeight="true" outlineLevel="0" collapsed="false">
      <c r="A44" s="44" t="s">
        <v>20</v>
      </c>
      <c r="B44" s="44" t="s">
        <v>310</v>
      </c>
      <c r="C44" s="44" t="s">
        <v>191</v>
      </c>
      <c r="D44" s="61" t="n">
        <f aca="false">'CUSTOS MENSAIS'!F343</f>
        <v>386.62</v>
      </c>
    </row>
    <row r="45" customFormat="false" ht="15" hidden="false" customHeight="true" outlineLevel="0" collapsed="false">
      <c r="A45" s="63" t="s">
        <v>20</v>
      </c>
      <c r="B45" s="63"/>
      <c r="C45" s="63" t="s">
        <v>372</v>
      </c>
      <c r="D45" s="64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5" t="s">
        <v>373</v>
      </c>
      <c r="B48" s="65"/>
      <c r="C48" s="65"/>
      <c r="D48" s="65"/>
      <c r="E48" s="65"/>
      <c r="F48" s="65"/>
    </row>
    <row r="49" customFormat="false" ht="15" hidden="false" customHeight="true" outlineLevel="0" collapsed="false">
      <c r="A49" s="66" t="s">
        <v>9</v>
      </c>
      <c r="B49" s="66" t="s">
        <v>374</v>
      </c>
      <c r="C49" s="66" t="s">
        <v>375</v>
      </c>
      <c r="D49" s="66" t="s">
        <v>376</v>
      </c>
      <c r="E49" s="66" t="s">
        <v>377</v>
      </c>
      <c r="F49" s="66" t="s">
        <v>378</v>
      </c>
    </row>
    <row r="50" customFormat="false" ht="15" hidden="false" customHeight="true" outlineLevel="0" collapsed="false">
      <c r="A50" s="44" t="s">
        <v>11</v>
      </c>
      <c r="B50" s="44" t="n">
        <v>4</v>
      </c>
      <c r="C50" s="44" t="n">
        <v>184</v>
      </c>
      <c r="D50" s="61" t="n">
        <v>395977.23</v>
      </c>
      <c r="E50" s="61" t="n">
        <f aca="false">SETORES!$D$28</f>
        <v>143907.30844</v>
      </c>
      <c r="F50" s="61" t="n">
        <f aca="false">IFERROR(E50/C50,0)</f>
        <v>782.104937173913</v>
      </c>
    </row>
    <row r="51" customFormat="false" ht="14.25" hidden="false" customHeight="true" outlineLevel="0" collapsed="false">
      <c r="A51" s="45" t="s">
        <v>20</v>
      </c>
      <c r="B51" s="45" t="n">
        <v>4</v>
      </c>
      <c r="C51" s="45" t="n">
        <v>144</v>
      </c>
      <c r="D51" s="62" t="n">
        <v>369202.82</v>
      </c>
      <c r="E51" s="62" t="n">
        <f aca="false">SETORES!$D$55</f>
        <v>53576.6036</v>
      </c>
      <c r="F51" s="62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5" t="s">
        <v>379</v>
      </c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</row>
    <row r="54" customFormat="false" ht="14.25" hidden="false" customHeight="true" outlineLevel="0" collapsed="false">
      <c r="A54" s="66" t="s">
        <v>9</v>
      </c>
      <c r="B54" s="66" t="s">
        <v>380</v>
      </c>
      <c r="C54" s="66" t="s">
        <v>381</v>
      </c>
      <c r="D54" s="66" t="s">
        <v>382</v>
      </c>
      <c r="E54" s="66" t="s">
        <v>383</v>
      </c>
      <c r="F54" s="66" t="s">
        <v>384</v>
      </c>
      <c r="G54" s="67" t="s">
        <v>385</v>
      </c>
      <c r="H54" s="67" t="s">
        <v>386</v>
      </c>
      <c r="I54" s="66" t="s">
        <v>387</v>
      </c>
      <c r="J54" s="66" t="s">
        <v>388</v>
      </c>
      <c r="K54" s="66" t="s">
        <v>389</v>
      </c>
      <c r="L54" s="66" t="s">
        <v>390</v>
      </c>
      <c r="M54" s="66" t="s">
        <v>367</v>
      </c>
      <c r="O54" s="1" t="s">
        <v>391</v>
      </c>
    </row>
    <row r="55" customFormat="false" ht="14.25" hidden="false" customHeight="true" outlineLevel="0" collapsed="false">
      <c r="A55" s="44" t="s">
        <v>11</v>
      </c>
      <c r="B55" s="44" t="s">
        <v>392</v>
      </c>
      <c r="C55" s="44" t="n">
        <v>48</v>
      </c>
      <c r="D55" s="61" t="n">
        <v>6854.1</v>
      </c>
      <c r="E55" s="61" t="n">
        <v>1028.11</v>
      </c>
      <c r="F55" s="61" t="n">
        <v>1631.07</v>
      </c>
      <c r="G55" s="61" t="n">
        <v>301240</v>
      </c>
      <c r="H55" s="61" t="n">
        <v>30000</v>
      </c>
      <c r="I55" s="61" t="n">
        <f aca="false">D55+G55+H55</f>
        <v>338094.1</v>
      </c>
      <c r="J55" s="61" t="n">
        <v>242.09</v>
      </c>
      <c r="K55" s="61" t="n">
        <v>13541.11</v>
      </c>
      <c r="L55" s="68" t="n">
        <f aca="false">K55+E55+F55+J55</f>
        <v>16442.38</v>
      </c>
      <c r="M55" s="68" t="n">
        <f aca="false">IFERROR(L55/C55,0)</f>
        <v>342.549583333333</v>
      </c>
    </row>
    <row r="56" customFormat="false" ht="14.25" hidden="false" customHeight="true" outlineLevel="0" collapsed="false">
      <c r="A56" s="45" t="s">
        <v>11</v>
      </c>
      <c r="B56" s="45" t="s">
        <v>393</v>
      </c>
      <c r="C56" s="45" t="n">
        <v>43</v>
      </c>
      <c r="D56" s="62" t="n">
        <v>6244.2</v>
      </c>
      <c r="E56" s="62" t="n">
        <v>936.63</v>
      </c>
      <c r="F56" s="62" t="n">
        <v>1561.07</v>
      </c>
      <c r="G56" s="62" t="n">
        <v>5900</v>
      </c>
      <c r="H56" s="62" t="n">
        <v>0</v>
      </c>
      <c r="I56" s="62" t="n">
        <f aca="false">D56+G56+H56</f>
        <v>12144.2</v>
      </c>
      <c r="J56" s="62" t="n">
        <v>1590</v>
      </c>
      <c r="K56" s="62" t="n">
        <v>10750.53</v>
      </c>
      <c r="L56" s="68" t="n">
        <f aca="false">K56+E56+F56+J56</f>
        <v>14838.23</v>
      </c>
      <c r="M56" s="68" t="n">
        <f aca="false">IFERROR(L56/C56,0)</f>
        <v>345.07511627907</v>
      </c>
    </row>
    <row r="57" customFormat="false" ht="14.25" hidden="false" customHeight="true" outlineLevel="0" collapsed="false">
      <c r="A57" s="44" t="s">
        <v>11</v>
      </c>
      <c r="B57" s="44" t="s">
        <v>394</v>
      </c>
      <c r="C57" s="44" t="n">
        <v>53</v>
      </c>
      <c r="D57" s="61" t="n">
        <v>14873.8</v>
      </c>
      <c r="E57" s="61" t="n">
        <v>2231.07</v>
      </c>
      <c r="F57" s="61" t="n">
        <v>2480.97</v>
      </c>
      <c r="G57" s="61" t="n">
        <v>10359.7</v>
      </c>
      <c r="H57" s="61" t="n">
        <v>0</v>
      </c>
      <c r="I57" s="61" t="n">
        <f aca="false">D57+G57+H57</f>
        <v>25233.5</v>
      </c>
      <c r="J57" s="61"/>
      <c r="K57" s="61" t="n">
        <v>17898.88</v>
      </c>
      <c r="L57" s="68" t="n">
        <f aca="false">K57+E57+F57+J57</f>
        <v>22610.92</v>
      </c>
      <c r="M57" s="68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4" t="s">
        <v>20</v>
      </c>
      <c r="B59" s="44" t="s">
        <v>392</v>
      </c>
      <c r="C59" s="44" t="n">
        <v>37</v>
      </c>
      <c r="D59" s="61" t="n">
        <v>4936</v>
      </c>
      <c r="E59" s="61" t="n">
        <v>740.4</v>
      </c>
      <c r="F59" s="61" t="n">
        <v>1234</v>
      </c>
      <c r="G59" s="61" t="n">
        <v>297690</v>
      </c>
      <c r="H59" s="61" t="n">
        <v>22859.4</v>
      </c>
      <c r="I59" s="61" t="n">
        <f aca="false">D59+G59+H59</f>
        <v>325485.4</v>
      </c>
      <c r="J59" s="61" t="n">
        <v>126.47</v>
      </c>
      <c r="K59" s="61" t="n">
        <v>10908.52</v>
      </c>
      <c r="L59" s="67" t="n">
        <f aca="false">K59+E59+F59+J59</f>
        <v>13009.39</v>
      </c>
      <c r="M59" s="68" t="n">
        <f aca="false">IFERROR(L59/C59,0)</f>
        <v>351.605135135135</v>
      </c>
      <c r="N59" s="68"/>
      <c r="O59" s="1" t="n">
        <v>25</v>
      </c>
    </row>
    <row r="60" customFormat="false" ht="14.25" hidden="false" customHeight="true" outlineLevel="0" collapsed="false">
      <c r="A60" s="45" t="s">
        <v>20</v>
      </c>
      <c r="B60" s="45" t="s">
        <v>393</v>
      </c>
      <c r="C60" s="45" t="n">
        <v>35</v>
      </c>
      <c r="D60" s="62" t="n">
        <v>5285.89</v>
      </c>
      <c r="E60" s="62" t="n">
        <v>792.88</v>
      </c>
      <c r="F60" s="62" t="n">
        <v>1321.27</v>
      </c>
      <c r="G60" s="62" t="n">
        <v>2900</v>
      </c>
      <c r="H60" s="62" t="n">
        <v>0</v>
      </c>
      <c r="I60" s="62" t="n">
        <f aca="false">D60+G60+H60</f>
        <v>8185.89</v>
      </c>
      <c r="J60" s="62" t="n">
        <v>2083.99</v>
      </c>
      <c r="K60" s="62" t="n">
        <v>7395.12</v>
      </c>
      <c r="L60" s="67" t="n">
        <f aca="false">K60+E60+F60+J60</f>
        <v>11593.26</v>
      </c>
      <c r="M60" s="68" t="n">
        <f aca="false">IFERROR(L60/C60,0)</f>
        <v>331.236</v>
      </c>
      <c r="N60" s="68"/>
      <c r="O60" s="1" t="n">
        <v>2</v>
      </c>
    </row>
    <row r="61" customFormat="false" ht="14.25" hidden="false" customHeight="true" outlineLevel="0" collapsed="false">
      <c r="A61" s="44" t="s">
        <v>20</v>
      </c>
      <c r="B61" s="44" t="s">
        <v>394</v>
      </c>
      <c r="C61" s="44" t="n">
        <v>30</v>
      </c>
      <c r="D61" s="61" t="n">
        <v>5866.4</v>
      </c>
      <c r="E61" s="61" t="n">
        <v>879.96</v>
      </c>
      <c r="F61" s="61" t="n">
        <v>1196.6</v>
      </c>
      <c r="G61" s="61" t="n">
        <v>8959.7</v>
      </c>
      <c r="H61" s="61" t="n">
        <v>0</v>
      </c>
      <c r="I61" s="61" t="n">
        <f aca="false">D61+G61+H61</f>
        <v>14826.1</v>
      </c>
      <c r="J61" s="61" t="n">
        <v>233.47</v>
      </c>
      <c r="K61" s="61" t="n">
        <v>9283.74</v>
      </c>
      <c r="L61" s="67" t="n">
        <f aca="false">K61+E61+F61+J61</f>
        <v>11593.77</v>
      </c>
      <c r="M61" s="68" t="n">
        <f aca="false">IFERROR(L61/C61,0)</f>
        <v>386.459</v>
      </c>
      <c r="N61" s="68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9" t="n">
        <f aca="false">SUM(D59:D61)</f>
        <v>16088.29</v>
      </c>
      <c r="E62" s="69" t="n">
        <f aca="false">SUM(E59:E61)</f>
        <v>2413.24</v>
      </c>
      <c r="F62" s="69" t="n">
        <f aca="false">SUM(F59:F61)</f>
        <v>3751.87</v>
      </c>
      <c r="G62" s="69" t="n">
        <f aca="false">SUM(G59:G61)</f>
        <v>309549.7</v>
      </c>
      <c r="H62" s="69" t="n">
        <f aca="false">SUM(H59:H61)</f>
        <v>22859.4</v>
      </c>
      <c r="I62" s="69" t="n">
        <f aca="false">SUM(I59:I61)</f>
        <v>348497.39</v>
      </c>
      <c r="J62" s="69" t="n">
        <f aca="false">SUM(J59:J61)</f>
        <v>2443.93</v>
      </c>
      <c r="K62" s="69" t="n">
        <f aca="false">SUM(K59:K61)</f>
        <v>27587.38</v>
      </c>
      <c r="L62" s="67" t="n">
        <f aca="false">SUM(L59:L61)</f>
        <v>36196.42</v>
      </c>
      <c r="M62" s="68" t="n">
        <f aca="false">IFERROR(L62/C62,0)</f>
        <v>354.866862745098</v>
      </c>
      <c r="N62" s="68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0" t="s">
        <v>395</v>
      </c>
    </row>
    <row r="2" customFormat="false" ht="15" hidden="false" customHeight="true" outlineLevel="0" collapsed="false">
      <c r="A2" s="71" t="s">
        <v>396</v>
      </c>
    </row>
    <row r="4" customFormat="false" ht="15" hidden="false" customHeight="true" outlineLevel="0" collapsed="false">
      <c r="A4" s="72" t="s">
        <v>9</v>
      </c>
      <c r="B4" s="72" t="s">
        <v>24</v>
      </c>
      <c r="C4" s="72" t="s">
        <v>141</v>
      </c>
      <c r="D4" s="72" t="s">
        <v>3</v>
      </c>
      <c r="E4" s="72" t="s">
        <v>142</v>
      </c>
      <c r="F4" s="72" t="s">
        <v>143</v>
      </c>
      <c r="G4" s="72" t="s">
        <v>397</v>
      </c>
      <c r="H4" s="72" t="s">
        <v>398</v>
      </c>
    </row>
    <row r="5" customFormat="false" ht="15" hidden="false" customHeight="true" outlineLevel="0" collapsed="false">
      <c r="A5" s="1" t="s">
        <v>399</v>
      </c>
      <c r="B5" s="1" t="s">
        <v>400</v>
      </c>
      <c r="C5" s="1" t="s">
        <v>401</v>
      </c>
      <c r="D5" s="1" t="s">
        <v>271</v>
      </c>
      <c r="E5" s="73" t="n">
        <v>13402</v>
      </c>
      <c r="F5" s="41" t="n">
        <v>0.187098400414136</v>
      </c>
      <c r="G5" s="41" t="n">
        <v>2507.49276235025</v>
      </c>
      <c r="H5" s="1" t="s">
        <v>402</v>
      </c>
    </row>
    <row r="6" customFormat="false" ht="15" hidden="false" customHeight="true" outlineLevel="0" collapsed="false">
      <c r="A6" s="1" t="s">
        <v>399</v>
      </c>
      <c r="B6" s="1" t="s">
        <v>403</v>
      </c>
      <c r="C6" s="1" t="s">
        <v>86</v>
      </c>
      <c r="D6" s="1" t="s">
        <v>271</v>
      </c>
      <c r="E6" s="73" t="n">
        <v>13402</v>
      </c>
      <c r="F6" s="41" t="n">
        <v>0.208713221370437</v>
      </c>
      <c r="G6" s="41" t="n">
        <v>2797.1745928066</v>
      </c>
      <c r="H6" s="1" t="s">
        <v>402</v>
      </c>
    </row>
    <row r="7" customFormat="false" ht="15" hidden="false" customHeight="true" outlineLevel="0" collapsed="false">
      <c r="A7" s="1" t="s">
        <v>399</v>
      </c>
      <c r="B7" s="1" t="s">
        <v>55</v>
      </c>
      <c r="C7" s="1" t="s">
        <v>404</v>
      </c>
      <c r="D7" s="1" t="s">
        <v>269</v>
      </c>
      <c r="E7" s="73" t="n">
        <v>1</v>
      </c>
      <c r="F7" s="41" t="n">
        <v>32732.52</v>
      </c>
      <c r="G7" s="41" t="n">
        <v>32732.52</v>
      </c>
      <c r="H7" s="1" t="s">
        <v>405</v>
      </c>
    </row>
    <row r="8" customFormat="false" ht="15" hidden="false" customHeight="true" outlineLevel="0" collapsed="false">
      <c r="A8" s="1" t="s">
        <v>399</v>
      </c>
      <c r="B8" s="1" t="s">
        <v>55</v>
      </c>
      <c r="C8" s="1" t="s">
        <v>404</v>
      </c>
      <c r="D8" s="1" t="s">
        <v>275</v>
      </c>
      <c r="E8" s="73" t="n">
        <v>1</v>
      </c>
      <c r="F8" s="41" t="n">
        <v>18628.73</v>
      </c>
      <c r="G8" s="41" t="n">
        <v>18628.73</v>
      </c>
      <c r="H8" s="1" t="s">
        <v>405</v>
      </c>
    </row>
    <row r="9" customFormat="false" ht="15" hidden="false" customHeight="true" outlineLevel="0" collapsed="false">
      <c r="A9" s="1" t="s">
        <v>399</v>
      </c>
      <c r="B9" s="1" t="s">
        <v>55</v>
      </c>
      <c r="C9" s="1" t="s">
        <v>404</v>
      </c>
      <c r="D9" s="1" t="s">
        <v>272</v>
      </c>
      <c r="E9" s="73" t="n">
        <v>1</v>
      </c>
      <c r="F9" s="41" t="n">
        <v>36742.58</v>
      </c>
      <c r="G9" s="41" t="n">
        <v>36742.58</v>
      </c>
      <c r="H9" s="1" t="s">
        <v>405</v>
      </c>
    </row>
    <row r="10" customFormat="false" ht="15" hidden="false" customHeight="true" outlineLevel="0" collapsed="false">
      <c r="A10" s="1" t="s">
        <v>399</v>
      </c>
      <c r="B10" s="1" t="s">
        <v>55</v>
      </c>
      <c r="C10" s="1" t="s">
        <v>404</v>
      </c>
      <c r="D10" s="1" t="s">
        <v>266</v>
      </c>
      <c r="E10" s="73" t="n">
        <v>1</v>
      </c>
      <c r="F10" s="41" t="n">
        <v>80014.4</v>
      </c>
      <c r="G10" s="41" t="n">
        <v>80014.4</v>
      </c>
      <c r="H10" s="1" t="s">
        <v>405</v>
      </c>
    </row>
    <row r="11" customFormat="false" ht="15" hidden="false" customHeight="true" outlineLevel="0" collapsed="false">
      <c r="A11" s="1" t="s">
        <v>399</v>
      </c>
      <c r="B11" s="1" t="s">
        <v>55</v>
      </c>
      <c r="C11" s="1" t="s">
        <v>404</v>
      </c>
      <c r="D11" s="1" t="s">
        <v>267</v>
      </c>
      <c r="E11" s="73" t="n">
        <v>1</v>
      </c>
      <c r="F11" s="41" t="n">
        <v>24090.35</v>
      </c>
      <c r="G11" s="41" t="n">
        <v>24090.35</v>
      </c>
      <c r="H11" s="1" t="s">
        <v>405</v>
      </c>
    </row>
    <row r="12" customFormat="false" ht="15" hidden="false" customHeight="true" outlineLevel="0" collapsed="false">
      <c r="A12" s="1" t="s">
        <v>399</v>
      </c>
      <c r="B12" s="1" t="s">
        <v>55</v>
      </c>
      <c r="C12" s="1" t="s">
        <v>404</v>
      </c>
      <c r="D12" s="1" t="s">
        <v>264</v>
      </c>
      <c r="E12" s="73" t="n">
        <v>1</v>
      </c>
      <c r="F12" s="41" t="n">
        <v>29402.21</v>
      </c>
      <c r="G12" s="41" t="n">
        <v>29402.21</v>
      </c>
      <c r="H12" s="1" t="s">
        <v>405</v>
      </c>
    </row>
    <row r="13" customFormat="false" ht="15" hidden="false" customHeight="true" outlineLevel="0" collapsed="false">
      <c r="A13" s="1" t="s">
        <v>399</v>
      </c>
      <c r="B13" s="1" t="s">
        <v>406</v>
      </c>
      <c r="C13" s="1" t="s">
        <v>407</v>
      </c>
      <c r="D13" s="1" t="s">
        <v>269</v>
      </c>
      <c r="E13" s="73" t="n">
        <v>0</v>
      </c>
      <c r="F13" s="41" t="n">
        <v>0</v>
      </c>
      <c r="G13" s="41" t="n">
        <v>0</v>
      </c>
      <c r="H13" s="1" t="s">
        <v>408</v>
      </c>
    </row>
    <row r="14" customFormat="false" ht="15" hidden="false" customHeight="true" outlineLevel="0" collapsed="false">
      <c r="A14" s="1" t="s">
        <v>399</v>
      </c>
      <c r="B14" s="1" t="s">
        <v>406</v>
      </c>
      <c r="C14" s="1" t="s">
        <v>409</v>
      </c>
      <c r="D14" s="1" t="s">
        <v>269</v>
      </c>
      <c r="E14" s="73" t="n">
        <v>16</v>
      </c>
      <c r="F14" s="41" t="n">
        <v>2.85</v>
      </c>
      <c r="G14" s="41" t="n">
        <v>45.6</v>
      </c>
      <c r="H14" s="1" t="s">
        <v>410</v>
      </c>
    </row>
    <row r="15" customFormat="false" ht="15" hidden="false" customHeight="true" outlineLevel="0" collapsed="false">
      <c r="A15" s="1" t="s">
        <v>399</v>
      </c>
      <c r="B15" s="1" t="s">
        <v>406</v>
      </c>
      <c r="C15" s="1" t="s">
        <v>407</v>
      </c>
      <c r="D15" s="1" t="s">
        <v>271</v>
      </c>
      <c r="E15" s="73" t="n">
        <v>0</v>
      </c>
      <c r="F15" s="41" t="n">
        <v>0</v>
      </c>
      <c r="G15" s="41" t="n">
        <v>0</v>
      </c>
      <c r="H15" s="1" t="s">
        <v>411</v>
      </c>
    </row>
    <row r="16" customFormat="false" ht="15" hidden="false" customHeight="true" outlineLevel="0" collapsed="false">
      <c r="A16" s="1" t="s">
        <v>399</v>
      </c>
      <c r="B16" s="1" t="s">
        <v>406</v>
      </c>
      <c r="C16" s="1" t="s">
        <v>412</v>
      </c>
      <c r="D16" s="1" t="s">
        <v>271</v>
      </c>
      <c r="E16" s="73" t="n">
        <v>0</v>
      </c>
      <c r="F16" s="41" t="n">
        <v>0</v>
      </c>
      <c r="G16" s="41" t="n">
        <v>0</v>
      </c>
      <c r="H16" s="1" t="s">
        <v>413</v>
      </c>
    </row>
    <row r="17" customFormat="false" ht="15" hidden="false" customHeight="true" outlineLevel="0" collapsed="false">
      <c r="A17" s="1" t="s">
        <v>399</v>
      </c>
      <c r="B17" s="1" t="s">
        <v>406</v>
      </c>
      <c r="C17" s="1" t="s">
        <v>407</v>
      </c>
      <c r="D17" s="1" t="s">
        <v>275</v>
      </c>
      <c r="E17" s="73" t="n">
        <v>0</v>
      </c>
      <c r="F17" s="41" t="n">
        <v>0</v>
      </c>
      <c r="G17" s="41" t="n">
        <v>0</v>
      </c>
      <c r="H17" s="1" t="s">
        <v>411</v>
      </c>
    </row>
    <row r="18" customFormat="false" ht="15" hidden="false" customHeight="true" outlineLevel="0" collapsed="false">
      <c r="A18" s="1" t="s">
        <v>399</v>
      </c>
      <c r="B18" s="1" t="s">
        <v>406</v>
      </c>
      <c r="C18" s="1" t="s">
        <v>409</v>
      </c>
      <c r="D18" s="1" t="s">
        <v>275</v>
      </c>
      <c r="E18" s="73" t="n">
        <v>10</v>
      </c>
      <c r="F18" s="41" t="n">
        <v>2.85</v>
      </c>
      <c r="G18" s="41" t="n">
        <v>28.5</v>
      </c>
      <c r="H18" s="1" t="s">
        <v>410</v>
      </c>
    </row>
    <row r="19" customFormat="false" ht="15" hidden="false" customHeight="true" outlineLevel="0" collapsed="false">
      <c r="A19" s="1" t="s">
        <v>399</v>
      </c>
      <c r="B19" s="1" t="s">
        <v>406</v>
      </c>
      <c r="C19" s="1" t="s">
        <v>407</v>
      </c>
      <c r="D19" s="1" t="s">
        <v>272</v>
      </c>
      <c r="E19" s="73" t="n">
        <v>0</v>
      </c>
      <c r="F19" s="41" t="n">
        <v>0</v>
      </c>
      <c r="G19" s="41" t="n">
        <v>0</v>
      </c>
      <c r="H19" s="1" t="s">
        <v>408</v>
      </c>
    </row>
    <row r="20" customFormat="false" ht="15" hidden="false" customHeight="true" outlineLevel="0" collapsed="false">
      <c r="A20" s="1" t="s">
        <v>399</v>
      </c>
      <c r="B20" s="1" t="s">
        <v>406</v>
      </c>
      <c r="C20" s="1" t="s">
        <v>409</v>
      </c>
      <c r="D20" s="1" t="s">
        <v>272</v>
      </c>
      <c r="E20" s="73" t="n">
        <v>0</v>
      </c>
      <c r="F20" s="41" t="n">
        <v>0</v>
      </c>
      <c r="G20" s="41" t="n">
        <v>0</v>
      </c>
      <c r="H20" s="1" t="s">
        <v>414</v>
      </c>
    </row>
    <row r="21" customFormat="false" ht="15" hidden="false" customHeight="true" outlineLevel="0" collapsed="false">
      <c r="A21" s="1" t="s">
        <v>399</v>
      </c>
      <c r="B21" s="1" t="s">
        <v>406</v>
      </c>
      <c r="C21" s="1" t="s">
        <v>407</v>
      </c>
      <c r="D21" s="1" t="s">
        <v>266</v>
      </c>
      <c r="E21" s="73" t="n">
        <v>0</v>
      </c>
      <c r="F21" s="41" t="n">
        <v>0</v>
      </c>
      <c r="G21" s="41" t="n">
        <v>0</v>
      </c>
      <c r="H21" s="1" t="s">
        <v>415</v>
      </c>
    </row>
    <row r="22" customFormat="false" ht="15" hidden="false" customHeight="true" outlineLevel="0" collapsed="false">
      <c r="A22" s="1" t="s">
        <v>399</v>
      </c>
      <c r="B22" s="1" t="s">
        <v>406</v>
      </c>
      <c r="C22" s="1" t="s">
        <v>409</v>
      </c>
      <c r="D22" s="1" t="s">
        <v>266</v>
      </c>
      <c r="E22" s="73" t="n">
        <v>20</v>
      </c>
      <c r="F22" s="41" t="n">
        <v>2.85</v>
      </c>
      <c r="G22" s="41" t="n">
        <v>57</v>
      </c>
      <c r="H22" s="1" t="s">
        <v>410</v>
      </c>
    </row>
    <row r="23" customFormat="false" ht="15" hidden="false" customHeight="true" outlineLevel="0" collapsed="false">
      <c r="A23" s="1" t="s">
        <v>399</v>
      </c>
      <c r="B23" s="1" t="s">
        <v>406</v>
      </c>
      <c r="C23" s="1" t="s">
        <v>407</v>
      </c>
      <c r="D23" s="1" t="s">
        <v>267</v>
      </c>
      <c r="E23" s="73" t="n">
        <v>0</v>
      </c>
      <c r="F23" s="41" t="n">
        <v>0</v>
      </c>
      <c r="G23" s="41" t="n">
        <v>0</v>
      </c>
      <c r="H23" s="1" t="s">
        <v>411</v>
      </c>
    </row>
    <row r="24" customFormat="false" ht="15" hidden="false" customHeight="true" outlineLevel="0" collapsed="false">
      <c r="A24" s="1" t="s">
        <v>399</v>
      </c>
      <c r="B24" s="1" t="s">
        <v>406</v>
      </c>
      <c r="C24" s="1" t="s">
        <v>407</v>
      </c>
      <c r="D24" s="1" t="s">
        <v>267</v>
      </c>
      <c r="E24" s="73" t="n">
        <v>0</v>
      </c>
      <c r="F24" s="41" t="n">
        <v>0</v>
      </c>
      <c r="G24" s="41" t="n">
        <v>0</v>
      </c>
      <c r="H24" s="1" t="s">
        <v>416</v>
      </c>
    </row>
    <row r="25" customFormat="false" ht="15" hidden="false" customHeight="true" outlineLevel="0" collapsed="false">
      <c r="A25" s="1" t="s">
        <v>399</v>
      </c>
      <c r="B25" s="1" t="s">
        <v>78</v>
      </c>
      <c r="C25" s="1" t="s">
        <v>417</v>
      </c>
      <c r="D25" s="1" t="s">
        <v>275</v>
      </c>
      <c r="E25" s="73" t="n">
        <v>3650</v>
      </c>
      <c r="F25" s="41" t="n">
        <v>0.457702446918301</v>
      </c>
      <c r="G25" s="41" t="n">
        <v>1670.6139312518</v>
      </c>
      <c r="H25" s="1" t="s">
        <v>402</v>
      </c>
    </row>
    <row r="26" customFormat="false" ht="15" hidden="false" customHeight="true" outlineLevel="0" collapsed="false">
      <c r="A26" s="1" t="s">
        <v>399</v>
      </c>
      <c r="B26" s="1" t="s">
        <v>78</v>
      </c>
      <c r="C26" s="1" t="s">
        <v>417</v>
      </c>
      <c r="D26" s="1" t="s">
        <v>272</v>
      </c>
      <c r="E26" s="73" t="n">
        <v>6396</v>
      </c>
      <c r="F26" s="41" t="n">
        <v>0.457702446918301</v>
      </c>
      <c r="G26" s="41" t="n">
        <v>2927.46485048945</v>
      </c>
      <c r="H26" s="1" t="s">
        <v>402</v>
      </c>
    </row>
    <row r="27" customFormat="false" ht="15" hidden="false" customHeight="true" outlineLevel="0" collapsed="false">
      <c r="A27" s="1" t="s">
        <v>399</v>
      </c>
      <c r="B27" s="1" t="s">
        <v>78</v>
      </c>
      <c r="C27" s="1" t="s">
        <v>417</v>
      </c>
      <c r="D27" s="1" t="s">
        <v>266</v>
      </c>
      <c r="E27" s="73" t="n">
        <v>14331</v>
      </c>
      <c r="F27" s="41" t="n">
        <v>0.457702446918301</v>
      </c>
      <c r="G27" s="41" t="n">
        <v>6559.33376678617</v>
      </c>
      <c r="H27" s="1" t="s">
        <v>402</v>
      </c>
    </row>
    <row r="28" customFormat="false" ht="15" hidden="false" customHeight="true" outlineLevel="0" collapsed="false">
      <c r="A28" s="1" t="s">
        <v>399</v>
      </c>
      <c r="B28" s="1" t="s">
        <v>78</v>
      </c>
      <c r="C28" s="1" t="s">
        <v>417</v>
      </c>
      <c r="D28" s="1" t="s">
        <v>264</v>
      </c>
      <c r="E28" s="73" t="n">
        <v>4782</v>
      </c>
      <c r="F28" s="41" t="n">
        <v>0.457702446918301</v>
      </c>
      <c r="G28" s="41" t="n">
        <v>2188.73310116332</v>
      </c>
      <c r="H28" s="1" t="s">
        <v>402</v>
      </c>
    </row>
    <row r="29" customFormat="false" ht="15" hidden="false" customHeight="true" outlineLevel="0" collapsed="false">
      <c r="A29" s="1" t="s">
        <v>399</v>
      </c>
      <c r="B29" s="1" t="s">
        <v>418</v>
      </c>
      <c r="C29" s="1" t="s">
        <v>419</v>
      </c>
      <c r="D29" s="1" t="s">
        <v>257</v>
      </c>
      <c r="E29" s="73" t="n">
        <v>6246</v>
      </c>
      <c r="F29" s="41" t="n">
        <v>1.86</v>
      </c>
      <c r="G29" s="41" t="n">
        <v>11617.56</v>
      </c>
      <c r="H29" s="1" t="s">
        <v>420</v>
      </c>
    </row>
    <row r="30" customFormat="false" ht="15" hidden="false" customHeight="true" outlineLevel="0" collapsed="false">
      <c r="A30" s="1" t="s">
        <v>399</v>
      </c>
      <c r="B30" s="1" t="s">
        <v>418</v>
      </c>
      <c r="C30" s="1" t="s">
        <v>419</v>
      </c>
      <c r="D30" s="1" t="s">
        <v>269</v>
      </c>
      <c r="E30" s="73" t="n">
        <v>296</v>
      </c>
      <c r="F30" s="41" t="n">
        <v>1.86</v>
      </c>
      <c r="G30" s="41" t="n">
        <v>550.56</v>
      </c>
      <c r="H30" s="1" t="s">
        <v>420</v>
      </c>
    </row>
    <row r="31" customFormat="false" ht="15" hidden="false" customHeight="true" outlineLevel="0" collapsed="false">
      <c r="A31" s="1" t="s">
        <v>399</v>
      </c>
      <c r="B31" s="1" t="s">
        <v>418</v>
      </c>
      <c r="C31" s="1" t="s">
        <v>421</v>
      </c>
      <c r="D31" s="1" t="s">
        <v>269</v>
      </c>
      <c r="E31" s="73" t="n">
        <v>2</v>
      </c>
      <c r="F31" s="41" t="n">
        <v>383.56</v>
      </c>
      <c r="G31" s="41" t="n">
        <v>767.12</v>
      </c>
      <c r="H31" s="1" t="s">
        <v>422</v>
      </c>
    </row>
    <row r="32" customFormat="false" ht="15" hidden="false" customHeight="true" outlineLevel="0" collapsed="false">
      <c r="A32" s="1" t="s">
        <v>399</v>
      </c>
      <c r="B32" s="1" t="s">
        <v>418</v>
      </c>
      <c r="C32" s="1" t="s">
        <v>423</v>
      </c>
      <c r="D32" s="1" t="s">
        <v>269</v>
      </c>
      <c r="E32" s="73" t="n">
        <v>0</v>
      </c>
      <c r="F32" s="41" t="n">
        <v>0</v>
      </c>
      <c r="G32" s="41" t="n">
        <v>0</v>
      </c>
      <c r="H32" s="1" t="s">
        <v>424</v>
      </c>
    </row>
    <row r="33" customFormat="false" ht="15" hidden="false" customHeight="true" outlineLevel="0" collapsed="false">
      <c r="A33" s="1" t="s">
        <v>399</v>
      </c>
      <c r="B33" s="1" t="s">
        <v>418</v>
      </c>
      <c r="C33" s="1" t="s">
        <v>425</v>
      </c>
      <c r="D33" s="1" t="s">
        <v>269</v>
      </c>
      <c r="E33" s="73" t="n">
        <v>3</v>
      </c>
      <c r="F33" s="41" t="n">
        <v>300.37</v>
      </c>
      <c r="G33" s="41" t="n">
        <v>901.11</v>
      </c>
      <c r="H33" s="1" t="s">
        <v>426</v>
      </c>
    </row>
    <row r="34" customFormat="false" ht="15" hidden="false" customHeight="true" outlineLevel="0" collapsed="false">
      <c r="A34" s="1" t="s">
        <v>399</v>
      </c>
      <c r="B34" s="1" t="s">
        <v>418</v>
      </c>
      <c r="C34" s="1" t="s">
        <v>427</v>
      </c>
      <c r="D34" s="1" t="s">
        <v>269</v>
      </c>
      <c r="E34" s="73" t="n">
        <v>-1</v>
      </c>
      <c r="F34" s="41" t="n">
        <v>812.42</v>
      </c>
      <c r="G34" s="41" t="n">
        <v>-812.42</v>
      </c>
      <c r="H34" s="1" t="s">
        <v>428</v>
      </c>
    </row>
    <row r="35" customFormat="false" ht="15" hidden="false" customHeight="true" outlineLevel="0" collapsed="false">
      <c r="A35" s="1" t="s">
        <v>399</v>
      </c>
      <c r="B35" s="1" t="s">
        <v>418</v>
      </c>
      <c r="C35" s="1" t="s">
        <v>427</v>
      </c>
      <c r="D35" s="1" t="s">
        <v>269</v>
      </c>
      <c r="E35" s="73" t="n">
        <v>-1</v>
      </c>
      <c r="F35" s="41" t="n">
        <v>4015.98</v>
      </c>
      <c r="G35" s="41" t="n">
        <v>-4015.98</v>
      </c>
      <c r="H35" s="1" t="s">
        <v>429</v>
      </c>
    </row>
    <row r="36" customFormat="false" ht="15" hidden="false" customHeight="true" outlineLevel="0" collapsed="false">
      <c r="A36" s="1" t="s">
        <v>399</v>
      </c>
      <c r="B36" s="1" t="s">
        <v>418</v>
      </c>
      <c r="C36" s="1" t="s">
        <v>430</v>
      </c>
      <c r="D36" s="1" t="s">
        <v>269</v>
      </c>
      <c r="E36" s="73" t="n">
        <v>0</v>
      </c>
      <c r="F36" s="41" t="n">
        <v>0</v>
      </c>
      <c r="G36" s="41" t="n">
        <v>0</v>
      </c>
      <c r="H36" s="1" t="s">
        <v>431</v>
      </c>
    </row>
    <row r="37" customFormat="false" ht="15" hidden="false" customHeight="true" outlineLevel="0" collapsed="false">
      <c r="A37" s="1" t="s">
        <v>399</v>
      </c>
      <c r="B37" s="1" t="s">
        <v>418</v>
      </c>
      <c r="C37" s="1" t="s">
        <v>432</v>
      </c>
      <c r="D37" s="1" t="s">
        <v>269</v>
      </c>
      <c r="E37" s="73" t="n">
        <v>0</v>
      </c>
      <c r="F37" s="41" t="n">
        <v>0</v>
      </c>
      <c r="G37" s="41" t="n">
        <v>0</v>
      </c>
      <c r="H37" s="1" t="s">
        <v>431</v>
      </c>
    </row>
    <row r="38" customFormat="false" ht="15" hidden="false" customHeight="true" outlineLevel="0" collapsed="false">
      <c r="A38" s="1" t="s">
        <v>399</v>
      </c>
      <c r="B38" s="1" t="s">
        <v>418</v>
      </c>
      <c r="C38" s="1" t="s">
        <v>433</v>
      </c>
      <c r="D38" s="1" t="s">
        <v>269</v>
      </c>
      <c r="E38" s="73" t="n">
        <v>0</v>
      </c>
      <c r="F38" s="41" t="n">
        <v>0</v>
      </c>
      <c r="G38" s="41" t="n">
        <v>0</v>
      </c>
      <c r="H38" s="1" t="s">
        <v>431</v>
      </c>
    </row>
    <row r="39" customFormat="false" ht="15" hidden="false" customHeight="true" outlineLevel="0" collapsed="false">
      <c r="A39" s="1" t="s">
        <v>399</v>
      </c>
      <c r="B39" s="1" t="s">
        <v>418</v>
      </c>
      <c r="C39" s="1" t="s">
        <v>434</v>
      </c>
      <c r="D39" s="1" t="s">
        <v>269</v>
      </c>
      <c r="E39" s="73" t="n">
        <v>0</v>
      </c>
      <c r="F39" s="41" t="n">
        <v>0</v>
      </c>
      <c r="G39" s="41" t="n">
        <v>0</v>
      </c>
      <c r="H39" s="1" t="s">
        <v>431</v>
      </c>
    </row>
    <row r="40" customFormat="false" ht="15" hidden="false" customHeight="true" outlineLevel="0" collapsed="false">
      <c r="A40" s="1" t="s">
        <v>399</v>
      </c>
      <c r="B40" s="1" t="s">
        <v>418</v>
      </c>
      <c r="C40" s="1" t="s">
        <v>435</v>
      </c>
      <c r="D40" s="1" t="s">
        <v>269</v>
      </c>
      <c r="E40" s="73" t="n">
        <v>0</v>
      </c>
      <c r="F40" s="41" t="n">
        <v>0</v>
      </c>
      <c r="G40" s="41" t="n">
        <v>0</v>
      </c>
      <c r="H40" s="1" t="s">
        <v>431</v>
      </c>
    </row>
    <row r="41" customFormat="false" ht="15" hidden="false" customHeight="true" outlineLevel="0" collapsed="false">
      <c r="A41" s="1" t="s">
        <v>399</v>
      </c>
      <c r="B41" s="1" t="s">
        <v>418</v>
      </c>
      <c r="C41" s="1" t="s">
        <v>436</v>
      </c>
      <c r="D41" s="1" t="s">
        <v>271</v>
      </c>
      <c r="E41" s="73" t="n">
        <v>1</v>
      </c>
      <c r="F41" s="41" t="n">
        <v>33.5</v>
      </c>
      <c r="G41" s="41" t="n">
        <v>33.5</v>
      </c>
      <c r="H41" s="1" t="s">
        <v>437</v>
      </c>
    </row>
    <row r="42" customFormat="false" ht="15" hidden="false" customHeight="true" outlineLevel="0" collapsed="false">
      <c r="A42" s="1" t="s">
        <v>399</v>
      </c>
      <c r="B42" s="1" t="s">
        <v>418</v>
      </c>
      <c r="C42" s="1" t="s">
        <v>436</v>
      </c>
      <c r="D42" s="1" t="s">
        <v>271</v>
      </c>
      <c r="E42" s="73" t="n">
        <v>1</v>
      </c>
      <c r="F42" s="41" t="n">
        <v>22</v>
      </c>
      <c r="G42" s="41" t="n">
        <v>22</v>
      </c>
      <c r="H42" s="1" t="s">
        <v>438</v>
      </c>
    </row>
    <row r="43" customFormat="false" ht="15" hidden="false" customHeight="true" outlineLevel="0" collapsed="false">
      <c r="A43" s="1" t="s">
        <v>399</v>
      </c>
      <c r="B43" s="1" t="s">
        <v>418</v>
      </c>
      <c r="C43" s="1" t="s">
        <v>419</v>
      </c>
      <c r="D43" s="1" t="s">
        <v>271</v>
      </c>
      <c r="E43" s="73" t="n">
        <v>328</v>
      </c>
      <c r="F43" s="41" t="n">
        <v>1.86</v>
      </c>
      <c r="G43" s="41" t="n">
        <v>610.08</v>
      </c>
      <c r="H43" s="1" t="s">
        <v>420</v>
      </c>
    </row>
    <row r="44" customFormat="false" ht="15" hidden="false" customHeight="true" outlineLevel="0" collapsed="false">
      <c r="A44" s="1" t="s">
        <v>399</v>
      </c>
      <c r="B44" s="1" t="s">
        <v>418</v>
      </c>
      <c r="C44" s="1" t="s">
        <v>421</v>
      </c>
      <c r="D44" s="1" t="s">
        <v>271</v>
      </c>
      <c r="E44" s="73" t="n">
        <v>5</v>
      </c>
      <c r="F44" s="41" t="n">
        <v>383.56</v>
      </c>
      <c r="G44" s="41" t="n">
        <v>1917.8</v>
      </c>
      <c r="H44" s="1" t="s">
        <v>439</v>
      </c>
    </row>
    <row r="45" customFormat="false" ht="15" hidden="false" customHeight="true" outlineLevel="0" collapsed="false">
      <c r="A45" s="1" t="s">
        <v>399</v>
      </c>
      <c r="B45" s="1" t="s">
        <v>418</v>
      </c>
      <c r="C45" s="1" t="s">
        <v>423</v>
      </c>
      <c r="D45" s="1" t="s">
        <v>271</v>
      </c>
      <c r="E45" s="73" t="n">
        <v>1</v>
      </c>
      <c r="F45" s="41" t="n">
        <v>338.53</v>
      </c>
      <c r="G45" s="41" t="n">
        <v>338.53</v>
      </c>
      <c r="H45" s="1" t="s">
        <v>440</v>
      </c>
    </row>
    <row r="46" customFormat="false" ht="15" hidden="false" customHeight="true" outlineLevel="0" collapsed="false">
      <c r="A46" s="1" t="s">
        <v>399</v>
      </c>
      <c r="B46" s="1" t="s">
        <v>418</v>
      </c>
      <c r="C46" s="1" t="s">
        <v>425</v>
      </c>
      <c r="D46" s="1" t="s">
        <v>271</v>
      </c>
      <c r="E46" s="73" t="n">
        <v>1</v>
      </c>
      <c r="F46" s="41" t="n">
        <v>400.26</v>
      </c>
      <c r="G46" s="41" t="n">
        <v>400.26</v>
      </c>
      <c r="H46" s="1" t="s">
        <v>441</v>
      </c>
    </row>
    <row r="47" customFormat="false" ht="15" hidden="false" customHeight="true" outlineLevel="0" collapsed="false">
      <c r="A47" s="1" t="s">
        <v>399</v>
      </c>
      <c r="B47" s="1" t="s">
        <v>418</v>
      </c>
      <c r="C47" s="1" t="s">
        <v>427</v>
      </c>
      <c r="D47" s="1" t="s">
        <v>271</v>
      </c>
      <c r="E47" s="73" t="n">
        <v>1</v>
      </c>
      <c r="F47" s="41" t="n">
        <v>268.13</v>
      </c>
      <c r="G47" s="41" t="n">
        <v>268.13</v>
      </c>
      <c r="H47" s="1" t="s">
        <v>442</v>
      </c>
    </row>
    <row r="48" customFormat="false" ht="15" hidden="false" customHeight="true" outlineLevel="0" collapsed="false">
      <c r="A48" s="1" t="s">
        <v>399</v>
      </c>
      <c r="B48" s="1" t="s">
        <v>418</v>
      </c>
      <c r="C48" s="1" t="s">
        <v>427</v>
      </c>
      <c r="D48" s="1" t="s">
        <v>271</v>
      </c>
      <c r="E48" s="73" t="n">
        <v>52</v>
      </c>
      <c r="F48" s="41" t="n">
        <v>20.06</v>
      </c>
      <c r="G48" s="41" t="n">
        <v>1043.12</v>
      </c>
      <c r="H48" s="1" t="s">
        <v>443</v>
      </c>
    </row>
    <row r="49" customFormat="false" ht="15" hidden="false" customHeight="true" outlineLevel="0" collapsed="false">
      <c r="A49" s="1" t="s">
        <v>399</v>
      </c>
      <c r="B49" s="1" t="s">
        <v>418</v>
      </c>
      <c r="C49" s="1" t="s">
        <v>444</v>
      </c>
      <c r="D49" s="1" t="s">
        <v>271</v>
      </c>
      <c r="E49" s="73" t="n">
        <v>0</v>
      </c>
      <c r="F49" s="41" t="n">
        <v>0</v>
      </c>
      <c r="G49" s="41" t="n">
        <v>0</v>
      </c>
      <c r="H49" s="1" t="s">
        <v>431</v>
      </c>
    </row>
    <row r="50" customFormat="false" ht="15" hidden="false" customHeight="true" outlineLevel="0" collapsed="false">
      <c r="A50" s="1" t="s">
        <v>399</v>
      </c>
      <c r="B50" s="1" t="s">
        <v>418</v>
      </c>
      <c r="C50" s="1" t="s">
        <v>432</v>
      </c>
      <c r="D50" s="1" t="s">
        <v>271</v>
      </c>
      <c r="E50" s="73" t="n">
        <v>1</v>
      </c>
      <c r="F50" s="41" t="n">
        <v>0</v>
      </c>
      <c r="G50" s="41" t="n">
        <v>0</v>
      </c>
      <c r="H50" s="1" t="s">
        <v>431</v>
      </c>
    </row>
    <row r="51" customFormat="false" ht="15" hidden="false" customHeight="true" outlineLevel="0" collapsed="false">
      <c r="A51" s="1" t="s">
        <v>399</v>
      </c>
      <c r="B51" s="1" t="s">
        <v>418</v>
      </c>
      <c r="C51" s="1" t="s">
        <v>445</v>
      </c>
      <c r="D51" s="1" t="s">
        <v>271</v>
      </c>
      <c r="E51" s="73" t="n">
        <v>0</v>
      </c>
      <c r="F51" s="41" t="n">
        <v>0</v>
      </c>
      <c r="G51" s="41" t="n">
        <v>0</v>
      </c>
      <c r="H51" s="1" t="s">
        <v>431</v>
      </c>
    </row>
    <row r="52" customFormat="false" ht="15" hidden="false" customHeight="true" outlineLevel="0" collapsed="false">
      <c r="A52" s="1" t="s">
        <v>399</v>
      </c>
      <c r="B52" s="1" t="s">
        <v>418</v>
      </c>
      <c r="C52" s="1" t="s">
        <v>446</v>
      </c>
      <c r="D52" s="1" t="s">
        <v>271</v>
      </c>
      <c r="E52" s="73" t="n">
        <v>1</v>
      </c>
      <c r="F52" s="41" t="n">
        <v>0</v>
      </c>
      <c r="G52" s="41" t="n">
        <v>0</v>
      </c>
      <c r="H52" s="1" t="s">
        <v>431</v>
      </c>
    </row>
    <row r="53" customFormat="false" ht="15" hidden="false" customHeight="true" outlineLevel="0" collapsed="false">
      <c r="A53" s="1" t="s">
        <v>399</v>
      </c>
      <c r="B53" s="1" t="s">
        <v>418</v>
      </c>
      <c r="C53" s="1" t="s">
        <v>447</v>
      </c>
      <c r="D53" s="1" t="s">
        <v>271</v>
      </c>
      <c r="E53" s="73" t="n">
        <v>0</v>
      </c>
      <c r="F53" s="41" t="n">
        <v>0</v>
      </c>
      <c r="G53" s="41" t="n">
        <v>0</v>
      </c>
      <c r="H53" s="1" t="s">
        <v>431</v>
      </c>
    </row>
    <row r="54" customFormat="false" ht="15" hidden="false" customHeight="true" outlineLevel="0" collapsed="false">
      <c r="A54" s="1" t="s">
        <v>399</v>
      </c>
      <c r="B54" s="1" t="s">
        <v>418</v>
      </c>
      <c r="C54" s="1" t="s">
        <v>448</v>
      </c>
      <c r="D54" s="1" t="s">
        <v>271</v>
      </c>
      <c r="E54" s="73" t="n">
        <v>0</v>
      </c>
      <c r="F54" s="41" t="n">
        <v>0</v>
      </c>
      <c r="G54" s="41" t="n">
        <v>0</v>
      </c>
      <c r="H54" s="1" t="s">
        <v>431</v>
      </c>
    </row>
    <row r="55" customFormat="false" ht="15" hidden="false" customHeight="true" outlineLevel="0" collapsed="false">
      <c r="A55" s="1" t="s">
        <v>399</v>
      </c>
      <c r="B55" s="1" t="s">
        <v>418</v>
      </c>
      <c r="C55" s="1" t="s">
        <v>419</v>
      </c>
      <c r="D55" s="1" t="s">
        <v>275</v>
      </c>
      <c r="E55" s="73" t="n">
        <v>236</v>
      </c>
      <c r="F55" s="41" t="n">
        <v>1.86</v>
      </c>
      <c r="G55" s="41" t="n">
        <v>438.96</v>
      </c>
      <c r="H55" s="1" t="s">
        <v>420</v>
      </c>
    </row>
    <row r="56" customFormat="false" ht="15" hidden="false" customHeight="true" outlineLevel="0" collapsed="false">
      <c r="A56" s="1" t="s">
        <v>399</v>
      </c>
      <c r="B56" s="1" t="s">
        <v>418</v>
      </c>
      <c r="C56" s="1" t="s">
        <v>421</v>
      </c>
      <c r="D56" s="1" t="s">
        <v>275</v>
      </c>
      <c r="E56" s="73" t="n">
        <v>0</v>
      </c>
      <c r="F56" s="41" t="n">
        <v>0</v>
      </c>
      <c r="G56" s="41" t="n">
        <v>0</v>
      </c>
      <c r="H56" s="1" t="s">
        <v>422</v>
      </c>
    </row>
    <row r="57" customFormat="false" ht="15" hidden="false" customHeight="true" outlineLevel="0" collapsed="false">
      <c r="A57" s="1" t="s">
        <v>399</v>
      </c>
      <c r="B57" s="1" t="s">
        <v>418</v>
      </c>
      <c r="C57" s="1" t="s">
        <v>423</v>
      </c>
      <c r="D57" s="1" t="s">
        <v>275</v>
      </c>
      <c r="E57" s="73" t="n">
        <v>2</v>
      </c>
      <c r="F57" s="41" t="n">
        <v>338.53</v>
      </c>
      <c r="G57" s="41" t="n">
        <v>677.06</v>
      </c>
      <c r="H57" s="1" t="s">
        <v>422</v>
      </c>
    </row>
    <row r="58" customFormat="false" ht="15" hidden="false" customHeight="true" outlineLevel="0" collapsed="false">
      <c r="A58" s="1" t="s">
        <v>399</v>
      </c>
      <c r="B58" s="1" t="s">
        <v>418</v>
      </c>
      <c r="C58" s="1" t="s">
        <v>425</v>
      </c>
      <c r="D58" s="1" t="s">
        <v>275</v>
      </c>
      <c r="E58" s="73" t="n">
        <v>1</v>
      </c>
      <c r="F58" s="41" t="n">
        <v>300.37</v>
      </c>
      <c r="G58" s="41" t="n">
        <v>300.37</v>
      </c>
      <c r="H58" s="1" t="s">
        <v>449</v>
      </c>
    </row>
    <row r="59" customFormat="false" ht="15" hidden="false" customHeight="true" outlineLevel="0" collapsed="false">
      <c r="A59" s="1" t="s">
        <v>399</v>
      </c>
      <c r="B59" s="1" t="s">
        <v>418</v>
      </c>
      <c r="C59" s="1" t="s">
        <v>432</v>
      </c>
      <c r="D59" s="1" t="s">
        <v>275</v>
      </c>
      <c r="E59" s="73" t="n">
        <v>1</v>
      </c>
      <c r="F59" s="41" t="n">
        <v>0</v>
      </c>
      <c r="G59" s="41" t="n">
        <v>0</v>
      </c>
      <c r="H59" s="1" t="s">
        <v>431</v>
      </c>
    </row>
    <row r="60" customFormat="false" ht="15" hidden="false" customHeight="true" outlineLevel="0" collapsed="false">
      <c r="A60" s="1" t="s">
        <v>399</v>
      </c>
      <c r="B60" s="1" t="s">
        <v>418</v>
      </c>
      <c r="C60" s="1" t="s">
        <v>450</v>
      </c>
      <c r="D60" s="1" t="s">
        <v>275</v>
      </c>
      <c r="E60" s="73" t="n">
        <v>1</v>
      </c>
      <c r="F60" s="41" t="n">
        <v>0</v>
      </c>
      <c r="G60" s="41" t="n">
        <v>0</v>
      </c>
      <c r="H60" s="1" t="s">
        <v>431</v>
      </c>
    </row>
    <row r="61" customFormat="false" ht="15" hidden="false" customHeight="true" outlineLevel="0" collapsed="false">
      <c r="A61" s="1" t="s">
        <v>399</v>
      </c>
      <c r="B61" s="1" t="s">
        <v>418</v>
      </c>
      <c r="C61" s="1" t="s">
        <v>451</v>
      </c>
      <c r="D61" s="1" t="s">
        <v>275</v>
      </c>
      <c r="E61" s="73" t="n">
        <v>0</v>
      </c>
      <c r="F61" s="41" t="n">
        <v>0</v>
      </c>
      <c r="G61" s="41" t="n">
        <v>0</v>
      </c>
      <c r="H61" s="1" t="s">
        <v>431</v>
      </c>
    </row>
    <row r="62" customFormat="false" ht="15" hidden="false" customHeight="true" outlineLevel="0" collapsed="false">
      <c r="A62" s="1" t="s">
        <v>399</v>
      </c>
      <c r="B62" s="1" t="s">
        <v>418</v>
      </c>
      <c r="C62" s="1" t="s">
        <v>452</v>
      </c>
      <c r="D62" s="1" t="s">
        <v>275</v>
      </c>
      <c r="E62" s="73" t="n">
        <v>0</v>
      </c>
      <c r="F62" s="41" t="n">
        <v>0</v>
      </c>
      <c r="G62" s="41" t="n">
        <v>0</v>
      </c>
      <c r="H62" s="1" t="s">
        <v>431</v>
      </c>
    </row>
    <row r="63" customFormat="false" ht="15" hidden="false" customHeight="true" outlineLevel="0" collapsed="false">
      <c r="A63" s="1" t="s">
        <v>399</v>
      </c>
      <c r="B63" s="1" t="s">
        <v>418</v>
      </c>
      <c r="C63" s="1" t="s">
        <v>419</v>
      </c>
      <c r="D63" s="1" t="s">
        <v>272</v>
      </c>
      <c r="E63" s="73" t="n">
        <v>666</v>
      </c>
      <c r="F63" s="41" t="n">
        <v>1.86</v>
      </c>
      <c r="G63" s="41" t="n">
        <v>1238.76</v>
      </c>
      <c r="H63" s="1" t="s">
        <v>420</v>
      </c>
    </row>
    <row r="64" customFormat="false" ht="15" hidden="false" customHeight="true" outlineLevel="0" collapsed="false">
      <c r="A64" s="1" t="s">
        <v>399</v>
      </c>
      <c r="B64" s="1" t="s">
        <v>418</v>
      </c>
      <c r="C64" s="1" t="s">
        <v>421</v>
      </c>
      <c r="D64" s="1" t="s">
        <v>272</v>
      </c>
      <c r="E64" s="73" t="n">
        <v>4</v>
      </c>
      <c r="F64" s="41" t="n">
        <v>383.56</v>
      </c>
      <c r="G64" s="41" t="n">
        <v>1534.24</v>
      </c>
      <c r="H64" s="1" t="s">
        <v>453</v>
      </c>
    </row>
    <row r="65" customFormat="false" ht="15" hidden="false" customHeight="true" outlineLevel="0" collapsed="false">
      <c r="A65" s="1" t="s">
        <v>399</v>
      </c>
      <c r="B65" s="1" t="s">
        <v>418</v>
      </c>
      <c r="C65" s="1" t="s">
        <v>423</v>
      </c>
      <c r="D65" s="1" t="s">
        <v>272</v>
      </c>
      <c r="E65" s="73" t="n">
        <v>4</v>
      </c>
      <c r="F65" s="41" t="n">
        <v>338.53</v>
      </c>
      <c r="G65" s="41" t="n">
        <v>1354.12</v>
      </c>
      <c r="H65" s="1" t="s">
        <v>454</v>
      </c>
    </row>
    <row r="66" customFormat="false" ht="15" hidden="false" customHeight="true" outlineLevel="0" collapsed="false">
      <c r="A66" s="1" t="s">
        <v>399</v>
      </c>
      <c r="B66" s="1" t="s">
        <v>418</v>
      </c>
      <c r="C66" s="1" t="s">
        <v>425</v>
      </c>
      <c r="D66" s="1" t="s">
        <v>272</v>
      </c>
      <c r="E66" s="73" t="n">
        <v>2</v>
      </c>
      <c r="F66" s="41" t="n">
        <v>400.26</v>
      </c>
      <c r="G66" s="41" t="n">
        <v>800.52</v>
      </c>
      <c r="H66" s="1" t="s">
        <v>455</v>
      </c>
    </row>
    <row r="67" customFormat="false" ht="15" hidden="false" customHeight="true" outlineLevel="0" collapsed="false">
      <c r="A67" s="1" t="s">
        <v>399</v>
      </c>
      <c r="B67" s="1" t="s">
        <v>418</v>
      </c>
      <c r="C67" s="1" t="s">
        <v>427</v>
      </c>
      <c r="D67" s="1" t="s">
        <v>272</v>
      </c>
      <c r="E67" s="73" t="n">
        <v>1</v>
      </c>
      <c r="F67" s="41" t="n">
        <v>588.98</v>
      </c>
      <c r="G67" s="41" t="n">
        <v>588.98</v>
      </c>
      <c r="H67" s="1" t="s">
        <v>456</v>
      </c>
    </row>
    <row r="68" customFormat="false" ht="15" hidden="false" customHeight="true" outlineLevel="0" collapsed="false">
      <c r="A68" s="1" t="s">
        <v>399</v>
      </c>
      <c r="B68" s="1" t="s">
        <v>418</v>
      </c>
      <c r="C68" s="1" t="s">
        <v>427</v>
      </c>
      <c r="D68" s="1" t="s">
        <v>272</v>
      </c>
      <c r="E68" s="73" t="n">
        <v>149</v>
      </c>
      <c r="F68" s="41" t="n">
        <v>20.06</v>
      </c>
      <c r="G68" s="41" t="n">
        <v>2988.94</v>
      </c>
      <c r="H68" s="1" t="s">
        <v>457</v>
      </c>
    </row>
    <row r="69" customFormat="false" ht="15" hidden="false" customHeight="true" outlineLevel="0" collapsed="false">
      <c r="A69" s="1" t="s">
        <v>399</v>
      </c>
      <c r="B69" s="1" t="s">
        <v>418</v>
      </c>
      <c r="C69" s="1" t="s">
        <v>458</v>
      </c>
      <c r="D69" s="1" t="s">
        <v>272</v>
      </c>
      <c r="E69" s="73" t="n">
        <v>2</v>
      </c>
      <c r="F69" s="41" t="n">
        <v>0</v>
      </c>
      <c r="G69" s="41" t="n">
        <v>0</v>
      </c>
      <c r="H69" s="1" t="s">
        <v>431</v>
      </c>
    </row>
    <row r="70" customFormat="false" ht="15" hidden="false" customHeight="true" outlineLevel="0" collapsed="false">
      <c r="A70" s="1" t="s">
        <v>399</v>
      </c>
      <c r="B70" s="1" t="s">
        <v>418</v>
      </c>
      <c r="C70" s="1" t="s">
        <v>459</v>
      </c>
      <c r="D70" s="1" t="s">
        <v>272</v>
      </c>
      <c r="E70" s="73" t="n">
        <v>0</v>
      </c>
      <c r="F70" s="41" t="n">
        <v>0</v>
      </c>
      <c r="G70" s="41" t="n">
        <v>0</v>
      </c>
      <c r="H70" s="1" t="s">
        <v>431</v>
      </c>
    </row>
    <row r="71" customFormat="false" ht="15" hidden="false" customHeight="true" outlineLevel="0" collapsed="false">
      <c r="A71" s="1" t="s">
        <v>399</v>
      </c>
      <c r="B71" s="1" t="s">
        <v>418</v>
      </c>
      <c r="C71" s="1" t="s">
        <v>460</v>
      </c>
      <c r="D71" s="1" t="s">
        <v>272</v>
      </c>
      <c r="E71" s="73" t="n">
        <v>2</v>
      </c>
      <c r="F71" s="41" t="n">
        <v>0</v>
      </c>
      <c r="G71" s="41" t="n">
        <v>0</v>
      </c>
      <c r="H71" s="1" t="s">
        <v>431</v>
      </c>
    </row>
    <row r="72" customFormat="false" ht="15" hidden="false" customHeight="true" outlineLevel="0" collapsed="false">
      <c r="A72" s="1" t="s">
        <v>399</v>
      </c>
      <c r="B72" s="1" t="s">
        <v>418</v>
      </c>
      <c r="C72" s="1" t="s">
        <v>461</v>
      </c>
      <c r="D72" s="1" t="s">
        <v>272</v>
      </c>
      <c r="E72" s="73" t="n">
        <v>0</v>
      </c>
      <c r="F72" s="41" t="n">
        <v>0</v>
      </c>
      <c r="G72" s="41" t="n">
        <v>0</v>
      </c>
      <c r="H72" s="1" t="s">
        <v>431</v>
      </c>
    </row>
    <row r="73" customFormat="false" ht="15" hidden="false" customHeight="true" outlineLevel="0" collapsed="false">
      <c r="A73" s="1" t="s">
        <v>399</v>
      </c>
      <c r="B73" s="1" t="s">
        <v>418</v>
      </c>
      <c r="C73" s="1" t="s">
        <v>419</v>
      </c>
      <c r="D73" s="1" t="s">
        <v>266</v>
      </c>
      <c r="E73" s="73" t="n">
        <v>537</v>
      </c>
      <c r="F73" s="41" t="n">
        <v>1.86</v>
      </c>
      <c r="G73" s="41" t="n">
        <v>998.82</v>
      </c>
      <c r="H73" s="1" t="s">
        <v>420</v>
      </c>
    </row>
    <row r="74" customFormat="false" ht="15" hidden="false" customHeight="true" outlineLevel="0" collapsed="false">
      <c r="A74" s="1" t="s">
        <v>399</v>
      </c>
      <c r="B74" s="1" t="s">
        <v>418</v>
      </c>
      <c r="C74" s="1" t="s">
        <v>421</v>
      </c>
      <c r="D74" s="1" t="s">
        <v>266</v>
      </c>
      <c r="E74" s="73" t="n">
        <v>1</v>
      </c>
      <c r="F74" s="41" t="n">
        <v>383.56</v>
      </c>
      <c r="G74" s="41" t="n">
        <v>383.56</v>
      </c>
      <c r="H74" s="1" t="s">
        <v>462</v>
      </c>
    </row>
    <row r="75" customFormat="false" ht="15" hidden="false" customHeight="true" outlineLevel="0" collapsed="false">
      <c r="A75" s="1" t="s">
        <v>399</v>
      </c>
      <c r="B75" s="1" t="s">
        <v>418</v>
      </c>
      <c r="C75" s="1" t="s">
        <v>423</v>
      </c>
      <c r="D75" s="1" t="s">
        <v>266</v>
      </c>
      <c r="E75" s="73" t="n">
        <v>4</v>
      </c>
      <c r="F75" s="41" t="n">
        <v>338.53</v>
      </c>
      <c r="G75" s="41" t="n">
        <v>1354.12</v>
      </c>
      <c r="H75" s="1" t="s">
        <v>463</v>
      </c>
    </row>
    <row r="76" customFormat="false" ht="15" hidden="false" customHeight="true" outlineLevel="0" collapsed="false">
      <c r="A76" s="1" t="s">
        <v>399</v>
      </c>
      <c r="B76" s="1" t="s">
        <v>418</v>
      </c>
      <c r="C76" s="1" t="s">
        <v>425</v>
      </c>
      <c r="D76" s="1" t="s">
        <v>266</v>
      </c>
      <c r="E76" s="73" t="n">
        <v>1</v>
      </c>
      <c r="F76" s="41" t="n">
        <v>400.26</v>
      </c>
      <c r="G76" s="41" t="n">
        <v>400.26</v>
      </c>
      <c r="H76" s="1" t="s">
        <v>464</v>
      </c>
    </row>
    <row r="77" customFormat="false" ht="15" hidden="false" customHeight="true" outlineLevel="0" collapsed="false">
      <c r="A77" s="1" t="s">
        <v>399</v>
      </c>
      <c r="B77" s="1" t="s">
        <v>418</v>
      </c>
      <c r="C77" s="1" t="s">
        <v>465</v>
      </c>
      <c r="D77" s="1" t="s">
        <v>266</v>
      </c>
      <c r="E77" s="73" t="n">
        <v>1</v>
      </c>
      <c r="F77" s="41" t="n">
        <v>434.14</v>
      </c>
      <c r="G77" s="41" t="n">
        <v>434.14</v>
      </c>
      <c r="H77" s="1" t="s">
        <v>466</v>
      </c>
    </row>
    <row r="78" customFormat="false" ht="15" hidden="false" customHeight="true" outlineLevel="0" collapsed="false">
      <c r="A78" s="1" t="s">
        <v>399</v>
      </c>
      <c r="B78" s="1" t="s">
        <v>418</v>
      </c>
      <c r="C78" s="1" t="s">
        <v>465</v>
      </c>
      <c r="D78" s="1" t="s">
        <v>266</v>
      </c>
      <c r="E78" s="73" t="n">
        <v>9</v>
      </c>
      <c r="F78" s="41" t="n">
        <v>9.7</v>
      </c>
      <c r="G78" s="41" t="n">
        <v>87.3</v>
      </c>
      <c r="H78" s="1" t="s">
        <v>443</v>
      </c>
    </row>
    <row r="79" customFormat="false" ht="15" hidden="false" customHeight="true" outlineLevel="0" collapsed="false">
      <c r="A79" s="1" t="s">
        <v>399</v>
      </c>
      <c r="B79" s="1" t="s">
        <v>418</v>
      </c>
      <c r="C79" s="1" t="s">
        <v>432</v>
      </c>
      <c r="D79" s="1" t="s">
        <v>266</v>
      </c>
      <c r="E79" s="73" t="n">
        <v>15</v>
      </c>
      <c r="F79" s="41" t="n">
        <v>0</v>
      </c>
      <c r="G79" s="41" t="n">
        <v>0</v>
      </c>
      <c r="H79" s="1" t="s">
        <v>431</v>
      </c>
    </row>
    <row r="80" customFormat="false" ht="15" hidden="false" customHeight="true" outlineLevel="0" collapsed="false">
      <c r="A80" s="1" t="s">
        <v>399</v>
      </c>
      <c r="B80" s="1" t="s">
        <v>418</v>
      </c>
      <c r="C80" s="1" t="s">
        <v>467</v>
      </c>
      <c r="D80" s="1" t="s">
        <v>266</v>
      </c>
      <c r="E80" s="73" t="n">
        <v>0</v>
      </c>
      <c r="F80" s="41" t="n">
        <v>0</v>
      </c>
      <c r="G80" s="41" t="n">
        <v>0</v>
      </c>
      <c r="H80" s="1" t="s">
        <v>431</v>
      </c>
    </row>
    <row r="81" customFormat="false" ht="15" hidden="false" customHeight="true" outlineLevel="0" collapsed="false">
      <c r="A81" s="1" t="s">
        <v>399</v>
      </c>
      <c r="B81" s="1" t="s">
        <v>418</v>
      </c>
      <c r="C81" s="1" t="s">
        <v>468</v>
      </c>
      <c r="D81" s="1" t="s">
        <v>266</v>
      </c>
      <c r="E81" s="73" t="n">
        <v>0</v>
      </c>
      <c r="F81" s="41" t="n">
        <v>0</v>
      </c>
      <c r="G81" s="41" t="n">
        <v>0</v>
      </c>
      <c r="H81" s="1" t="s">
        <v>431</v>
      </c>
    </row>
    <row r="82" customFormat="false" ht="15" hidden="false" customHeight="true" outlineLevel="0" collapsed="false">
      <c r="A82" s="1" t="s">
        <v>399</v>
      </c>
      <c r="B82" s="1" t="s">
        <v>418</v>
      </c>
      <c r="C82" s="1" t="s">
        <v>469</v>
      </c>
      <c r="D82" s="1" t="s">
        <v>266</v>
      </c>
      <c r="E82" s="73" t="n">
        <v>0</v>
      </c>
      <c r="F82" s="41" t="n">
        <v>0</v>
      </c>
      <c r="G82" s="41" t="n">
        <v>0</v>
      </c>
      <c r="H82" s="1" t="s">
        <v>431</v>
      </c>
    </row>
    <row r="83" customFormat="false" ht="15" hidden="false" customHeight="true" outlineLevel="0" collapsed="false">
      <c r="A83" s="1" t="s">
        <v>399</v>
      </c>
      <c r="B83" s="1" t="s">
        <v>418</v>
      </c>
      <c r="C83" s="1" t="s">
        <v>419</v>
      </c>
      <c r="D83" s="1" t="s">
        <v>267</v>
      </c>
      <c r="E83" s="73" t="n">
        <v>163</v>
      </c>
      <c r="F83" s="41" t="n">
        <v>1.86</v>
      </c>
      <c r="G83" s="41" t="n">
        <v>303.18</v>
      </c>
      <c r="H83" s="1" t="s">
        <v>420</v>
      </c>
    </row>
    <row r="84" customFormat="false" ht="15" hidden="false" customHeight="true" outlineLevel="0" collapsed="false">
      <c r="A84" s="1" t="s">
        <v>399</v>
      </c>
      <c r="B84" s="1" t="s">
        <v>418</v>
      </c>
      <c r="C84" s="1" t="s">
        <v>421</v>
      </c>
      <c r="D84" s="1" t="s">
        <v>267</v>
      </c>
      <c r="E84" s="73" t="n">
        <v>1</v>
      </c>
      <c r="F84" s="41" t="n">
        <v>383.56</v>
      </c>
      <c r="G84" s="41" t="n">
        <v>383.56</v>
      </c>
      <c r="H84" s="1" t="s">
        <v>470</v>
      </c>
    </row>
    <row r="85" customFormat="false" ht="15" hidden="false" customHeight="true" outlineLevel="0" collapsed="false">
      <c r="A85" s="1" t="s">
        <v>399</v>
      </c>
      <c r="B85" s="1" t="s">
        <v>418</v>
      </c>
      <c r="C85" s="1" t="s">
        <v>423</v>
      </c>
      <c r="D85" s="1" t="s">
        <v>267</v>
      </c>
      <c r="E85" s="73" t="n">
        <v>0</v>
      </c>
      <c r="F85" s="41" t="n">
        <v>0</v>
      </c>
      <c r="G85" s="41" t="n">
        <v>0</v>
      </c>
      <c r="H85" s="1" t="s">
        <v>471</v>
      </c>
    </row>
    <row r="86" customFormat="false" ht="15" hidden="false" customHeight="true" outlineLevel="0" collapsed="false">
      <c r="A86" s="1" t="s">
        <v>399</v>
      </c>
      <c r="B86" s="1" t="s">
        <v>418</v>
      </c>
      <c r="C86" s="1" t="s">
        <v>425</v>
      </c>
      <c r="D86" s="1" t="s">
        <v>267</v>
      </c>
      <c r="E86" s="73" t="n">
        <v>1</v>
      </c>
      <c r="F86" s="41" t="n">
        <v>400.26</v>
      </c>
      <c r="G86" s="41" t="n">
        <v>400.26</v>
      </c>
      <c r="H86" s="1" t="s">
        <v>422</v>
      </c>
    </row>
    <row r="87" customFormat="false" ht="15" hidden="false" customHeight="true" outlineLevel="0" collapsed="false">
      <c r="A87" s="1" t="s">
        <v>399</v>
      </c>
      <c r="B87" s="1" t="s">
        <v>418</v>
      </c>
      <c r="C87" s="1" t="s">
        <v>465</v>
      </c>
      <c r="D87" s="1" t="s">
        <v>267</v>
      </c>
      <c r="E87" s="73" t="n">
        <v>1</v>
      </c>
      <c r="F87" s="41" t="n">
        <v>867</v>
      </c>
      <c r="G87" s="41" t="n">
        <v>867</v>
      </c>
      <c r="H87" s="1" t="s">
        <v>472</v>
      </c>
    </row>
    <row r="88" customFormat="false" ht="15" hidden="false" customHeight="true" outlineLevel="0" collapsed="false">
      <c r="A88" s="1" t="s">
        <v>399</v>
      </c>
      <c r="B88" s="1" t="s">
        <v>418</v>
      </c>
      <c r="C88" s="1" t="s">
        <v>465</v>
      </c>
      <c r="D88" s="1" t="s">
        <v>267</v>
      </c>
      <c r="E88" s="73" t="n">
        <v>21</v>
      </c>
      <c r="F88" s="41" t="n">
        <v>9.7</v>
      </c>
      <c r="G88" s="41" t="n">
        <v>203.7</v>
      </c>
      <c r="H88" s="1" t="s">
        <v>443</v>
      </c>
    </row>
    <row r="89" customFormat="false" ht="15" hidden="false" customHeight="true" outlineLevel="0" collapsed="false">
      <c r="A89" s="1" t="s">
        <v>399</v>
      </c>
      <c r="B89" s="1" t="s">
        <v>418</v>
      </c>
      <c r="C89" s="1" t="s">
        <v>432</v>
      </c>
      <c r="D89" s="1" t="s">
        <v>267</v>
      </c>
      <c r="E89" s="73" t="n">
        <v>0</v>
      </c>
      <c r="F89" s="41" t="n">
        <v>0</v>
      </c>
      <c r="G89" s="41" t="n">
        <v>0</v>
      </c>
      <c r="H89" s="1" t="s">
        <v>431</v>
      </c>
    </row>
    <row r="90" customFormat="false" ht="15" hidden="false" customHeight="true" outlineLevel="0" collapsed="false">
      <c r="A90" s="1" t="s">
        <v>399</v>
      </c>
      <c r="B90" s="1" t="s">
        <v>418</v>
      </c>
      <c r="C90" s="1" t="s">
        <v>473</v>
      </c>
      <c r="D90" s="1" t="s">
        <v>267</v>
      </c>
      <c r="E90" s="73" t="n">
        <v>0</v>
      </c>
      <c r="F90" s="41" t="n">
        <v>0</v>
      </c>
      <c r="G90" s="41" t="n">
        <v>0</v>
      </c>
      <c r="H90" s="1" t="s">
        <v>431</v>
      </c>
    </row>
    <row r="91" customFormat="false" ht="15" hidden="false" customHeight="true" outlineLevel="0" collapsed="false">
      <c r="A91" s="1" t="s">
        <v>399</v>
      </c>
      <c r="B91" s="1" t="s">
        <v>418</v>
      </c>
      <c r="C91" s="1" t="s">
        <v>419</v>
      </c>
      <c r="D91" s="1" t="s">
        <v>264</v>
      </c>
      <c r="E91" s="73" t="n">
        <v>378</v>
      </c>
      <c r="F91" s="41" t="n">
        <v>1.86</v>
      </c>
      <c r="G91" s="41" t="n">
        <v>703.08</v>
      </c>
      <c r="H91" s="1" t="s">
        <v>420</v>
      </c>
    </row>
    <row r="92" customFormat="false" ht="15" hidden="false" customHeight="true" outlineLevel="0" collapsed="false">
      <c r="A92" s="1" t="s">
        <v>399</v>
      </c>
      <c r="B92" s="1" t="s">
        <v>418</v>
      </c>
      <c r="C92" s="1" t="s">
        <v>421</v>
      </c>
      <c r="D92" s="1" t="s">
        <v>264</v>
      </c>
      <c r="E92" s="73" t="n">
        <v>1</v>
      </c>
      <c r="F92" s="41" t="n">
        <v>383.56</v>
      </c>
      <c r="G92" s="41" t="n">
        <v>383.56</v>
      </c>
      <c r="H92" s="1" t="s">
        <v>474</v>
      </c>
    </row>
    <row r="93" customFormat="false" ht="15" hidden="false" customHeight="true" outlineLevel="0" collapsed="false">
      <c r="A93" s="1" t="s">
        <v>399</v>
      </c>
      <c r="B93" s="1" t="s">
        <v>418</v>
      </c>
      <c r="C93" s="1" t="s">
        <v>423</v>
      </c>
      <c r="D93" s="1" t="s">
        <v>264</v>
      </c>
      <c r="E93" s="73" t="n">
        <v>2</v>
      </c>
      <c r="F93" s="41" t="n">
        <v>338.53</v>
      </c>
      <c r="G93" s="41" t="n">
        <v>677.06</v>
      </c>
      <c r="H93" s="1" t="s">
        <v>475</v>
      </c>
    </row>
    <row r="94" customFormat="false" ht="15" hidden="false" customHeight="true" outlineLevel="0" collapsed="false">
      <c r="A94" s="1" t="s">
        <v>399</v>
      </c>
      <c r="B94" s="1" t="s">
        <v>418</v>
      </c>
      <c r="C94" s="1" t="s">
        <v>425</v>
      </c>
      <c r="D94" s="1" t="s">
        <v>264</v>
      </c>
      <c r="E94" s="73" t="n">
        <v>2</v>
      </c>
      <c r="F94" s="41" t="n">
        <v>400.26</v>
      </c>
      <c r="G94" s="41" t="n">
        <v>800.52</v>
      </c>
      <c r="H94" s="1" t="s">
        <v>476</v>
      </c>
    </row>
    <row r="95" customFormat="false" ht="15" hidden="false" customHeight="true" outlineLevel="0" collapsed="false">
      <c r="A95" s="1" t="s">
        <v>399</v>
      </c>
      <c r="B95" s="1" t="s">
        <v>418</v>
      </c>
      <c r="C95" s="1" t="s">
        <v>432</v>
      </c>
      <c r="D95" s="1" t="s">
        <v>264</v>
      </c>
      <c r="E95" s="73" t="n">
        <v>4</v>
      </c>
      <c r="F95" s="41" t="n">
        <v>0</v>
      </c>
      <c r="G95" s="41" t="n">
        <v>0</v>
      </c>
      <c r="H95" s="1" t="s">
        <v>431</v>
      </c>
    </row>
    <row r="96" customFormat="false" ht="15" hidden="false" customHeight="true" outlineLevel="0" collapsed="false">
      <c r="A96" s="1" t="s">
        <v>399</v>
      </c>
      <c r="B96" s="1" t="s">
        <v>418</v>
      </c>
      <c r="C96" s="1" t="s">
        <v>477</v>
      </c>
      <c r="D96" s="1" t="s">
        <v>264</v>
      </c>
      <c r="E96" s="73" t="n">
        <v>0</v>
      </c>
      <c r="F96" s="41" t="n">
        <v>0</v>
      </c>
      <c r="G96" s="41" t="n">
        <v>0</v>
      </c>
      <c r="H96" s="1" t="s">
        <v>431</v>
      </c>
    </row>
    <row r="97" customFormat="false" ht="15" hidden="false" customHeight="true" outlineLevel="0" collapsed="false">
      <c r="A97" s="1" t="s">
        <v>399</v>
      </c>
      <c r="B97" s="1" t="s">
        <v>418</v>
      </c>
      <c r="C97" s="1" t="s">
        <v>478</v>
      </c>
      <c r="D97" s="1" t="s">
        <v>264</v>
      </c>
      <c r="E97" s="73" t="n">
        <v>-15</v>
      </c>
      <c r="F97" s="41" t="n">
        <v>0</v>
      </c>
      <c r="G97" s="41" t="n">
        <v>0</v>
      </c>
      <c r="H97" s="1" t="s">
        <v>431</v>
      </c>
    </row>
    <row r="98" customFormat="false" ht="15" hidden="false" customHeight="true" outlineLevel="0" collapsed="false">
      <c r="A98" s="1" t="s">
        <v>399</v>
      </c>
      <c r="B98" s="1" t="s">
        <v>418</v>
      </c>
      <c r="C98" s="1" t="s">
        <v>479</v>
      </c>
      <c r="D98" s="1" t="s">
        <v>264</v>
      </c>
      <c r="E98" s="73" t="n">
        <v>0</v>
      </c>
      <c r="F98" s="41" t="n">
        <v>0</v>
      </c>
      <c r="G98" s="41" t="n">
        <v>0</v>
      </c>
      <c r="H98" s="1" t="s">
        <v>431</v>
      </c>
    </row>
    <row r="99" customFormat="false" ht="15" hidden="false" customHeight="true" outlineLevel="0" collapsed="false">
      <c r="A99" s="1" t="s">
        <v>399</v>
      </c>
      <c r="B99" s="1" t="s">
        <v>418</v>
      </c>
      <c r="C99" s="1" t="s">
        <v>480</v>
      </c>
      <c r="D99" s="1" t="s">
        <v>264</v>
      </c>
      <c r="E99" s="73" t="n">
        <v>0</v>
      </c>
      <c r="F99" s="41" t="n">
        <v>0</v>
      </c>
      <c r="G99" s="41" t="n">
        <v>0</v>
      </c>
      <c r="H99" s="1" t="s">
        <v>431</v>
      </c>
    </row>
    <row r="100" customFormat="false" ht="15" hidden="false" customHeight="true" outlineLevel="0" collapsed="false">
      <c r="A100" s="1" t="s">
        <v>399</v>
      </c>
      <c r="B100" s="1" t="s">
        <v>481</v>
      </c>
      <c r="C100" s="1" t="s">
        <v>482</v>
      </c>
      <c r="D100" s="1" t="s">
        <v>269</v>
      </c>
      <c r="E100" s="73" t="n">
        <v>6280</v>
      </c>
      <c r="F100" s="41" t="n">
        <v>0.178624545023269</v>
      </c>
      <c r="G100" s="41" t="n">
        <v>1121.76214274613</v>
      </c>
      <c r="H100" s="1" t="s">
        <v>402</v>
      </c>
    </row>
    <row r="101" customFormat="false" ht="15" hidden="false" customHeight="true" outlineLevel="0" collapsed="false">
      <c r="A101" s="1" t="s">
        <v>399</v>
      </c>
      <c r="B101" s="1" t="s">
        <v>481</v>
      </c>
      <c r="C101" s="1" t="s">
        <v>482</v>
      </c>
      <c r="D101" s="1" t="s">
        <v>271</v>
      </c>
      <c r="E101" s="73" t="n">
        <v>13402</v>
      </c>
      <c r="F101" s="41" t="n">
        <v>0.178624545023269</v>
      </c>
      <c r="G101" s="41" t="n">
        <v>2393.92615240185</v>
      </c>
      <c r="H101" s="1" t="s">
        <v>402</v>
      </c>
    </row>
    <row r="102" customFormat="false" ht="15" hidden="false" customHeight="true" outlineLevel="0" collapsed="false">
      <c r="A102" s="1" t="s">
        <v>399</v>
      </c>
      <c r="B102" s="1" t="s">
        <v>481</v>
      </c>
      <c r="C102" s="1" t="s">
        <v>482</v>
      </c>
      <c r="D102" s="1" t="s">
        <v>275</v>
      </c>
      <c r="E102" s="73" t="n">
        <v>3650</v>
      </c>
      <c r="F102" s="41" t="n">
        <v>0.178624545023269</v>
      </c>
      <c r="G102" s="41" t="n">
        <v>651.979589334932</v>
      </c>
      <c r="H102" s="1" t="s">
        <v>402</v>
      </c>
    </row>
    <row r="103" customFormat="false" ht="15" hidden="false" customHeight="true" outlineLevel="0" collapsed="false">
      <c r="A103" s="1" t="s">
        <v>399</v>
      </c>
      <c r="B103" s="1" t="s">
        <v>481</v>
      </c>
      <c r="C103" s="1" t="s">
        <v>482</v>
      </c>
      <c r="D103" s="1" t="s">
        <v>272</v>
      </c>
      <c r="E103" s="73" t="n">
        <v>6396</v>
      </c>
      <c r="F103" s="41" t="n">
        <v>0.178624545023269</v>
      </c>
      <c r="G103" s="41" t="n">
        <v>1142.48258996883</v>
      </c>
      <c r="H103" s="1" t="s">
        <v>402</v>
      </c>
    </row>
    <row r="104" customFormat="false" ht="15" hidden="false" customHeight="true" outlineLevel="0" collapsed="false">
      <c r="A104" s="1" t="s">
        <v>399</v>
      </c>
      <c r="B104" s="1" t="s">
        <v>481</v>
      </c>
      <c r="C104" s="1" t="s">
        <v>482</v>
      </c>
      <c r="D104" s="1" t="s">
        <v>266</v>
      </c>
      <c r="E104" s="73" t="n">
        <v>14331</v>
      </c>
      <c r="F104" s="41" t="n">
        <v>0.178624545023269</v>
      </c>
      <c r="G104" s="41" t="n">
        <v>2559.86835472847</v>
      </c>
      <c r="H104" s="1" t="s">
        <v>402</v>
      </c>
    </row>
    <row r="105" customFormat="false" ht="15" hidden="false" customHeight="true" outlineLevel="0" collapsed="false">
      <c r="A105" s="1" t="s">
        <v>399</v>
      </c>
      <c r="B105" s="1" t="s">
        <v>481</v>
      </c>
      <c r="C105" s="1" t="s">
        <v>482</v>
      </c>
      <c r="D105" s="1" t="s">
        <v>267</v>
      </c>
      <c r="E105" s="73" t="n">
        <v>4730</v>
      </c>
      <c r="F105" s="41" t="n">
        <v>0.178624545023269</v>
      </c>
      <c r="G105" s="41" t="n">
        <v>844.894097960063</v>
      </c>
      <c r="H105" s="1" t="s">
        <v>402</v>
      </c>
    </row>
    <row r="106" customFormat="false" ht="15" hidden="false" customHeight="true" outlineLevel="0" collapsed="false">
      <c r="A106" s="1" t="s">
        <v>399</v>
      </c>
      <c r="B106" s="1" t="s">
        <v>481</v>
      </c>
      <c r="C106" s="1" t="s">
        <v>482</v>
      </c>
      <c r="D106" s="1" t="s">
        <v>264</v>
      </c>
      <c r="E106" s="73" t="n">
        <v>4782</v>
      </c>
      <c r="F106" s="41" t="n">
        <v>0.178624545023269</v>
      </c>
      <c r="G106" s="41" t="n">
        <v>854.182574301273</v>
      </c>
      <c r="H106" s="1" t="s">
        <v>402</v>
      </c>
    </row>
    <row r="107" customFormat="false" ht="15" hidden="false" customHeight="true" outlineLevel="0" collapsed="false">
      <c r="A107" s="1" t="s">
        <v>399</v>
      </c>
      <c r="B107" s="1" t="s">
        <v>40</v>
      </c>
      <c r="C107" s="1" t="s">
        <v>483</v>
      </c>
      <c r="D107" s="1" t="s">
        <v>271</v>
      </c>
      <c r="E107" s="73" t="n">
        <v>1</v>
      </c>
      <c r="F107" s="41" t="n">
        <v>80</v>
      </c>
      <c r="G107" s="41" t="n">
        <v>80</v>
      </c>
      <c r="H107" s="1" t="s">
        <v>484</v>
      </c>
    </row>
    <row r="108" customFormat="false" ht="15" hidden="false" customHeight="true" outlineLevel="0" collapsed="false">
      <c r="A108" s="1" t="s">
        <v>399</v>
      </c>
      <c r="B108" s="1" t="s">
        <v>485</v>
      </c>
      <c r="C108" s="1" t="s">
        <v>486</v>
      </c>
      <c r="D108" s="1" t="s">
        <v>271</v>
      </c>
      <c r="E108" s="73" t="n">
        <v>13402</v>
      </c>
      <c r="F108" s="41" t="n">
        <v>0.0871424396912673</v>
      </c>
      <c r="G108" s="41" t="n">
        <v>1167.88297674237</v>
      </c>
      <c r="H108" s="1" t="s">
        <v>402</v>
      </c>
    </row>
    <row r="109" customFormat="false" ht="15" hidden="false" customHeight="true" outlineLevel="0" collapsed="false">
      <c r="A109" s="1" t="s">
        <v>399</v>
      </c>
      <c r="B109" s="1" t="s">
        <v>45</v>
      </c>
      <c r="C109" s="1" t="s">
        <v>487</v>
      </c>
      <c r="D109" s="1" t="s">
        <v>269</v>
      </c>
      <c r="E109" s="73" t="n">
        <v>1</v>
      </c>
      <c r="F109" s="41" t="n">
        <v>9145.68</v>
      </c>
      <c r="G109" s="41" t="n">
        <v>9145.68</v>
      </c>
      <c r="H109" s="1" t="s">
        <v>488</v>
      </c>
    </row>
    <row r="110" customFormat="false" ht="15" hidden="false" customHeight="true" outlineLevel="0" collapsed="false">
      <c r="A110" s="1" t="s">
        <v>399</v>
      </c>
      <c r="B110" s="1" t="s">
        <v>45</v>
      </c>
      <c r="C110" s="1" t="s">
        <v>487</v>
      </c>
      <c r="D110" s="1" t="s">
        <v>275</v>
      </c>
      <c r="E110" s="73" t="n">
        <v>1</v>
      </c>
      <c r="F110" s="41" t="n">
        <v>3372.11</v>
      </c>
      <c r="G110" s="41" t="n">
        <v>3372.11</v>
      </c>
      <c r="H110" s="1" t="s">
        <v>488</v>
      </c>
    </row>
    <row r="111" customFormat="false" ht="15" hidden="false" customHeight="true" outlineLevel="0" collapsed="false">
      <c r="A111" s="1" t="s">
        <v>399</v>
      </c>
      <c r="B111" s="1" t="s">
        <v>45</v>
      </c>
      <c r="C111" s="1" t="s">
        <v>487</v>
      </c>
      <c r="D111" s="1" t="s">
        <v>267</v>
      </c>
      <c r="E111" s="73" t="n">
        <v>1</v>
      </c>
      <c r="F111" s="41" t="n">
        <v>15695.77</v>
      </c>
      <c r="G111" s="41" t="n">
        <v>15695.77</v>
      </c>
      <c r="H111" s="1" t="s">
        <v>488</v>
      </c>
    </row>
    <row r="112" customFormat="false" ht="15" hidden="false" customHeight="true" outlineLevel="0" collapsed="false">
      <c r="A112" s="1" t="s">
        <v>399</v>
      </c>
      <c r="B112" s="1" t="s">
        <v>45</v>
      </c>
      <c r="C112" s="1" t="s">
        <v>489</v>
      </c>
      <c r="D112" s="1" t="s">
        <v>264</v>
      </c>
      <c r="E112" s="73" t="n">
        <v>0</v>
      </c>
      <c r="F112" s="41" t="n">
        <v>0</v>
      </c>
      <c r="G112" s="41" t="n">
        <v>0</v>
      </c>
      <c r="H112" s="1" t="s">
        <v>490</v>
      </c>
    </row>
    <row r="113" customFormat="false" ht="15" hidden="false" customHeight="true" outlineLevel="0" collapsed="false">
      <c r="A113" s="1" t="s">
        <v>399</v>
      </c>
      <c r="B113" s="1" t="s">
        <v>50</v>
      </c>
      <c r="C113" s="1" t="s">
        <v>491</v>
      </c>
      <c r="D113" s="1" t="s">
        <v>269</v>
      </c>
      <c r="E113" s="73" t="n">
        <v>1</v>
      </c>
      <c r="F113" s="41" t="n">
        <v>1128</v>
      </c>
      <c r="G113" s="41" t="n">
        <v>1128</v>
      </c>
      <c r="H113" s="1" t="s">
        <v>492</v>
      </c>
    </row>
    <row r="114" customFormat="false" ht="15" hidden="false" customHeight="true" outlineLevel="0" collapsed="false">
      <c r="A114" s="1" t="s">
        <v>399</v>
      </c>
      <c r="B114" s="1" t="s">
        <v>50</v>
      </c>
      <c r="C114" s="1" t="s">
        <v>491</v>
      </c>
      <c r="D114" s="1" t="s">
        <v>271</v>
      </c>
      <c r="E114" s="73" t="n">
        <v>1</v>
      </c>
      <c r="F114" s="41" t="n">
        <v>676.8</v>
      </c>
      <c r="G114" s="41" t="n">
        <v>676.8</v>
      </c>
      <c r="H114" s="1" t="s">
        <v>492</v>
      </c>
    </row>
    <row r="115" customFormat="false" ht="15" hidden="false" customHeight="true" outlineLevel="0" collapsed="false">
      <c r="A115" s="1" t="s">
        <v>399</v>
      </c>
      <c r="B115" s="1" t="s">
        <v>50</v>
      </c>
      <c r="C115" s="1" t="s">
        <v>491</v>
      </c>
      <c r="D115" s="1" t="s">
        <v>275</v>
      </c>
      <c r="E115" s="73" t="n">
        <v>1</v>
      </c>
      <c r="F115" s="41" t="n">
        <v>676.8</v>
      </c>
      <c r="G115" s="41" t="n">
        <v>676.8</v>
      </c>
      <c r="H115" s="1" t="s">
        <v>492</v>
      </c>
    </row>
    <row r="116" customFormat="false" ht="15" hidden="false" customHeight="true" outlineLevel="0" collapsed="false">
      <c r="A116" s="1" t="s">
        <v>399</v>
      </c>
      <c r="B116" s="1" t="s">
        <v>50</v>
      </c>
      <c r="C116" s="1" t="s">
        <v>491</v>
      </c>
      <c r="D116" s="1" t="s">
        <v>272</v>
      </c>
      <c r="E116" s="73" t="n">
        <v>1</v>
      </c>
      <c r="F116" s="41" t="n">
        <v>676.8</v>
      </c>
      <c r="G116" s="41" t="n">
        <v>676.8</v>
      </c>
      <c r="H116" s="1" t="s">
        <v>493</v>
      </c>
    </row>
    <row r="117" customFormat="false" ht="15" hidden="false" customHeight="true" outlineLevel="0" collapsed="false">
      <c r="A117" s="1" t="s">
        <v>399</v>
      </c>
      <c r="B117" s="1" t="s">
        <v>50</v>
      </c>
      <c r="C117" s="1" t="s">
        <v>491</v>
      </c>
      <c r="D117" s="1" t="s">
        <v>272</v>
      </c>
      <c r="E117" s="73" t="n">
        <v>1</v>
      </c>
      <c r="F117" s="41" t="n">
        <v>338.4</v>
      </c>
      <c r="G117" s="41" t="n">
        <v>338.4</v>
      </c>
      <c r="H117" s="1" t="s">
        <v>492</v>
      </c>
    </row>
    <row r="118" customFormat="false" ht="15" hidden="false" customHeight="true" outlineLevel="0" collapsed="false">
      <c r="A118" s="1" t="s">
        <v>399</v>
      </c>
      <c r="B118" s="1" t="s">
        <v>50</v>
      </c>
      <c r="C118" s="1" t="s">
        <v>491</v>
      </c>
      <c r="D118" s="1" t="s">
        <v>266</v>
      </c>
      <c r="E118" s="73" t="n">
        <v>1</v>
      </c>
      <c r="F118" s="41" t="n">
        <v>676.8</v>
      </c>
      <c r="G118" s="41" t="n">
        <v>676.8</v>
      </c>
      <c r="H118" s="1" t="s">
        <v>494</v>
      </c>
    </row>
    <row r="119" customFormat="false" ht="15" hidden="false" customHeight="true" outlineLevel="0" collapsed="false">
      <c r="A119" s="1" t="s">
        <v>399</v>
      </c>
      <c r="B119" s="1" t="s">
        <v>50</v>
      </c>
      <c r="C119" s="1" t="s">
        <v>491</v>
      </c>
      <c r="D119" s="1" t="s">
        <v>266</v>
      </c>
      <c r="E119" s="73" t="n">
        <v>1</v>
      </c>
      <c r="F119" s="41" t="n">
        <v>2387.6</v>
      </c>
      <c r="G119" s="41" t="n">
        <v>2387.6</v>
      </c>
      <c r="H119" s="1" t="s">
        <v>492</v>
      </c>
    </row>
    <row r="120" customFormat="false" ht="15" hidden="false" customHeight="true" outlineLevel="0" collapsed="false">
      <c r="A120" s="1" t="s">
        <v>399</v>
      </c>
      <c r="B120" s="1" t="s">
        <v>50</v>
      </c>
      <c r="C120" s="1" t="s">
        <v>491</v>
      </c>
      <c r="D120" s="1" t="s">
        <v>267</v>
      </c>
      <c r="E120" s="73" t="n">
        <v>1</v>
      </c>
      <c r="F120" s="41" t="n">
        <v>676.8</v>
      </c>
      <c r="G120" s="41" t="n">
        <v>676.8</v>
      </c>
      <c r="H120" s="1" t="s">
        <v>492</v>
      </c>
    </row>
    <row r="121" customFormat="false" ht="15" hidden="false" customHeight="true" outlineLevel="0" collapsed="false">
      <c r="A121" s="1" t="s">
        <v>399</v>
      </c>
      <c r="B121" s="1" t="s">
        <v>50</v>
      </c>
      <c r="C121" s="1" t="s">
        <v>491</v>
      </c>
      <c r="D121" s="1" t="s">
        <v>264</v>
      </c>
      <c r="E121" s="73" t="n">
        <v>1</v>
      </c>
      <c r="F121" s="41" t="n">
        <v>569.64</v>
      </c>
      <c r="G121" s="41" t="n">
        <v>569.64</v>
      </c>
      <c r="H121" s="1" t="s">
        <v>492</v>
      </c>
    </row>
    <row r="122" customFormat="false" ht="15" hidden="false" customHeight="true" outlineLevel="0" collapsed="false">
      <c r="A122" s="1" t="s">
        <v>399</v>
      </c>
      <c r="B122" s="1" t="s">
        <v>495</v>
      </c>
      <c r="C122" s="1" t="s">
        <v>496</v>
      </c>
      <c r="D122" s="1" t="s">
        <v>269</v>
      </c>
      <c r="E122" s="73" t="n">
        <v>0</v>
      </c>
      <c r="F122" s="41" t="n">
        <v>0</v>
      </c>
      <c r="G122" s="41" t="n">
        <v>0</v>
      </c>
      <c r="H122" s="1" t="s">
        <v>497</v>
      </c>
    </row>
    <row r="123" customFormat="false" ht="15" hidden="false" customHeight="true" outlineLevel="0" collapsed="false">
      <c r="A123" s="1" t="s">
        <v>399</v>
      </c>
      <c r="B123" s="1" t="s">
        <v>495</v>
      </c>
      <c r="C123" s="1" t="s">
        <v>498</v>
      </c>
      <c r="D123" s="1" t="s">
        <v>269</v>
      </c>
      <c r="E123" s="73" t="n">
        <v>0</v>
      </c>
      <c r="F123" s="41" t="n">
        <v>0</v>
      </c>
      <c r="G123" s="41" t="n">
        <v>0</v>
      </c>
      <c r="H123" s="1" t="s">
        <v>499</v>
      </c>
    </row>
    <row r="124" customFormat="false" ht="15" hidden="false" customHeight="true" outlineLevel="0" collapsed="false">
      <c r="A124" s="1" t="s">
        <v>399</v>
      </c>
      <c r="B124" s="1" t="s">
        <v>495</v>
      </c>
      <c r="C124" s="1" t="s">
        <v>500</v>
      </c>
      <c r="D124" s="1" t="s">
        <v>269</v>
      </c>
      <c r="E124" s="73" t="n">
        <v>10</v>
      </c>
      <c r="F124" s="41" t="n">
        <v>20</v>
      </c>
      <c r="G124" s="41" t="n">
        <v>200</v>
      </c>
      <c r="H124" s="1" t="s">
        <v>501</v>
      </c>
    </row>
    <row r="125" customFormat="false" ht="15" hidden="false" customHeight="true" outlineLevel="0" collapsed="false">
      <c r="A125" s="1" t="s">
        <v>399</v>
      </c>
      <c r="B125" s="1" t="s">
        <v>495</v>
      </c>
      <c r="C125" s="1" t="s">
        <v>502</v>
      </c>
      <c r="D125" s="1" t="s">
        <v>269</v>
      </c>
      <c r="E125" s="73" t="n">
        <v>0</v>
      </c>
      <c r="F125" s="41" t="n">
        <v>0</v>
      </c>
      <c r="G125" s="41" t="n">
        <v>0</v>
      </c>
      <c r="H125" s="1" t="s">
        <v>503</v>
      </c>
    </row>
    <row r="126" customFormat="false" ht="15" hidden="false" customHeight="true" outlineLevel="0" collapsed="false">
      <c r="A126" s="1" t="s">
        <v>399</v>
      </c>
      <c r="B126" s="1" t="s">
        <v>495</v>
      </c>
      <c r="C126" s="1" t="s">
        <v>504</v>
      </c>
      <c r="D126" s="1" t="s">
        <v>269</v>
      </c>
      <c r="E126" s="73" t="n">
        <v>0</v>
      </c>
      <c r="F126" s="41" t="n">
        <v>0</v>
      </c>
      <c r="G126" s="41" t="n">
        <v>0</v>
      </c>
      <c r="H126" s="1" t="s">
        <v>505</v>
      </c>
    </row>
    <row r="127" customFormat="false" ht="15" hidden="false" customHeight="true" outlineLevel="0" collapsed="false">
      <c r="A127" s="1" t="s">
        <v>399</v>
      </c>
      <c r="B127" s="1" t="s">
        <v>495</v>
      </c>
      <c r="C127" s="1" t="s">
        <v>502</v>
      </c>
      <c r="D127" s="1" t="s">
        <v>271</v>
      </c>
      <c r="E127" s="73" t="n">
        <v>1</v>
      </c>
      <c r="F127" s="41" t="n">
        <v>1112.18</v>
      </c>
      <c r="G127" s="41" t="n">
        <v>1112.18</v>
      </c>
      <c r="H127" s="1" t="s">
        <v>503</v>
      </c>
    </row>
    <row r="128" customFormat="false" ht="15" hidden="false" customHeight="true" outlineLevel="0" collapsed="false">
      <c r="A128" s="1" t="s">
        <v>399</v>
      </c>
      <c r="B128" s="1" t="s">
        <v>495</v>
      </c>
      <c r="C128" s="1" t="s">
        <v>500</v>
      </c>
      <c r="D128" s="1" t="s">
        <v>275</v>
      </c>
      <c r="E128" s="73" t="n">
        <v>3</v>
      </c>
      <c r="F128" s="41" t="n">
        <v>20</v>
      </c>
      <c r="G128" s="41" t="n">
        <v>60</v>
      </c>
      <c r="H128" s="1" t="s">
        <v>501</v>
      </c>
    </row>
    <row r="129" customFormat="false" ht="15" hidden="false" customHeight="true" outlineLevel="0" collapsed="false">
      <c r="A129" s="1" t="s">
        <v>399</v>
      </c>
      <c r="B129" s="1" t="s">
        <v>495</v>
      </c>
      <c r="C129" s="1" t="s">
        <v>502</v>
      </c>
      <c r="D129" s="1" t="s">
        <v>275</v>
      </c>
      <c r="E129" s="73" t="n">
        <v>1</v>
      </c>
      <c r="F129" s="41" t="n">
        <v>387.64</v>
      </c>
      <c r="G129" s="41" t="n">
        <v>387.64</v>
      </c>
      <c r="H129" s="1" t="s">
        <v>503</v>
      </c>
    </row>
    <row r="130" customFormat="false" ht="15" hidden="false" customHeight="true" outlineLevel="0" collapsed="false">
      <c r="A130" s="1" t="s">
        <v>399</v>
      </c>
      <c r="B130" s="1" t="s">
        <v>495</v>
      </c>
      <c r="C130" s="1" t="s">
        <v>504</v>
      </c>
      <c r="D130" s="1" t="s">
        <v>275</v>
      </c>
      <c r="E130" s="73" t="n">
        <v>0</v>
      </c>
      <c r="F130" s="41" t="n">
        <v>0</v>
      </c>
      <c r="G130" s="41" t="n">
        <v>0</v>
      </c>
      <c r="H130" s="1" t="s">
        <v>505</v>
      </c>
    </row>
    <row r="131" customFormat="false" ht="15" hidden="false" customHeight="true" outlineLevel="0" collapsed="false">
      <c r="A131" s="1" t="s">
        <v>399</v>
      </c>
      <c r="B131" s="1" t="s">
        <v>495</v>
      </c>
      <c r="C131" s="1" t="s">
        <v>496</v>
      </c>
      <c r="D131" s="1" t="s">
        <v>272</v>
      </c>
      <c r="E131" s="73" t="n">
        <v>0</v>
      </c>
      <c r="F131" s="41" t="n">
        <v>0</v>
      </c>
      <c r="G131" s="41" t="n">
        <v>0</v>
      </c>
      <c r="H131" s="1" t="s">
        <v>506</v>
      </c>
    </row>
    <row r="132" customFormat="false" ht="15" hidden="false" customHeight="true" outlineLevel="0" collapsed="false">
      <c r="A132" s="1" t="s">
        <v>399</v>
      </c>
      <c r="B132" s="1" t="s">
        <v>495</v>
      </c>
      <c r="C132" s="1" t="s">
        <v>498</v>
      </c>
      <c r="D132" s="1" t="s">
        <v>272</v>
      </c>
      <c r="E132" s="73" t="n">
        <v>0</v>
      </c>
      <c r="F132" s="41" t="n">
        <v>0</v>
      </c>
      <c r="G132" s="41" t="n">
        <v>0</v>
      </c>
      <c r="H132" s="1" t="s">
        <v>507</v>
      </c>
    </row>
    <row r="133" customFormat="false" ht="15" hidden="false" customHeight="true" outlineLevel="0" collapsed="false">
      <c r="A133" s="1" t="s">
        <v>399</v>
      </c>
      <c r="B133" s="1" t="s">
        <v>495</v>
      </c>
      <c r="C133" s="1" t="s">
        <v>508</v>
      </c>
      <c r="D133" s="1" t="s">
        <v>272</v>
      </c>
      <c r="E133" s="73" t="n">
        <v>0</v>
      </c>
      <c r="F133" s="41" t="n">
        <v>0</v>
      </c>
      <c r="G133" s="41" t="n">
        <v>0</v>
      </c>
      <c r="H133" s="1" t="s">
        <v>505</v>
      </c>
    </row>
    <row r="134" customFormat="false" ht="15" hidden="false" customHeight="true" outlineLevel="0" collapsed="false">
      <c r="A134" s="1" t="s">
        <v>399</v>
      </c>
      <c r="B134" s="1" t="s">
        <v>495</v>
      </c>
      <c r="C134" s="1" t="s">
        <v>500</v>
      </c>
      <c r="D134" s="1" t="s">
        <v>272</v>
      </c>
      <c r="E134" s="73" t="n">
        <v>13</v>
      </c>
      <c r="F134" s="41" t="n">
        <v>20</v>
      </c>
      <c r="G134" s="41" t="n">
        <v>260</v>
      </c>
      <c r="H134" s="1" t="s">
        <v>501</v>
      </c>
    </row>
    <row r="135" customFormat="false" ht="15" hidden="false" customHeight="true" outlineLevel="0" collapsed="false">
      <c r="A135" s="1" t="s">
        <v>399</v>
      </c>
      <c r="B135" s="1" t="s">
        <v>495</v>
      </c>
      <c r="C135" s="1" t="s">
        <v>502</v>
      </c>
      <c r="D135" s="1" t="s">
        <v>272</v>
      </c>
      <c r="E135" s="73" t="n">
        <v>0</v>
      </c>
      <c r="F135" s="41" t="n">
        <v>0</v>
      </c>
      <c r="G135" s="41" t="n">
        <v>0</v>
      </c>
      <c r="H135" s="1" t="s">
        <v>503</v>
      </c>
    </row>
    <row r="136" customFormat="false" ht="15" hidden="false" customHeight="true" outlineLevel="0" collapsed="false">
      <c r="A136" s="1" t="s">
        <v>399</v>
      </c>
      <c r="B136" s="1" t="s">
        <v>495</v>
      </c>
      <c r="C136" s="1" t="s">
        <v>504</v>
      </c>
      <c r="D136" s="1" t="s">
        <v>272</v>
      </c>
      <c r="E136" s="73" t="n">
        <v>0</v>
      </c>
      <c r="F136" s="41" t="n">
        <v>0</v>
      </c>
      <c r="G136" s="41" t="n">
        <v>0</v>
      </c>
      <c r="H136" s="1" t="s">
        <v>505</v>
      </c>
    </row>
    <row r="137" customFormat="false" ht="15" hidden="false" customHeight="true" outlineLevel="0" collapsed="false">
      <c r="A137" s="1" t="s">
        <v>399</v>
      </c>
      <c r="B137" s="1" t="s">
        <v>495</v>
      </c>
      <c r="C137" s="1" t="s">
        <v>500</v>
      </c>
      <c r="D137" s="1" t="s">
        <v>266</v>
      </c>
      <c r="E137" s="73" t="n">
        <v>19</v>
      </c>
      <c r="F137" s="41" t="n">
        <v>20</v>
      </c>
      <c r="G137" s="41" t="n">
        <v>380</v>
      </c>
      <c r="H137" s="1" t="s">
        <v>501</v>
      </c>
    </row>
    <row r="138" customFormat="false" ht="15" hidden="false" customHeight="true" outlineLevel="0" collapsed="false">
      <c r="A138" s="1" t="s">
        <v>399</v>
      </c>
      <c r="B138" s="1" t="s">
        <v>495</v>
      </c>
      <c r="C138" s="1" t="s">
        <v>502</v>
      </c>
      <c r="D138" s="1" t="s">
        <v>266</v>
      </c>
      <c r="E138" s="73" t="n">
        <v>1</v>
      </c>
      <c r="F138" s="41" t="n">
        <v>1092.02</v>
      </c>
      <c r="G138" s="41" t="n">
        <v>1092.02</v>
      </c>
      <c r="H138" s="1" t="s">
        <v>503</v>
      </c>
    </row>
    <row r="139" customFormat="false" ht="15" hidden="false" customHeight="true" outlineLevel="0" collapsed="false">
      <c r="A139" s="1" t="s">
        <v>399</v>
      </c>
      <c r="B139" s="1" t="s">
        <v>495</v>
      </c>
      <c r="C139" s="1" t="s">
        <v>509</v>
      </c>
      <c r="D139" s="1" t="s">
        <v>266</v>
      </c>
      <c r="E139" s="73" t="n">
        <v>1</v>
      </c>
      <c r="F139" s="41" t="n">
        <v>1326.53</v>
      </c>
      <c r="G139" s="41" t="n">
        <v>1326.53</v>
      </c>
      <c r="H139" s="1" t="s">
        <v>505</v>
      </c>
    </row>
    <row r="140" customFormat="false" ht="15" hidden="false" customHeight="true" outlineLevel="0" collapsed="false">
      <c r="A140" s="1" t="s">
        <v>399</v>
      </c>
      <c r="B140" s="1" t="s">
        <v>495</v>
      </c>
      <c r="C140" s="1" t="s">
        <v>508</v>
      </c>
      <c r="D140" s="1" t="s">
        <v>267</v>
      </c>
      <c r="E140" s="73" t="n">
        <v>0</v>
      </c>
      <c r="F140" s="41" t="n">
        <v>0</v>
      </c>
      <c r="G140" s="41" t="n">
        <v>0</v>
      </c>
      <c r="H140" s="1" t="s">
        <v>510</v>
      </c>
    </row>
    <row r="141" customFormat="false" ht="15" hidden="false" customHeight="true" outlineLevel="0" collapsed="false">
      <c r="A141" s="1" t="s">
        <v>399</v>
      </c>
      <c r="B141" s="1" t="s">
        <v>495</v>
      </c>
      <c r="C141" s="1" t="s">
        <v>500</v>
      </c>
      <c r="D141" s="1" t="s">
        <v>267</v>
      </c>
      <c r="E141" s="73" t="n">
        <v>4</v>
      </c>
      <c r="F141" s="41" t="n">
        <v>20</v>
      </c>
      <c r="G141" s="41" t="n">
        <v>80</v>
      </c>
      <c r="H141" s="1" t="s">
        <v>501</v>
      </c>
    </row>
    <row r="142" customFormat="false" ht="15" hidden="false" customHeight="true" outlineLevel="0" collapsed="false">
      <c r="A142" s="1" t="s">
        <v>399</v>
      </c>
      <c r="B142" s="1" t="s">
        <v>495</v>
      </c>
      <c r="C142" s="1" t="s">
        <v>502</v>
      </c>
      <c r="D142" s="1" t="s">
        <v>267</v>
      </c>
      <c r="E142" s="73" t="n">
        <v>0</v>
      </c>
      <c r="F142" s="41" t="n">
        <v>0</v>
      </c>
      <c r="G142" s="41" t="n">
        <v>0</v>
      </c>
      <c r="H142" s="1" t="s">
        <v>503</v>
      </c>
    </row>
    <row r="143" customFormat="false" ht="15" hidden="false" customHeight="true" outlineLevel="0" collapsed="false">
      <c r="A143" s="1" t="s">
        <v>399</v>
      </c>
      <c r="B143" s="1" t="s">
        <v>495</v>
      </c>
      <c r="C143" s="1" t="s">
        <v>509</v>
      </c>
      <c r="D143" s="1" t="s">
        <v>267</v>
      </c>
      <c r="E143" s="73" t="n">
        <v>1</v>
      </c>
      <c r="F143" s="41" t="n">
        <v>366.53</v>
      </c>
      <c r="G143" s="41" t="n">
        <v>366.53</v>
      </c>
      <c r="H143" s="1" t="s">
        <v>505</v>
      </c>
    </row>
    <row r="144" customFormat="false" ht="15" hidden="false" customHeight="true" outlineLevel="0" collapsed="false">
      <c r="A144" s="1" t="s">
        <v>399</v>
      </c>
      <c r="B144" s="1" t="s">
        <v>495</v>
      </c>
      <c r="C144" s="1" t="s">
        <v>496</v>
      </c>
      <c r="D144" s="1" t="s">
        <v>264</v>
      </c>
      <c r="E144" s="73" t="n">
        <v>0</v>
      </c>
      <c r="F144" s="41" t="n">
        <v>0</v>
      </c>
      <c r="G144" s="41" t="n">
        <v>0</v>
      </c>
      <c r="H144" s="1" t="s">
        <v>511</v>
      </c>
    </row>
    <row r="145" customFormat="false" ht="15" hidden="false" customHeight="true" outlineLevel="0" collapsed="false">
      <c r="A145" s="1" t="s">
        <v>399</v>
      </c>
      <c r="B145" s="1" t="s">
        <v>495</v>
      </c>
      <c r="C145" s="1" t="s">
        <v>500</v>
      </c>
      <c r="D145" s="1" t="s">
        <v>264</v>
      </c>
      <c r="E145" s="73" t="n">
        <v>8</v>
      </c>
      <c r="F145" s="41" t="n">
        <v>20</v>
      </c>
      <c r="G145" s="41" t="n">
        <v>160</v>
      </c>
      <c r="H145" s="1" t="s">
        <v>501</v>
      </c>
    </row>
    <row r="146" customFormat="false" ht="15" hidden="false" customHeight="true" outlineLevel="0" collapsed="false">
      <c r="A146" s="1" t="s">
        <v>399</v>
      </c>
      <c r="B146" s="1" t="s">
        <v>495</v>
      </c>
      <c r="C146" s="1" t="s">
        <v>502</v>
      </c>
      <c r="D146" s="1" t="s">
        <v>264</v>
      </c>
      <c r="E146" s="73" t="n">
        <v>1</v>
      </c>
      <c r="F146" s="41" t="n">
        <v>643.2</v>
      </c>
      <c r="G146" s="41" t="n">
        <v>643.2</v>
      </c>
      <c r="H146" s="1" t="s">
        <v>503</v>
      </c>
    </row>
    <row r="147" customFormat="false" ht="15" hidden="false" customHeight="true" outlineLevel="0" collapsed="false">
      <c r="A147" s="1" t="s">
        <v>399</v>
      </c>
      <c r="B147" s="1" t="s">
        <v>495</v>
      </c>
      <c r="C147" s="1" t="s">
        <v>504</v>
      </c>
      <c r="D147" s="1" t="s">
        <v>264</v>
      </c>
      <c r="E147" s="73" t="n">
        <v>1</v>
      </c>
      <c r="F147" s="41" t="n">
        <v>664.27</v>
      </c>
      <c r="G147" s="41" t="n">
        <v>664.27</v>
      </c>
      <c r="H147" s="1" t="s">
        <v>505</v>
      </c>
    </row>
    <row r="148" customFormat="false" ht="15" hidden="false" customHeight="true" outlineLevel="0" collapsed="false">
      <c r="A148" s="1" t="s">
        <v>399</v>
      </c>
      <c r="B148" s="1" t="s">
        <v>512</v>
      </c>
      <c r="C148" s="1" t="s">
        <v>513</v>
      </c>
      <c r="D148" s="1" t="s">
        <v>269</v>
      </c>
      <c r="E148" s="73" t="n">
        <v>0</v>
      </c>
      <c r="F148" s="41" t="n">
        <v>0</v>
      </c>
      <c r="G148" s="41" t="n">
        <v>0</v>
      </c>
      <c r="H148" s="1" t="s">
        <v>514</v>
      </c>
    </row>
    <row r="149" customFormat="false" ht="15" hidden="false" customHeight="true" outlineLevel="0" collapsed="false">
      <c r="A149" s="1" t="s">
        <v>399</v>
      </c>
      <c r="B149" s="1" t="s">
        <v>512</v>
      </c>
      <c r="C149" s="1" t="s">
        <v>515</v>
      </c>
      <c r="D149" s="1" t="s">
        <v>269</v>
      </c>
      <c r="E149" s="73" t="n">
        <v>0</v>
      </c>
      <c r="F149" s="41" t="n">
        <v>0</v>
      </c>
      <c r="G149" s="41" t="n">
        <v>0</v>
      </c>
      <c r="H149" s="1" t="s">
        <v>516</v>
      </c>
    </row>
    <row r="150" customFormat="false" ht="15" hidden="false" customHeight="true" outlineLevel="0" collapsed="false">
      <c r="A150" s="1" t="s">
        <v>399</v>
      </c>
      <c r="B150" s="1" t="s">
        <v>512</v>
      </c>
      <c r="C150" s="1" t="s">
        <v>517</v>
      </c>
      <c r="D150" s="1" t="s">
        <v>269</v>
      </c>
      <c r="E150" s="73" t="n">
        <v>0</v>
      </c>
      <c r="F150" s="41" t="n">
        <v>0</v>
      </c>
      <c r="G150" s="41" t="n">
        <v>0</v>
      </c>
      <c r="H150" s="1" t="s">
        <v>518</v>
      </c>
    </row>
    <row r="151" customFormat="false" ht="15" hidden="false" customHeight="true" outlineLevel="0" collapsed="false">
      <c r="A151" s="1" t="s">
        <v>399</v>
      </c>
      <c r="B151" s="1" t="s">
        <v>512</v>
      </c>
      <c r="C151" s="1" t="s">
        <v>519</v>
      </c>
      <c r="D151" s="1" t="s">
        <v>269</v>
      </c>
      <c r="E151" s="73" t="n">
        <v>0</v>
      </c>
      <c r="F151" s="41" t="n">
        <v>0</v>
      </c>
      <c r="G151" s="41" t="n">
        <v>0</v>
      </c>
      <c r="H151" s="1" t="s">
        <v>520</v>
      </c>
    </row>
    <row r="152" customFormat="false" ht="15" hidden="false" customHeight="true" outlineLevel="0" collapsed="false">
      <c r="A152" s="1" t="s">
        <v>399</v>
      </c>
      <c r="B152" s="1" t="s">
        <v>512</v>
      </c>
      <c r="C152" s="1" t="s">
        <v>521</v>
      </c>
      <c r="D152" s="1" t="s">
        <v>271</v>
      </c>
      <c r="E152" s="73" t="n">
        <v>1</v>
      </c>
      <c r="F152" s="41" t="n">
        <v>315.66</v>
      </c>
      <c r="G152" s="41" t="n">
        <v>315.66</v>
      </c>
      <c r="H152" s="1" t="s">
        <v>522</v>
      </c>
    </row>
    <row r="153" customFormat="false" ht="15" hidden="false" customHeight="true" outlineLevel="0" collapsed="false">
      <c r="A153" s="1" t="s">
        <v>399</v>
      </c>
      <c r="B153" s="1" t="s">
        <v>512</v>
      </c>
      <c r="C153" s="1" t="s">
        <v>523</v>
      </c>
      <c r="D153" s="1" t="s">
        <v>271</v>
      </c>
      <c r="E153" s="73" t="n">
        <v>0</v>
      </c>
      <c r="F153" s="41" t="n">
        <v>0</v>
      </c>
      <c r="G153" s="41" t="n">
        <v>0</v>
      </c>
      <c r="H153" s="1" t="s">
        <v>524</v>
      </c>
    </row>
    <row r="154" customFormat="false" ht="15" hidden="false" customHeight="true" outlineLevel="0" collapsed="false">
      <c r="A154" s="1" t="s">
        <v>399</v>
      </c>
      <c r="B154" s="1" t="s">
        <v>512</v>
      </c>
      <c r="C154" s="1" t="s">
        <v>525</v>
      </c>
      <c r="D154" s="1" t="s">
        <v>275</v>
      </c>
      <c r="E154" s="73" t="n">
        <v>1</v>
      </c>
      <c r="F154" s="41" t="n">
        <v>64.68</v>
      </c>
      <c r="G154" s="41" t="n">
        <v>64.68</v>
      </c>
      <c r="H154" s="1" t="s">
        <v>526</v>
      </c>
    </row>
    <row r="155" customFormat="false" ht="15" hidden="false" customHeight="true" outlineLevel="0" collapsed="false">
      <c r="A155" s="1" t="s">
        <v>399</v>
      </c>
      <c r="B155" s="1" t="s">
        <v>512</v>
      </c>
      <c r="C155" s="1" t="s">
        <v>527</v>
      </c>
      <c r="D155" s="1" t="s">
        <v>275</v>
      </c>
      <c r="E155" s="73" t="n">
        <v>-1</v>
      </c>
      <c r="F155" s="41" t="n">
        <v>2120.72</v>
      </c>
      <c r="G155" s="41" t="n">
        <v>-2120.72</v>
      </c>
      <c r="H155" s="1" t="s">
        <v>528</v>
      </c>
    </row>
    <row r="156" customFormat="false" ht="15" hidden="false" customHeight="true" outlineLevel="0" collapsed="false">
      <c r="A156" s="1" t="s">
        <v>399</v>
      </c>
      <c r="B156" s="1" t="s">
        <v>512</v>
      </c>
      <c r="C156" s="1" t="s">
        <v>529</v>
      </c>
      <c r="D156" s="1" t="s">
        <v>275</v>
      </c>
      <c r="E156" s="73" t="n">
        <v>0</v>
      </c>
      <c r="F156" s="41" t="n">
        <v>0</v>
      </c>
      <c r="G156" s="41" t="n">
        <v>0</v>
      </c>
      <c r="H156" s="1" t="s">
        <v>522</v>
      </c>
    </row>
    <row r="157" customFormat="false" ht="15" hidden="false" customHeight="true" outlineLevel="0" collapsed="false">
      <c r="A157" s="1" t="s">
        <v>399</v>
      </c>
      <c r="B157" s="1" t="s">
        <v>512</v>
      </c>
      <c r="C157" s="1" t="s">
        <v>530</v>
      </c>
      <c r="D157" s="1" t="s">
        <v>275</v>
      </c>
      <c r="E157" s="73" t="n">
        <v>1</v>
      </c>
      <c r="F157" s="41" t="n">
        <v>310.32</v>
      </c>
      <c r="G157" s="41" t="n">
        <v>310.32</v>
      </c>
      <c r="H157" s="1" t="s">
        <v>531</v>
      </c>
    </row>
    <row r="158" customFormat="false" ht="15" hidden="false" customHeight="true" outlineLevel="0" collapsed="false">
      <c r="A158" s="1" t="s">
        <v>399</v>
      </c>
      <c r="B158" s="1" t="s">
        <v>512</v>
      </c>
      <c r="C158" s="1" t="s">
        <v>532</v>
      </c>
      <c r="D158" s="1" t="s">
        <v>275</v>
      </c>
      <c r="E158" s="73" t="n">
        <v>-1</v>
      </c>
      <c r="F158" s="41" t="n">
        <v>4279.74</v>
      </c>
      <c r="G158" s="41" t="n">
        <v>-4279.74</v>
      </c>
      <c r="H158" s="1" t="s">
        <v>531</v>
      </c>
    </row>
    <row r="159" customFormat="false" ht="15" hidden="false" customHeight="true" outlineLevel="0" collapsed="false">
      <c r="A159" s="1" t="s">
        <v>399</v>
      </c>
      <c r="B159" s="1" t="s">
        <v>512</v>
      </c>
      <c r="C159" s="1" t="s">
        <v>533</v>
      </c>
      <c r="D159" s="1" t="s">
        <v>275</v>
      </c>
      <c r="E159" s="73" t="n">
        <v>1</v>
      </c>
      <c r="F159" s="41" t="n">
        <v>1612.93</v>
      </c>
      <c r="G159" s="41" t="n">
        <v>1612.93</v>
      </c>
      <c r="H159" s="1" t="s">
        <v>534</v>
      </c>
    </row>
    <row r="160" customFormat="false" ht="15" hidden="false" customHeight="true" outlineLevel="0" collapsed="false">
      <c r="A160" s="1" t="s">
        <v>399</v>
      </c>
      <c r="B160" s="1" t="s">
        <v>512</v>
      </c>
      <c r="C160" s="1" t="s">
        <v>535</v>
      </c>
      <c r="D160" s="1" t="s">
        <v>272</v>
      </c>
      <c r="E160" s="73" t="n">
        <v>0</v>
      </c>
      <c r="F160" s="41" t="n">
        <v>0</v>
      </c>
      <c r="G160" s="41" t="n">
        <v>0</v>
      </c>
      <c r="H160" s="1" t="s">
        <v>522</v>
      </c>
    </row>
    <row r="161" customFormat="false" ht="15" hidden="false" customHeight="true" outlineLevel="0" collapsed="false">
      <c r="A161" s="1" t="s">
        <v>399</v>
      </c>
      <c r="B161" s="1" t="s">
        <v>512</v>
      </c>
      <c r="C161" s="1" t="s">
        <v>536</v>
      </c>
      <c r="D161" s="1" t="s">
        <v>272</v>
      </c>
      <c r="E161" s="73" t="n">
        <v>0</v>
      </c>
      <c r="F161" s="41" t="n">
        <v>0</v>
      </c>
      <c r="G161" s="41" t="n">
        <v>0</v>
      </c>
      <c r="H161" s="1" t="s">
        <v>537</v>
      </c>
    </row>
    <row r="162" customFormat="false" ht="15" hidden="false" customHeight="true" outlineLevel="0" collapsed="false">
      <c r="A162" s="1" t="s">
        <v>399</v>
      </c>
      <c r="B162" s="1" t="s">
        <v>512</v>
      </c>
      <c r="C162" s="1" t="s">
        <v>538</v>
      </c>
      <c r="D162" s="1" t="s">
        <v>266</v>
      </c>
      <c r="E162" s="73" t="n">
        <v>0</v>
      </c>
      <c r="F162" s="41" t="n">
        <v>0</v>
      </c>
      <c r="G162" s="41" t="n">
        <v>0</v>
      </c>
      <c r="H162" s="1" t="s">
        <v>539</v>
      </c>
    </row>
    <row r="163" customFormat="false" ht="15" hidden="false" customHeight="true" outlineLevel="0" collapsed="false">
      <c r="A163" s="1" t="s">
        <v>399</v>
      </c>
      <c r="B163" s="1" t="s">
        <v>512</v>
      </c>
      <c r="C163" s="1" t="s">
        <v>540</v>
      </c>
      <c r="D163" s="1" t="s">
        <v>266</v>
      </c>
      <c r="E163" s="73" t="n">
        <v>0</v>
      </c>
      <c r="F163" s="41" t="n">
        <v>0</v>
      </c>
      <c r="G163" s="41" t="n">
        <v>0</v>
      </c>
      <c r="H163" s="1" t="s">
        <v>514</v>
      </c>
    </row>
    <row r="164" customFormat="false" ht="15" hidden="false" customHeight="true" outlineLevel="0" collapsed="false">
      <c r="A164" s="1" t="s">
        <v>399</v>
      </c>
      <c r="B164" s="1" t="s">
        <v>512</v>
      </c>
      <c r="C164" s="1" t="s">
        <v>541</v>
      </c>
      <c r="D164" s="1" t="s">
        <v>266</v>
      </c>
      <c r="E164" s="73" t="n">
        <v>0</v>
      </c>
      <c r="F164" s="41" t="n">
        <v>0</v>
      </c>
      <c r="G164" s="41" t="n">
        <v>0</v>
      </c>
      <c r="H164" s="1" t="s">
        <v>518</v>
      </c>
    </row>
    <row r="165" customFormat="false" ht="15" hidden="false" customHeight="true" outlineLevel="0" collapsed="false">
      <c r="A165" s="1" t="s">
        <v>399</v>
      </c>
      <c r="B165" s="1" t="s">
        <v>512</v>
      </c>
      <c r="C165" s="1" t="s">
        <v>542</v>
      </c>
      <c r="D165" s="1" t="s">
        <v>266</v>
      </c>
      <c r="E165" s="73" t="n">
        <v>0</v>
      </c>
      <c r="F165" s="41" t="n">
        <v>0</v>
      </c>
      <c r="G165" s="41" t="n">
        <v>0</v>
      </c>
      <c r="H165" s="1" t="s">
        <v>524</v>
      </c>
    </row>
    <row r="166" customFormat="false" ht="15" hidden="false" customHeight="true" outlineLevel="0" collapsed="false">
      <c r="A166" s="1" t="s">
        <v>399</v>
      </c>
      <c r="B166" s="1" t="s">
        <v>512</v>
      </c>
      <c r="C166" s="1" t="s">
        <v>538</v>
      </c>
      <c r="D166" s="1" t="s">
        <v>267</v>
      </c>
      <c r="E166" s="73" t="n">
        <v>0</v>
      </c>
      <c r="F166" s="41" t="n">
        <v>0</v>
      </c>
      <c r="G166" s="41" t="n">
        <v>0</v>
      </c>
      <c r="H166" s="1" t="s">
        <v>522</v>
      </c>
    </row>
    <row r="167" customFormat="false" ht="15" hidden="false" customHeight="true" outlineLevel="0" collapsed="false">
      <c r="A167" s="1" t="s">
        <v>399</v>
      </c>
      <c r="B167" s="1" t="s">
        <v>512</v>
      </c>
      <c r="C167" s="1" t="s">
        <v>543</v>
      </c>
      <c r="D167" s="1" t="s">
        <v>267</v>
      </c>
      <c r="E167" s="73" t="n">
        <v>0</v>
      </c>
      <c r="F167" s="41" t="n">
        <v>0</v>
      </c>
      <c r="G167" s="41" t="n">
        <v>0</v>
      </c>
      <c r="H167" s="1" t="s">
        <v>522</v>
      </c>
    </row>
    <row r="168" customFormat="false" ht="15" hidden="false" customHeight="true" outlineLevel="0" collapsed="false">
      <c r="A168" s="1" t="s">
        <v>399</v>
      </c>
      <c r="B168" s="1" t="s">
        <v>512</v>
      </c>
      <c r="C168" s="1" t="s">
        <v>544</v>
      </c>
      <c r="D168" s="1" t="s">
        <v>267</v>
      </c>
      <c r="E168" s="73" t="n">
        <v>0</v>
      </c>
      <c r="F168" s="41" t="n">
        <v>0</v>
      </c>
      <c r="G168" s="41" t="n">
        <v>0</v>
      </c>
      <c r="H168" s="1" t="s">
        <v>537</v>
      </c>
    </row>
    <row r="169" customFormat="false" ht="15" hidden="false" customHeight="true" outlineLevel="0" collapsed="false">
      <c r="A169" s="1" t="s">
        <v>399</v>
      </c>
      <c r="B169" s="1" t="s">
        <v>512</v>
      </c>
      <c r="C169" s="1" t="s">
        <v>542</v>
      </c>
      <c r="D169" s="1" t="s">
        <v>267</v>
      </c>
      <c r="E169" s="73" t="n">
        <v>0</v>
      </c>
      <c r="F169" s="41" t="n">
        <v>0</v>
      </c>
      <c r="G169" s="41" t="n">
        <v>0</v>
      </c>
      <c r="H169" s="1" t="s">
        <v>545</v>
      </c>
    </row>
    <row r="170" customFormat="false" ht="15" hidden="false" customHeight="true" outlineLevel="0" collapsed="false">
      <c r="A170" s="1" t="s">
        <v>399</v>
      </c>
      <c r="B170" s="1" t="s">
        <v>512</v>
      </c>
      <c r="C170" s="1" t="s">
        <v>546</v>
      </c>
      <c r="D170" s="1" t="s">
        <v>264</v>
      </c>
      <c r="E170" s="73" t="n">
        <v>4782</v>
      </c>
      <c r="F170" s="41" t="n">
        <v>0.31</v>
      </c>
      <c r="G170" s="41" t="n">
        <v>1482.42</v>
      </c>
      <c r="H170" s="1" t="s">
        <v>402</v>
      </c>
    </row>
    <row r="171" customFormat="false" ht="15" hidden="false" customHeight="true" outlineLevel="0" collapsed="false">
      <c r="A171" s="1" t="s">
        <v>399</v>
      </c>
      <c r="B171" s="1" t="s">
        <v>512</v>
      </c>
      <c r="C171" s="1" t="s">
        <v>547</v>
      </c>
      <c r="D171" s="1" t="s">
        <v>264</v>
      </c>
      <c r="E171" s="73" t="n">
        <v>1</v>
      </c>
      <c r="F171" s="41" t="n">
        <v>2480.38</v>
      </c>
      <c r="G171" s="41" t="n">
        <v>2480.38</v>
      </c>
      <c r="H171" s="1" t="s">
        <v>522</v>
      </c>
    </row>
    <row r="172" customFormat="false" ht="15" hidden="false" customHeight="true" outlineLevel="0" collapsed="false">
      <c r="A172" s="1" t="s">
        <v>399</v>
      </c>
      <c r="B172" s="1" t="s">
        <v>512</v>
      </c>
      <c r="C172" s="1" t="s">
        <v>548</v>
      </c>
      <c r="D172" s="1" t="s">
        <v>264</v>
      </c>
      <c r="E172" s="73" t="n">
        <v>0</v>
      </c>
      <c r="F172" s="41" t="n">
        <v>0</v>
      </c>
      <c r="G172" s="41" t="n">
        <v>0</v>
      </c>
      <c r="H172" s="1" t="s">
        <v>522</v>
      </c>
    </row>
    <row r="173" customFormat="false" ht="15" hidden="false" customHeight="true" outlineLevel="0" collapsed="false">
      <c r="A173" s="1" t="s">
        <v>399</v>
      </c>
      <c r="B173" s="1" t="s">
        <v>512</v>
      </c>
      <c r="C173" s="1" t="s">
        <v>549</v>
      </c>
      <c r="D173" s="1" t="s">
        <v>264</v>
      </c>
      <c r="E173" s="73" t="n">
        <v>1</v>
      </c>
      <c r="F173" s="41" t="n">
        <v>13877.08</v>
      </c>
      <c r="G173" s="41" t="n">
        <v>13877.08</v>
      </c>
      <c r="H173" s="1" t="s">
        <v>545</v>
      </c>
    </row>
    <row r="174" customFormat="false" ht="15" hidden="false" customHeight="true" outlineLevel="0" collapsed="false">
      <c r="A174" s="1" t="s">
        <v>399</v>
      </c>
      <c r="B174" s="1" t="s">
        <v>512</v>
      </c>
      <c r="C174" s="1" t="s">
        <v>550</v>
      </c>
      <c r="D174" s="1" t="s">
        <v>264</v>
      </c>
      <c r="E174" s="73" t="n">
        <v>0</v>
      </c>
      <c r="F174" s="41" t="n">
        <v>0</v>
      </c>
      <c r="G174" s="41" t="n">
        <v>0</v>
      </c>
      <c r="H174" s="1" t="s">
        <v>537</v>
      </c>
    </row>
    <row r="175" customFormat="false" ht="15" hidden="false" customHeight="true" outlineLevel="0" collapsed="false">
      <c r="A175" s="1" t="s">
        <v>399</v>
      </c>
      <c r="B175" s="1" t="s">
        <v>551</v>
      </c>
      <c r="C175" s="1" t="s">
        <v>552</v>
      </c>
      <c r="D175" s="1" t="s">
        <v>271</v>
      </c>
      <c r="E175" s="73" t="n">
        <v>1</v>
      </c>
      <c r="F175" s="41" t="n">
        <v>238.88</v>
      </c>
      <c r="G175" s="41" t="n">
        <v>238.88</v>
      </c>
      <c r="H175" s="1" t="s">
        <v>553</v>
      </c>
    </row>
    <row r="176" customFormat="false" ht="15" hidden="false" customHeight="true" outlineLevel="0" collapsed="false">
      <c r="A176" s="1" t="s">
        <v>399</v>
      </c>
      <c r="B176" s="1" t="s">
        <v>551</v>
      </c>
      <c r="C176" s="1" t="s">
        <v>554</v>
      </c>
      <c r="D176" s="1" t="s">
        <v>271</v>
      </c>
      <c r="E176" s="73" t="n">
        <v>1</v>
      </c>
      <c r="F176" s="41" t="n">
        <v>609.17</v>
      </c>
      <c r="G176" s="41" t="n">
        <v>609.17</v>
      </c>
      <c r="H176" s="1" t="s">
        <v>553</v>
      </c>
    </row>
    <row r="177" customFormat="false" ht="15" hidden="false" customHeight="true" outlineLevel="0" collapsed="false">
      <c r="A177" s="1" t="s">
        <v>399</v>
      </c>
      <c r="B177" s="1" t="s">
        <v>551</v>
      </c>
      <c r="C177" s="1" t="s">
        <v>555</v>
      </c>
      <c r="D177" s="1" t="s">
        <v>271</v>
      </c>
      <c r="E177" s="73" t="n">
        <v>1</v>
      </c>
      <c r="F177" s="41" t="n">
        <v>510</v>
      </c>
      <c r="G177" s="41" t="n">
        <v>510</v>
      </c>
      <c r="H177" s="1" t="s">
        <v>553</v>
      </c>
    </row>
    <row r="178" customFormat="false" ht="15" hidden="false" customHeight="true" outlineLevel="0" collapsed="false">
      <c r="A178" s="1" t="s">
        <v>399</v>
      </c>
      <c r="B178" s="1" t="s">
        <v>551</v>
      </c>
      <c r="C178" s="1" t="s">
        <v>556</v>
      </c>
      <c r="D178" s="1" t="s">
        <v>271</v>
      </c>
      <c r="E178" s="73" t="n">
        <v>1</v>
      </c>
      <c r="F178" s="41" t="n">
        <v>333.1</v>
      </c>
      <c r="G178" s="41" t="n">
        <v>333.1</v>
      </c>
      <c r="H178" s="1" t="s">
        <v>557</v>
      </c>
    </row>
    <row r="179" customFormat="false" ht="15" hidden="false" customHeight="true" outlineLevel="0" collapsed="false">
      <c r="A179" s="1" t="s">
        <v>399</v>
      </c>
      <c r="B179" s="1" t="s">
        <v>551</v>
      </c>
      <c r="C179" s="1" t="s">
        <v>558</v>
      </c>
      <c r="D179" s="1" t="s">
        <v>271</v>
      </c>
      <c r="E179" s="73" t="n">
        <v>1</v>
      </c>
      <c r="F179" s="41" t="n">
        <v>1833.24</v>
      </c>
      <c r="G179" s="41" t="n">
        <v>1833.24</v>
      </c>
      <c r="H179" s="1" t="s">
        <v>553</v>
      </c>
    </row>
    <row r="180" customFormat="false" ht="15" hidden="false" customHeight="true" outlineLevel="0" collapsed="false">
      <c r="A180" s="1" t="s">
        <v>399</v>
      </c>
      <c r="B180" s="1" t="s">
        <v>551</v>
      </c>
      <c r="C180" s="1" t="s">
        <v>559</v>
      </c>
      <c r="D180" s="1" t="s">
        <v>271</v>
      </c>
      <c r="E180" s="73" t="n">
        <v>1</v>
      </c>
      <c r="F180" s="41" t="n">
        <v>2973.2</v>
      </c>
      <c r="G180" s="41" t="n">
        <v>2973.2</v>
      </c>
      <c r="H180" s="1" t="s">
        <v>553</v>
      </c>
    </row>
    <row r="181" customFormat="false" ht="15" hidden="false" customHeight="true" outlineLevel="0" collapsed="false">
      <c r="A181" s="1" t="s">
        <v>399</v>
      </c>
      <c r="B181" s="1" t="s">
        <v>551</v>
      </c>
      <c r="C181" s="1" t="s">
        <v>560</v>
      </c>
      <c r="D181" s="1" t="s">
        <v>271</v>
      </c>
      <c r="E181" s="73" t="n">
        <v>1</v>
      </c>
      <c r="F181" s="41" t="n">
        <v>7615.46</v>
      </c>
      <c r="G181" s="41" t="n">
        <v>7615.46</v>
      </c>
      <c r="H181" s="1" t="s">
        <v>553</v>
      </c>
    </row>
    <row r="182" customFormat="false" ht="15" hidden="false" customHeight="true" outlineLevel="0" collapsed="false">
      <c r="A182" s="1" t="s">
        <v>399</v>
      </c>
      <c r="B182" s="1" t="s">
        <v>551</v>
      </c>
      <c r="C182" s="1" t="s">
        <v>561</v>
      </c>
      <c r="D182" s="1" t="s">
        <v>272</v>
      </c>
      <c r="E182" s="73" t="n">
        <v>-1</v>
      </c>
      <c r="F182" s="41" t="n">
        <v>837.25</v>
      </c>
      <c r="G182" s="41" t="n">
        <v>-837.25</v>
      </c>
      <c r="H182" s="1" t="s">
        <v>562</v>
      </c>
    </row>
    <row r="183" customFormat="false" ht="15" hidden="false" customHeight="true" outlineLevel="0" collapsed="false">
      <c r="A183" s="1" t="s">
        <v>399</v>
      </c>
      <c r="B183" s="1" t="s">
        <v>551</v>
      </c>
      <c r="C183" s="1" t="s">
        <v>552</v>
      </c>
      <c r="D183" s="1" t="s">
        <v>272</v>
      </c>
      <c r="E183" s="73" t="n">
        <v>-1</v>
      </c>
      <c r="F183" s="41" t="n">
        <v>238.88</v>
      </c>
      <c r="G183" s="41" t="n">
        <v>-238.88</v>
      </c>
      <c r="H183" s="1" t="s">
        <v>553</v>
      </c>
    </row>
    <row r="184" customFormat="false" ht="15" hidden="false" customHeight="true" outlineLevel="0" collapsed="false">
      <c r="A184" s="1" t="s">
        <v>399</v>
      </c>
      <c r="B184" s="1" t="s">
        <v>551</v>
      </c>
      <c r="C184" s="1" t="s">
        <v>552</v>
      </c>
      <c r="D184" s="1" t="s">
        <v>272</v>
      </c>
      <c r="E184" s="73" t="n">
        <v>1</v>
      </c>
      <c r="F184" s="41" t="n">
        <v>34.83</v>
      </c>
      <c r="G184" s="41" t="n">
        <v>34.83</v>
      </c>
      <c r="H184" s="1" t="s">
        <v>563</v>
      </c>
    </row>
    <row r="185" customFormat="false" ht="15" hidden="false" customHeight="true" outlineLevel="0" collapsed="false">
      <c r="A185" s="1" t="s">
        <v>399</v>
      </c>
      <c r="B185" s="1" t="s">
        <v>551</v>
      </c>
      <c r="C185" s="1" t="s">
        <v>436</v>
      </c>
      <c r="D185" s="1" t="s">
        <v>264</v>
      </c>
      <c r="E185" s="73" t="n">
        <v>1</v>
      </c>
      <c r="F185" s="41" t="n">
        <v>25.5</v>
      </c>
      <c r="G185" s="41" t="n">
        <v>25.5</v>
      </c>
      <c r="H185" s="1" t="s">
        <v>564</v>
      </c>
    </row>
    <row r="186" customFormat="false" ht="15" hidden="false" customHeight="true" outlineLevel="0" collapsed="false">
      <c r="A186" s="1" t="s">
        <v>399</v>
      </c>
      <c r="B186" s="1" t="s">
        <v>551</v>
      </c>
      <c r="C186" s="1" t="s">
        <v>555</v>
      </c>
      <c r="D186" s="1" t="s">
        <v>264</v>
      </c>
      <c r="E186" s="73" t="n">
        <v>1</v>
      </c>
      <c r="F186" s="41" t="n">
        <v>67.33</v>
      </c>
      <c r="G186" s="41" t="n">
        <v>67.33</v>
      </c>
      <c r="H186" s="1" t="s">
        <v>565</v>
      </c>
    </row>
    <row r="187" customFormat="false" ht="15" hidden="false" customHeight="true" outlineLevel="0" collapsed="false">
      <c r="A187" s="1" t="s">
        <v>399</v>
      </c>
      <c r="B187" s="1" t="s">
        <v>551</v>
      </c>
      <c r="C187" s="1" t="s">
        <v>555</v>
      </c>
      <c r="D187" s="1" t="s">
        <v>264</v>
      </c>
      <c r="E187" s="73" t="n">
        <v>-1</v>
      </c>
      <c r="F187" s="41" t="n">
        <v>510</v>
      </c>
      <c r="G187" s="41" t="n">
        <v>-510</v>
      </c>
      <c r="H187" s="1" t="s">
        <v>553</v>
      </c>
    </row>
    <row r="188" customFormat="false" ht="15" hidden="false" customHeight="true" outlineLevel="0" collapsed="false">
      <c r="A188" s="1" t="s">
        <v>399</v>
      </c>
      <c r="B188" s="1" t="s">
        <v>47</v>
      </c>
      <c r="C188" s="1" t="s">
        <v>566</v>
      </c>
      <c r="D188" s="1" t="s">
        <v>269</v>
      </c>
      <c r="E188" s="73" t="n">
        <v>1</v>
      </c>
      <c r="F188" s="41" t="n">
        <v>7780.43</v>
      </c>
      <c r="G188" s="41" t="n">
        <v>7780.43</v>
      </c>
      <c r="H188" s="1" t="s">
        <v>567</v>
      </c>
    </row>
    <row r="189" customFormat="false" ht="15" hidden="false" customHeight="true" outlineLevel="0" collapsed="false">
      <c r="A189" s="1" t="s">
        <v>399</v>
      </c>
      <c r="B189" s="1" t="s">
        <v>47</v>
      </c>
      <c r="C189" s="1" t="s">
        <v>566</v>
      </c>
      <c r="D189" s="1" t="s">
        <v>271</v>
      </c>
      <c r="E189" s="73" t="n">
        <v>1</v>
      </c>
      <c r="F189" s="41" t="n">
        <v>2777.71</v>
      </c>
      <c r="G189" s="41" t="n">
        <v>2777.71</v>
      </c>
      <c r="H189" s="1" t="s">
        <v>568</v>
      </c>
    </row>
    <row r="190" customFormat="false" ht="15" hidden="false" customHeight="true" outlineLevel="0" collapsed="false">
      <c r="A190" s="1" t="s">
        <v>399</v>
      </c>
      <c r="B190" s="1" t="s">
        <v>47</v>
      </c>
      <c r="C190" s="1" t="s">
        <v>566</v>
      </c>
      <c r="D190" s="1" t="s">
        <v>275</v>
      </c>
      <c r="E190" s="73" t="n">
        <v>0</v>
      </c>
      <c r="F190" s="41" t="n">
        <v>0</v>
      </c>
      <c r="G190" s="41" t="n">
        <v>0</v>
      </c>
      <c r="H190" s="1" t="s">
        <v>569</v>
      </c>
    </row>
    <row r="191" customFormat="false" ht="15" hidden="false" customHeight="true" outlineLevel="0" collapsed="false">
      <c r="A191" s="1" t="s">
        <v>399</v>
      </c>
      <c r="B191" s="1" t="s">
        <v>47</v>
      </c>
      <c r="C191" s="1" t="s">
        <v>566</v>
      </c>
      <c r="D191" s="1" t="s">
        <v>272</v>
      </c>
      <c r="E191" s="73" t="n">
        <v>1</v>
      </c>
      <c r="F191" s="41" t="n">
        <v>4438.18</v>
      </c>
      <c r="G191" s="41" t="n">
        <v>4438.18</v>
      </c>
      <c r="H191" s="1" t="s">
        <v>570</v>
      </c>
    </row>
    <row r="192" customFormat="false" ht="15" hidden="false" customHeight="true" outlineLevel="0" collapsed="false">
      <c r="A192" s="1" t="s">
        <v>399</v>
      </c>
      <c r="B192" s="1" t="s">
        <v>47</v>
      </c>
      <c r="C192" s="1" t="s">
        <v>566</v>
      </c>
      <c r="D192" s="1" t="s">
        <v>266</v>
      </c>
      <c r="E192" s="73" t="n">
        <v>1</v>
      </c>
      <c r="F192" s="41" t="n">
        <v>5054.07</v>
      </c>
      <c r="G192" s="41" t="n">
        <v>5054.07</v>
      </c>
      <c r="H192" s="1" t="s">
        <v>571</v>
      </c>
    </row>
    <row r="193" customFormat="false" ht="15" hidden="false" customHeight="true" outlineLevel="0" collapsed="false">
      <c r="A193" s="1" t="s">
        <v>399</v>
      </c>
      <c r="B193" s="1" t="s">
        <v>47</v>
      </c>
      <c r="C193" s="1" t="s">
        <v>566</v>
      </c>
      <c r="D193" s="1" t="s">
        <v>267</v>
      </c>
      <c r="E193" s="73" t="n">
        <v>0</v>
      </c>
      <c r="F193" s="41" t="n">
        <v>0</v>
      </c>
      <c r="G193" s="41" t="n">
        <v>0</v>
      </c>
      <c r="H193" s="1" t="s">
        <v>569</v>
      </c>
    </row>
    <row r="194" customFormat="false" ht="15" hidden="false" customHeight="true" outlineLevel="0" collapsed="false">
      <c r="A194" s="1" t="s">
        <v>399</v>
      </c>
      <c r="B194" s="1" t="s">
        <v>47</v>
      </c>
      <c r="C194" s="1" t="s">
        <v>566</v>
      </c>
      <c r="D194" s="1" t="s">
        <v>264</v>
      </c>
      <c r="E194" s="73" t="n">
        <v>1</v>
      </c>
      <c r="F194" s="41" t="n">
        <v>1379.96</v>
      </c>
      <c r="G194" s="41" t="n">
        <v>1379.96</v>
      </c>
      <c r="H194" s="1" t="s">
        <v>572</v>
      </c>
    </row>
    <row r="195" customFormat="false" ht="15" hidden="false" customHeight="true" outlineLevel="0" collapsed="false">
      <c r="A195" s="1" t="s">
        <v>399</v>
      </c>
      <c r="B195" s="1" t="s">
        <v>85</v>
      </c>
      <c r="C195" s="1" t="s">
        <v>573</v>
      </c>
      <c r="D195" s="1" t="s">
        <v>257</v>
      </c>
      <c r="E195" s="73" t="n">
        <v>1</v>
      </c>
      <c r="F195" s="41" t="n">
        <v>404.4</v>
      </c>
      <c r="G195" s="41" t="n">
        <v>404.4</v>
      </c>
      <c r="H195" s="1" t="s">
        <v>574</v>
      </c>
    </row>
    <row r="196" customFormat="false" ht="15" hidden="false" customHeight="true" outlineLevel="0" collapsed="false">
      <c r="A196" s="1" t="s">
        <v>399</v>
      </c>
      <c r="B196" s="1" t="s">
        <v>85</v>
      </c>
      <c r="C196" s="1" t="s">
        <v>573</v>
      </c>
      <c r="D196" s="1" t="s">
        <v>257</v>
      </c>
      <c r="E196" s="73" t="n">
        <v>139</v>
      </c>
      <c r="F196" s="41" t="n">
        <v>124.1</v>
      </c>
      <c r="G196" s="41" t="n">
        <v>17249.9</v>
      </c>
      <c r="H196" s="1" t="s">
        <v>575</v>
      </c>
    </row>
    <row r="197" customFormat="false" ht="15" hidden="false" customHeight="true" outlineLevel="0" collapsed="false">
      <c r="A197" s="1" t="s">
        <v>399</v>
      </c>
      <c r="B197" s="1" t="s">
        <v>85</v>
      </c>
      <c r="C197" s="1" t="s">
        <v>573</v>
      </c>
      <c r="D197" s="1" t="s">
        <v>269</v>
      </c>
      <c r="E197" s="73" t="n">
        <v>3</v>
      </c>
      <c r="F197" s="41" t="n">
        <v>143.82</v>
      </c>
      <c r="G197" s="41" t="n">
        <v>431.46</v>
      </c>
      <c r="H197" s="1" t="s">
        <v>575</v>
      </c>
    </row>
    <row r="198" customFormat="false" ht="15" hidden="false" customHeight="true" outlineLevel="0" collapsed="false">
      <c r="A198" s="1" t="s">
        <v>399</v>
      </c>
      <c r="B198" s="1" t="s">
        <v>85</v>
      </c>
      <c r="C198" s="1" t="s">
        <v>573</v>
      </c>
      <c r="D198" s="1" t="s">
        <v>271</v>
      </c>
      <c r="E198" s="73" t="n">
        <v>12</v>
      </c>
      <c r="F198" s="41" t="n">
        <v>133.21</v>
      </c>
      <c r="G198" s="41" t="n">
        <v>1598.52</v>
      </c>
      <c r="H198" s="1" t="s">
        <v>575</v>
      </c>
    </row>
    <row r="199" customFormat="false" ht="15" hidden="false" customHeight="true" outlineLevel="0" collapsed="false">
      <c r="A199" s="1" t="s">
        <v>399</v>
      </c>
      <c r="B199" s="1" t="s">
        <v>85</v>
      </c>
      <c r="C199" s="1" t="s">
        <v>573</v>
      </c>
      <c r="D199" s="1" t="s">
        <v>275</v>
      </c>
      <c r="E199" s="73" t="n">
        <v>15</v>
      </c>
      <c r="F199" s="41" t="n">
        <v>151.02</v>
      </c>
      <c r="G199" s="41" t="n">
        <v>2265.3</v>
      </c>
      <c r="H199" s="1" t="s">
        <v>575</v>
      </c>
    </row>
    <row r="200" customFormat="false" ht="15" hidden="false" customHeight="true" outlineLevel="0" collapsed="false">
      <c r="A200" s="1" t="s">
        <v>399</v>
      </c>
      <c r="B200" s="1" t="s">
        <v>85</v>
      </c>
      <c r="C200" s="1" t="s">
        <v>573</v>
      </c>
      <c r="D200" s="1" t="s">
        <v>272</v>
      </c>
      <c r="E200" s="73" t="n">
        <v>20</v>
      </c>
      <c r="F200" s="41" t="n">
        <v>151.92</v>
      </c>
      <c r="G200" s="41" t="n">
        <v>3038.4</v>
      </c>
      <c r="H200" s="1" t="s">
        <v>575</v>
      </c>
    </row>
    <row r="201" customFormat="false" ht="15" hidden="false" customHeight="true" outlineLevel="0" collapsed="false">
      <c r="A201" s="1" t="s">
        <v>399</v>
      </c>
      <c r="B201" s="1" t="s">
        <v>85</v>
      </c>
      <c r="C201" s="1" t="s">
        <v>573</v>
      </c>
      <c r="D201" s="1" t="s">
        <v>266</v>
      </c>
      <c r="E201" s="73" t="n">
        <v>10</v>
      </c>
      <c r="F201" s="41" t="n">
        <v>151.02</v>
      </c>
      <c r="G201" s="41" t="n">
        <v>1510.2</v>
      </c>
      <c r="H201" s="1" t="s">
        <v>575</v>
      </c>
    </row>
    <row r="202" customFormat="false" ht="15" hidden="false" customHeight="true" outlineLevel="0" collapsed="false">
      <c r="A202" s="1" t="s">
        <v>399</v>
      </c>
      <c r="B202" s="1" t="s">
        <v>85</v>
      </c>
      <c r="C202" s="1" t="s">
        <v>573</v>
      </c>
      <c r="D202" s="1" t="s">
        <v>267</v>
      </c>
      <c r="E202" s="73" t="n">
        <v>1</v>
      </c>
      <c r="F202" s="41" t="n">
        <v>143.82</v>
      </c>
      <c r="G202" s="41" t="n">
        <v>143.82</v>
      </c>
      <c r="H202" s="1" t="s">
        <v>575</v>
      </c>
    </row>
    <row r="203" customFormat="false" ht="15" hidden="false" customHeight="true" outlineLevel="0" collapsed="false">
      <c r="A203" s="1" t="s">
        <v>399</v>
      </c>
      <c r="B203" s="1" t="s">
        <v>85</v>
      </c>
      <c r="C203" s="1" t="s">
        <v>573</v>
      </c>
      <c r="D203" s="1" t="s">
        <v>264</v>
      </c>
      <c r="E203" s="73" t="n">
        <v>9</v>
      </c>
      <c r="F203" s="41" t="n">
        <v>123.18</v>
      </c>
      <c r="G203" s="41" t="n">
        <v>1108.62</v>
      </c>
      <c r="H203" s="1" t="s">
        <v>575</v>
      </c>
    </row>
    <row r="204" customFormat="false" ht="15" hidden="false" customHeight="true" outlineLevel="0" collapsed="false">
      <c r="A204" s="1" t="s">
        <v>399</v>
      </c>
      <c r="B204" s="1" t="s">
        <v>32</v>
      </c>
      <c r="C204" s="1" t="s">
        <v>576</v>
      </c>
      <c r="D204" s="1" t="s">
        <v>269</v>
      </c>
      <c r="E204" s="73" t="n">
        <v>1</v>
      </c>
      <c r="F204" s="41" t="n">
        <v>209</v>
      </c>
      <c r="G204" s="41" t="n">
        <v>209</v>
      </c>
      <c r="H204" s="1" t="s">
        <v>577</v>
      </c>
    </row>
    <row r="205" customFormat="false" ht="15" hidden="false" customHeight="true" outlineLevel="0" collapsed="false">
      <c r="A205" s="1" t="s">
        <v>399</v>
      </c>
      <c r="B205" s="1" t="s">
        <v>32</v>
      </c>
      <c r="C205" s="1" t="s">
        <v>578</v>
      </c>
      <c r="D205" s="1" t="s">
        <v>269</v>
      </c>
      <c r="E205" s="73" t="n">
        <v>1</v>
      </c>
      <c r="F205" s="41" t="n">
        <v>419.64</v>
      </c>
      <c r="G205" s="41" t="n">
        <v>419.64</v>
      </c>
      <c r="H205" s="1" t="s">
        <v>579</v>
      </c>
    </row>
    <row r="206" customFormat="false" ht="15" hidden="false" customHeight="true" outlineLevel="0" collapsed="false">
      <c r="A206" s="1" t="s">
        <v>399</v>
      </c>
      <c r="B206" s="1" t="s">
        <v>32</v>
      </c>
      <c r="C206" s="1" t="s">
        <v>576</v>
      </c>
      <c r="D206" s="1" t="s">
        <v>271</v>
      </c>
      <c r="E206" s="73" t="n">
        <v>0</v>
      </c>
      <c r="F206" s="41" t="n">
        <v>0</v>
      </c>
      <c r="G206" s="41" t="n">
        <v>0</v>
      </c>
      <c r="H206" s="1" t="s">
        <v>577</v>
      </c>
    </row>
    <row r="207" customFormat="false" ht="15" hidden="false" customHeight="true" outlineLevel="0" collapsed="false">
      <c r="A207" s="1" t="s">
        <v>399</v>
      </c>
      <c r="B207" s="1" t="s">
        <v>32</v>
      </c>
      <c r="C207" s="1" t="s">
        <v>576</v>
      </c>
      <c r="D207" s="1" t="s">
        <v>271</v>
      </c>
      <c r="E207" s="73" t="n">
        <v>0</v>
      </c>
      <c r="F207" s="41" t="n">
        <v>0</v>
      </c>
      <c r="G207" s="41" t="n">
        <v>0</v>
      </c>
      <c r="H207" s="1" t="s">
        <v>577</v>
      </c>
    </row>
    <row r="208" customFormat="false" ht="15" hidden="false" customHeight="true" outlineLevel="0" collapsed="false">
      <c r="A208" s="1" t="s">
        <v>399</v>
      </c>
      <c r="B208" s="1" t="s">
        <v>32</v>
      </c>
      <c r="C208" s="1" t="s">
        <v>578</v>
      </c>
      <c r="D208" s="1" t="s">
        <v>271</v>
      </c>
      <c r="E208" s="73" t="n">
        <v>0</v>
      </c>
      <c r="F208" s="41" t="n">
        <v>0</v>
      </c>
      <c r="G208" s="41" t="n">
        <v>0</v>
      </c>
      <c r="H208" s="1" t="s">
        <v>579</v>
      </c>
    </row>
    <row r="209" customFormat="false" ht="15" hidden="false" customHeight="true" outlineLevel="0" collapsed="false">
      <c r="A209" s="1" t="s">
        <v>399</v>
      </c>
      <c r="B209" s="1" t="s">
        <v>32</v>
      </c>
      <c r="C209" s="1" t="s">
        <v>576</v>
      </c>
      <c r="D209" s="1" t="s">
        <v>275</v>
      </c>
      <c r="E209" s="73" t="n">
        <v>0</v>
      </c>
      <c r="F209" s="41" t="n">
        <v>0</v>
      </c>
      <c r="G209" s="41" t="n">
        <v>0</v>
      </c>
      <c r="H209" s="1" t="s">
        <v>577</v>
      </c>
    </row>
    <row r="210" customFormat="false" ht="15" hidden="false" customHeight="true" outlineLevel="0" collapsed="false">
      <c r="A210" s="1" t="s">
        <v>399</v>
      </c>
      <c r="B210" s="1" t="s">
        <v>32</v>
      </c>
      <c r="C210" s="1" t="s">
        <v>578</v>
      </c>
      <c r="D210" s="1" t="s">
        <v>275</v>
      </c>
      <c r="E210" s="73" t="n">
        <v>0</v>
      </c>
      <c r="F210" s="41" t="n">
        <v>0</v>
      </c>
      <c r="G210" s="41" t="n">
        <v>0</v>
      </c>
      <c r="H210" s="1" t="s">
        <v>580</v>
      </c>
    </row>
    <row r="211" customFormat="false" ht="15" hidden="false" customHeight="true" outlineLevel="0" collapsed="false">
      <c r="A211" s="1" t="s">
        <v>399</v>
      </c>
      <c r="B211" s="1" t="s">
        <v>32</v>
      </c>
      <c r="C211" s="1" t="s">
        <v>576</v>
      </c>
      <c r="D211" s="1" t="s">
        <v>272</v>
      </c>
      <c r="E211" s="73" t="n">
        <v>1</v>
      </c>
      <c r="F211" s="41" t="n">
        <v>280</v>
      </c>
      <c r="G211" s="41" t="n">
        <v>280</v>
      </c>
      <c r="H211" s="1" t="s">
        <v>577</v>
      </c>
    </row>
    <row r="212" customFormat="false" ht="15" hidden="false" customHeight="true" outlineLevel="0" collapsed="false">
      <c r="A212" s="1" t="s">
        <v>399</v>
      </c>
      <c r="B212" s="1" t="s">
        <v>32</v>
      </c>
      <c r="C212" s="1" t="s">
        <v>576</v>
      </c>
      <c r="D212" s="1" t="s">
        <v>272</v>
      </c>
      <c r="E212" s="73" t="n">
        <v>0</v>
      </c>
      <c r="F212" s="41" t="n">
        <v>0</v>
      </c>
      <c r="G212" s="41" t="n">
        <v>0</v>
      </c>
      <c r="H212" s="1" t="s">
        <v>577</v>
      </c>
    </row>
    <row r="213" customFormat="false" ht="15" hidden="false" customHeight="true" outlineLevel="0" collapsed="false">
      <c r="A213" s="1" t="s">
        <v>399</v>
      </c>
      <c r="B213" s="1" t="s">
        <v>32</v>
      </c>
      <c r="C213" s="1" t="s">
        <v>576</v>
      </c>
      <c r="D213" s="1" t="s">
        <v>266</v>
      </c>
      <c r="E213" s="73" t="n">
        <v>1</v>
      </c>
      <c r="F213" s="41" t="n">
        <v>492</v>
      </c>
      <c r="G213" s="41" t="n">
        <v>492</v>
      </c>
      <c r="H213" s="1" t="s">
        <v>577</v>
      </c>
    </row>
    <row r="214" customFormat="false" ht="15" hidden="false" customHeight="true" outlineLevel="0" collapsed="false">
      <c r="A214" s="1" t="s">
        <v>399</v>
      </c>
      <c r="B214" s="1" t="s">
        <v>32</v>
      </c>
      <c r="C214" s="1" t="s">
        <v>578</v>
      </c>
      <c r="D214" s="1" t="s">
        <v>266</v>
      </c>
      <c r="E214" s="73" t="n">
        <v>1</v>
      </c>
      <c r="F214" s="41" t="n">
        <v>668.79</v>
      </c>
      <c r="G214" s="41" t="n">
        <v>668.79</v>
      </c>
      <c r="H214" s="1" t="s">
        <v>579</v>
      </c>
    </row>
    <row r="215" customFormat="false" ht="15" hidden="false" customHeight="true" outlineLevel="0" collapsed="false">
      <c r="A215" s="1" t="s">
        <v>399</v>
      </c>
      <c r="B215" s="1" t="s">
        <v>32</v>
      </c>
      <c r="C215" s="1" t="s">
        <v>576</v>
      </c>
      <c r="D215" s="1" t="s">
        <v>267</v>
      </c>
      <c r="E215" s="73" t="n">
        <v>0</v>
      </c>
      <c r="F215" s="41" t="n">
        <v>0</v>
      </c>
      <c r="G215" s="41" t="n">
        <v>0</v>
      </c>
      <c r="H215" s="1" t="s">
        <v>577</v>
      </c>
    </row>
    <row r="216" customFormat="false" ht="15" hidden="false" customHeight="true" outlineLevel="0" collapsed="false">
      <c r="A216" s="1" t="s">
        <v>399</v>
      </c>
      <c r="B216" s="1" t="s">
        <v>32</v>
      </c>
      <c r="C216" s="1" t="s">
        <v>576</v>
      </c>
      <c r="D216" s="1" t="s">
        <v>264</v>
      </c>
      <c r="E216" s="73" t="n">
        <v>1</v>
      </c>
      <c r="F216" s="41" t="n">
        <v>204</v>
      </c>
      <c r="G216" s="41" t="n">
        <v>204</v>
      </c>
      <c r="H216" s="1" t="s">
        <v>577</v>
      </c>
    </row>
    <row r="217" customFormat="false" ht="15" hidden="false" customHeight="true" outlineLevel="0" collapsed="false">
      <c r="A217" s="1" t="s">
        <v>399</v>
      </c>
      <c r="B217" s="1" t="s">
        <v>32</v>
      </c>
      <c r="C217" s="1" t="s">
        <v>578</v>
      </c>
      <c r="D217" s="1" t="s">
        <v>264</v>
      </c>
      <c r="E217" s="73" t="n">
        <v>1</v>
      </c>
      <c r="F217" s="41" t="n">
        <v>348.7</v>
      </c>
      <c r="G217" s="41" t="n">
        <v>348.7</v>
      </c>
      <c r="H217" s="1" t="s">
        <v>581</v>
      </c>
    </row>
    <row r="218" customFormat="false" ht="15" hidden="false" customHeight="true" outlineLevel="0" collapsed="false">
      <c r="A218" s="1" t="s">
        <v>399</v>
      </c>
      <c r="B218" s="1" t="s">
        <v>582</v>
      </c>
      <c r="C218" s="1" t="s">
        <v>583</v>
      </c>
      <c r="D218" s="1" t="s">
        <v>271</v>
      </c>
      <c r="E218" s="73" t="n">
        <v>13402</v>
      </c>
      <c r="F218" s="41" t="n">
        <v>2.21459650529971</v>
      </c>
      <c r="G218" s="41" t="n">
        <v>29680.0223640267</v>
      </c>
      <c r="H218" s="1" t="s">
        <v>402</v>
      </c>
    </row>
    <row r="219" customFormat="false" ht="15" hidden="false" customHeight="true" outlineLevel="0" collapsed="false">
      <c r="A219" s="1" t="s">
        <v>399</v>
      </c>
      <c r="B219" s="1" t="s">
        <v>44</v>
      </c>
      <c r="C219" s="1" t="s">
        <v>584</v>
      </c>
      <c r="D219" s="1" t="s">
        <v>269</v>
      </c>
      <c r="E219" s="73" t="n">
        <v>0</v>
      </c>
      <c r="F219" s="41" t="n">
        <v>0</v>
      </c>
      <c r="G219" s="41" t="n">
        <v>0</v>
      </c>
      <c r="H219" s="1" t="s">
        <v>585</v>
      </c>
    </row>
    <row r="220" customFormat="false" ht="15" hidden="false" customHeight="true" outlineLevel="0" collapsed="false">
      <c r="A220" s="1" t="s">
        <v>399</v>
      </c>
      <c r="B220" s="1" t="s">
        <v>44</v>
      </c>
      <c r="C220" s="1" t="s">
        <v>584</v>
      </c>
      <c r="D220" s="1" t="s">
        <v>269</v>
      </c>
      <c r="E220" s="73" t="n">
        <v>1</v>
      </c>
      <c r="F220" s="41" t="n">
        <v>13006.38</v>
      </c>
      <c r="G220" s="41" t="n">
        <v>13006.38</v>
      </c>
      <c r="H220" s="1" t="s">
        <v>586</v>
      </c>
    </row>
    <row r="221" customFormat="false" ht="15" hidden="false" customHeight="true" outlineLevel="0" collapsed="false">
      <c r="A221" s="1" t="s">
        <v>399</v>
      </c>
      <c r="B221" s="1" t="s">
        <v>44</v>
      </c>
      <c r="C221" s="1" t="s">
        <v>584</v>
      </c>
      <c r="D221" s="1" t="s">
        <v>271</v>
      </c>
      <c r="E221" s="73" t="n">
        <v>0</v>
      </c>
      <c r="F221" s="41" t="n">
        <v>0</v>
      </c>
      <c r="G221" s="41" t="n">
        <v>0</v>
      </c>
      <c r="H221" s="1" t="s">
        <v>586</v>
      </c>
    </row>
    <row r="222" customFormat="false" ht="15" hidden="false" customHeight="true" outlineLevel="0" collapsed="false">
      <c r="A222" s="1" t="s">
        <v>399</v>
      </c>
      <c r="B222" s="1" t="s">
        <v>44</v>
      </c>
      <c r="C222" s="1" t="s">
        <v>587</v>
      </c>
      <c r="D222" s="1" t="s">
        <v>271</v>
      </c>
      <c r="E222" s="73" t="n">
        <v>0</v>
      </c>
      <c r="F222" s="41" t="n">
        <v>0</v>
      </c>
      <c r="G222" s="41" t="n">
        <v>0</v>
      </c>
      <c r="H222" s="1" t="s">
        <v>588</v>
      </c>
    </row>
    <row r="223" customFormat="false" ht="15" hidden="false" customHeight="true" outlineLevel="0" collapsed="false">
      <c r="A223" s="1" t="s">
        <v>399</v>
      </c>
      <c r="B223" s="1" t="s">
        <v>44</v>
      </c>
      <c r="C223" s="1" t="s">
        <v>589</v>
      </c>
      <c r="D223" s="1" t="s">
        <v>271</v>
      </c>
      <c r="E223" s="73" t="n">
        <v>0</v>
      </c>
      <c r="F223" s="41" t="n">
        <v>0</v>
      </c>
      <c r="G223" s="41" t="n">
        <v>0</v>
      </c>
      <c r="H223" s="1" t="s">
        <v>590</v>
      </c>
    </row>
    <row r="224" customFormat="false" ht="15" hidden="false" customHeight="true" outlineLevel="0" collapsed="false">
      <c r="A224" s="1" t="s">
        <v>399</v>
      </c>
      <c r="B224" s="1" t="s">
        <v>44</v>
      </c>
      <c r="C224" s="1" t="s">
        <v>591</v>
      </c>
      <c r="D224" s="1" t="s">
        <v>271</v>
      </c>
      <c r="E224" s="73" t="n">
        <v>0</v>
      </c>
      <c r="F224" s="41" t="n">
        <v>0</v>
      </c>
      <c r="G224" s="41" t="n">
        <v>0</v>
      </c>
      <c r="H224" s="1" t="s">
        <v>592</v>
      </c>
    </row>
    <row r="225" customFormat="false" ht="15" hidden="false" customHeight="true" outlineLevel="0" collapsed="false">
      <c r="A225" s="1" t="s">
        <v>399</v>
      </c>
      <c r="B225" s="1" t="s">
        <v>44</v>
      </c>
      <c r="C225" s="1" t="s">
        <v>584</v>
      </c>
      <c r="D225" s="1" t="s">
        <v>275</v>
      </c>
      <c r="E225" s="73" t="n">
        <v>0</v>
      </c>
      <c r="F225" s="41" t="n">
        <v>0</v>
      </c>
      <c r="G225" s="41" t="n">
        <v>0</v>
      </c>
      <c r="H225" s="1" t="s">
        <v>585</v>
      </c>
    </row>
    <row r="226" customFormat="false" ht="15" hidden="false" customHeight="true" outlineLevel="0" collapsed="false">
      <c r="A226" s="1" t="s">
        <v>399</v>
      </c>
      <c r="B226" s="1" t="s">
        <v>44</v>
      </c>
      <c r="C226" s="1" t="s">
        <v>584</v>
      </c>
      <c r="D226" s="1" t="s">
        <v>275</v>
      </c>
      <c r="E226" s="73" t="n">
        <v>1</v>
      </c>
      <c r="F226" s="41" t="n">
        <v>1234.54</v>
      </c>
      <c r="G226" s="41" t="n">
        <v>1234.54</v>
      </c>
      <c r="H226" s="1" t="s">
        <v>586</v>
      </c>
    </row>
    <row r="227" customFormat="false" ht="15" hidden="false" customHeight="true" outlineLevel="0" collapsed="false">
      <c r="A227" s="1" t="s">
        <v>399</v>
      </c>
      <c r="B227" s="1" t="s">
        <v>44</v>
      </c>
      <c r="C227" s="1" t="s">
        <v>593</v>
      </c>
      <c r="D227" s="1" t="s">
        <v>275</v>
      </c>
      <c r="E227" s="73" t="n">
        <v>0</v>
      </c>
      <c r="F227" s="41" t="n">
        <v>0</v>
      </c>
      <c r="G227" s="41" t="n">
        <v>0</v>
      </c>
      <c r="H227" s="1" t="s">
        <v>588</v>
      </c>
    </row>
    <row r="228" customFormat="false" ht="15" hidden="false" customHeight="true" outlineLevel="0" collapsed="false">
      <c r="A228" s="1" t="s">
        <v>399</v>
      </c>
      <c r="B228" s="1" t="s">
        <v>44</v>
      </c>
      <c r="C228" s="1" t="s">
        <v>594</v>
      </c>
      <c r="D228" s="1" t="s">
        <v>275</v>
      </c>
      <c r="E228" s="73" t="n">
        <v>0</v>
      </c>
      <c r="F228" s="41" t="n">
        <v>0</v>
      </c>
      <c r="G228" s="41" t="n">
        <v>0</v>
      </c>
      <c r="H228" s="1" t="s">
        <v>592</v>
      </c>
    </row>
    <row r="229" customFormat="false" ht="15" hidden="false" customHeight="true" outlineLevel="0" collapsed="false">
      <c r="A229" s="1" t="s">
        <v>399</v>
      </c>
      <c r="B229" s="1" t="s">
        <v>44</v>
      </c>
      <c r="C229" s="1" t="s">
        <v>584</v>
      </c>
      <c r="D229" s="1" t="s">
        <v>272</v>
      </c>
      <c r="E229" s="73" t="n">
        <v>-1</v>
      </c>
      <c r="F229" s="41" t="n">
        <v>1580.87</v>
      </c>
      <c r="G229" s="41" t="n">
        <v>-1580.87</v>
      </c>
      <c r="H229" s="1" t="s">
        <v>585</v>
      </c>
    </row>
    <row r="230" customFormat="false" ht="15" hidden="false" customHeight="true" outlineLevel="0" collapsed="false">
      <c r="A230" s="1" t="s">
        <v>399</v>
      </c>
      <c r="B230" s="1" t="s">
        <v>44</v>
      </c>
      <c r="C230" s="1" t="s">
        <v>584</v>
      </c>
      <c r="D230" s="1" t="s">
        <v>272</v>
      </c>
      <c r="E230" s="73" t="n">
        <v>1</v>
      </c>
      <c r="F230" s="41" t="n">
        <v>577</v>
      </c>
      <c r="G230" s="41" t="n">
        <v>577</v>
      </c>
      <c r="H230" s="1" t="s">
        <v>586</v>
      </c>
    </row>
    <row r="231" customFormat="false" ht="15" hidden="false" customHeight="true" outlineLevel="0" collapsed="false">
      <c r="A231" s="1" t="s">
        <v>399</v>
      </c>
      <c r="B231" s="1" t="s">
        <v>44</v>
      </c>
      <c r="C231" s="1" t="s">
        <v>595</v>
      </c>
      <c r="D231" s="1" t="s">
        <v>272</v>
      </c>
      <c r="E231" s="73" t="n">
        <v>0</v>
      </c>
      <c r="F231" s="41" t="n">
        <v>0</v>
      </c>
      <c r="G231" s="41" t="n">
        <v>0</v>
      </c>
      <c r="H231" s="1" t="s">
        <v>588</v>
      </c>
    </row>
    <row r="232" customFormat="false" ht="15" hidden="false" customHeight="true" outlineLevel="0" collapsed="false">
      <c r="A232" s="1" t="s">
        <v>399</v>
      </c>
      <c r="B232" s="1" t="s">
        <v>44</v>
      </c>
      <c r="C232" s="1" t="s">
        <v>596</v>
      </c>
      <c r="D232" s="1" t="s">
        <v>272</v>
      </c>
      <c r="E232" s="73" t="n">
        <v>0</v>
      </c>
      <c r="F232" s="41" t="n">
        <v>0</v>
      </c>
      <c r="G232" s="41" t="n">
        <v>0</v>
      </c>
      <c r="H232" s="1" t="s">
        <v>588</v>
      </c>
    </row>
    <row r="233" customFormat="false" ht="15" hidden="false" customHeight="true" outlineLevel="0" collapsed="false">
      <c r="A233" s="1" t="s">
        <v>399</v>
      </c>
      <c r="B233" s="1" t="s">
        <v>44</v>
      </c>
      <c r="C233" s="1" t="s">
        <v>597</v>
      </c>
      <c r="D233" s="1" t="s">
        <v>272</v>
      </c>
      <c r="E233" s="73" t="n">
        <v>0</v>
      </c>
      <c r="F233" s="41" t="n">
        <v>0</v>
      </c>
      <c r="G233" s="41" t="n">
        <v>0</v>
      </c>
      <c r="H233" s="1" t="s">
        <v>592</v>
      </c>
    </row>
    <row r="234" customFormat="false" ht="15" hidden="false" customHeight="true" outlineLevel="0" collapsed="false">
      <c r="A234" s="1" t="s">
        <v>399</v>
      </c>
      <c r="B234" s="1" t="s">
        <v>44</v>
      </c>
      <c r="C234" s="1" t="s">
        <v>598</v>
      </c>
      <c r="D234" s="1" t="s">
        <v>272</v>
      </c>
      <c r="E234" s="73" t="n">
        <v>0</v>
      </c>
      <c r="F234" s="41" t="n">
        <v>0</v>
      </c>
      <c r="G234" s="41" t="n">
        <v>0</v>
      </c>
      <c r="H234" s="1" t="s">
        <v>592</v>
      </c>
    </row>
    <row r="235" customFormat="false" ht="15" hidden="false" customHeight="true" outlineLevel="0" collapsed="false">
      <c r="A235" s="1" t="s">
        <v>399</v>
      </c>
      <c r="B235" s="1" t="s">
        <v>44</v>
      </c>
      <c r="C235" s="1" t="s">
        <v>584</v>
      </c>
      <c r="D235" s="1" t="s">
        <v>266</v>
      </c>
      <c r="E235" s="73" t="n">
        <v>-1</v>
      </c>
      <c r="F235" s="41" t="n">
        <v>1333.53</v>
      </c>
      <c r="G235" s="41" t="n">
        <v>-1333.53</v>
      </c>
      <c r="H235" s="1" t="s">
        <v>585</v>
      </c>
    </row>
    <row r="236" customFormat="false" ht="15" hidden="false" customHeight="true" outlineLevel="0" collapsed="false">
      <c r="A236" s="1" t="s">
        <v>399</v>
      </c>
      <c r="B236" s="1" t="s">
        <v>44</v>
      </c>
      <c r="C236" s="1" t="s">
        <v>584</v>
      </c>
      <c r="D236" s="1" t="s">
        <v>266</v>
      </c>
      <c r="E236" s="73" t="n">
        <v>1</v>
      </c>
      <c r="F236" s="41" t="n">
        <v>3555.83</v>
      </c>
      <c r="G236" s="41" t="n">
        <v>3555.83</v>
      </c>
      <c r="H236" s="1" t="s">
        <v>586</v>
      </c>
    </row>
    <row r="237" customFormat="false" ht="15" hidden="false" customHeight="true" outlineLevel="0" collapsed="false">
      <c r="A237" s="1" t="s">
        <v>399</v>
      </c>
      <c r="B237" s="1" t="s">
        <v>44</v>
      </c>
      <c r="C237" s="1" t="s">
        <v>596</v>
      </c>
      <c r="D237" s="1" t="s">
        <v>266</v>
      </c>
      <c r="E237" s="73" t="n">
        <v>0</v>
      </c>
      <c r="F237" s="41" t="n">
        <v>0</v>
      </c>
      <c r="G237" s="41" t="n">
        <v>0</v>
      </c>
      <c r="H237" s="1" t="s">
        <v>592</v>
      </c>
    </row>
    <row r="238" customFormat="false" ht="15" hidden="false" customHeight="true" outlineLevel="0" collapsed="false">
      <c r="A238" s="1" t="s">
        <v>399</v>
      </c>
      <c r="B238" s="1" t="s">
        <v>44</v>
      </c>
      <c r="C238" s="1" t="s">
        <v>597</v>
      </c>
      <c r="D238" s="1" t="s">
        <v>266</v>
      </c>
      <c r="E238" s="73" t="n">
        <v>0</v>
      </c>
      <c r="F238" s="41" t="n">
        <v>0</v>
      </c>
      <c r="G238" s="41" t="n">
        <v>0</v>
      </c>
      <c r="H238" s="1" t="s">
        <v>592</v>
      </c>
    </row>
    <row r="239" customFormat="false" ht="15" hidden="false" customHeight="true" outlineLevel="0" collapsed="false">
      <c r="A239" s="1" t="s">
        <v>399</v>
      </c>
      <c r="B239" s="1" t="s">
        <v>44</v>
      </c>
      <c r="C239" s="1" t="s">
        <v>584</v>
      </c>
      <c r="D239" s="1" t="s">
        <v>267</v>
      </c>
      <c r="E239" s="73" t="n">
        <v>1</v>
      </c>
      <c r="F239" s="41" t="n">
        <v>1957.68</v>
      </c>
      <c r="G239" s="41" t="n">
        <v>1957.68</v>
      </c>
      <c r="H239" s="1" t="s">
        <v>586</v>
      </c>
    </row>
    <row r="240" customFormat="false" ht="15" hidden="false" customHeight="true" outlineLevel="0" collapsed="false">
      <c r="A240" s="1" t="s">
        <v>399</v>
      </c>
      <c r="B240" s="1" t="s">
        <v>44</v>
      </c>
      <c r="C240" s="1" t="s">
        <v>584</v>
      </c>
      <c r="D240" s="1" t="s">
        <v>267</v>
      </c>
      <c r="E240" s="73" t="n">
        <v>0</v>
      </c>
      <c r="F240" s="41" t="n">
        <v>0</v>
      </c>
      <c r="G240" s="41" t="n">
        <v>0</v>
      </c>
      <c r="H240" s="1" t="s">
        <v>585</v>
      </c>
    </row>
    <row r="241" customFormat="false" ht="15" hidden="false" customHeight="true" outlineLevel="0" collapsed="false">
      <c r="A241" s="1" t="s">
        <v>399</v>
      </c>
      <c r="B241" s="1" t="s">
        <v>44</v>
      </c>
      <c r="C241" s="1" t="s">
        <v>584</v>
      </c>
      <c r="D241" s="1" t="s">
        <v>264</v>
      </c>
      <c r="E241" s="73" t="n">
        <v>1</v>
      </c>
      <c r="F241" s="41" t="n">
        <v>3624.23</v>
      </c>
      <c r="G241" s="41" t="n">
        <v>3624.23</v>
      </c>
      <c r="H241" s="1" t="s">
        <v>586</v>
      </c>
    </row>
    <row r="242" customFormat="false" ht="15" hidden="false" customHeight="true" outlineLevel="0" collapsed="false">
      <c r="A242" s="1" t="s">
        <v>399</v>
      </c>
      <c r="B242" s="1" t="s">
        <v>44</v>
      </c>
      <c r="C242" s="1" t="s">
        <v>584</v>
      </c>
      <c r="D242" s="1" t="s">
        <v>264</v>
      </c>
      <c r="E242" s="73" t="n">
        <v>-1</v>
      </c>
      <c r="F242" s="41" t="n">
        <v>494.68</v>
      </c>
      <c r="G242" s="41" t="n">
        <v>-494.68</v>
      </c>
      <c r="H242" s="1" t="s">
        <v>585</v>
      </c>
    </row>
    <row r="243" customFormat="false" ht="15" hidden="false" customHeight="true" outlineLevel="0" collapsed="false">
      <c r="A243" s="1" t="s">
        <v>399</v>
      </c>
      <c r="B243" s="1" t="s">
        <v>44</v>
      </c>
      <c r="C243" s="1" t="s">
        <v>599</v>
      </c>
      <c r="D243" s="1" t="s">
        <v>264</v>
      </c>
      <c r="E243" s="73" t="n">
        <v>0</v>
      </c>
      <c r="F243" s="41" t="n">
        <v>0</v>
      </c>
      <c r="G243" s="41" t="n">
        <v>0</v>
      </c>
      <c r="H243" s="1" t="s">
        <v>588</v>
      </c>
    </row>
    <row r="244" customFormat="false" ht="15" hidden="false" customHeight="true" outlineLevel="0" collapsed="false">
      <c r="A244" s="1" t="s">
        <v>399</v>
      </c>
      <c r="B244" s="1" t="s">
        <v>44</v>
      </c>
      <c r="C244" s="1" t="s">
        <v>594</v>
      </c>
      <c r="D244" s="1" t="s">
        <v>264</v>
      </c>
      <c r="E244" s="73" t="n">
        <v>0</v>
      </c>
      <c r="F244" s="41" t="n">
        <v>0</v>
      </c>
      <c r="G244" s="41" t="n">
        <v>0</v>
      </c>
      <c r="H244" s="1" t="s">
        <v>592</v>
      </c>
    </row>
    <row r="245" customFormat="false" ht="15" hidden="false" customHeight="true" outlineLevel="0" collapsed="false">
      <c r="A245" s="1" t="s">
        <v>399</v>
      </c>
      <c r="B245" s="1" t="s">
        <v>87</v>
      </c>
      <c r="C245" s="1" t="s">
        <v>600</v>
      </c>
      <c r="D245" s="1" t="s">
        <v>269</v>
      </c>
      <c r="E245" s="73" t="n">
        <v>2</v>
      </c>
      <c r="F245" s="41" t="n">
        <v>50</v>
      </c>
      <c r="G245" s="41" t="n">
        <v>100</v>
      </c>
      <c r="H245" s="1" t="s">
        <v>601</v>
      </c>
    </row>
    <row r="246" customFormat="false" ht="15" hidden="false" customHeight="true" outlineLevel="0" collapsed="false">
      <c r="A246" s="1" t="s">
        <v>399</v>
      </c>
      <c r="B246" s="1" t="s">
        <v>87</v>
      </c>
      <c r="C246" s="1" t="s">
        <v>600</v>
      </c>
      <c r="D246" s="1" t="s">
        <v>271</v>
      </c>
      <c r="E246" s="73" t="n">
        <v>2</v>
      </c>
      <c r="F246" s="41" t="n">
        <v>50</v>
      </c>
      <c r="G246" s="41" t="n">
        <v>100</v>
      </c>
      <c r="H246" s="1" t="s">
        <v>601</v>
      </c>
    </row>
    <row r="247" customFormat="false" ht="15" hidden="false" customHeight="true" outlineLevel="0" collapsed="false">
      <c r="A247" s="1" t="s">
        <v>399</v>
      </c>
      <c r="B247" s="1" t="s">
        <v>87</v>
      </c>
      <c r="C247" s="1" t="s">
        <v>600</v>
      </c>
      <c r="D247" s="1" t="s">
        <v>275</v>
      </c>
      <c r="E247" s="73" t="n">
        <v>1</v>
      </c>
      <c r="F247" s="41" t="n">
        <v>10</v>
      </c>
      <c r="G247" s="41" t="n">
        <v>10</v>
      </c>
      <c r="H247" s="1" t="s">
        <v>601</v>
      </c>
    </row>
    <row r="248" customFormat="false" ht="15" hidden="false" customHeight="true" outlineLevel="0" collapsed="false">
      <c r="A248" s="1" t="s">
        <v>399</v>
      </c>
      <c r="B248" s="1" t="s">
        <v>87</v>
      </c>
      <c r="C248" s="1" t="s">
        <v>600</v>
      </c>
      <c r="D248" s="1" t="s">
        <v>272</v>
      </c>
      <c r="E248" s="73" t="n">
        <v>1</v>
      </c>
      <c r="F248" s="41" t="n">
        <v>10</v>
      </c>
      <c r="G248" s="41" t="n">
        <v>10</v>
      </c>
      <c r="H248" s="1" t="s">
        <v>601</v>
      </c>
    </row>
    <row r="249" customFormat="false" ht="15" hidden="false" customHeight="true" outlineLevel="0" collapsed="false">
      <c r="A249" s="1" t="s">
        <v>399</v>
      </c>
      <c r="B249" s="1" t="s">
        <v>87</v>
      </c>
      <c r="C249" s="1" t="s">
        <v>600</v>
      </c>
      <c r="D249" s="1" t="s">
        <v>272</v>
      </c>
      <c r="E249" s="73" t="n">
        <v>5</v>
      </c>
      <c r="F249" s="41" t="n">
        <v>50</v>
      </c>
      <c r="G249" s="41" t="n">
        <v>250</v>
      </c>
      <c r="H249" s="1" t="s">
        <v>601</v>
      </c>
    </row>
    <row r="250" customFormat="false" ht="15" hidden="false" customHeight="true" outlineLevel="0" collapsed="false">
      <c r="A250" s="1" t="s">
        <v>399</v>
      </c>
      <c r="B250" s="1" t="s">
        <v>87</v>
      </c>
      <c r="C250" s="1" t="s">
        <v>600</v>
      </c>
      <c r="D250" s="1" t="s">
        <v>266</v>
      </c>
      <c r="E250" s="73" t="n">
        <v>2</v>
      </c>
      <c r="F250" s="41" t="n">
        <v>50</v>
      </c>
      <c r="G250" s="41" t="n">
        <v>100</v>
      </c>
      <c r="H250" s="1" t="s">
        <v>601</v>
      </c>
    </row>
    <row r="251" customFormat="false" ht="15" hidden="false" customHeight="true" outlineLevel="0" collapsed="false">
      <c r="A251" s="1" t="s">
        <v>399</v>
      </c>
      <c r="B251" s="1" t="s">
        <v>87</v>
      </c>
      <c r="C251" s="1" t="s">
        <v>600</v>
      </c>
      <c r="D251" s="1" t="s">
        <v>267</v>
      </c>
      <c r="E251" s="73" t="n">
        <v>1</v>
      </c>
      <c r="F251" s="41" t="n">
        <v>50</v>
      </c>
      <c r="G251" s="41" t="n">
        <v>50</v>
      </c>
      <c r="H251" s="1" t="s">
        <v>601</v>
      </c>
    </row>
    <row r="252" customFormat="false" ht="15" hidden="false" customHeight="true" outlineLevel="0" collapsed="false">
      <c r="A252" s="1" t="s">
        <v>399</v>
      </c>
      <c r="B252" s="1" t="s">
        <v>87</v>
      </c>
      <c r="C252" s="1" t="s">
        <v>600</v>
      </c>
      <c r="D252" s="1" t="s">
        <v>264</v>
      </c>
      <c r="E252" s="73" t="n">
        <v>1</v>
      </c>
      <c r="F252" s="41" t="n">
        <v>90</v>
      </c>
      <c r="G252" s="41" t="n">
        <v>90</v>
      </c>
      <c r="H252" s="1" t="s">
        <v>601</v>
      </c>
    </row>
    <row r="253" customFormat="false" ht="15" hidden="false" customHeight="true" outlineLevel="0" collapsed="false">
      <c r="A253" s="1" t="s">
        <v>399</v>
      </c>
      <c r="B253" s="1" t="s">
        <v>87</v>
      </c>
      <c r="C253" s="1" t="s">
        <v>600</v>
      </c>
      <c r="D253" s="1" t="s">
        <v>264</v>
      </c>
      <c r="E253" s="73" t="n">
        <v>2</v>
      </c>
      <c r="F253" s="41" t="n">
        <v>10</v>
      </c>
      <c r="G253" s="41" t="n">
        <v>20</v>
      </c>
      <c r="H253" s="1" t="s">
        <v>601</v>
      </c>
    </row>
    <row r="254" customFormat="false" ht="15" hidden="false" customHeight="true" outlineLevel="0" collapsed="false">
      <c r="A254" s="1" t="s">
        <v>399</v>
      </c>
      <c r="B254" s="1" t="s">
        <v>87</v>
      </c>
      <c r="C254" s="1" t="s">
        <v>600</v>
      </c>
      <c r="D254" s="1" t="s">
        <v>264</v>
      </c>
      <c r="E254" s="73" t="n">
        <v>3</v>
      </c>
      <c r="F254" s="41" t="n">
        <v>50</v>
      </c>
      <c r="G254" s="41" t="n">
        <v>150</v>
      </c>
      <c r="H254" s="1" t="s">
        <v>601</v>
      </c>
    </row>
    <row r="255" customFormat="false" ht="15" hidden="false" customHeight="true" outlineLevel="0" collapsed="false">
      <c r="A255" s="1" t="s">
        <v>602</v>
      </c>
      <c r="B255" s="1" t="s">
        <v>400</v>
      </c>
      <c r="C255" s="1" t="s">
        <v>401</v>
      </c>
      <c r="D255" s="1" t="s">
        <v>271</v>
      </c>
      <c r="E255" s="73" t="n">
        <v>13402</v>
      </c>
      <c r="F255" s="41" t="n">
        <v>0.369625478903327</v>
      </c>
      <c r="G255" s="41" t="n">
        <v>4953.72066826238</v>
      </c>
      <c r="H255" s="1" t="s">
        <v>402</v>
      </c>
    </row>
    <row r="256" customFormat="false" ht="15" hidden="false" customHeight="true" outlineLevel="0" collapsed="false">
      <c r="A256" s="1" t="s">
        <v>602</v>
      </c>
      <c r="B256" s="1" t="s">
        <v>403</v>
      </c>
      <c r="C256" s="1" t="s">
        <v>86</v>
      </c>
      <c r="D256" s="1" t="s">
        <v>271</v>
      </c>
      <c r="E256" s="73" t="n">
        <v>13402</v>
      </c>
      <c r="F256" s="41" t="n">
        <v>0.213162125376571</v>
      </c>
      <c r="G256" s="41" t="n">
        <v>2856.7988042968</v>
      </c>
      <c r="H256" s="1" t="s">
        <v>402</v>
      </c>
    </row>
    <row r="257" customFormat="false" ht="15" hidden="false" customHeight="true" outlineLevel="0" collapsed="false">
      <c r="A257" s="1" t="s">
        <v>602</v>
      </c>
      <c r="B257" s="1" t="s">
        <v>55</v>
      </c>
      <c r="C257" s="1" t="s">
        <v>404</v>
      </c>
      <c r="D257" s="1" t="s">
        <v>269</v>
      </c>
      <c r="E257" s="73" t="n">
        <v>1</v>
      </c>
      <c r="F257" s="41" t="n">
        <v>32179.26</v>
      </c>
      <c r="G257" s="41" t="n">
        <v>32179.26</v>
      </c>
      <c r="H257" s="1" t="s">
        <v>405</v>
      </c>
    </row>
    <row r="258" customFormat="false" ht="15" hidden="false" customHeight="true" outlineLevel="0" collapsed="false">
      <c r="A258" s="1" t="s">
        <v>602</v>
      </c>
      <c r="B258" s="1" t="s">
        <v>55</v>
      </c>
      <c r="C258" s="1" t="s">
        <v>404</v>
      </c>
      <c r="D258" s="1" t="s">
        <v>275</v>
      </c>
      <c r="E258" s="73" t="n">
        <v>1</v>
      </c>
      <c r="F258" s="41" t="n">
        <v>18442.4</v>
      </c>
      <c r="G258" s="41" t="n">
        <v>18442.4</v>
      </c>
      <c r="H258" s="1" t="s">
        <v>405</v>
      </c>
    </row>
    <row r="259" customFormat="false" ht="15" hidden="false" customHeight="true" outlineLevel="0" collapsed="false">
      <c r="A259" s="1" t="s">
        <v>602</v>
      </c>
      <c r="B259" s="1" t="s">
        <v>55</v>
      </c>
      <c r="C259" s="1" t="s">
        <v>404</v>
      </c>
      <c r="D259" s="1" t="s">
        <v>272</v>
      </c>
      <c r="E259" s="73" t="n">
        <v>1</v>
      </c>
      <c r="F259" s="41" t="n">
        <v>38121.52</v>
      </c>
      <c r="G259" s="41" t="n">
        <v>38121.52</v>
      </c>
      <c r="H259" s="1" t="s">
        <v>405</v>
      </c>
    </row>
    <row r="260" customFormat="false" ht="15" hidden="false" customHeight="true" outlineLevel="0" collapsed="false">
      <c r="A260" s="1" t="s">
        <v>602</v>
      </c>
      <c r="B260" s="1" t="s">
        <v>55</v>
      </c>
      <c r="C260" s="1" t="s">
        <v>404</v>
      </c>
      <c r="D260" s="1" t="s">
        <v>266</v>
      </c>
      <c r="E260" s="73" t="n">
        <v>1</v>
      </c>
      <c r="F260" s="41" t="n">
        <v>81174.19</v>
      </c>
      <c r="G260" s="41" t="n">
        <v>81174.19</v>
      </c>
      <c r="H260" s="1" t="s">
        <v>405</v>
      </c>
    </row>
    <row r="261" customFormat="false" ht="15" hidden="false" customHeight="true" outlineLevel="0" collapsed="false">
      <c r="A261" s="1" t="s">
        <v>602</v>
      </c>
      <c r="B261" s="1" t="s">
        <v>55</v>
      </c>
      <c r="C261" s="1" t="s">
        <v>404</v>
      </c>
      <c r="D261" s="1" t="s">
        <v>267</v>
      </c>
      <c r="E261" s="73" t="n">
        <v>1</v>
      </c>
      <c r="F261" s="41" t="n">
        <v>24421.33</v>
      </c>
      <c r="G261" s="41" t="n">
        <v>24421.33</v>
      </c>
      <c r="H261" s="1" t="s">
        <v>405</v>
      </c>
    </row>
    <row r="262" customFormat="false" ht="15" hidden="false" customHeight="true" outlineLevel="0" collapsed="false">
      <c r="A262" s="1" t="s">
        <v>602</v>
      </c>
      <c r="B262" s="1" t="s">
        <v>55</v>
      </c>
      <c r="C262" s="1" t="s">
        <v>404</v>
      </c>
      <c r="D262" s="1" t="s">
        <v>264</v>
      </c>
      <c r="E262" s="73" t="n">
        <v>1</v>
      </c>
      <c r="F262" s="41" t="n">
        <v>29324.31</v>
      </c>
      <c r="G262" s="41" t="n">
        <v>29324.31</v>
      </c>
      <c r="H262" s="1" t="s">
        <v>405</v>
      </c>
    </row>
    <row r="263" customFormat="false" ht="15" hidden="false" customHeight="true" outlineLevel="0" collapsed="false">
      <c r="A263" s="1" t="s">
        <v>602</v>
      </c>
      <c r="B263" s="1" t="s">
        <v>406</v>
      </c>
      <c r="C263" s="1" t="s">
        <v>407</v>
      </c>
      <c r="D263" s="1" t="s">
        <v>257</v>
      </c>
      <c r="E263" s="73" t="n">
        <v>1</v>
      </c>
      <c r="F263" s="41" t="n">
        <v>1391.04</v>
      </c>
      <c r="G263" s="41" t="n">
        <v>1391.04</v>
      </c>
      <c r="H263" s="1" t="s">
        <v>603</v>
      </c>
    </row>
    <row r="264" customFormat="false" ht="15" hidden="false" customHeight="true" outlineLevel="0" collapsed="false">
      <c r="A264" s="1" t="s">
        <v>602</v>
      </c>
      <c r="B264" s="1" t="s">
        <v>406</v>
      </c>
      <c r="C264" s="1" t="s">
        <v>409</v>
      </c>
      <c r="D264" s="1" t="s">
        <v>257</v>
      </c>
      <c r="E264" s="73" t="n">
        <v>1</v>
      </c>
      <c r="F264" s="41" t="n">
        <v>6752.06</v>
      </c>
      <c r="G264" s="41" t="n">
        <v>6752.06</v>
      </c>
      <c r="H264" s="1" t="s">
        <v>603</v>
      </c>
    </row>
    <row r="265" customFormat="false" ht="15" hidden="false" customHeight="true" outlineLevel="0" collapsed="false">
      <c r="A265" s="1" t="s">
        <v>602</v>
      </c>
      <c r="B265" s="1" t="s">
        <v>406</v>
      </c>
      <c r="C265" s="1" t="s">
        <v>407</v>
      </c>
      <c r="D265" s="1" t="s">
        <v>269</v>
      </c>
      <c r="E265" s="73" t="n">
        <v>0</v>
      </c>
      <c r="F265" s="41" t="n">
        <v>0</v>
      </c>
      <c r="G265" s="41" t="n">
        <v>0</v>
      </c>
      <c r="H265" s="1" t="s">
        <v>408</v>
      </c>
    </row>
    <row r="266" customFormat="false" ht="15" hidden="false" customHeight="true" outlineLevel="0" collapsed="false">
      <c r="A266" s="1" t="s">
        <v>602</v>
      </c>
      <c r="B266" s="1" t="s">
        <v>406</v>
      </c>
      <c r="C266" s="1" t="s">
        <v>409</v>
      </c>
      <c r="D266" s="1" t="s">
        <v>269</v>
      </c>
      <c r="E266" s="73" t="n">
        <v>1</v>
      </c>
      <c r="F266" s="41" t="n">
        <v>71.25</v>
      </c>
      <c r="G266" s="41" t="n">
        <v>71.25</v>
      </c>
      <c r="H266" s="1" t="s">
        <v>603</v>
      </c>
    </row>
    <row r="267" customFormat="false" ht="15" hidden="false" customHeight="true" outlineLevel="0" collapsed="false">
      <c r="A267" s="1" t="s">
        <v>602</v>
      </c>
      <c r="B267" s="1" t="s">
        <v>406</v>
      </c>
      <c r="C267" s="1" t="s">
        <v>407</v>
      </c>
      <c r="D267" s="1" t="s">
        <v>271</v>
      </c>
      <c r="E267" s="73" t="n">
        <v>0</v>
      </c>
      <c r="F267" s="41" t="n">
        <v>0</v>
      </c>
      <c r="G267" s="41" t="n">
        <v>0</v>
      </c>
      <c r="H267" s="1" t="s">
        <v>411</v>
      </c>
    </row>
    <row r="268" customFormat="false" ht="15" hidden="false" customHeight="true" outlineLevel="0" collapsed="false">
      <c r="A268" s="1" t="s">
        <v>602</v>
      </c>
      <c r="B268" s="1" t="s">
        <v>406</v>
      </c>
      <c r="C268" s="1" t="s">
        <v>412</v>
      </c>
      <c r="D268" s="1" t="s">
        <v>271</v>
      </c>
      <c r="E268" s="73" t="n">
        <v>0</v>
      </c>
      <c r="F268" s="41" t="n">
        <v>0</v>
      </c>
      <c r="G268" s="41" t="n">
        <v>0</v>
      </c>
      <c r="H268" s="1" t="s">
        <v>413</v>
      </c>
    </row>
    <row r="269" customFormat="false" ht="15" hidden="false" customHeight="true" outlineLevel="0" collapsed="false">
      <c r="A269" s="1" t="s">
        <v>602</v>
      </c>
      <c r="B269" s="1" t="s">
        <v>406</v>
      </c>
      <c r="C269" s="1" t="s">
        <v>407</v>
      </c>
      <c r="D269" s="1" t="s">
        <v>275</v>
      </c>
      <c r="E269" s="73" t="n">
        <v>0</v>
      </c>
      <c r="F269" s="41" t="n">
        <v>0</v>
      </c>
      <c r="G269" s="41" t="n">
        <v>0</v>
      </c>
      <c r="H269" s="1" t="s">
        <v>411</v>
      </c>
    </row>
    <row r="270" customFormat="false" ht="15" hidden="false" customHeight="true" outlineLevel="0" collapsed="false">
      <c r="A270" s="1" t="s">
        <v>602</v>
      </c>
      <c r="B270" s="1" t="s">
        <v>406</v>
      </c>
      <c r="C270" s="1" t="s">
        <v>409</v>
      </c>
      <c r="D270" s="1" t="s">
        <v>275</v>
      </c>
      <c r="E270" s="73" t="n">
        <v>1</v>
      </c>
      <c r="F270" s="41" t="n">
        <v>38.5</v>
      </c>
      <c r="G270" s="41" t="n">
        <v>38.5</v>
      </c>
      <c r="H270" s="1" t="s">
        <v>603</v>
      </c>
    </row>
    <row r="271" customFormat="false" ht="15" hidden="false" customHeight="true" outlineLevel="0" collapsed="false">
      <c r="A271" s="1" t="s">
        <v>602</v>
      </c>
      <c r="B271" s="1" t="s">
        <v>406</v>
      </c>
      <c r="C271" s="1" t="s">
        <v>407</v>
      </c>
      <c r="D271" s="1" t="s">
        <v>272</v>
      </c>
      <c r="E271" s="73" t="n">
        <v>0</v>
      </c>
      <c r="F271" s="41" t="n">
        <v>0</v>
      </c>
      <c r="G271" s="41" t="n">
        <v>0</v>
      </c>
      <c r="H271" s="1" t="s">
        <v>408</v>
      </c>
    </row>
    <row r="272" customFormat="false" ht="15" hidden="false" customHeight="true" outlineLevel="0" collapsed="false">
      <c r="A272" s="1" t="s">
        <v>602</v>
      </c>
      <c r="B272" s="1" t="s">
        <v>406</v>
      </c>
      <c r="C272" s="1" t="s">
        <v>409</v>
      </c>
      <c r="D272" s="1" t="s">
        <v>272</v>
      </c>
      <c r="E272" s="73" t="n">
        <v>0</v>
      </c>
      <c r="F272" s="41" t="n">
        <v>0</v>
      </c>
      <c r="G272" s="41" t="n">
        <v>0</v>
      </c>
      <c r="H272" s="1" t="s">
        <v>414</v>
      </c>
    </row>
    <row r="273" customFormat="false" ht="15" hidden="false" customHeight="true" outlineLevel="0" collapsed="false">
      <c r="A273" s="1" t="s">
        <v>602</v>
      </c>
      <c r="B273" s="1" t="s">
        <v>406</v>
      </c>
      <c r="C273" s="1" t="s">
        <v>407</v>
      </c>
      <c r="D273" s="1" t="s">
        <v>266</v>
      </c>
      <c r="E273" s="73" t="n">
        <v>0</v>
      </c>
      <c r="F273" s="41" t="n">
        <v>0</v>
      </c>
      <c r="G273" s="41" t="n">
        <v>0</v>
      </c>
      <c r="H273" s="1" t="s">
        <v>415</v>
      </c>
    </row>
    <row r="274" customFormat="false" ht="15" hidden="false" customHeight="true" outlineLevel="0" collapsed="false">
      <c r="A274" s="1" t="s">
        <v>602</v>
      </c>
      <c r="B274" s="1" t="s">
        <v>406</v>
      </c>
      <c r="C274" s="1" t="s">
        <v>409</v>
      </c>
      <c r="D274" s="1" t="s">
        <v>266</v>
      </c>
      <c r="E274" s="73" t="n">
        <v>1</v>
      </c>
      <c r="F274" s="41" t="n">
        <v>114</v>
      </c>
      <c r="G274" s="41" t="n">
        <v>114</v>
      </c>
      <c r="H274" s="1" t="s">
        <v>603</v>
      </c>
    </row>
    <row r="275" customFormat="false" ht="15" hidden="false" customHeight="true" outlineLevel="0" collapsed="false">
      <c r="A275" s="1" t="s">
        <v>602</v>
      </c>
      <c r="B275" s="1" t="s">
        <v>406</v>
      </c>
      <c r="C275" s="1" t="s">
        <v>409</v>
      </c>
      <c r="D275" s="1" t="s">
        <v>266</v>
      </c>
      <c r="E275" s="73" t="n">
        <v>0</v>
      </c>
      <c r="F275" s="41" t="n">
        <v>0</v>
      </c>
      <c r="G275" s="41" t="n">
        <v>0</v>
      </c>
      <c r="H275" s="1" t="s">
        <v>410</v>
      </c>
    </row>
    <row r="276" customFormat="false" ht="15" hidden="false" customHeight="true" outlineLevel="0" collapsed="false">
      <c r="A276" s="1" t="s">
        <v>602</v>
      </c>
      <c r="B276" s="1" t="s">
        <v>406</v>
      </c>
      <c r="C276" s="1" t="s">
        <v>407</v>
      </c>
      <c r="D276" s="1" t="s">
        <v>267</v>
      </c>
      <c r="E276" s="73" t="n">
        <v>0</v>
      </c>
      <c r="F276" s="41" t="n">
        <v>0</v>
      </c>
      <c r="G276" s="41" t="n">
        <v>0</v>
      </c>
      <c r="H276" s="1" t="s">
        <v>411</v>
      </c>
    </row>
    <row r="277" customFormat="false" ht="15" hidden="false" customHeight="true" outlineLevel="0" collapsed="false">
      <c r="A277" s="1" t="s">
        <v>602</v>
      </c>
      <c r="B277" s="1" t="s">
        <v>406</v>
      </c>
      <c r="C277" s="1" t="s">
        <v>407</v>
      </c>
      <c r="D277" s="1" t="s">
        <v>267</v>
      </c>
      <c r="E277" s="73" t="n">
        <v>0</v>
      </c>
      <c r="F277" s="41" t="n">
        <v>0</v>
      </c>
      <c r="G277" s="41" t="n">
        <v>0</v>
      </c>
      <c r="H277" s="1" t="s">
        <v>416</v>
      </c>
    </row>
    <row r="278" customFormat="false" ht="15" hidden="false" customHeight="true" outlineLevel="0" collapsed="false">
      <c r="A278" s="1" t="s">
        <v>602</v>
      </c>
      <c r="B278" s="1" t="s">
        <v>78</v>
      </c>
      <c r="C278" s="1" t="s">
        <v>417</v>
      </c>
      <c r="D278" s="1" t="s">
        <v>275</v>
      </c>
      <c r="E278" s="73" t="n">
        <v>3650</v>
      </c>
      <c r="F278" s="41" t="n">
        <v>0.526319311045773</v>
      </c>
      <c r="G278" s="41" t="n">
        <v>1921.06548531707</v>
      </c>
      <c r="H278" s="1" t="s">
        <v>402</v>
      </c>
    </row>
    <row r="279" customFormat="false" ht="15" hidden="false" customHeight="true" outlineLevel="0" collapsed="false">
      <c r="A279" s="1" t="s">
        <v>602</v>
      </c>
      <c r="B279" s="1" t="s">
        <v>78</v>
      </c>
      <c r="C279" s="1" t="s">
        <v>417</v>
      </c>
      <c r="D279" s="1" t="s">
        <v>272</v>
      </c>
      <c r="E279" s="73" t="n">
        <v>6396</v>
      </c>
      <c r="F279" s="41" t="n">
        <v>0.526319311045773</v>
      </c>
      <c r="G279" s="41" t="n">
        <v>3366.33831344876</v>
      </c>
      <c r="H279" s="1" t="s">
        <v>402</v>
      </c>
    </row>
    <row r="280" customFormat="false" ht="15" hidden="false" customHeight="true" outlineLevel="0" collapsed="false">
      <c r="A280" s="1" t="s">
        <v>602</v>
      </c>
      <c r="B280" s="1" t="s">
        <v>78</v>
      </c>
      <c r="C280" s="1" t="s">
        <v>417</v>
      </c>
      <c r="D280" s="1" t="s">
        <v>266</v>
      </c>
      <c r="E280" s="73" t="n">
        <v>14331</v>
      </c>
      <c r="F280" s="41" t="n">
        <v>0.526319311045773</v>
      </c>
      <c r="G280" s="41" t="n">
        <v>7542.68204659697</v>
      </c>
      <c r="H280" s="1" t="s">
        <v>402</v>
      </c>
    </row>
    <row r="281" customFormat="false" ht="15" hidden="false" customHeight="true" outlineLevel="0" collapsed="false">
      <c r="A281" s="1" t="s">
        <v>602</v>
      </c>
      <c r="B281" s="1" t="s">
        <v>78</v>
      </c>
      <c r="C281" s="1" t="s">
        <v>417</v>
      </c>
      <c r="D281" s="1" t="s">
        <v>264</v>
      </c>
      <c r="E281" s="73" t="n">
        <v>4782</v>
      </c>
      <c r="F281" s="41" t="n">
        <v>0.526319311045773</v>
      </c>
      <c r="G281" s="41" t="n">
        <v>2516.85894542089</v>
      </c>
      <c r="H281" s="1" t="s">
        <v>402</v>
      </c>
    </row>
    <row r="282" customFormat="false" ht="15" hidden="false" customHeight="true" outlineLevel="0" collapsed="false">
      <c r="A282" s="1" t="s">
        <v>602</v>
      </c>
      <c r="B282" s="1" t="s">
        <v>418</v>
      </c>
      <c r="C282" s="1" t="s">
        <v>419</v>
      </c>
      <c r="D282" s="1" t="s">
        <v>257</v>
      </c>
      <c r="E282" s="73" t="n">
        <v>4995</v>
      </c>
      <c r="F282" s="41" t="n">
        <v>1.86</v>
      </c>
      <c r="G282" s="41" t="n">
        <v>9290.7</v>
      </c>
      <c r="H282" s="1" t="s">
        <v>604</v>
      </c>
    </row>
    <row r="283" customFormat="false" ht="15" hidden="false" customHeight="true" outlineLevel="0" collapsed="false">
      <c r="A283" s="1" t="s">
        <v>602</v>
      </c>
      <c r="B283" s="1" t="s">
        <v>418</v>
      </c>
      <c r="C283" s="1" t="s">
        <v>419</v>
      </c>
      <c r="D283" s="1" t="s">
        <v>257</v>
      </c>
      <c r="E283" s="73" t="n">
        <v>4995</v>
      </c>
      <c r="F283" s="41" t="n">
        <v>1.86</v>
      </c>
      <c r="G283" s="41" t="n">
        <v>9290.7</v>
      </c>
      <c r="H283" s="1" t="s">
        <v>604</v>
      </c>
    </row>
    <row r="284" customFormat="false" ht="15" hidden="false" customHeight="true" outlineLevel="0" collapsed="false">
      <c r="A284" s="1" t="s">
        <v>602</v>
      </c>
      <c r="B284" s="1" t="s">
        <v>418</v>
      </c>
      <c r="C284" s="1" t="s">
        <v>419</v>
      </c>
      <c r="D284" s="1" t="s">
        <v>269</v>
      </c>
      <c r="E284" s="73" t="n">
        <v>305</v>
      </c>
      <c r="F284" s="41" t="n">
        <v>1.86</v>
      </c>
      <c r="G284" s="41" t="n">
        <v>567.3</v>
      </c>
      <c r="H284" s="1" t="s">
        <v>604</v>
      </c>
    </row>
    <row r="285" customFormat="false" ht="15" hidden="false" customHeight="true" outlineLevel="0" collapsed="false">
      <c r="A285" s="1" t="s">
        <v>602</v>
      </c>
      <c r="B285" s="1" t="s">
        <v>418</v>
      </c>
      <c r="C285" s="1" t="s">
        <v>419</v>
      </c>
      <c r="D285" s="1" t="s">
        <v>269</v>
      </c>
      <c r="E285" s="73" t="n">
        <v>305</v>
      </c>
      <c r="F285" s="41" t="n">
        <v>1.86</v>
      </c>
      <c r="G285" s="41" t="n">
        <v>567.3</v>
      </c>
      <c r="H285" s="1" t="s">
        <v>604</v>
      </c>
    </row>
    <row r="286" customFormat="false" ht="15" hidden="false" customHeight="true" outlineLevel="0" collapsed="false">
      <c r="A286" s="1" t="s">
        <v>602</v>
      </c>
      <c r="B286" s="1" t="s">
        <v>418</v>
      </c>
      <c r="C286" s="1" t="s">
        <v>421</v>
      </c>
      <c r="D286" s="1" t="s">
        <v>269</v>
      </c>
      <c r="E286" s="73" t="n">
        <v>2</v>
      </c>
      <c r="F286" s="41" t="n">
        <v>383.56</v>
      </c>
      <c r="G286" s="41" t="n">
        <v>767.12</v>
      </c>
      <c r="H286" s="1" t="s">
        <v>422</v>
      </c>
    </row>
    <row r="287" customFormat="false" ht="15" hidden="false" customHeight="true" outlineLevel="0" collapsed="false">
      <c r="A287" s="1" t="s">
        <v>602</v>
      </c>
      <c r="B287" s="1" t="s">
        <v>418</v>
      </c>
      <c r="C287" s="1" t="s">
        <v>423</v>
      </c>
      <c r="D287" s="1" t="s">
        <v>269</v>
      </c>
      <c r="E287" s="73" t="n">
        <v>0</v>
      </c>
      <c r="F287" s="41" t="n">
        <v>0</v>
      </c>
      <c r="G287" s="41" t="n">
        <v>0</v>
      </c>
      <c r="H287" s="1" t="s">
        <v>424</v>
      </c>
    </row>
    <row r="288" customFormat="false" ht="15" hidden="false" customHeight="true" outlineLevel="0" collapsed="false">
      <c r="A288" s="1" t="s">
        <v>602</v>
      </c>
      <c r="B288" s="1" t="s">
        <v>418</v>
      </c>
      <c r="C288" s="1" t="s">
        <v>425</v>
      </c>
      <c r="D288" s="1" t="s">
        <v>269</v>
      </c>
      <c r="E288" s="73" t="n">
        <v>0</v>
      </c>
      <c r="F288" s="41" t="n">
        <v>0</v>
      </c>
      <c r="G288" s="41" t="n">
        <v>0</v>
      </c>
      <c r="H288" s="1" t="s">
        <v>426</v>
      </c>
    </row>
    <row r="289" customFormat="false" ht="15" hidden="false" customHeight="true" outlineLevel="0" collapsed="false">
      <c r="A289" s="1" t="s">
        <v>602</v>
      </c>
      <c r="B289" s="1" t="s">
        <v>418</v>
      </c>
      <c r="C289" s="1" t="s">
        <v>427</v>
      </c>
      <c r="D289" s="1" t="s">
        <v>269</v>
      </c>
      <c r="E289" s="73" t="n">
        <v>-1</v>
      </c>
      <c r="F289" s="41" t="n">
        <v>774.2</v>
      </c>
      <c r="G289" s="41" t="n">
        <v>-774.2</v>
      </c>
      <c r="H289" s="1" t="s">
        <v>428</v>
      </c>
    </row>
    <row r="290" customFormat="false" ht="15" hidden="false" customHeight="true" outlineLevel="0" collapsed="false">
      <c r="A290" s="1" t="s">
        <v>602</v>
      </c>
      <c r="B290" s="1" t="s">
        <v>418</v>
      </c>
      <c r="C290" s="1" t="s">
        <v>427</v>
      </c>
      <c r="D290" s="1" t="s">
        <v>269</v>
      </c>
      <c r="E290" s="73" t="n">
        <v>-1</v>
      </c>
      <c r="F290" s="41" t="n">
        <v>4167</v>
      </c>
      <c r="G290" s="41" t="n">
        <v>-4167</v>
      </c>
      <c r="H290" s="1" t="s">
        <v>429</v>
      </c>
    </row>
    <row r="291" customFormat="false" ht="15" hidden="false" customHeight="true" outlineLevel="0" collapsed="false">
      <c r="A291" s="1" t="s">
        <v>602</v>
      </c>
      <c r="B291" s="1" t="s">
        <v>418</v>
      </c>
      <c r="C291" s="1" t="s">
        <v>430</v>
      </c>
      <c r="D291" s="1" t="s">
        <v>269</v>
      </c>
      <c r="E291" s="73" t="n">
        <v>3</v>
      </c>
      <c r="F291" s="41" t="n">
        <v>0</v>
      </c>
      <c r="G291" s="41" t="n">
        <v>0</v>
      </c>
      <c r="H291" s="1" t="s">
        <v>431</v>
      </c>
    </row>
    <row r="292" customFormat="false" ht="15" hidden="false" customHeight="true" outlineLevel="0" collapsed="false">
      <c r="A292" s="1" t="s">
        <v>602</v>
      </c>
      <c r="B292" s="1" t="s">
        <v>418</v>
      </c>
      <c r="C292" s="1" t="s">
        <v>432</v>
      </c>
      <c r="D292" s="1" t="s">
        <v>269</v>
      </c>
      <c r="E292" s="73" t="n">
        <v>0</v>
      </c>
      <c r="F292" s="41" t="n">
        <v>0</v>
      </c>
      <c r="G292" s="41" t="n">
        <v>0</v>
      </c>
      <c r="H292" s="1" t="s">
        <v>431</v>
      </c>
    </row>
    <row r="293" customFormat="false" ht="15" hidden="false" customHeight="true" outlineLevel="0" collapsed="false">
      <c r="A293" s="1" t="s">
        <v>602</v>
      </c>
      <c r="B293" s="1" t="s">
        <v>418</v>
      </c>
      <c r="C293" s="1" t="s">
        <v>433</v>
      </c>
      <c r="D293" s="1" t="s">
        <v>269</v>
      </c>
      <c r="E293" s="73" t="n">
        <v>0</v>
      </c>
      <c r="F293" s="41" t="n">
        <v>0</v>
      </c>
      <c r="G293" s="41" t="n">
        <v>0</v>
      </c>
      <c r="H293" s="1" t="s">
        <v>431</v>
      </c>
    </row>
    <row r="294" customFormat="false" ht="15" hidden="false" customHeight="true" outlineLevel="0" collapsed="false">
      <c r="A294" s="1" t="s">
        <v>602</v>
      </c>
      <c r="B294" s="1" t="s">
        <v>418</v>
      </c>
      <c r="C294" s="1" t="s">
        <v>434</v>
      </c>
      <c r="D294" s="1" t="s">
        <v>269</v>
      </c>
      <c r="E294" s="73" t="n">
        <v>5</v>
      </c>
      <c r="F294" s="41" t="n">
        <v>0</v>
      </c>
      <c r="G294" s="41" t="n">
        <v>0</v>
      </c>
      <c r="H294" s="1" t="s">
        <v>431</v>
      </c>
    </row>
    <row r="295" customFormat="false" ht="15" hidden="false" customHeight="true" outlineLevel="0" collapsed="false">
      <c r="A295" s="1" t="s">
        <v>602</v>
      </c>
      <c r="B295" s="1" t="s">
        <v>418</v>
      </c>
      <c r="C295" s="1" t="s">
        <v>435</v>
      </c>
      <c r="D295" s="1" t="s">
        <v>269</v>
      </c>
      <c r="E295" s="73" t="n">
        <v>0</v>
      </c>
      <c r="F295" s="41" t="n">
        <v>0</v>
      </c>
      <c r="G295" s="41" t="n">
        <v>0</v>
      </c>
      <c r="H295" s="1" t="s">
        <v>431</v>
      </c>
    </row>
    <row r="296" customFormat="false" ht="15" hidden="false" customHeight="true" outlineLevel="0" collapsed="false">
      <c r="A296" s="1" t="s">
        <v>602</v>
      </c>
      <c r="B296" s="1" t="s">
        <v>418</v>
      </c>
      <c r="C296" s="1" t="s">
        <v>436</v>
      </c>
      <c r="D296" s="1" t="s">
        <v>271</v>
      </c>
      <c r="E296" s="73" t="n">
        <v>1</v>
      </c>
      <c r="F296" s="41" t="n">
        <v>33.5</v>
      </c>
      <c r="G296" s="41" t="n">
        <v>33.5</v>
      </c>
      <c r="H296" s="1" t="s">
        <v>437</v>
      </c>
    </row>
    <row r="297" customFormat="false" ht="15" hidden="false" customHeight="true" outlineLevel="0" collapsed="false">
      <c r="A297" s="1" t="s">
        <v>602</v>
      </c>
      <c r="B297" s="1" t="s">
        <v>418</v>
      </c>
      <c r="C297" s="1" t="s">
        <v>436</v>
      </c>
      <c r="D297" s="1" t="s">
        <v>271</v>
      </c>
      <c r="E297" s="73" t="n">
        <v>1</v>
      </c>
      <c r="F297" s="41" t="n">
        <v>22</v>
      </c>
      <c r="G297" s="41" t="n">
        <v>22</v>
      </c>
      <c r="H297" s="1" t="s">
        <v>438</v>
      </c>
    </row>
    <row r="298" customFormat="false" ht="15" hidden="false" customHeight="true" outlineLevel="0" collapsed="false">
      <c r="A298" s="1" t="s">
        <v>602</v>
      </c>
      <c r="B298" s="1" t="s">
        <v>418</v>
      </c>
      <c r="C298" s="1" t="s">
        <v>419</v>
      </c>
      <c r="D298" s="1" t="s">
        <v>271</v>
      </c>
      <c r="E298" s="73" t="n">
        <v>322</v>
      </c>
      <c r="F298" s="41" t="n">
        <v>1.86</v>
      </c>
      <c r="G298" s="41" t="n">
        <v>598.92</v>
      </c>
      <c r="H298" s="1" t="s">
        <v>604</v>
      </c>
    </row>
    <row r="299" customFormat="false" ht="15" hidden="false" customHeight="true" outlineLevel="0" collapsed="false">
      <c r="A299" s="1" t="s">
        <v>602</v>
      </c>
      <c r="B299" s="1" t="s">
        <v>418</v>
      </c>
      <c r="C299" s="1" t="s">
        <v>419</v>
      </c>
      <c r="D299" s="1" t="s">
        <v>271</v>
      </c>
      <c r="E299" s="73" t="n">
        <v>322</v>
      </c>
      <c r="F299" s="41" t="n">
        <v>1.86</v>
      </c>
      <c r="G299" s="41" t="n">
        <v>598.92</v>
      </c>
      <c r="H299" s="1" t="s">
        <v>604</v>
      </c>
    </row>
    <row r="300" customFormat="false" ht="15" hidden="false" customHeight="true" outlineLevel="0" collapsed="false">
      <c r="A300" s="1" t="s">
        <v>602</v>
      </c>
      <c r="B300" s="1" t="s">
        <v>418</v>
      </c>
      <c r="C300" s="1" t="s">
        <v>421</v>
      </c>
      <c r="D300" s="1" t="s">
        <v>271</v>
      </c>
      <c r="E300" s="73" t="n">
        <v>5</v>
      </c>
      <c r="F300" s="41" t="n">
        <v>383.56</v>
      </c>
      <c r="G300" s="41" t="n">
        <v>1917.8</v>
      </c>
      <c r="H300" s="1" t="s">
        <v>439</v>
      </c>
    </row>
    <row r="301" customFormat="false" ht="15" hidden="false" customHeight="true" outlineLevel="0" collapsed="false">
      <c r="A301" s="1" t="s">
        <v>602</v>
      </c>
      <c r="B301" s="1" t="s">
        <v>418</v>
      </c>
      <c r="C301" s="1" t="s">
        <v>423</v>
      </c>
      <c r="D301" s="1" t="s">
        <v>271</v>
      </c>
      <c r="E301" s="73" t="n">
        <v>1</v>
      </c>
      <c r="F301" s="41" t="n">
        <v>338.53</v>
      </c>
      <c r="G301" s="41" t="n">
        <v>338.53</v>
      </c>
      <c r="H301" s="1" t="s">
        <v>440</v>
      </c>
    </row>
    <row r="302" customFormat="false" ht="15" hidden="false" customHeight="true" outlineLevel="0" collapsed="false">
      <c r="A302" s="1" t="s">
        <v>602</v>
      </c>
      <c r="B302" s="1" t="s">
        <v>418</v>
      </c>
      <c r="C302" s="1" t="s">
        <v>425</v>
      </c>
      <c r="D302" s="1" t="s">
        <v>271</v>
      </c>
      <c r="E302" s="73" t="n">
        <v>1</v>
      </c>
      <c r="F302" s="41" t="n">
        <v>400.26</v>
      </c>
      <c r="G302" s="41" t="n">
        <v>400.26</v>
      </c>
      <c r="H302" s="1" t="s">
        <v>441</v>
      </c>
    </row>
    <row r="303" customFormat="false" ht="15" hidden="false" customHeight="true" outlineLevel="0" collapsed="false">
      <c r="A303" s="1" t="s">
        <v>602</v>
      </c>
      <c r="B303" s="1" t="s">
        <v>418</v>
      </c>
      <c r="C303" s="1" t="s">
        <v>427</v>
      </c>
      <c r="D303" s="1" t="s">
        <v>271</v>
      </c>
      <c r="E303" s="73" t="n">
        <v>1</v>
      </c>
      <c r="F303" s="41" t="n">
        <v>324</v>
      </c>
      <c r="G303" s="41" t="n">
        <v>324</v>
      </c>
      <c r="H303" s="1" t="s">
        <v>442</v>
      </c>
    </row>
    <row r="304" customFormat="false" ht="15" hidden="false" customHeight="true" outlineLevel="0" collapsed="false">
      <c r="A304" s="1" t="s">
        <v>602</v>
      </c>
      <c r="B304" s="1" t="s">
        <v>418</v>
      </c>
      <c r="C304" s="1" t="s">
        <v>427</v>
      </c>
      <c r="D304" s="1" t="s">
        <v>271</v>
      </c>
      <c r="E304" s="73" t="n">
        <v>64</v>
      </c>
      <c r="F304" s="41" t="n">
        <v>23.15</v>
      </c>
      <c r="G304" s="41" t="n">
        <v>1481.6</v>
      </c>
      <c r="H304" s="1" t="s">
        <v>443</v>
      </c>
    </row>
    <row r="305" customFormat="false" ht="15" hidden="false" customHeight="true" outlineLevel="0" collapsed="false">
      <c r="A305" s="1" t="s">
        <v>602</v>
      </c>
      <c r="B305" s="1" t="s">
        <v>418</v>
      </c>
      <c r="C305" s="1" t="s">
        <v>444</v>
      </c>
      <c r="D305" s="1" t="s">
        <v>271</v>
      </c>
      <c r="E305" s="73" t="n">
        <v>3</v>
      </c>
      <c r="F305" s="41" t="n">
        <v>0</v>
      </c>
      <c r="G305" s="41" t="n">
        <v>0</v>
      </c>
      <c r="H305" s="1" t="s">
        <v>431</v>
      </c>
    </row>
    <row r="306" customFormat="false" ht="15" hidden="false" customHeight="true" outlineLevel="0" collapsed="false">
      <c r="A306" s="1" t="s">
        <v>602</v>
      </c>
      <c r="B306" s="1" t="s">
        <v>418</v>
      </c>
      <c r="C306" s="1" t="s">
        <v>432</v>
      </c>
      <c r="D306" s="1" t="s">
        <v>271</v>
      </c>
      <c r="E306" s="73" t="n">
        <v>1</v>
      </c>
      <c r="F306" s="41" t="n">
        <v>0</v>
      </c>
      <c r="G306" s="41" t="n">
        <v>0</v>
      </c>
      <c r="H306" s="1" t="s">
        <v>431</v>
      </c>
    </row>
    <row r="307" customFormat="false" ht="15" hidden="false" customHeight="true" outlineLevel="0" collapsed="false">
      <c r="A307" s="1" t="s">
        <v>602</v>
      </c>
      <c r="B307" s="1" t="s">
        <v>418</v>
      </c>
      <c r="C307" s="1" t="s">
        <v>445</v>
      </c>
      <c r="D307" s="1" t="s">
        <v>271</v>
      </c>
      <c r="E307" s="73" t="n">
        <v>0</v>
      </c>
      <c r="F307" s="41" t="n">
        <v>0</v>
      </c>
      <c r="G307" s="41" t="n">
        <v>0</v>
      </c>
      <c r="H307" s="1" t="s">
        <v>431</v>
      </c>
    </row>
    <row r="308" customFormat="false" ht="15" hidden="false" customHeight="true" outlineLevel="0" collapsed="false">
      <c r="A308" s="1" t="s">
        <v>602</v>
      </c>
      <c r="B308" s="1" t="s">
        <v>418</v>
      </c>
      <c r="C308" s="1" t="s">
        <v>446</v>
      </c>
      <c r="D308" s="1" t="s">
        <v>271</v>
      </c>
      <c r="E308" s="73" t="n">
        <v>2</v>
      </c>
      <c r="F308" s="41" t="n">
        <v>0</v>
      </c>
      <c r="G308" s="41" t="n">
        <v>0</v>
      </c>
      <c r="H308" s="1" t="s">
        <v>431</v>
      </c>
    </row>
    <row r="309" customFormat="false" ht="15" hidden="false" customHeight="true" outlineLevel="0" collapsed="false">
      <c r="A309" s="1" t="s">
        <v>602</v>
      </c>
      <c r="B309" s="1" t="s">
        <v>418</v>
      </c>
      <c r="C309" s="1" t="s">
        <v>447</v>
      </c>
      <c r="D309" s="1" t="s">
        <v>271</v>
      </c>
      <c r="E309" s="73" t="n">
        <v>5</v>
      </c>
      <c r="F309" s="41" t="n">
        <v>0</v>
      </c>
      <c r="G309" s="41" t="n">
        <v>0</v>
      </c>
      <c r="H309" s="1" t="s">
        <v>431</v>
      </c>
    </row>
    <row r="310" customFormat="false" ht="15" hidden="false" customHeight="true" outlineLevel="0" collapsed="false">
      <c r="A310" s="1" t="s">
        <v>602</v>
      </c>
      <c r="B310" s="1" t="s">
        <v>418</v>
      </c>
      <c r="C310" s="1" t="s">
        <v>448</v>
      </c>
      <c r="D310" s="1" t="s">
        <v>271</v>
      </c>
      <c r="E310" s="73" t="n">
        <v>0</v>
      </c>
      <c r="F310" s="41" t="n">
        <v>0</v>
      </c>
      <c r="G310" s="41" t="n">
        <v>0</v>
      </c>
      <c r="H310" s="1" t="s">
        <v>431</v>
      </c>
    </row>
    <row r="311" customFormat="false" ht="15" hidden="false" customHeight="true" outlineLevel="0" collapsed="false">
      <c r="A311" s="1" t="s">
        <v>602</v>
      </c>
      <c r="B311" s="1" t="s">
        <v>418</v>
      </c>
      <c r="C311" s="1" t="s">
        <v>419</v>
      </c>
      <c r="D311" s="1" t="s">
        <v>275</v>
      </c>
      <c r="E311" s="73" t="n">
        <v>240</v>
      </c>
      <c r="F311" s="41" t="n">
        <v>1.86</v>
      </c>
      <c r="G311" s="41" t="n">
        <v>446.4</v>
      </c>
      <c r="H311" s="1" t="s">
        <v>604</v>
      </c>
    </row>
    <row r="312" customFormat="false" ht="15" hidden="false" customHeight="true" outlineLevel="0" collapsed="false">
      <c r="A312" s="1" t="s">
        <v>602</v>
      </c>
      <c r="B312" s="1" t="s">
        <v>418</v>
      </c>
      <c r="C312" s="1" t="s">
        <v>419</v>
      </c>
      <c r="D312" s="1" t="s">
        <v>275</v>
      </c>
      <c r="E312" s="73" t="n">
        <v>240</v>
      </c>
      <c r="F312" s="41" t="n">
        <v>1.86</v>
      </c>
      <c r="G312" s="41" t="n">
        <v>446.4</v>
      </c>
      <c r="H312" s="1" t="s">
        <v>604</v>
      </c>
    </row>
    <row r="313" customFormat="false" ht="15" hidden="false" customHeight="true" outlineLevel="0" collapsed="false">
      <c r="A313" s="1" t="s">
        <v>602</v>
      </c>
      <c r="B313" s="1" t="s">
        <v>418</v>
      </c>
      <c r="C313" s="1" t="s">
        <v>421</v>
      </c>
      <c r="D313" s="1" t="s">
        <v>275</v>
      </c>
      <c r="E313" s="73" t="n">
        <v>0</v>
      </c>
      <c r="F313" s="41" t="n">
        <v>0</v>
      </c>
      <c r="G313" s="41" t="n">
        <v>0</v>
      </c>
      <c r="H313" s="1" t="s">
        <v>422</v>
      </c>
    </row>
    <row r="314" customFormat="false" ht="15" hidden="false" customHeight="true" outlineLevel="0" collapsed="false">
      <c r="A314" s="1" t="s">
        <v>602</v>
      </c>
      <c r="B314" s="1" t="s">
        <v>418</v>
      </c>
      <c r="C314" s="1" t="s">
        <v>423</v>
      </c>
      <c r="D314" s="1" t="s">
        <v>275</v>
      </c>
      <c r="E314" s="73" t="n">
        <v>2</v>
      </c>
      <c r="F314" s="41" t="n">
        <v>338.53</v>
      </c>
      <c r="G314" s="41" t="n">
        <v>677.06</v>
      </c>
      <c r="H314" s="1" t="s">
        <v>422</v>
      </c>
    </row>
    <row r="315" customFormat="false" ht="15" hidden="false" customHeight="true" outlineLevel="0" collapsed="false">
      <c r="A315" s="1" t="s">
        <v>602</v>
      </c>
      <c r="B315" s="1" t="s">
        <v>418</v>
      </c>
      <c r="C315" s="1" t="s">
        <v>425</v>
      </c>
      <c r="D315" s="1" t="s">
        <v>275</v>
      </c>
      <c r="E315" s="73" t="n">
        <v>0</v>
      </c>
      <c r="F315" s="41" t="n">
        <v>0</v>
      </c>
      <c r="G315" s="41" t="n">
        <v>0</v>
      </c>
      <c r="H315" s="1" t="s">
        <v>449</v>
      </c>
    </row>
    <row r="316" customFormat="false" ht="15" hidden="false" customHeight="true" outlineLevel="0" collapsed="false">
      <c r="A316" s="1" t="s">
        <v>602</v>
      </c>
      <c r="B316" s="1" t="s">
        <v>418</v>
      </c>
      <c r="C316" s="1" t="s">
        <v>432</v>
      </c>
      <c r="D316" s="1" t="s">
        <v>275</v>
      </c>
      <c r="E316" s="73" t="n">
        <v>1</v>
      </c>
      <c r="F316" s="41" t="n">
        <v>0</v>
      </c>
      <c r="G316" s="41" t="n">
        <v>0</v>
      </c>
      <c r="H316" s="1" t="s">
        <v>431</v>
      </c>
    </row>
    <row r="317" customFormat="false" ht="15" hidden="false" customHeight="true" outlineLevel="0" collapsed="false">
      <c r="A317" s="1" t="s">
        <v>602</v>
      </c>
      <c r="B317" s="1" t="s">
        <v>418</v>
      </c>
      <c r="C317" s="1" t="s">
        <v>450</v>
      </c>
      <c r="D317" s="1" t="s">
        <v>275</v>
      </c>
      <c r="E317" s="73" t="n">
        <v>3</v>
      </c>
      <c r="F317" s="41" t="n">
        <v>0</v>
      </c>
      <c r="G317" s="41" t="n">
        <v>0</v>
      </c>
      <c r="H317" s="1" t="s">
        <v>431</v>
      </c>
    </row>
    <row r="318" customFormat="false" ht="15" hidden="false" customHeight="true" outlineLevel="0" collapsed="false">
      <c r="A318" s="1" t="s">
        <v>602</v>
      </c>
      <c r="B318" s="1" t="s">
        <v>418</v>
      </c>
      <c r="C318" s="1" t="s">
        <v>451</v>
      </c>
      <c r="D318" s="1" t="s">
        <v>275</v>
      </c>
      <c r="E318" s="73" t="n">
        <v>0</v>
      </c>
      <c r="F318" s="41" t="n">
        <v>0</v>
      </c>
      <c r="G318" s="41" t="n">
        <v>0</v>
      </c>
      <c r="H318" s="1" t="s">
        <v>431</v>
      </c>
    </row>
    <row r="319" customFormat="false" ht="15" hidden="false" customHeight="true" outlineLevel="0" collapsed="false">
      <c r="A319" s="1" t="s">
        <v>602</v>
      </c>
      <c r="B319" s="1" t="s">
        <v>418</v>
      </c>
      <c r="C319" s="1" t="s">
        <v>452</v>
      </c>
      <c r="D319" s="1" t="s">
        <v>275</v>
      </c>
      <c r="E319" s="73" t="n">
        <v>0</v>
      </c>
      <c r="F319" s="41" t="n">
        <v>0</v>
      </c>
      <c r="G319" s="41" t="n">
        <v>0</v>
      </c>
      <c r="H319" s="1" t="s">
        <v>431</v>
      </c>
    </row>
    <row r="320" customFormat="false" ht="15" hidden="false" customHeight="true" outlineLevel="0" collapsed="false">
      <c r="A320" s="1" t="s">
        <v>602</v>
      </c>
      <c r="B320" s="1" t="s">
        <v>418</v>
      </c>
      <c r="C320" s="1" t="s">
        <v>419</v>
      </c>
      <c r="D320" s="1" t="s">
        <v>272</v>
      </c>
      <c r="E320" s="73" t="n">
        <v>679</v>
      </c>
      <c r="F320" s="41" t="n">
        <v>1.86</v>
      </c>
      <c r="G320" s="41" t="n">
        <v>1262.94</v>
      </c>
      <c r="H320" s="1" t="s">
        <v>604</v>
      </c>
    </row>
    <row r="321" customFormat="false" ht="15" hidden="false" customHeight="true" outlineLevel="0" collapsed="false">
      <c r="A321" s="1" t="s">
        <v>602</v>
      </c>
      <c r="B321" s="1" t="s">
        <v>418</v>
      </c>
      <c r="C321" s="1" t="s">
        <v>419</v>
      </c>
      <c r="D321" s="1" t="s">
        <v>272</v>
      </c>
      <c r="E321" s="73" t="n">
        <v>679</v>
      </c>
      <c r="F321" s="41" t="n">
        <v>1.86</v>
      </c>
      <c r="G321" s="41" t="n">
        <v>1262.94</v>
      </c>
      <c r="H321" s="1" t="s">
        <v>604</v>
      </c>
    </row>
    <row r="322" customFormat="false" ht="15" hidden="false" customHeight="true" outlineLevel="0" collapsed="false">
      <c r="A322" s="1" t="s">
        <v>602</v>
      </c>
      <c r="B322" s="1" t="s">
        <v>418</v>
      </c>
      <c r="C322" s="1" t="s">
        <v>421</v>
      </c>
      <c r="D322" s="1" t="s">
        <v>272</v>
      </c>
      <c r="E322" s="73" t="n">
        <v>4</v>
      </c>
      <c r="F322" s="41" t="n">
        <v>383.56</v>
      </c>
      <c r="G322" s="41" t="n">
        <v>1534.24</v>
      </c>
      <c r="H322" s="1" t="s">
        <v>453</v>
      </c>
    </row>
    <row r="323" customFormat="false" ht="15" hidden="false" customHeight="true" outlineLevel="0" collapsed="false">
      <c r="A323" s="1" t="s">
        <v>602</v>
      </c>
      <c r="B323" s="1" t="s">
        <v>418</v>
      </c>
      <c r="C323" s="1" t="s">
        <v>423</v>
      </c>
      <c r="D323" s="1" t="s">
        <v>272</v>
      </c>
      <c r="E323" s="73" t="n">
        <v>4</v>
      </c>
      <c r="F323" s="41" t="n">
        <v>338.53</v>
      </c>
      <c r="G323" s="41" t="n">
        <v>1354.12</v>
      </c>
      <c r="H323" s="1" t="s">
        <v>454</v>
      </c>
    </row>
    <row r="324" customFormat="false" ht="15" hidden="false" customHeight="true" outlineLevel="0" collapsed="false">
      <c r="A324" s="1" t="s">
        <v>602</v>
      </c>
      <c r="B324" s="1" t="s">
        <v>418</v>
      </c>
      <c r="C324" s="1" t="s">
        <v>425</v>
      </c>
      <c r="D324" s="1" t="s">
        <v>272</v>
      </c>
      <c r="E324" s="73" t="n">
        <v>2</v>
      </c>
      <c r="F324" s="41" t="n">
        <v>400.26</v>
      </c>
      <c r="G324" s="41" t="n">
        <v>800.52</v>
      </c>
      <c r="H324" s="1" t="s">
        <v>455</v>
      </c>
    </row>
    <row r="325" customFormat="false" ht="15" hidden="false" customHeight="true" outlineLevel="0" collapsed="false">
      <c r="A325" s="1" t="s">
        <v>602</v>
      </c>
      <c r="B325" s="1" t="s">
        <v>418</v>
      </c>
      <c r="C325" s="1" t="s">
        <v>427</v>
      </c>
      <c r="D325" s="1" t="s">
        <v>272</v>
      </c>
      <c r="E325" s="73" t="n">
        <v>1</v>
      </c>
      <c r="F325" s="41" t="n">
        <v>448</v>
      </c>
      <c r="G325" s="41" t="n">
        <v>448</v>
      </c>
      <c r="H325" s="1" t="s">
        <v>456</v>
      </c>
    </row>
    <row r="326" customFormat="false" ht="15" hidden="false" customHeight="true" outlineLevel="0" collapsed="false">
      <c r="A326" s="1" t="s">
        <v>602</v>
      </c>
      <c r="B326" s="1" t="s">
        <v>418</v>
      </c>
      <c r="C326" s="1" t="s">
        <v>427</v>
      </c>
      <c r="D326" s="1" t="s">
        <v>272</v>
      </c>
      <c r="E326" s="73" t="n">
        <v>116</v>
      </c>
      <c r="F326" s="41" t="n">
        <v>23.15</v>
      </c>
      <c r="G326" s="41" t="n">
        <v>2685.4</v>
      </c>
      <c r="H326" s="1" t="s">
        <v>457</v>
      </c>
    </row>
    <row r="327" customFormat="false" ht="15" hidden="false" customHeight="true" outlineLevel="0" collapsed="false">
      <c r="A327" s="1" t="s">
        <v>602</v>
      </c>
      <c r="B327" s="1" t="s">
        <v>418</v>
      </c>
      <c r="C327" s="1" t="s">
        <v>458</v>
      </c>
      <c r="D327" s="1" t="s">
        <v>272</v>
      </c>
      <c r="E327" s="73" t="n">
        <v>2</v>
      </c>
      <c r="F327" s="41" t="n">
        <v>0</v>
      </c>
      <c r="G327" s="41" t="n">
        <v>0</v>
      </c>
      <c r="H327" s="1" t="s">
        <v>431</v>
      </c>
    </row>
    <row r="328" customFormat="false" ht="15" hidden="false" customHeight="true" outlineLevel="0" collapsed="false">
      <c r="A328" s="1" t="s">
        <v>602</v>
      </c>
      <c r="B328" s="1" t="s">
        <v>418</v>
      </c>
      <c r="C328" s="1" t="s">
        <v>459</v>
      </c>
      <c r="D328" s="1" t="s">
        <v>272</v>
      </c>
      <c r="E328" s="73" t="n">
        <v>0</v>
      </c>
      <c r="F328" s="41" t="n">
        <v>0</v>
      </c>
      <c r="G328" s="41" t="n">
        <v>0</v>
      </c>
      <c r="H328" s="1" t="s">
        <v>431</v>
      </c>
    </row>
    <row r="329" customFormat="false" ht="15" hidden="false" customHeight="true" outlineLevel="0" collapsed="false">
      <c r="A329" s="1" t="s">
        <v>602</v>
      </c>
      <c r="B329" s="1" t="s">
        <v>418</v>
      </c>
      <c r="C329" s="1" t="s">
        <v>460</v>
      </c>
      <c r="D329" s="1" t="s">
        <v>272</v>
      </c>
      <c r="E329" s="73" t="n">
        <v>0</v>
      </c>
      <c r="F329" s="41" t="n">
        <v>0</v>
      </c>
      <c r="G329" s="41" t="n">
        <v>0</v>
      </c>
      <c r="H329" s="1" t="s">
        <v>431</v>
      </c>
    </row>
    <row r="330" customFormat="false" ht="15" hidden="false" customHeight="true" outlineLevel="0" collapsed="false">
      <c r="A330" s="1" t="s">
        <v>602</v>
      </c>
      <c r="B330" s="1" t="s">
        <v>418</v>
      </c>
      <c r="C330" s="1" t="s">
        <v>461</v>
      </c>
      <c r="D330" s="1" t="s">
        <v>272</v>
      </c>
      <c r="E330" s="73" t="n">
        <v>0</v>
      </c>
      <c r="F330" s="41" t="n">
        <v>0</v>
      </c>
      <c r="G330" s="41" t="n">
        <v>0</v>
      </c>
      <c r="H330" s="1" t="s">
        <v>431</v>
      </c>
    </row>
    <row r="331" customFormat="false" ht="15" hidden="false" customHeight="true" outlineLevel="0" collapsed="false">
      <c r="A331" s="1" t="s">
        <v>602</v>
      </c>
      <c r="B331" s="1" t="s">
        <v>418</v>
      </c>
      <c r="C331" s="1" t="s">
        <v>419</v>
      </c>
      <c r="D331" s="1" t="s">
        <v>266</v>
      </c>
      <c r="E331" s="73" t="n">
        <v>508</v>
      </c>
      <c r="F331" s="41" t="n">
        <v>1.86</v>
      </c>
      <c r="G331" s="41" t="n">
        <v>944.88</v>
      </c>
      <c r="H331" s="1" t="s">
        <v>604</v>
      </c>
    </row>
    <row r="332" customFormat="false" ht="15" hidden="false" customHeight="true" outlineLevel="0" collapsed="false">
      <c r="A332" s="1" t="s">
        <v>602</v>
      </c>
      <c r="B332" s="1" t="s">
        <v>418</v>
      </c>
      <c r="C332" s="1" t="s">
        <v>419</v>
      </c>
      <c r="D332" s="1" t="s">
        <v>266</v>
      </c>
      <c r="E332" s="73" t="n">
        <v>508</v>
      </c>
      <c r="F332" s="41" t="n">
        <v>1.86</v>
      </c>
      <c r="G332" s="41" t="n">
        <v>944.88</v>
      </c>
      <c r="H332" s="1" t="s">
        <v>604</v>
      </c>
    </row>
    <row r="333" customFormat="false" ht="15" hidden="false" customHeight="true" outlineLevel="0" collapsed="false">
      <c r="A333" s="1" t="s">
        <v>602</v>
      </c>
      <c r="B333" s="1" t="s">
        <v>418</v>
      </c>
      <c r="C333" s="1" t="s">
        <v>421</v>
      </c>
      <c r="D333" s="1" t="s">
        <v>266</v>
      </c>
      <c r="E333" s="73" t="n">
        <v>1</v>
      </c>
      <c r="F333" s="41" t="n">
        <v>383.56</v>
      </c>
      <c r="G333" s="41" t="n">
        <v>383.56</v>
      </c>
      <c r="H333" s="1" t="s">
        <v>462</v>
      </c>
    </row>
    <row r="334" customFormat="false" ht="15" hidden="false" customHeight="true" outlineLevel="0" collapsed="false">
      <c r="A334" s="1" t="s">
        <v>602</v>
      </c>
      <c r="B334" s="1" t="s">
        <v>418</v>
      </c>
      <c r="C334" s="1" t="s">
        <v>423</v>
      </c>
      <c r="D334" s="1" t="s">
        <v>266</v>
      </c>
      <c r="E334" s="73" t="n">
        <v>4</v>
      </c>
      <c r="F334" s="41" t="n">
        <v>338.53</v>
      </c>
      <c r="G334" s="41" t="n">
        <v>1354.12</v>
      </c>
      <c r="H334" s="1" t="s">
        <v>463</v>
      </c>
    </row>
    <row r="335" customFormat="false" ht="15" hidden="false" customHeight="true" outlineLevel="0" collapsed="false">
      <c r="A335" s="1" t="s">
        <v>602</v>
      </c>
      <c r="B335" s="1" t="s">
        <v>418</v>
      </c>
      <c r="C335" s="1" t="s">
        <v>425</v>
      </c>
      <c r="D335" s="1" t="s">
        <v>266</v>
      </c>
      <c r="E335" s="73" t="n">
        <v>1</v>
      </c>
      <c r="F335" s="41" t="n">
        <v>400.26</v>
      </c>
      <c r="G335" s="41" t="n">
        <v>400.26</v>
      </c>
      <c r="H335" s="1" t="s">
        <v>464</v>
      </c>
    </row>
    <row r="336" customFormat="false" ht="15" hidden="false" customHeight="true" outlineLevel="0" collapsed="false">
      <c r="A336" s="1" t="s">
        <v>602</v>
      </c>
      <c r="B336" s="1" t="s">
        <v>418</v>
      </c>
      <c r="C336" s="1" t="s">
        <v>465</v>
      </c>
      <c r="D336" s="1" t="s">
        <v>266</v>
      </c>
      <c r="E336" s="73" t="n">
        <v>1</v>
      </c>
      <c r="F336" s="41" t="n">
        <v>443</v>
      </c>
      <c r="G336" s="41" t="n">
        <v>443</v>
      </c>
      <c r="H336" s="1" t="s">
        <v>466</v>
      </c>
    </row>
    <row r="337" customFormat="false" ht="15" hidden="false" customHeight="true" outlineLevel="0" collapsed="false">
      <c r="A337" s="1" t="s">
        <v>602</v>
      </c>
      <c r="B337" s="1" t="s">
        <v>418</v>
      </c>
      <c r="C337" s="1" t="s">
        <v>465</v>
      </c>
      <c r="D337" s="1" t="s">
        <v>266</v>
      </c>
      <c r="E337" s="73" t="n">
        <v>182</v>
      </c>
      <c r="F337" s="41" t="n">
        <v>12.34</v>
      </c>
      <c r="G337" s="41" t="n">
        <v>2245.88</v>
      </c>
      <c r="H337" s="1" t="s">
        <v>443</v>
      </c>
    </row>
    <row r="338" customFormat="false" ht="15" hidden="false" customHeight="true" outlineLevel="0" collapsed="false">
      <c r="A338" s="1" t="s">
        <v>602</v>
      </c>
      <c r="B338" s="1" t="s">
        <v>418</v>
      </c>
      <c r="C338" s="1" t="s">
        <v>432</v>
      </c>
      <c r="D338" s="1" t="s">
        <v>266</v>
      </c>
      <c r="E338" s="73" t="n">
        <v>15</v>
      </c>
      <c r="F338" s="41" t="n">
        <v>0</v>
      </c>
      <c r="G338" s="41" t="n">
        <v>0</v>
      </c>
      <c r="H338" s="1" t="s">
        <v>431</v>
      </c>
    </row>
    <row r="339" customFormat="false" ht="15" hidden="false" customHeight="true" outlineLevel="0" collapsed="false">
      <c r="A339" s="1" t="s">
        <v>602</v>
      </c>
      <c r="B339" s="1" t="s">
        <v>418</v>
      </c>
      <c r="C339" s="1" t="s">
        <v>467</v>
      </c>
      <c r="D339" s="1" t="s">
        <v>266</v>
      </c>
      <c r="E339" s="73" t="n">
        <v>0</v>
      </c>
      <c r="F339" s="41" t="n">
        <v>0</v>
      </c>
      <c r="G339" s="41" t="n">
        <v>0</v>
      </c>
      <c r="H339" s="1" t="s">
        <v>431</v>
      </c>
    </row>
    <row r="340" customFormat="false" ht="15" hidden="false" customHeight="true" outlineLevel="0" collapsed="false">
      <c r="A340" s="1" t="s">
        <v>602</v>
      </c>
      <c r="B340" s="1" t="s">
        <v>418</v>
      </c>
      <c r="C340" s="1" t="s">
        <v>468</v>
      </c>
      <c r="D340" s="1" t="s">
        <v>266</v>
      </c>
      <c r="E340" s="73" t="n">
        <v>0</v>
      </c>
      <c r="F340" s="41" t="n">
        <v>0</v>
      </c>
      <c r="G340" s="41" t="n">
        <v>0</v>
      </c>
      <c r="H340" s="1" t="s">
        <v>431</v>
      </c>
    </row>
    <row r="341" customFormat="false" ht="15" hidden="false" customHeight="true" outlineLevel="0" collapsed="false">
      <c r="A341" s="1" t="s">
        <v>602</v>
      </c>
      <c r="B341" s="1" t="s">
        <v>418</v>
      </c>
      <c r="C341" s="1" t="s">
        <v>469</v>
      </c>
      <c r="D341" s="1" t="s">
        <v>266</v>
      </c>
      <c r="E341" s="73" t="n">
        <v>0</v>
      </c>
      <c r="F341" s="41" t="n">
        <v>0</v>
      </c>
      <c r="G341" s="41" t="n">
        <v>0</v>
      </c>
      <c r="H341" s="1" t="s">
        <v>431</v>
      </c>
    </row>
    <row r="342" customFormat="false" ht="15" hidden="false" customHeight="true" outlineLevel="0" collapsed="false">
      <c r="A342" s="1" t="s">
        <v>602</v>
      </c>
      <c r="B342" s="1" t="s">
        <v>418</v>
      </c>
      <c r="C342" s="1" t="s">
        <v>419</v>
      </c>
      <c r="D342" s="1" t="s">
        <v>267</v>
      </c>
      <c r="E342" s="73" t="n">
        <v>111</v>
      </c>
      <c r="F342" s="41" t="n">
        <v>1.86</v>
      </c>
      <c r="G342" s="41" t="n">
        <v>206.46</v>
      </c>
      <c r="H342" s="1" t="s">
        <v>604</v>
      </c>
    </row>
    <row r="343" customFormat="false" ht="15" hidden="false" customHeight="true" outlineLevel="0" collapsed="false">
      <c r="A343" s="1" t="s">
        <v>602</v>
      </c>
      <c r="B343" s="1" t="s">
        <v>418</v>
      </c>
      <c r="C343" s="1" t="s">
        <v>419</v>
      </c>
      <c r="D343" s="1" t="s">
        <v>267</v>
      </c>
      <c r="E343" s="73" t="n">
        <v>111</v>
      </c>
      <c r="F343" s="41" t="n">
        <v>1.86</v>
      </c>
      <c r="G343" s="41" t="n">
        <v>206.46</v>
      </c>
      <c r="H343" s="1" t="s">
        <v>604</v>
      </c>
    </row>
    <row r="344" customFormat="false" ht="15" hidden="false" customHeight="true" outlineLevel="0" collapsed="false">
      <c r="A344" s="1" t="s">
        <v>602</v>
      </c>
      <c r="B344" s="1" t="s">
        <v>418</v>
      </c>
      <c r="C344" s="1" t="s">
        <v>421</v>
      </c>
      <c r="D344" s="1" t="s">
        <v>267</v>
      </c>
      <c r="E344" s="73" t="n">
        <v>1</v>
      </c>
      <c r="F344" s="41" t="n">
        <v>383.56</v>
      </c>
      <c r="G344" s="41" t="n">
        <v>383.56</v>
      </c>
      <c r="H344" s="1" t="s">
        <v>470</v>
      </c>
    </row>
    <row r="345" customFormat="false" ht="15" hidden="false" customHeight="true" outlineLevel="0" collapsed="false">
      <c r="A345" s="1" t="s">
        <v>602</v>
      </c>
      <c r="B345" s="1" t="s">
        <v>418</v>
      </c>
      <c r="C345" s="1" t="s">
        <v>423</v>
      </c>
      <c r="D345" s="1" t="s">
        <v>267</v>
      </c>
      <c r="E345" s="73" t="n">
        <v>0</v>
      </c>
      <c r="F345" s="41" t="n">
        <v>0</v>
      </c>
      <c r="G345" s="41" t="n">
        <v>0</v>
      </c>
      <c r="H345" s="1" t="s">
        <v>471</v>
      </c>
    </row>
    <row r="346" customFormat="false" ht="15" hidden="false" customHeight="true" outlineLevel="0" collapsed="false">
      <c r="A346" s="1" t="s">
        <v>602</v>
      </c>
      <c r="B346" s="1" t="s">
        <v>418</v>
      </c>
      <c r="C346" s="1" t="s">
        <v>425</v>
      </c>
      <c r="D346" s="1" t="s">
        <v>267</v>
      </c>
      <c r="E346" s="73" t="n">
        <v>1</v>
      </c>
      <c r="F346" s="41" t="n">
        <v>400.26</v>
      </c>
      <c r="G346" s="41" t="n">
        <v>400.26</v>
      </c>
      <c r="H346" s="1" t="s">
        <v>422</v>
      </c>
    </row>
    <row r="347" customFormat="false" ht="15" hidden="false" customHeight="true" outlineLevel="0" collapsed="false">
      <c r="A347" s="1" t="s">
        <v>602</v>
      </c>
      <c r="B347" s="1" t="s">
        <v>418</v>
      </c>
      <c r="C347" s="1" t="s">
        <v>465</v>
      </c>
      <c r="D347" s="1" t="s">
        <v>267</v>
      </c>
      <c r="E347" s="73" t="n">
        <v>1</v>
      </c>
      <c r="F347" s="41" t="n">
        <v>867</v>
      </c>
      <c r="G347" s="41" t="n">
        <v>867</v>
      </c>
      <c r="H347" s="1" t="s">
        <v>472</v>
      </c>
    </row>
    <row r="348" customFormat="false" ht="15" hidden="false" customHeight="true" outlineLevel="0" collapsed="false">
      <c r="A348" s="1" t="s">
        <v>602</v>
      </c>
      <c r="B348" s="1" t="s">
        <v>418</v>
      </c>
      <c r="C348" s="1" t="s">
        <v>465</v>
      </c>
      <c r="D348" s="1" t="s">
        <v>267</v>
      </c>
      <c r="E348" s="73" t="n">
        <v>96</v>
      </c>
      <c r="F348" s="41" t="n">
        <v>12.34</v>
      </c>
      <c r="G348" s="41" t="n">
        <v>1184.64</v>
      </c>
      <c r="H348" s="1" t="s">
        <v>443</v>
      </c>
    </row>
    <row r="349" customFormat="false" ht="15" hidden="false" customHeight="true" outlineLevel="0" collapsed="false">
      <c r="A349" s="1" t="s">
        <v>602</v>
      </c>
      <c r="B349" s="1" t="s">
        <v>418</v>
      </c>
      <c r="C349" s="1" t="s">
        <v>432</v>
      </c>
      <c r="D349" s="1" t="s">
        <v>267</v>
      </c>
      <c r="E349" s="73" t="n">
        <v>1</v>
      </c>
      <c r="F349" s="41" t="n">
        <v>0</v>
      </c>
      <c r="G349" s="41" t="n">
        <v>0</v>
      </c>
      <c r="H349" s="1" t="s">
        <v>431</v>
      </c>
    </row>
    <row r="350" customFormat="false" ht="15" hidden="false" customHeight="true" outlineLevel="0" collapsed="false">
      <c r="A350" s="1" t="s">
        <v>602</v>
      </c>
      <c r="B350" s="1" t="s">
        <v>418</v>
      </c>
      <c r="C350" s="1" t="s">
        <v>473</v>
      </c>
      <c r="D350" s="1" t="s">
        <v>267</v>
      </c>
      <c r="E350" s="73" t="n">
        <v>2</v>
      </c>
      <c r="F350" s="41" t="n">
        <v>0</v>
      </c>
      <c r="G350" s="41" t="n">
        <v>0</v>
      </c>
      <c r="H350" s="1" t="s">
        <v>431</v>
      </c>
    </row>
    <row r="351" customFormat="false" ht="15" hidden="false" customHeight="true" outlineLevel="0" collapsed="false">
      <c r="A351" s="1" t="s">
        <v>602</v>
      </c>
      <c r="B351" s="1" t="s">
        <v>418</v>
      </c>
      <c r="C351" s="1" t="s">
        <v>436</v>
      </c>
      <c r="D351" s="1" t="s">
        <v>264</v>
      </c>
      <c r="E351" s="73" t="n">
        <v>1</v>
      </c>
      <c r="F351" s="41" t="n">
        <v>25.5</v>
      </c>
      <c r="G351" s="41" t="n">
        <v>25.5</v>
      </c>
      <c r="H351" s="1" t="s">
        <v>564</v>
      </c>
    </row>
    <row r="352" customFormat="false" ht="15" hidden="false" customHeight="true" outlineLevel="0" collapsed="false">
      <c r="A352" s="1" t="s">
        <v>602</v>
      </c>
      <c r="B352" s="1" t="s">
        <v>418</v>
      </c>
      <c r="C352" s="1" t="s">
        <v>419</v>
      </c>
      <c r="D352" s="1" t="s">
        <v>264</v>
      </c>
      <c r="E352" s="73" t="n">
        <v>285</v>
      </c>
      <c r="F352" s="41" t="n">
        <v>1.86</v>
      </c>
      <c r="G352" s="41" t="n">
        <v>530.1</v>
      </c>
      <c r="H352" s="1" t="s">
        <v>604</v>
      </c>
    </row>
    <row r="353" customFormat="false" ht="15" hidden="false" customHeight="true" outlineLevel="0" collapsed="false">
      <c r="A353" s="1" t="s">
        <v>602</v>
      </c>
      <c r="B353" s="1" t="s">
        <v>418</v>
      </c>
      <c r="C353" s="1" t="s">
        <v>419</v>
      </c>
      <c r="D353" s="1" t="s">
        <v>264</v>
      </c>
      <c r="E353" s="73" t="n">
        <v>0</v>
      </c>
      <c r="F353" s="41" t="n">
        <v>0</v>
      </c>
      <c r="G353" s="41" t="n">
        <v>0</v>
      </c>
      <c r="H353" s="1" t="s">
        <v>420</v>
      </c>
    </row>
    <row r="354" customFormat="false" ht="15" hidden="false" customHeight="true" outlineLevel="0" collapsed="false">
      <c r="A354" s="1" t="s">
        <v>602</v>
      </c>
      <c r="B354" s="1" t="s">
        <v>418</v>
      </c>
      <c r="C354" s="1" t="s">
        <v>419</v>
      </c>
      <c r="D354" s="1" t="s">
        <v>264</v>
      </c>
      <c r="E354" s="73" t="n">
        <v>285</v>
      </c>
      <c r="F354" s="41" t="n">
        <v>1.86</v>
      </c>
      <c r="G354" s="41" t="n">
        <v>530.1</v>
      </c>
      <c r="H354" s="1" t="s">
        <v>604</v>
      </c>
    </row>
    <row r="355" customFormat="false" ht="15" hidden="false" customHeight="true" outlineLevel="0" collapsed="false">
      <c r="A355" s="1" t="s">
        <v>602</v>
      </c>
      <c r="B355" s="1" t="s">
        <v>418</v>
      </c>
      <c r="C355" s="1" t="s">
        <v>421</v>
      </c>
      <c r="D355" s="1" t="s">
        <v>264</v>
      </c>
      <c r="E355" s="73" t="n">
        <v>1</v>
      </c>
      <c r="F355" s="41" t="n">
        <v>383.56</v>
      </c>
      <c r="G355" s="41" t="n">
        <v>383.56</v>
      </c>
      <c r="H355" s="1" t="s">
        <v>474</v>
      </c>
    </row>
    <row r="356" customFormat="false" ht="15" hidden="false" customHeight="true" outlineLevel="0" collapsed="false">
      <c r="A356" s="1" t="s">
        <v>602</v>
      </c>
      <c r="B356" s="1" t="s">
        <v>418</v>
      </c>
      <c r="C356" s="1" t="s">
        <v>423</v>
      </c>
      <c r="D356" s="1" t="s">
        <v>264</v>
      </c>
      <c r="E356" s="73" t="n">
        <v>2</v>
      </c>
      <c r="F356" s="41" t="n">
        <v>338.53</v>
      </c>
      <c r="G356" s="41" t="n">
        <v>677.06</v>
      </c>
      <c r="H356" s="1" t="s">
        <v>475</v>
      </c>
    </row>
    <row r="357" customFormat="false" ht="15" hidden="false" customHeight="true" outlineLevel="0" collapsed="false">
      <c r="A357" s="1" t="s">
        <v>602</v>
      </c>
      <c r="B357" s="1" t="s">
        <v>418</v>
      </c>
      <c r="C357" s="1" t="s">
        <v>425</v>
      </c>
      <c r="D357" s="1" t="s">
        <v>264</v>
      </c>
      <c r="E357" s="73" t="n">
        <v>2</v>
      </c>
      <c r="F357" s="41" t="n">
        <v>400.26</v>
      </c>
      <c r="G357" s="41" t="n">
        <v>800.52</v>
      </c>
      <c r="H357" s="1" t="s">
        <v>476</v>
      </c>
    </row>
    <row r="358" customFormat="false" ht="15" hidden="false" customHeight="true" outlineLevel="0" collapsed="false">
      <c r="A358" s="1" t="s">
        <v>602</v>
      </c>
      <c r="B358" s="1" t="s">
        <v>418</v>
      </c>
      <c r="C358" s="1" t="s">
        <v>432</v>
      </c>
      <c r="D358" s="1" t="s">
        <v>264</v>
      </c>
      <c r="E358" s="73" t="n">
        <v>4</v>
      </c>
      <c r="F358" s="41" t="n">
        <v>0</v>
      </c>
      <c r="G358" s="41" t="n">
        <v>0</v>
      </c>
      <c r="H358" s="1" t="s">
        <v>431</v>
      </c>
    </row>
    <row r="359" customFormat="false" ht="15" hidden="false" customHeight="true" outlineLevel="0" collapsed="false">
      <c r="A359" s="1" t="s">
        <v>602</v>
      </c>
      <c r="B359" s="1" t="s">
        <v>418</v>
      </c>
      <c r="C359" s="1" t="s">
        <v>477</v>
      </c>
      <c r="D359" s="1" t="s">
        <v>264</v>
      </c>
      <c r="E359" s="73" t="n">
        <v>0</v>
      </c>
      <c r="F359" s="41" t="n">
        <v>0</v>
      </c>
      <c r="G359" s="41" t="n">
        <v>0</v>
      </c>
      <c r="H359" s="1" t="s">
        <v>431</v>
      </c>
    </row>
    <row r="360" customFormat="false" ht="15" hidden="false" customHeight="true" outlineLevel="0" collapsed="false">
      <c r="A360" s="1" t="s">
        <v>602</v>
      </c>
      <c r="B360" s="1" t="s">
        <v>418</v>
      </c>
      <c r="C360" s="1" t="s">
        <v>478</v>
      </c>
      <c r="D360" s="1" t="s">
        <v>264</v>
      </c>
      <c r="E360" s="73" t="n">
        <v>-15</v>
      </c>
      <c r="F360" s="41" t="n">
        <v>0</v>
      </c>
      <c r="G360" s="41" t="n">
        <v>0</v>
      </c>
      <c r="H360" s="1" t="s">
        <v>431</v>
      </c>
    </row>
    <row r="361" customFormat="false" ht="15" hidden="false" customHeight="true" outlineLevel="0" collapsed="false">
      <c r="A361" s="1" t="s">
        <v>602</v>
      </c>
      <c r="B361" s="1" t="s">
        <v>418</v>
      </c>
      <c r="C361" s="1" t="s">
        <v>479</v>
      </c>
      <c r="D361" s="1" t="s">
        <v>264</v>
      </c>
      <c r="E361" s="73" t="n">
        <v>0</v>
      </c>
      <c r="F361" s="41" t="n">
        <v>0</v>
      </c>
      <c r="G361" s="41" t="n">
        <v>0</v>
      </c>
      <c r="H361" s="1" t="s">
        <v>431</v>
      </c>
    </row>
    <row r="362" customFormat="false" ht="15" hidden="false" customHeight="true" outlineLevel="0" collapsed="false">
      <c r="A362" s="1" t="s">
        <v>602</v>
      </c>
      <c r="B362" s="1" t="s">
        <v>418</v>
      </c>
      <c r="C362" s="1" t="s">
        <v>480</v>
      </c>
      <c r="D362" s="1" t="s">
        <v>264</v>
      </c>
      <c r="E362" s="73" t="n">
        <v>0</v>
      </c>
      <c r="F362" s="41" t="n">
        <v>0</v>
      </c>
      <c r="G362" s="41" t="n">
        <v>0</v>
      </c>
      <c r="H362" s="1" t="s">
        <v>431</v>
      </c>
    </row>
    <row r="363" customFormat="false" ht="15" hidden="false" customHeight="true" outlineLevel="0" collapsed="false">
      <c r="A363" s="1" t="s">
        <v>602</v>
      </c>
      <c r="B363" s="1" t="s">
        <v>481</v>
      </c>
      <c r="C363" s="1" t="s">
        <v>482</v>
      </c>
      <c r="D363" s="1" t="s">
        <v>269</v>
      </c>
      <c r="E363" s="73" t="n">
        <v>6280</v>
      </c>
      <c r="F363" s="41" t="n">
        <v>0.212371943123151</v>
      </c>
      <c r="G363" s="41" t="n">
        <v>1333.69580281339</v>
      </c>
      <c r="H363" s="1" t="s">
        <v>402</v>
      </c>
    </row>
    <row r="364" customFormat="false" ht="15" hidden="false" customHeight="true" outlineLevel="0" collapsed="false">
      <c r="A364" s="1" t="s">
        <v>602</v>
      </c>
      <c r="B364" s="1" t="s">
        <v>481</v>
      </c>
      <c r="C364" s="1" t="s">
        <v>482</v>
      </c>
      <c r="D364" s="1" t="s">
        <v>271</v>
      </c>
      <c r="E364" s="73" t="n">
        <v>13402</v>
      </c>
      <c r="F364" s="41" t="n">
        <v>0.212371943123151</v>
      </c>
      <c r="G364" s="41" t="n">
        <v>2846.20878173647</v>
      </c>
      <c r="H364" s="1" t="s">
        <v>402</v>
      </c>
    </row>
    <row r="365" customFormat="false" ht="15" hidden="false" customHeight="true" outlineLevel="0" collapsed="false">
      <c r="A365" s="1" t="s">
        <v>602</v>
      </c>
      <c r="B365" s="1" t="s">
        <v>481</v>
      </c>
      <c r="C365" s="1" t="s">
        <v>482</v>
      </c>
      <c r="D365" s="1" t="s">
        <v>275</v>
      </c>
      <c r="E365" s="73" t="n">
        <v>3650</v>
      </c>
      <c r="F365" s="41" t="n">
        <v>0.212371943123151</v>
      </c>
      <c r="G365" s="41" t="n">
        <v>775.157592399501</v>
      </c>
      <c r="H365" s="1" t="s">
        <v>402</v>
      </c>
    </row>
    <row r="366" customFormat="false" ht="15" hidden="false" customHeight="true" outlineLevel="0" collapsed="false">
      <c r="A366" s="1" t="s">
        <v>602</v>
      </c>
      <c r="B366" s="1" t="s">
        <v>481</v>
      </c>
      <c r="C366" s="1" t="s">
        <v>482</v>
      </c>
      <c r="D366" s="1" t="s">
        <v>272</v>
      </c>
      <c r="E366" s="73" t="n">
        <v>6396</v>
      </c>
      <c r="F366" s="41" t="n">
        <v>0.212371943123151</v>
      </c>
      <c r="G366" s="41" t="n">
        <v>1358.33094821567</v>
      </c>
      <c r="H366" s="1" t="s">
        <v>402</v>
      </c>
    </row>
    <row r="367" customFormat="false" ht="15" hidden="false" customHeight="true" outlineLevel="0" collapsed="false">
      <c r="A367" s="1" t="s">
        <v>602</v>
      </c>
      <c r="B367" s="1" t="s">
        <v>481</v>
      </c>
      <c r="C367" s="1" t="s">
        <v>482</v>
      </c>
      <c r="D367" s="1" t="s">
        <v>266</v>
      </c>
      <c r="E367" s="73" t="n">
        <v>14331</v>
      </c>
      <c r="F367" s="41" t="n">
        <v>0.212371943123151</v>
      </c>
      <c r="G367" s="41" t="n">
        <v>3043.50231689788</v>
      </c>
      <c r="H367" s="1" t="s">
        <v>402</v>
      </c>
    </row>
    <row r="368" customFormat="false" ht="15" hidden="false" customHeight="true" outlineLevel="0" collapsed="false">
      <c r="A368" s="1" t="s">
        <v>602</v>
      </c>
      <c r="B368" s="1" t="s">
        <v>481</v>
      </c>
      <c r="C368" s="1" t="s">
        <v>482</v>
      </c>
      <c r="D368" s="1" t="s">
        <v>267</v>
      </c>
      <c r="E368" s="73" t="n">
        <v>4730</v>
      </c>
      <c r="F368" s="41" t="n">
        <v>0.212371943123151</v>
      </c>
      <c r="G368" s="41" t="n">
        <v>1004.5192909725</v>
      </c>
      <c r="H368" s="1" t="s">
        <v>402</v>
      </c>
    </row>
    <row r="369" customFormat="false" ht="15" hidden="false" customHeight="true" outlineLevel="0" collapsed="false">
      <c r="A369" s="1" t="s">
        <v>602</v>
      </c>
      <c r="B369" s="1" t="s">
        <v>481</v>
      </c>
      <c r="C369" s="1" t="s">
        <v>482</v>
      </c>
      <c r="D369" s="1" t="s">
        <v>264</v>
      </c>
      <c r="E369" s="73" t="n">
        <v>4782</v>
      </c>
      <c r="F369" s="41" t="n">
        <v>0.212371943123151</v>
      </c>
      <c r="G369" s="41" t="n">
        <v>1015.56263201491</v>
      </c>
      <c r="H369" s="1" t="s">
        <v>402</v>
      </c>
    </row>
    <row r="370" customFormat="false" ht="15" hidden="false" customHeight="true" outlineLevel="0" collapsed="false">
      <c r="A370" s="1" t="s">
        <v>602</v>
      </c>
      <c r="B370" s="1" t="s">
        <v>40</v>
      </c>
      <c r="C370" s="1" t="s">
        <v>483</v>
      </c>
      <c r="D370" s="1" t="s">
        <v>271</v>
      </c>
      <c r="E370" s="73" t="n">
        <v>0</v>
      </c>
      <c r="F370" s="41" t="n">
        <v>0</v>
      </c>
      <c r="G370" s="41" t="n">
        <v>0</v>
      </c>
      <c r="H370" s="1" t="s">
        <v>484</v>
      </c>
    </row>
    <row r="371" customFormat="false" ht="15" hidden="false" customHeight="true" outlineLevel="0" collapsed="false">
      <c r="A371" s="1" t="s">
        <v>602</v>
      </c>
      <c r="B371" s="1" t="s">
        <v>485</v>
      </c>
      <c r="C371" s="1" t="s">
        <v>486</v>
      </c>
      <c r="D371" s="1" t="s">
        <v>271</v>
      </c>
      <c r="E371" s="73" t="n">
        <v>13402</v>
      </c>
      <c r="F371" s="41" t="n">
        <v>0.108205784866059</v>
      </c>
      <c r="G371" s="41" t="n">
        <v>1450.17392877492</v>
      </c>
      <c r="H371" s="1" t="s">
        <v>402</v>
      </c>
    </row>
    <row r="372" customFormat="false" ht="15" hidden="false" customHeight="true" outlineLevel="0" collapsed="false">
      <c r="A372" s="1" t="s">
        <v>602</v>
      </c>
      <c r="B372" s="1" t="s">
        <v>45</v>
      </c>
      <c r="C372" s="1" t="s">
        <v>487</v>
      </c>
      <c r="D372" s="1" t="s">
        <v>269</v>
      </c>
      <c r="E372" s="73" t="n">
        <v>1</v>
      </c>
      <c r="F372" s="41" t="n">
        <v>9145.68</v>
      </c>
      <c r="G372" s="41" t="n">
        <v>9145.68</v>
      </c>
      <c r="H372" s="1" t="s">
        <v>488</v>
      </c>
    </row>
    <row r="373" customFormat="false" ht="15" hidden="false" customHeight="true" outlineLevel="0" collapsed="false">
      <c r="A373" s="1" t="s">
        <v>602</v>
      </c>
      <c r="B373" s="1" t="s">
        <v>45</v>
      </c>
      <c r="C373" s="1" t="s">
        <v>487</v>
      </c>
      <c r="D373" s="1" t="s">
        <v>275</v>
      </c>
      <c r="E373" s="73" t="n">
        <v>1</v>
      </c>
      <c r="F373" s="41" t="n">
        <v>3372.11</v>
      </c>
      <c r="G373" s="41" t="n">
        <v>3372.11</v>
      </c>
      <c r="H373" s="1" t="s">
        <v>488</v>
      </c>
    </row>
    <row r="374" customFormat="false" ht="15" hidden="false" customHeight="true" outlineLevel="0" collapsed="false">
      <c r="A374" s="1" t="s">
        <v>602</v>
      </c>
      <c r="B374" s="1" t="s">
        <v>45</v>
      </c>
      <c r="C374" s="1" t="s">
        <v>487</v>
      </c>
      <c r="D374" s="1" t="s">
        <v>267</v>
      </c>
      <c r="E374" s="73" t="n">
        <v>1</v>
      </c>
      <c r="F374" s="41" t="n">
        <v>15695.77</v>
      </c>
      <c r="G374" s="41" t="n">
        <v>15695.77</v>
      </c>
      <c r="H374" s="1" t="s">
        <v>488</v>
      </c>
    </row>
    <row r="375" customFormat="false" ht="15" hidden="false" customHeight="true" outlineLevel="0" collapsed="false">
      <c r="A375" s="1" t="s">
        <v>602</v>
      </c>
      <c r="B375" s="1" t="s">
        <v>45</v>
      </c>
      <c r="C375" s="1" t="s">
        <v>489</v>
      </c>
      <c r="D375" s="1" t="s">
        <v>264</v>
      </c>
      <c r="E375" s="73" t="n">
        <v>0</v>
      </c>
      <c r="F375" s="41" t="n">
        <v>0</v>
      </c>
      <c r="G375" s="41" t="n">
        <v>0</v>
      </c>
      <c r="H375" s="1" t="s">
        <v>490</v>
      </c>
    </row>
    <row r="376" customFormat="false" ht="15" hidden="false" customHeight="true" outlineLevel="0" collapsed="false">
      <c r="A376" s="1" t="s">
        <v>602</v>
      </c>
      <c r="B376" s="1" t="s">
        <v>45</v>
      </c>
      <c r="C376" s="1" t="s">
        <v>566</v>
      </c>
      <c r="D376" s="1" t="s">
        <v>264</v>
      </c>
      <c r="E376" s="73" t="n">
        <v>1</v>
      </c>
      <c r="F376" s="41" t="n">
        <v>22320</v>
      </c>
      <c r="G376" s="41" t="n">
        <v>22320</v>
      </c>
      <c r="H376" s="1" t="s">
        <v>605</v>
      </c>
    </row>
    <row r="377" customFormat="false" ht="15" hidden="false" customHeight="true" outlineLevel="0" collapsed="false">
      <c r="A377" s="1" t="s">
        <v>602</v>
      </c>
      <c r="B377" s="1" t="s">
        <v>50</v>
      </c>
      <c r="C377" s="1" t="s">
        <v>491</v>
      </c>
      <c r="D377" s="1" t="s">
        <v>269</v>
      </c>
      <c r="E377" s="73" t="n">
        <v>1</v>
      </c>
      <c r="F377" s="41" t="n">
        <v>676.8</v>
      </c>
      <c r="G377" s="41" t="n">
        <v>676.8</v>
      </c>
      <c r="H377" s="1" t="s">
        <v>492</v>
      </c>
    </row>
    <row r="378" customFormat="false" ht="15" hidden="false" customHeight="true" outlineLevel="0" collapsed="false">
      <c r="A378" s="1" t="s">
        <v>602</v>
      </c>
      <c r="B378" s="1" t="s">
        <v>50</v>
      </c>
      <c r="C378" s="1" t="s">
        <v>491</v>
      </c>
      <c r="D378" s="1" t="s">
        <v>271</v>
      </c>
      <c r="E378" s="73" t="n">
        <v>1</v>
      </c>
      <c r="F378" s="41" t="n">
        <v>676.8</v>
      </c>
      <c r="G378" s="41" t="n">
        <v>676.8</v>
      </c>
      <c r="H378" s="1" t="s">
        <v>492</v>
      </c>
    </row>
    <row r="379" customFormat="false" ht="15" hidden="false" customHeight="true" outlineLevel="0" collapsed="false">
      <c r="A379" s="1" t="s">
        <v>602</v>
      </c>
      <c r="B379" s="1" t="s">
        <v>50</v>
      </c>
      <c r="C379" s="1" t="s">
        <v>491</v>
      </c>
      <c r="D379" s="1" t="s">
        <v>275</v>
      </c>
      <c r="E379" s="73" t="n">
        <v>1</v>
      </c>
      <c r="F379" s="41" t="n">
        <v>676.8</v>
      </c>
      <c r="G379" s="41" t="n">
        <v>676.8</v>
      </c>
      <c r="H379" s="1" t="s">
        <v>492</v>
      </c>
    </row>
    <row r="380" customFormat="false" ht="15" hidden="false" customHeight="true" outlineLevel="0" collapsed="false">
      <c r="A380" s="1" t="s">
        <v>602</v>
      </c>
      <c r="B380" s="1" t="s">
        <v>50</v>
      </c>
      <c r="C380" s="1" t="s">
        <v>491</v>
      </c>
      <c r="D380" s="1" t="s">
        <v>272</v>
      </c>
      <c r="E380" s="73" t="n">
        <v>1</v>
      </c>
      <c r="F380" s="41" t="n">
        <v>676.8</v>
      </c>
      <c r="G380" s="41" t="n">
        <v>676.8</v>
      </c>
      <c r="H380" s="1" t="s">
        <v>493</v>
      </c>
    </row>
    <row r="381" customFormat="false" ht="15" hidden="false" customHeight="true" outlineLevel="0" collapsed="false">
      <c r="A381" s="1" t="s">
        <v>602</v>
      </c>
      <c r="B381" s="1" t="s">
        <v>50</v>
      </c>
      <c r="C381" s="1" t="s">
        <v>491</v>
      </c>
      <c r="D381" s="1" t="s">
        <v>272</v>
      </c>
      <c r="E381" s="73" t="n">
        <v>1</v>
      </c>
      <c r="F381" s="41" t="n">
        <v>676.8</v>
      </c>
      <c r="G381" s="41" t="n">
        <v>676.8</v>
      </c>
      <c r="H381" s="1" t="s">
        <v>492</v>
      </c>
    </row>
    <row r="382" customFormat="false" ht="15" hidden="false" customHeight="true" outlineLevel="0" collapsed="false">
      <c r="A382" s="1" t="s">
        <v>602</v>
      </c>
      <c r="B382" s="1" t="s">
        <v>50</v>
      </c>
      <c r="C382" s="1" t="s">
        <v>491</v>
      </c>
      <c r="D382" s="1" t="s">
        <v>266</v>
      </c>
      <c r="E382" s="73" t="n">
        <v>1</v>
      </c>
      <c r="F382" s="41" t="n">
        <v>676.8</v>
      </c>
      <c r="G382" s="41" t="n">
        <v>676.8</v>
      </c>
      <c r="H382" s="1" t="s">
        <v>494</v>
      </c>
    </row>
    <row r="383" customFormat="false" ht="15" hidden="false" customHeight="true" outlineLevel="0" collapsed="false">
      <c r="A383" s="1" t="s">
        <v>602</v>
      </c>
      <c r="B383" s="1" t="s">
        <v>50</v>
      </c>
      <c r="C383" s="1" t="s">
        <v>491</v>
      </c>
      <c r="D383" s="1" t="s">
        <v>266</v>
      </c>
      <c r="E383" s="73" t="n">
        <v>1</v>
      </c>
      <c r="F383" s="41" t="n">
        <v>676.8</v>
      </c>
      <c r="G383" s="41" t="n">
        <v>676.8</v>
      </c>
      <c r="H383" s="1" t="s">
        <v>492</v>
      </c>
    </row>
    <row r="384" customFormat="false" ht="15" hidden="false" customHeight="true" outlineLevel="0" collapsed="false">
      <c r="A384" s="1" t="s">
        <v>602</v>
      </c>
      <c r="B384" s="1" t="s">
        <v>50</v>
      </c>
      <c r="C384" s="1" t="s">
        <v>491</v>
      </c>
      <c r="D384" s="1" t="s">
        <v>267</v>
      </c>
      <c r="E384" s="73" t="n">
        <v>1</v>
      </c>
      <c r="F384" s="41" t="n">
        <v>676.8</v>
      </c>
      <c r="G384" s="41" t="n">
        <v>676.8</v>
      </c>
      <c r="H384" s="1" t="s">
        <v>492</v>
      </c>
    </row>
    <row r="385" customFormat="false" ht="15" hidden="false" customHeight="true" outlineLevel="0" collapsed="false">
      <c r="A385" s="1" t="s">
        <v>602</v>
      </c>
      <c r="B385" s="1" t="s">
        <v>50</v>
      </c>
      <c r="C385" s="1" t="s">
        <v>491</v>
      </c>
      <c r="D385" s="1" t="s">
        <v>264</v>
      </c>
      <c r="E385" s="73" t="n">
        <v>1</v>
      </c>
      <c r="F385" s="41" t="n">
        <v>676.8</v>
      </c>
      <c r="G385" s="41" t="n">
        <v>676.8</v>
      </c>
      <c r="H385" s="1" t="s">
        <v>492</v>
      </c>
    </row>
    <row r="386" customFormat="false" ht="15" hidden="false" customHeight="true" outlineLevel="0" collapsed="false">
      <c r="A386" s="1" t="s">
        <v>602</v>
      </c>
      <c r="B386" s="1" t="s">
        <v>495</v>
      </c>
      <c r="C386" s="1" t="s">
        <v>496</v>
      </c>
      <c r="D386" s="1" t="s">
        <v>269</v>
      </c>
      <c r="E386" s="73" t="n">
        <v>0</v>
      </c>
      <c r="F386" s="41" t="n">
        <v>0</v>
      </c>
      <c r="G386" s="41" t="n">
        <v>0</v>
      </c>
      <c r="H386" s="1" t="s">
        <v>497</v>
      </c>
    </row>
    <row r="387" customFormat="false" ht="15" hidden="false" customHeight="true" outlineLevel="0" collapsed="false">
      <c r="A387" s="1" t="s">
        <v>602</v>
      </c>
      <c r="B387" s="1" t="s">
        <v>495</v>
      </c>
      <c r="C387" s="1" t="s">
        <v>498</v>
      </c>
      <c r="D387" s="1" t="s">
        <v>269</v>
      </c>
      <c r="E387" s="73" t="n">
        <v>0</v>
      </c>
      <c r="F387" s="41" t="n">
        <v>0</v>
      </c>
      <c r="G387" s="41" t="n">
        <v>0</v>
      </c>
      <c r="H387" s="1" t="s">
        <v>499</v>
      </c>
    </row>
    <row r="388" customFormat="false" ht="15" hidden="false" customHeight="true" outlineLevel="0" collapsed="false">
      <c r="A388" s="1" t="s">
        <v>602</v>
      </c>
      <c r="B388" s="1" t="s">
        <v>495</v>
      </c>
      <c r="C388" s="1" t="s">
        <v>500</v>
      </c>
      <c r="D388" s="1" t="s">
        <v>269</v>
      </c>
      <c r="E388" s="73" t="n">
        <v>10</v>
      </c>
      <c r="F388" s="41" t="n">
        <v>20</v>
      </c>
      <c r="G388" s="41" t="n">
        <v>200</v>
      </c>
      <c r="H388" s="1" t="s">
        <v>501</v>
      </c>
    </row>
    <row r="389" customFormat="false" ht="15" hidden="false" customHeight="true" outlineLevel="0" collapsed="false">
      <c r="A389" s="1" t="s">
        <v>602</v>
      </c>
      <c r="B389" s="1" t="s">
        <v>495</v>
      </c>
      <c r="C389" s="1" t="s">
        <v>502</v>
      </c>
      <c r="D389" s="1" t="s">
        <v>269</v>
      </c>
      <c r="E389" s="73" t="n">
        <v>1</v>
      </c>
      <c r="F389" s="41" t="n">
        <v>745.21</v>
      </c>
      <c r="G389" s="41" t="n">
        <v>745.21</v>
      </c>
      <c r="H389" s="1" t="s">
        <v>503</v>
      </c>
    </row>
    <row r="390" customFormat="false" ht="15" hidden="false" customHeight="true" outlineLevel="0" collapsed="false">
      <c r="A390" s="1" t="s">
        <v>602</v>
      </c>
      <c r="B390" s="1" t="s">
        <v>495</v>
      </c>
      <c r="C390" s="1" t="s">
        <v>504</v>
      </c>
      <c r="D390" s="1" t="s">
        <v>269</v>
      </c>
      <c r="E390" s="73" t="n">
        <v>0</v>
      </c>
      <c r="F390" s="41" t="n">
        <v>0</v>
      </c>
      <c r="G390" s="41" t="n">
        <v>0</v>
      </c>
      <c r="H390" s="1" t="s">
        <v>505</v>
      </c>
    </row>
    <row r="391" customFormat="false" ht="15" hidden="false" customHeight="true" outlineLevel="0" collapsed="false">
      <c r="A391" s="1" t="s">
        <v>602</v>
      </c>
      <c r="B391" s="1" t="s">
        <v>495</v>
      </c>
      <c r="C391" s="1" t="s">
        <v>502</v>
      </c>
      <c r="D391" s="1" t="s">
        <v>271</v>
      </c>
      <c r="E391" s="73" t="n">
        <v>0</v>
      </c>
      <c r="F391" s="41" t="n">
        <v>0</v>
      </c>
      <c r="G391" s="41" t="n">
        <v>0</v>
      </c>
      <c r="H391" s="1" t="s">
        <v>503</v>
      </c>
    </row>
    <row r="392" customFormat="false" ht="15" hidden="false" customHeight="true" outlineLevel="0" collapsed="false">
      <c r="A392" s="1" t="s">
        <v>602</v>
      </c>
      <c r="B392" s="1" t="s">
        <v>495</v>
      </c>
      <c r="C392" s="1" t="s">
        <v>500</v>
      </c>
      <c r="D392" s="1" t="s">
        <v>275</v>
      </c>
      <c r="E392" s="73" t="n">
        <v>3</v>
      </c>
      <c r="F392" s="41" t="n">
        <v>20</v>
      </c>
      <c r="G392" s="41" t="n">
        <v>60</v>
      </c>
      <c r="H392" s="1" t="s">
        <v>501</v>
      </c>
    </row>
    <row r="393" customFormat="false" ht="15" hidden="false" customHeight="true" outlineLevel="0" collapsed="false">
      <c r="A393" s="1" t="s">
        <v>602</v>
      </c>
      <c r="B393" s="1" t="s">
        <v>495</v>
      </c>
      <c r="C393" s="1" t="s">
        <v>502</v>
      </c>
      <c r="D393" s="1" t="s">
        <v>275</v>
      </c>
      <c r="E393" s="73" t="n">
        <v>1</v>
      </c>
      <c r="F393" s="41" t="n">
        <v>373.15</v>
      </c>
      <c r="G393" s="41" t="n">
        <v>373.15</v>
      </c>
      <c r="H393" s="1" t="s">
        <v>503</v>
      </c>
    </row>
    <row r="394" customFormat="false" ht="15" hidden="false" customHeight="true" outlineLevel="0" collapsed="false">
      <c r="A394" s="1" t="s">
        <v>602</v>
      </c>
      <c r="B394" s="1" t="s">
        <v>495</v>
      </c>
      <c r="C394" s="1" t="s">
        <v>504</v>
      </c>
      <c r="D394" s="1" t="s">
        <v>275</v>
      </c>
      <c r="E394" s="73" t="n">
        <v>0</v>
      </c>
      <c r="F394" s="41" t="n">
        <v>0</v>
      </c>
      <c r="G394" s="41" t="n">
        <v>0</v>
      </c>
      <c r="H394" s="1" t="s">
        <v>505</v>
      </c>
    </row>
    <row r="395" customFormat="false" ht="15" hidden="false" customHeight="true" outlineLevel="0" collapsed="false">
      <c r="A395" s="1" t="s">
        <v>602</v>
      </c>
      <c r="B395" s="1" t="s">
        <v>495</v>
      </c>
      <c r="C395" s="1" t="s">
        <v>496</v>
      </c>
      <c r="D395" s="1" t="s">
        <v>272</v>
      </c>
      <c r="E395" s="73" t="n">
        <v>0</v>
      </c>
      <c r="F395" s="41" t="n">
        <v>0</v>
      </c>
      <c r="G395" s="41" t="n">
        <v>0</v>
      </c>
      <c r="H395" s="1" t="s">
        <v>506</v>
      </c>
    </row>
    <row r="396" customFormat="false" ht="15" hidden="false" customHeight="true" outlineLevel="0" collapsed="false">
      <c r="A396" s="1" t="s">
        <v>602</v>
      </c>
      <c r="B396" s="1" t="s">
        <v>495</v>
      </c>
      <c r="C396" s="1" t="s">
        <v>498</v>
      </c>
      <c r="D396" s="1" t="s">
        <v>272</v>
      </c>
      <c r="E396" s="73" t="n">
        <v>0</v>
      </c>
      <c r="F396" s="41" t="n">
        <v>0</v>
      </c>
      <c r="G396" s="41" t="n">
        <v>0</v>
      </c>
      <c r="H396" s="1" t="s">
        <v>507</v>
      </c>
    </row>
    <row r="397" customFormat="false" ht="15" hidden="false" customHeight="true" outlineLevel="0" collapsed="false">
      <c r="A397" s="1" t="s">
        <v>602</v>
      </c>
      <c r="B397" s="1" t="s">
        <v>495</v>
      </c>
      <c r="C397" s="1" t="s">
        <v>508</v>
      </c>
      <c r="D397" s="1" t="s">
        <v>272</v>
      </c>
      <c r="E397" s="73" t="n">
        <v>0</v>
      </c>
      <c r="F397" s="41" t="n">
        <v>0</v>
      </c>
      <c r="G397" s="41" t="n">
        <v>0</v>
      </c>
      <c r="H397" s="1" t="s">
        <v>505</v>
      </c>
    </row>
    <row r="398" customFormat="false" ht="15" hidden="false" customHeight="true" outlineLevel="0" collapsed="false">
      <c r="A398" s="1" t="s">
        <v>602</v>
      </c>
      <c r="B398" s="1" t="s">
        <v>495</v>
      </c>
      <c r="C398" s="1" t="s">
        <v>500</v>
      </c>
      <c r="D398" s="1" t="s">
        <v>272</v>
      </c>
      <c r="E398" s="73" t="n">
        <v>13</v>
      </c>
      <c r="F398" s="41" t="n">
        <v>20</v>
      </c>
      <c r="G398" s="41" t="n">
        <v>260</v>
      </c>
      <c r="H398" s="1" t="s">
        <v>501</v>
      </c>
    </row>
    <row r="399" customFormat="false" ht="15" hidden="false" customHeight="true" outlineLevel="0" collapsed="false">
      <c r="A399" s="1" t="s">
        <v>602</v>
      </c>
      <c r="B399" s="1" t="s">
        <v>495</v>
      </c>
      <c r="C399" s="1" t="s">
        <v>502</v>
      </c>
      <c r="D399" s="1" t="s">
        <v>272</v>
      </c>
      <c r="E399" s="73" t="n">
        <v>0</v>
      </c>
      <c r="F399" s="41" t="n">
        <v>0</v>
      </c>
      <c r="G399" s="41" t="n">
        <v>0</v>
      </c>
      <c r="H399" s="1" t="s">
        <v>503</v>
      </c>
    </row>
    <row r="400" customFormat="false" ht="15" hidden="false" customHeight="true" outlineLevel="0" collapsed="false">
      <c r="A400" s="1" t="s">
        <v>602</v>
      </c>
      <c r="B400" s="1" t="s">
        <v>495</v>
      </c>
      <c r="C400" s="1" t="s">
        <v>504</v>
      </c>
      <c r="D400" s="1" t="s">
        <v>272</v>
      </c>
      <c r="E400" s="73" t="n">
        <v>0</v>
      </c>
      <c r="F400" s="41" t="n">
        <v>0</v>
      </c>
      <c r="G400" s="41" t="n">
        <v>0</v>
      </c>
      <c r="H400" s="1" t="s">
        <v>505</v>
      </c>
    </row>
    <row r="401" customFormat="false" ht="15" hidden="false" customHeight="true" outlineLevel="0" collapsed="false">
      <c r="A401" s="1" t="s">
        <v>602</v>
      </c>
      <c r="B401" s="1" t="s">
        <v>495</v>
      </c>
      <c r="C401" s="1" t="s">
        <v>500</v>
      </c>
      <c r="D401" s="1" t="s">
        <v>266</v>
      </c>
      <c r="E401" s="73" t="n">
        <v>19</v>
      </c>
      <c r="F401" s="41" t="n">
        <v>20</v>
      </c>
      <c r="G401" s="41" t="n">
        <v>380</v>
      </c>
      <c r="H401" s="1" t="s">
        <v>501</v>
      </c>
    </row>
    <row r="402" customFormat="false" ht="15" hidden="false" customHeight="true" outlineLevel="0" collapsed="false">
      <c r="A402" s="1" t="s">
        <v>602</v>
      </c>
      <c r="B402" s="1" t="s">
        <v>495</v>
      </c>
      <c r="C402" s="1" t="s">
        <v>502</v>
      </c>
      <c r="D402" s="1" t="s">
        <v>266</v>
      </c>
      <c r="E402" s="73" t="n">
        <v>1</v>
      </c>
      <c r="F402" s="41" t="n">
        <v>1381.14</v>
      </c>
      <c r="G402" s="41" t="n">
        <v>1381.14</v>
      </c>
      <c r="H402" s="1" t="s">
        <v>503</v>
      </c>
    </row>
    <row r="403" customFormat="false" ht="15" hidden="false" customHeight="true" outlineLevel="0" collapsed="false">
      <c r="A403" s="1" t="s">
        <v>602</v>
      </c>
      <c r="B403" s="1" t="s">
        <v>495</v>
      </c>
      <c r="C403" s="1" t="s">
        <v>509</v>
      </c>
      <c r="D403" s="1" t="s">
        <v>266</v>
      </c>
      <c r="E403" s="73" t="n">
        <v>0</v>
      </c>
      <c r="F403" s="41" t="n">
        <v>0</v>
      </c>
      <c r="G403" s="41" t="n">
        <v>0</v>
      </c>
      <c r="H403" s="1" t="s">
        <v>505</v>
      </c>
    </row>
    <row r="404" customFormat="false" ht="15" hidden="false" customHeight="true" outlineLevel="0" collapsed="false">
      <c r="A404" s="1" t="s">
        <v>602</v>
      </c>
      <c r="B404" s="1" t="s">
        <v>495</v>
      </c>
      <c r="C404" s="1" t="s">
        <v>508</v>
      </c>
      <c r="D404" s="1" t="s">
        <v>267</v>
      </c>
      <c r="E404" s="73" t="n">
        <v>0</v>
      </c>
      <c r="F404" s="41" t="n">
        <v>0</v>
      </c>
      <c r="G404" s="41" t="n">
        <v>0</v>
      </c>
      <c r="H404" s="1" t="s">
        <v>510</v>
      </c>
    </row>
    <row r="405" customFormat="false" ht="15" hidden="false" customHeight="true" outlineLevel="0" collapsed="false">
      <c r="A405" s="1" t="s">
        <v>602</v>
      </c>
      <c r="B405" s="1" t="s">
        <v>495</v>
      </c>
      <c r="C405" s="1" t="s">
        <v>500</v>
      </c>
      <c r="D405" s="1" t="s">
        <v>267</v>
      </c>
      <c r="E405" s="73" t="n">
        <v>4</v>
      </c>
      <c r="F405" s="41" t="n">
        <v>20</v>
      </c>
      <c r="G405" s="41" t="n">
        <v>80</v>
      </c>
      <c r="H405" s="1" t="s">
        <v>501</v>
      </c>
    </row>
    <row r="406" customFormat="false" ht="15" hidden="false" customHeight="true" outlineLevel="0" collapsed="false">
      <c r="A406" s="1" t="s">
        <v>602</v>
      </c>
      <c r="B406" s="1" t="s">
        <v>495</v>
      </c>
      <c r="C406" s="1" t="s">
        <v>502</v>
      </c>
      <c r="D406" s="1" t="s">
        <v>267</v>
      </c>
      <c r="E406" s="73" t="n">
        <v>0</v>
      </c>
      <c r="F406" s="41" t="n">
        <v>0</v>
      </c>
      <c r="G406" s="41" t="n">
        <v>0</v>
      </c>
      <c r="H406" s="1" t="s">
        <v>503</v>
      </c>
    </row>
    <row r="407" customFormat="false" ht="15" hidden="false" customHeight="true" outlineLevel="0" collapsed="false">
      <c r="A407" s="1" t="s">
        <v>602</v>
      </c>
      <c r="B407" s="1" t="s">
        <v>495</v>
      </c>
      <c r="C407" s="1" t="s">
        <v>509</v>
      </c>
      <c r="D407" s="1" t="s">
        <v>267</v>
      </c>
      <c r="E407" s="73" t="n">
        <v>0</v>
      </c>
      <c r="F407" s="41" t="n">
        <v>0</v>
      </c>
      <c r="G407" s="41" t="n">
        <v>0</v>
      </c>
      <c r="H407" s="1" t="s">
        <v>505</v>
      </c>
    </row>
    <row r="408" customFormat="false" ht="15" hidden="false" customHeight="true" outlineLevel="0" collapsed="false">
      <c r="A408" s="1" t="s">
        <v>602</v>
      </c>
      <c r="B408" s="1" t="s">
        <v>495</v>
      </c>
      <c r="C408" s="1" t="s">
        <v>496</v>
      </c>
      <c r="D408" s="1" t="s">
        <v>264</v>
      </c>
      <c r="E408" s="73" t="n">
        <v>0</v>
      </c>
      <c r="F408" s="41" t="n">
        <v>0</v>
      </c>
      <c r="G408" s="41" t="n">
        <v>0</v>
      </c>
      <c r="H408" s="1" t="s">
        <v>511</v>
      </c>
    </row>
    <row r="409" customFormat="false" ht="15" hidden="false" customHeight="true" outlineLevel="0" collapsed="false">
      <c r="A409" s="1" t="s">
        <v>602</v>
      </c>
      <c r="B409" s="1" t="s">
        <v>495</v>
      </c>
      <c r="C409" s="1" t="s">
        <v>500</v>
      </c>
      <c r="D409" s="1" t="s">
        <v>264</v>
      </c>
      <c r="E409" s="73" t="n">
        <v>8</v>
      </c>
      <c r="F409" s="41" t="n">
        <v>20</v>
      </c>
      <c r="G409" s="41" t="n">
        <v>160</v>
      </c>
      <c r="H409" s="1" t="s">
        <v>501</v>
      </c>
    </row>
    <row r="410" customFormat="false" ht="15" hidden="false" customHeight="true" outlineLevel="0" collapsed="false">
      <c r="A410" s="1" t="s">
        <v>602</v>
      </c>
      <c r="B410" s="1" t="s">
        <v>495</v>
      </c>
      <c r="C410" s="1" t="s">
        <v>502</v>
      </c>
      <c r="D410" s="1" t="s">
        <v>264</v>
      </c>
      <c r="E410" s="73" t="n">
        <v>1</v>
      </c>
      <c r="F410" s="41" t="n">
        <v>414.35</v>
      </c>
      <c r="G410" s="41" t="n">
        <v>414.35</v>
      </c>
      <c r="H410" s="1" t="s">
        <v>503</v>
      </c>
    </row>
    <row r="411" customFormat="false" ht="15" hidden="false" customHeight="true" outlineLevel="0" collapsed="false">
      <c r="A411" s="1" t="s">
        <v>602</v>
      </c>
      <c r="B411" s="1" t="s">
        <v>495</v>
      </c>
      <c r="C411" s="1" t="s">
        <v>504</v>
      </c>
      <c r="D411" s="1" t="s">
        <v>264</v>
      </c>
      <c r="E411" s="73" t="n">
        <v>0</v>
      </c>
      <c r="F411" s="41" t="n">
        <v>0</v>
      </c>
      <c r="G411" s="41" t="n">
        <v>0</v>
      </c>
      <c r="H411" s="1" t="s">
        <v>505</v>
      </c>
    </row>
    <row r="412" customFormat="false" ht="15" hidden="false" customHeight="true" outlineLevel="0" collapsed="false">
      <c r="A412" s="1" t="s">
        <v>602</v>
      </c>
      <c r="B412" s="1" t="s">
        <v>512</v>
      </c>
      <c r="C412" s="1" t="s">
        <v>513</v>
      </c>
      <c r="D412" s="1" t="s">
        <v>269</v>
      </c>
      <c r="E412" s="73" t="n">
        <v>0</v>
      </c>
      <c r="F412" s="41" t="n">
        <v>0</v>
      </c>
      <c r="G412" s="41" t="n">
        <v>0</v>
      </c>
      <c r="H412" s="1" t="s">
        <v>514</v>
      </c>
    </row>
    <row r="413" customFormat="false" ht="15" hidden="false" customHeight="true" outlineLevel="0" collapsed="false">
      <c r="A413" s="1" t="s">
        <v>602</v>
      </c>
      <c r="B413" s="1" t="s">
        <v>512</v>
      </c>
      <c r="C413" s="1" t="s">
        <v>515</v>
      </c>
      <c r="D413" s="1" t="s">
        <v>269</v>
      </c>
      <c r="E413" s="73" t="n">
        <v>0</v>
      </c>
      <c r="F413" s="41" t="n">
        <v>0</v>
      </c>
      <c r="G413" s="41" t="n">
        <v>0</v>
      </c>
      <c r="H413" s="1" t="s">
        <v>516</v>
      </c>
    </row>
    <row r="414" customFormat="false" ht="15" hidden="false" customHeight="true" outlineLevel="0" collapsed="false">
      <c r="A414" s="1" t="s">
        <v>602</v>
      </c>
      <c r="B414" s="1" t="s">
        <v>512</v>
      </c>
      <c r="C414" s="1" t="s">
        <v>517</v>
      </c>
      <c r="D414" s="1" t="s">
        <v>269</v>
      </c>
      <c r="E414" s="73" t="n">
        <v>0</v>
      </c>
      <c r="F414" s="41" t="n">
        <v>0</v>
      </c>
      <c r="G414" s="41" t="n">
        <v>0</v>
      </c>
      <c r="H414" s="1" t="s">
        <v>518</v>
      </c>
    </row>
    <row r="415" customFormat="false" ht="15" hidden="false" customHeight="true" outlineLevel="0" collapsed="false">
      <c r="A415" s="1" t="s">
        <v>602</v>
      </c>
      <c r="B415" s="1" t="s">
        <v>512</v>
      </c>
      <c r="C415" s="1" t="s">
        <v>519</v>
      </c>
      <c r="D415" s="1" t="s">
        <v>269</v>
      </c>
      <c r="E415" s="73" t="n">
        <v>0</v>
      </c>
      <c r="F415" s="41" t="n">
        <v>0</v>
      </c>
      <c r="G415" s="41" t="n">
        <v>0</v>
      </c>
      <c r="H415" s="1" t="s">
        <v>520</v>
      </c>
    </row>
    <row r="416" customFormat="false" ht="15" hidden="false" customHeight="true" outlineLevel="0" collapsed="false">
      <c r="A416" s="1" t="s">
        <v>602</v>
      </c>
      <c r="B416" s="1" t="s">
        <v>512</v>
      </c>
      <c r="C416" s="1" t="s">
        <v>521</v>
      </c>
      <c r="D416" s="1" t="s">
        <v>271</v>
      </c>
      <c r="E416" s="73" t="n">
        <v>1</v>
      </c>
      <c r="F416" s="41" t="n">
        <v>315.66</v>
      </c>
      <c r="G416" s="41" t="n">
        <v>315.66</v>
      </c>
      <c r="H416" s="1" t="s">
        <v>522</v>
      </c>
    </row>
    <row r="417" customFormat="false" ht="15" hidden="false" customHeight="true" outlineLevel="0" collapsed="false">
      <c r="A417" s="1" t="s">
        <v>602</v>
      </c>
      <c r="B417" s="1" t="s">
        <v>512</v>
      </c>
      <c r="C417" s="1" t="s">
        <v>523</v>
      </c>
      <c r="D417" s="1" t="s">
        <v>271</v>
      </c>
      <c r="E417" s="73" t="n">
        <v>1</v>
      </c>
      <c r="F417" s="41" t="n">
        <v>345.94</v>
      </c>
      <c r="G417" s="41" t="n">
        <v>345.94</v>
      </c>
      <c r="H417" s="1" t="s">
        <v>524</v>
      </c>
    </row>
    <row r="418" customFormat="false" ht="15" hidden="false" customHeight="true" outlineLevel="0" collapsed="false">
      <c r="A418" s="1" t="s">
        <v>602</v>
      </c>
      <c r="B418" s="1" t="s">
        <v>512</v>
      </c>
      <c r="C418" s="1" t="s">
        <v>525</v>
      </c>
      <c r="D418" s="1" t="s">
        <v>275</v>
      </c>
      <c r="E418" s="73" t="n">
        <v>0</v>
      </c>
      <c r="F418" s="41" t="n">
        <v>0</v>
      </c>
      <c r="G418" s="41" t="n">
        <v>0</v>
      </c>
      <c r="H418" s="1" t="s">
        <v>526</v>
      </c>
    </row>
    <row r="419" customFormat="false" ht="15" hidden="false" customHeight="true" outlineLevel="0" collapsed="false">
      <c r="A419" s="1" t="s">
        <v>602</v>
      </c>
      <c r="B419" s="1" t="s">
        <v>512</v>
      </c>
      <c r="C419" s="1" t="s">
        <v>527</v>
      </c>
      <c r="D419" s="1" t="s">
        <v>275</v>
      </c>
      <c r="E419" s="73" t="n">
        <v>0</v>
      </c>
      <c r="F419" s="41" t="n">
        <v>0</v>
      </c>
      <c r="G419" s="41" t="n">
        <v>0</v>
      </c>
      <c r="H419" s="1" t="s">
        <v>528</v>
      </c>
    </row>
    <row r="420" customFormat="false" ht="15" hidden="false" customHeight="true" outlineLevel="0" collapsed="false">
      <c r="A420" s="1" t="s">
        <v>602</v>
      </c>
      <c r="B420" s="1" t="s">
        <v>512</v>
      </c>
      <c r="C420" s="1" t="s">
        <v>529</v>
      </c>
      <c r="D420" s="1" t="s">
        <v>275</v>
      </c>
      <c r="E420" s="73" t="n">
        <v>0</v>
      </c>
      <c r="F420" s="41" t="n">
        <v>0</v>
      </c>
      <c r="G420" s="41" t="n">
        <v>0</v>
      </c>
      <c r="H420" s="1" t="s">
        <v>522</v>
      </c>
    </row>
    <row r="421" customFormat="false" ht="15" hidden="false" customHeight="true" outlineLevel="0" collapsed="false">
      <c r="A421" s="1" t="s">
        <v>602</v>
      </c>
      <c r="B421" s="1" t="s">
        <v>512</v>
      </c>
      <c r="C421" s="1" t="s">
        <v>530</v>
      </c>
      <c r="D421" s="1" t="s">
        <v>275</v>
      </c>
      <c r="E421" s="73" t="n">
        <v>0</v>
      </c>
      <c r="F421" s="41" t="n">
        <v>0</v>
      </c>
      <c r="G421" s="41" t="n">
        <v>0</v>
      </c>
      <c r="H421" s="1" t="s">
        <v>531</v>
      </c>
    </row>
    <row r="422" customFormat="false" ht="15" hidden="false" customHeight="true" outlineLevel="0" collapsed="false">
      <c r="A422" s="1" t="s">
        <v>602</v>
      </c>
      <c r="B422" s="1" t="s">
        <v>512</v>
      </c>
      <c r="C422" s="1" t="s">
        <v>532</v>
      </c>
      <c r="D422" s="1" t="s">
        <v>275</v>
      </c>
      <c r="E422" s="73" t="n">
        <v>0</v>
      </c>
      <c r="F422" s="41" t="n">
        <v>0</v>
      </c>
      <c r="G422" s="41" t="n">
        <v>0</v>
      </c>
      <c r="H422" s="1" t="s">
        <v>531</v>
      </c>
    </row>
    <row r="423" customFormat="false" ht="15" hidden="false" customHeight="true" outlineLevel="0" collapsed="false">
      <c r="A423" s="1" t="s">
        <v>602</v>
      </c>
      <c r="B423" s="1" t="s">
        <v>512</v>
      </c>
      <c r="C423" s="1" t="s">
        <v>533</v>
      </c>
      <c r="D423" s="1" t="s">
        <v>275</v>
      </c>
      <c r="E423" s="73" t="n">
        <v>1</v>
      </c>
      <c r="F423" s="41" t="n">
        <v>2438.04</v>
      </c>
      <c r="G423" s="41" t="n">
        <v>2438.04</v>
      </c>
      <c r="H423" s="1" t="s">
        <v>534</v>
      </c>
    </row>
    <row r="424" customFormat="false" ht="15" hidden="false" customHeight="true" outlineLevel="0" collapsed="false">
      <c r="A424" s="1" t="s">
        <v>602</v>
      </c>
      <c r="B424" s="1" t="s">
        <v>512</v>
      </c>
      <c r="C424" s="1" t="s">
        <v>535</v>
      </c>
      <c r="D424" s="1" t="s">
        <v>272</v>
      </c>
      <c r="E424" s="73" t="n">
        <v>0</v>
      </c>
      <c r="F424" s="41" t="n">
        <v>0</v>
      </c>
      <c r="G424" s="41" t="n">
        <v>0</v>
      </c>
      <c r="H424" s="1" t="s">
        <v>522</v>
      </c>
    </row>
    <row r="425" customFormat="false" ht="15" hidden="false" customHeight="true" outlineLevel="0" collapsed="false">
      <c r="A425" s="1" t="s">
        <v>602</v>
      </c>
      <c r="B425" s="1" t="s">
        <v>512</v>
      </c>
      <c r="C425" s="1" t="s">
        <v>536</v>
      </c>
      <c r="D425" s="1" t="s">
        <v>272</v>
      </c>
      <c r="E425" s="73" t="n">
        <v>0</v>
      </c>
      <c r="F425" s="41" t="n">
        <v>0</v>
      </c>
      <c r="G425" s="41" t="n">
        <v>0</v>
      </c>
      <c r="H425" s="1" t="s">
        <v>537</v>
      </c>
    </row>
    <row r="426" customFormat="false" ht="15" hidden="false" customHeight="true" outlineLevel="0" collapsed="false">
      <c r="A426" s="1" t="s">
        <v>602</v>
      </c>
      <c r="B426" s="1" t="s">
        <v>512</v>
      </c>
      <c r="C426" s="1" t="s">
        <v>538</v>
      </c>
      <c r="D426" s="1" t="s">
        <v>266</v>
      </c>
      <c r="E426" s="73" t="n">
        <v>0</v>
      </c>
      <c r="F426" s="41" t="n">
        <v>0</v>
      </c>
      <c r="G426" s="41" t="n">
        <v>0</v>
      </c>
      <c r="H426" s="1" t="s">
        <v>539</v>
      </c>
    </row>
    <row r="427" customFormat="false" ht="15" hidden="false" customHeight="true" outlineLevel="0" collapsed="false">
      <c r="A427" s="1" t="s">
        <v>602</v>
      </c>
      <c r="B427" s="1" t="s">
        <v>512</v>
      </c>
      <c r="C427" s="1" t="s">
        <v>540</v>
      </c>
      <c r="D427" s="1" t="s">
        <v>266</v>
      </c>
      <c r="E427" s="73" t="n">
        <v>0</v>
      </c>
      <c r="F427" s="41" t="n">
        <v>0</v>
      </c>
      <c r="G427" s="41" t="n">
        <v>0</v>
      </c>
      <c r="H427" s="1" t="s">
        <v>514</v>
      </c>
    </row>
    <row r="428" customFormat="false" ht="15" hidden="false" customHeight="true" outlineLevel="0" collapsed="false">
      <c r="A428" s="1" t="s">
        <v>602</v>
      </c>
      <c r="B428" s="1" t="s">
        <v>512</v>
      </c>
      <c r="C428" s="1" t="s">
        <v>541</v>
      </c>
      <c r="D428" s="1" t="s">
        <v>266</v>
      </c>
      <c r="E428" s="73" t="n">
        <v>0</v>
      </c>
      <c r="F428" s="41" t="n">
        <v>0</v>
      </c>
      <c r="G428" s="41" t="n">
        <v>0</v>
      </c>
      <c r="H428" s="1" t="s">
        <v>518</v>
      </c>
    </row>
    <row r="429" customFormat="false" ht="15" hidden="false" customHeight="true" outlineLevel="0" collapsed="false">
      <c r="A429" s="1" t="s">
        <v>602</v>
      </c>
      <c r="B429" s="1" t="s">
        <v>512</v>
      </c>
      <c r="C429" s="1" t="s">
        <v>542</v>
      </c>
      <c r="D429" s="1" t="s">
        <v>266</v>
      </c>
      <c r="E429" s="73" t="n">
        <v>0</v>
      </c>
      <c r="F429" s="41" t="n">
        <v>0</v>
      </c>
      <c r="G429" s="41" t="n">
        <v>0</v>
      </c>
      <c r="H429" s="1" t="s">
        <v>524</v>
      </c>
    </row>
    <row r="430" customFormat="false" ht="15" hidden="false" customHeight="true" outlineLevel="0" collapsed="false">
      <c r="A430" s="1" t="s">
        <v>602</v>
      </c>
      <c r="B430" s="1" t="s">
        <v>512</v>
      </c>
      <c r="C430" s="1" t="s">
        <v>538</v>
      </c>
      <c r="D430" s="1" t="s">
        <v>267</v>
      </c>
      <c r="E430" s="73" t="n">
        <v>0</v>
      </c>
      <c r="F430" s="41" t="n">
        <v>0</v>
      </c>
      <c r="G430" s="41" t="n">
        <v>0</v>
      </c>
      <c r="H430" s="1" t="s">
        <v>522</v>
      </c>
    </row>
    <row r="431" customFormat="false" ht="15" hidden="false" customHeight="true" outlineLevel="0" collapsed="false">
      <c r="A431" s="1" t="s">
        <v>602</v>
      </c>
      <c r="B431" s="1" t="s">
        <v>512</v>
      </c>
      <c r="C431" s="1" t="s">
        <v>543</v>
      </c>
      <c r="D431" s="1" t="s">
        <v>267</v>
      </c>
      <c r="E431" s="73" t="n">
        <v>0</v>
      </c>
      <c r="F431" s="41" t="n">
        <v>0</v>
      </c>
      <c r="G431" s="41" t="n">
        <v>0</v>
      </c>
      <c r="H431" s="1" t="s">
        <v>522</v>
      </c>
    </row>
    <row r="432" customFormat="false" ht="15" hidden="false" customHeight="true" outlineLevel="0" collapsed="false">
      <c r="A432" s="1" t="s">
        <v>602</v>
      </c>
      <c r="B432" s="1" t="s">
        <v>512</v>
      </c>
      <c r="C432" s="1" t="s">
        <v>544</v>
      </c>
      <c r="D432" s="1" t="s">
        <v>267</v>
      </c>
      <c r="E432" s="73" t="n">
        <v>0</v>
      </c>
      <c r="F432" s="41" t="n">
        <v>0</v>
      </c>
      <c r="G432" s="41" t="n">
        <v>0</v>
      </c>
      <c r="H432" s="1" t="s">
        <v>537</v>
      </c>
    </row>
    <row r="433" customFormat="false" ht="15" hidden="false" customHeight="true" outlineLevel="0" collapsed="false">
      <c r="A433" s="1" t="s">
        <v>602</v>
      </c>
      <c r="B433" s="1" t="s">
        <v>512</v>
      </c>
      <c r="C433" s="1" t="s">
        <v>542</v>
      </c>
      <c r="D433" s="1" t="s">
        <v>267</v>
      </c>
      <c r="E433" s="73" t="n">
        <v>0</v>
      </c>
      <c r="F433" s="41" t="n">
        <v>0</v>
      </c>
      <c r="G433" s="41" t="n">
        <v>0</v>
      </c>
      <c r="H433" s="1" t="s">
        <v>545</v>
      </c>
    </row>
    <row r="434" customFormat="false" ht="15" hidden="false" customHeight="true" outlineLevel="0" collapsed="false">
      <c r="A434" s="1" t="s">
        <v>602</v>
      </c>
      <c r="B434" s="1" t="s">
        <v>512</v>
      </c>
      <c r="C434" s="1" t="s">
        <v>546</v>
      </c>
      <c r="D434" s="1" t="s">
        <v>264</v>
      </c>
      <c r="E434" s="73" t="n">
        <v>4782</v>
      </c>
      <c r="F434" s="41" t="n">
        <v>1.01</v>
      </c>
      <c r="G434" s="41" t="n">
        <v>4829.82</v>
      </c>
      <c r="H434" s="1" t="s">
        <v>402</v>
      </c>
    </row>
    <row r="435" customFormat="false" ht="15" hidden="false" customHeight="true" outlineLevel="0" collapsed="false">
      <c r="A435" s="1" t="s">
        <v>602</v>
      </c>
      <c r="B435" s="1" t="s">
        <v>512</v>
      </c>
      <c r="C435" s="1" t="s">
        <v>547</v>
      </c>
      <c r="D435" s="1" t="s">
        <v>264</v>
      </c>
      <c r="E435" s="73" t="n">
        <v>1</v>
      </c>
      <c r="F435" s="41" t="n">
        <v>2480.38</v>
      </c>
      <c r="G435" s="41" t="n">
        <v>2480.38</v>
      </c>
      <c r="H435" s="1" t="s">
        <v>522</v>
      </c>
    </row>
    <row r="436" customFormat="false" ht="15" hidden="false" customHeight="true" outlineLevel="0" collapsed="false">
      <c r="A436" s="1" t="s">
        <v>602</v>
      </c>
      <c r="B436" s="1" t="s">
        <v>512</v>
      </c>
      <c r="C436" s="1" t="s">
        <v>548</v>
      </c>
      <c r="D436" s="1" t="s">
        <v>264</v>
      </c>
      <c r="E436" s="73" t="n">
        <v>0</v>
      </c>
      <c r="F436" s="41" t="n">
        <v>0</v>
      </c>
      <c r="G436" s="41" t="n">
        <v>0</v>
      </c>
      <c r="H436" s="1" t="s">
        <v>522</v>
      </c>
    </row>
    <row r="437" customFormat="false" ht="15" hidden="false" customHeight="true" outlineLevel="0" collapsed="false">
      <c r="A437" s="1" t="s">
        <v>602</v>
      </c>
      <c r="B437" s="1" t="s">
        <v>512</v>
      </c>
      <c r="C437" s="1" t="s">
        <v>549</v>
      </c>
      <c r="D437" s="1" t="s">
        <v>264</v>
      </c>
      <c r="E437" s="73" t="n">
        <v>1</v>
      </c>
      <c r="F437" s="41" t="n">
        <v>13877.08</v>
      </c>
      <c r="G437" s="41" t="n">
        <v>13877.08</v>
      </c>
      <c r="H437" s="1" t="s">
        <v>545</v>
      </c>
    </row>
    <row r="438" customFormat="false" ht="15" hidden="false" customHeight="true" outlineLevel="0" collapsed="false">
      <c r="A438" s="1" t="s">
        <v>602</v>
      </c>
      <c r="B438" s="1" t="s">
        <v>512</v>
      </c>
      <c r="C438" s="1" t="s">
        <v>550</v>
      </c>
      <c r="D438" s="1" t="s">
        <v>264</v>
      </c>
      <c r="E438" s="73" t="n">
        <v>0</v>
      </c>
      <c r="F438" s="41" t="n">
        <v>0</v>
      </c>
      <c r="G438" s="41" t="n">
        <v>0</v>
      </c>
      <c r="H438" s="1" t="s">
        <v>537</v>
      </c>
    </row>
    <row r="439" customFormat="false" ht="15" hidden="false" customHeight="true" outlineLevel="0" collapsed="false">
      <c r="A439" s="1" t="s">
        <v>602</v>
      </c>
      <c r="B439" s="1" t="s">
        <v>551</v>
      </c>
      <c r="C439" s="1" t="s">
        <v>552</v>
      </c>
      <c r="D439" s="1" t="s">
        <v>271</v>
      </c>
      <c r="E439" s="73" t="n">
        <v>1</v>
      </c>
      <c r="F439" s="41" t="n">
        <v>238.88</v>
      </c>
      <c r="G439" s="41" t="n">
        <v>238.88</v>
      </c>
      <c r="H439" s="1" t="s">
        <v>557</v>
      </c>
    </row>
    <row r="440" customFormat="false" ht="15" hidden="false" customHeight="true" outlineLevel="0" collapsed="false">
      <c r="A440" s="1" t="s">
        <v>602</v>
      </c>
      <c r="B440" s="1" t="s">
        <v>551</v>
      </c>
      <c r="C440" s="1" t="s">
        <v>554</v>
      </c>
      <c r="D440" s="1" t="s">
        <v>271</v>
      </c>
      <c r="E440" s="73" t="n">
        <v>1</v>
      </c>
      <c r="F440" s="41" t="n">
        <v>609.17</v>
      </c>
      <c r="G440" s="41" t="n">
        <v>609.17</v>
      </c>
      <c r="H440" s="1" t="s">
        <v>557</v>
      </c>
    </row>
    <row r="441" customFormat="false" ht="15" hidden="false" customHeight="true" outlineLevel="0" collapsed="false">
      <c r="A441" s="1" t="s">
        <v>602</v>
      </c>
      <c r="B441" s="1" t="s">
        <v>551</v>
      </c>
      <c r="C441" s="1" t="s">
        <v>555</v>
      </c>
      <c r="D441" s="1" t="s">
        <v>271</v>
      </c>
      <c r="E441" s="73" t="n">
        <v>1</v>
      </c>
      <c r="F441" s="41" t="n">
        <v>510</v>
      </c>
      <c r="G441" s="41" t="n">
        <v>510</v>
      </c>
      <c r="H441" s="1" t="s">
        <v>557</v>
      </c>
    </row>
    <row r="442" customFormat="false" ht="15" hidden="false" customHeight="true" outlineLevel="0" collapsed="false">
      <c r="A442" s="1" t="s">
        <v>602</v>
      </c>
      <c r="B442" s="1" t="s">
        <v>551</v>
      </c>
      <c r="C442" s="1" t="s">
        <v>556</v>
      </c>
      <c r="D442" s="1" t="s">
        <v>271</v>
      </c>
      <c r="E442" s="73" t="n">
        <v>1</v>
      </c>
      <c r="F442" s="41" t="n">
        <v>333.1</v>
      </c>
      <c r="G442" s="41" t="n">
        <v>333.1</v>
      </c>
      <c r="H442" s="1" t="s">
        <v>606</v>
      </c>
    </row>
    <row r="443" customFormat="false" ht="15" hidden="false" customHeight="true" outlineLevel="0" collapsed="false">
      <c r="A443" s="1" t="s">
        <v>602</v>
      </c>
      <c r="B443" s="1" t="s">
        <v>551</v>
      </c>
      <c r="C443" s="1" t="s">
        <v>558</v>
      </c>
      <c r="D443" s="1" t="s">
        <v>271</v>
      </c>
      <c r="E443" s="73" t="n">
        <v>1</v>
      </c>
      <c r="F443" s="41" t="n">
        <v>1833.24</v>
      </c>
      <c r="G443" s="41" t="n">
        <v>1833.24</v>
      </c>
      <c r="H443" s="1" t="s">
        <v>557</v>
      </c>
    </row>
    <row r="444" customFormat="false" ht="15" hidden="false" customHeight="true" outlineLevel="0" collapsed="false">
      <c r="A444" s="1" t="s">
        <v>602</v>
      </c>
      <c r="B444" s="1" t="s">
        <v>551</v>
      </c>
      <c r="C444" s="1" t="s">
        <v>559</v>
      </c>
      <c r="D444" s="1" t="s">
        <v>271</v>
      </c>
      <c r="E444" s="73" t="n">
        <v>1</v>
      </c>
      <c r="F444" s="41" t="n">
        <v>2973.2</v>
      </c>
      <c r="G444" s="41" t="n">
        <v>2973.2</v>
      </c>
      <c r="H444" s="1" t="s">
        <v>557</v>
      </c>
    </row>
    <row r="445" customFormat="false" ht="15" hidden="false" customHeight="true" outlineLevel="0" collapsed="false">
      <c r="A445" s="1" t="s">
        <v>602</v>
      </c>
      <c r="B445" s="1" t="s">
        <v>551</v>
      </c>
      <c r="C445" s="1" t="s">
        <v>560</v>
      </c>
      <c r="D445" s="1" t="s">
        <v>271</v>
      </c>
      <c r="E445" s="73" t="n">
        <v>1</v>
      </c>
      <c r="F445" s="41" t="n">
        <v>7615.46</v>
      </c>
      <c r="G445" s="41" t="n">
        <v>7615.46</v>
      </c>
      <c r="H445" s="1" t="s">
        <v>557</v>
      </c>
    </row>
    <row r="446" customFormat="false" ht="15" hidden="false" customHeight="true" outlineLevel="0" collapsed="false">
      <c r="A446" s="1" t="s">
        <v>602</v>
      </c>
      <c r="B446" s="1" t="s">
        <v>551</v>
      </c>
      <c r="C446" s="1" t="s">
        <v>561</v>
      </c>
      <c r="D446" s="1" t="s">
        <v>272</v>
      </c>
      <c r="E446" s="73" t="n">
        <v>-1</v>
      </c>
      <c r="F446" s="41" t="n">
        <v>837.25</v>
      </c>
      <c r="G446" s="41" t="n">
        <v>-837.25</v>
      </c>
      <c r="H446" s="1" t="s">
        <v>562</v>
      </c>
    </row>
    <row r="447" customFormat="false" ht="15" hidden="false" customHeight="true" outlineLevel="0" collapsed="false">
      <c r="A447" s="1" t="s">
        <v>602</v>
      </c>
      <c r="B447" s="1" t="s">
        <v>551</v>
      </c>
      <c r="C447" s="1" t="s">
        <v>552</v>
      </c>
      <c r="D447" s="1" t="s">
        <v>272</v>
      </c>
      <c r="E447" s="73" t="n">
        <v>-1</v>
      </c>
      <c r="F447" s="41" t="n">
        <v>238.88</v>
      </c>
      <c r="G447" s="41" t="n">
        <v>-238.88</v>
      </c>
      <c r="H447" s="1" t="s">
        <v>563</v>
      </c>
    </row>
    <row r="448" customFormat="false" ht="15" hidden="false" customHeight="true" outlineLevel="0" collapsed="false">
      <c r="A448" s="1" t="s">
        <v>602</v>
      </c>
      <c r="B448" s="1" t="s">
        <v>551</v>
      </c>
      <c r="C448" s="1" t="s">
        <v>552</v>
      </c>
      <c r="D448" s="1" t="s">
        <v>272</v>
      </c>
      <c r="E448" s="73" t="n">
        <v>-1</v>
      </c>
      <c r="F448" s="41" t="n">
        <v>238.88</v>
      </c>
      <c r="G448" s="41" t="n">
        <v>-238.88</v>
      </c>
      <c r="H448" s="1" t="s">
        <v>557</v>
      </c>
    </row>
    <row r="449" customFormat="false" ht="15" hidden="false" customHeight="true" outlineLevel="0" collapsed="false">
      <c r="A449" s="1" t="s">
        <v>602</v>
      </c>
      <c r="B449" s="1" t="s">
        <v>551</v>
      </c>
      <c r="C449" s="1" t="s">
        <v>555</v>
      </c>
      <c r="D449" s="1" t="s">
        <v>264</v>
      </c>
      <c r="E449" s="73" t="n">
        <v>1</v>
      </c>
      <c r="F449" s="41" t="n">
        <v>67.33</v>
      </c>
      <c r="G449" s="41" t="n">
        <v>67.33</v>
      </c>
      <c r="H449" s="1" t="s">
        <v>565</v>
      </c>
    </row>
    <row r="450" customFormat="false" ht="15" hidden="false" customHeight="true" outlineLevel="0" collapsed="false">
      <c r="A450" s="1" t="s">
        <v>602</v>
      </c>
      <c r="B450" s="1" t="s">
        <v>551</v>
      </c>
      <c r="C450" s="1" t="s">
        <v>555</v>
      </c>
      <c r="D450" s="1" t="s">
        <v>264</v>
      </c>
      <c r="E450" s="73" t="n">
        <v>-1</v>
      </c>
      <c r="F450" s="41" t="n">
        <v>510</v>
      </c>
      <c r="G450" s="41" t="n">
        <v>-510</v>
      </c>
      <c r="H450" s="1" t="s">
        <v>557</v>
      </c>
    </row>
    <row r="451" customFormat="false" ht="15" hidden="false" customHeight="true" outlineLevel="0" collapsed="false">
      <c r="A451" s="1" t="s">
        <v>602</v>
      </c>
      <c r="B451" s="1" t="s">
        <v>47</v>
      </c>
      <c r="C451" s="1" t="s">
        <v>566</v>
      </c>
      <c r="D451" s="1" t="s">
        <v>269</v>
      </c>
      <c r="E451" s="73" t="n">
        <v>1</v>
      </c>
      <c r="F451" s="41" t="n">
        <v>1583.45</v>
      </c>
      <c r="G451" s="41" t="n">
        <v>1583.45</v>
      </c>
      <c r="H451" s="1" t="s">
        <v>607</v>
      </c>
    </row>
    <row r="452" customFormat="false" ht="15" hidden="false" customHeight="true" outlineLevel="0" collapsed="false">
      <c r="A452" s="1" t="s">
        <v>602</v>
      </c>
      <c r="B452" s="1" t="s">
        <v>47</v>
      </c>
      <c r="C452" s="1" t="s">
        <v>566</v>
      </c>
      <c r="D452" s="1" t="s">
        <v>271</v>
      </c>
      <c r="E452" s="73" t="n">
        <v>1</v>
      </c>
      <c r="F452" s="41" t="n">
        <v>1138.52</v>
      </c>
      <c r="G452" s="41" t="n">
        <v>1138.52</v>
      </c>
      <c r="H452" s="1" t="s">
        <v>608</v>
      </c>
    </row>
    <row r="453" customFormat="false" ht="15" hidden="false" customHeight="true" outlineLevel="0" collapsed="false">
      <c r="A453" s="1" t="s">
        <v>602</v>
      </c>
      <c r="B453" s="1" t="s">
        <v>47</v>
      </c>
      <c r="C453" s="1" t="s">
        <v>566</v>
      </c>
      <c r="D453" s="1" t="s">
        <v>275</v>
      </c>
      <c r="E453" s="73" t="n">
        <v>0</v>
      </c>
      <c r="F453" s="41" t="n">
        <v>0</v>
      </c>
      <c r="G453" s="41" t="n">
        <v>0</v>
      </c>
      <c r="H453" s="1" t="s">
        <v>569</v>
      </c>
    </row>
    <row r="454" customFormat="false" ht="15" hidden="false" customHeight="true" outlineLevel="0" collapsed="false">
      <c r="A454" s="1" t="s">
        <v>602</v>
      </c>
      <c r="B454" s="1" t="s">
        <v>47</v>
      </c>
      <c r="C454" s="1" t="s">
        <v>566</v>
      </c>
      <c r="D454" s="1" t="s">
        <v>272</v>
      </c>
      <c r="E454" s="73" t="n">
        <v>1</v>
      </c>
      <c r="F454" s="41" t="n">
        <v>1989.74</v>
      </c>
      <c r="G454" s="41" t="n">
        <v>1989.74</v>
      </c>
      <c r="H454" s="1" t="s">
        <v>609</v>
      </c>
    </row>
    <row r="455" customFormat="false" ht="15" hidden="false" customHeight="true" outlineLevel="0" collapsed="false">
      <c r="A455" s="1" t="s">
        <v>602</v>
      </c>
      <c r="B455" s="1" t="s">
        <v>47</v>
      </c>
      <c r="C455" s="1" t="s">
        <v>566</v>
      </c>
      <c r="D455" s="1" t="s">
        <v>266</v>
      </c>
      <c r="E455" s="73" t="n">
        <v>0</v>
      </c>
      <c r="F455" s="41" t="n">
        <v>0</v>
      </c>
      <c r="G455" s="41" t="n">
        <v>0</v>
      </c>
      <c r="H455" s="1" t="s">
        <v>571</v>
      </c>
    </row>
    <row r="456" customFormat="false" ht="15" hidden="false" customHeight="true" outlineLevel="0" collapsed="false">
      <c r="A456" s="1" t="s">
        <v>602</v>
      </c>
      <c r="B456" s="1" t="s">
        <v>47</v>
      </c>
      <c r="C456" s="1" t="s">
        <v>566</v>
      </c>
      <c r="D456" s="1" t="s">
        <v>267</v>
      </c>
      <c r="E456" s="73" t="n">
        <v>0</v>
      </c>
      <c r="F456" s="41" t="n">
        <v>0</v>
      </c>
      <c r="G456" s="41" t="n">
        <v>0</v>
      </c>
      <c r="H456" s="1" t="s">
        <v>569</v>
      </c>
    </row>
    <row r="457" customFormat="false" ht="15" hidden="false" customHeight="true" outlineLevel="0" collapsed="false">
      <c r="A457" s="1" t="s">
        <v>602</v>
      </c>
      <c r="B457" s="1" t="s">
        <v>85</v>
      </c>
      <c r="C457" s="1" t="s">
        <v>573</v>
      </c>
      <c r="D457" s="1" t="s">
        <v>257</v>
      </c>
      <c r="E457" s="73" t="n">
        <v>119</v>
      </c>
      <c r="F457" s="41" t="n">
        <v>122.31</v>
      </c>
      <c r="G457" s="41" t="n">
        <v>14554.89</v>
      </c>
      <c r="H457" s="1" t="s">
        <v>574</v>
      </c>
    </row>
    <row r="458" customFormat="false" ht="15" hidden="false" customHeight="true" outlineLevel="0" collapsed="false">
      <c r="A458" s="1" t="s">
        <v>602</v>
      </c>
      <c r="B458" s="1" t="s">
        <v>85</v>
      </c>
      <c r="C458" s="1" t="s">
        <v>573</v>
      </c>
      <c r="D458" s="1" t="s">
        <v>257</v>
      </c>
      <c r="E458" s="73" t="n">
        <v>119</v>
      </c>
      <c r="F458" s="41" t="n">
        <v>122.31</v>
      </c>
      <c r="G458" s="41" t="n">
        <v>14554.89</v>
      </c>
      <c r="H458" s="1" t="s">
        <v>574</v>
      </c>
    </row>
    <row r="459" customFormat="false" ht="15" hidden="false" customHeight="true" outlineLevel="0" collapsed="false">
      <c r="A459" s="1" t="s">
        <v>602</v>
      </c>
      <c r="B459" s="1" t="s">
        <v>85</v>
      </c>
      <c r="C459" s="1" t="s">
        <v>573</v>
      </c>
      <c r="D459" s="1" t="s">
        <v>269</v>
      </c>
      <c r="E459" s="73" t="n">
        <v>4</v>
      </c>
      <c r="F459" s="41" t="n">
        <v>127.35</v>
      </c>
      <c r="G459" s="41" t="n">
        <v>509.4</v>
      </c>
      <c r="H459" s="1" t="s">
        <v>574</v>
      </c>
    </row>
    <row r="460" customFormat="false" ht="15" hidden="false" customHeight="true" outlineLevel="0" collapsed="false">
      <c r="A460" s="1" t="s">
        <v>602</v>
      </c>
      <c r="B460" s="1" t="s">
        <v>85</v>
      </c>
      <c r="C460" s="1" t="s">
        <v>573</v>
      </c>
      <c r="D460" s="1" t="s">
        <v>269</v>
      </c>
      <c r="E460" s="73" t="n">
        <v>4</v>
      </c>
      <c r="F460" s="41" t="n">
        <v>127.35</v>
      </c>
      <c r="G460" s="41" t="n">
        <v>509.4</v>
      </c>
      <c r="H460" s="1" t="s">
        <v>574</v>
      </c>
    </row>
    <row r="461" customFormat="false" ht="15" hidden="false" customHeight="true" outlineLevel="0" collapsed="false">
      <c r="A461" s="1" t="s">
        <v>602</v>
      </c>
      <c r="B461" s="1" t="s">
        <v>85</v>
      </c>
      <c r="C461" s="1" t="s">
        <v>573</v>
      </c>
      <c r="D461" s="1" t="s">
        <v>271</v>
      </c>
      <c r="E461" s="73" t="n">
        <v>18</v>
      </c>
      <c r="F461" s="41" t="n">
        <v>128.18</v>
      </c>
      <c r="G461" s="41" t="n">
        <v>2307.24</v>
      </c>
      <c r="H461" s="1" t="s">
        <v>574</v>
      </c>
    </row>
    <row r="462" customFormat="false" ht="15" hidden="false" customHeight="true" outlineLevel="0" collapsed="false">
      <c r="A462" s="1" t="s">
        <v>602</v>
      </c>
      <c r="B462" s="1" t="s">
        <v>85</v>
      </c>
      <c r="C462" s="1" t="s">
        <v>573</v>
      </c>
      <c r="D462" s="1" t="s">
        <v>271</v>
      </c>
      <c r="E462" s="73" t="n">
        <v>18</v>
      </c>
      <c r="F462" s="41" t="n">
        <v>128.18</v>
      </c>
      <c r="G462" s="41" t="n">
        <v>2307.24</v>
      </c>
      <c r="H462" s="1" t="s">
        <v>574</v>
      </c>
    </row>
    <row r="463" customFormat="false" ht="15" hidden="false" customHeight="true" outlineLevel="0" collapsed="false">
      <c r="A463" s="1" t="s">
        <v>602</v>
      </c>
      <c r="B463" s="1" t="s">
        <v>85</v>
      </c>
      <c r="C463" s="1" t="s">
        <v>573</v>
      </c>
      <c r="D463" s="1" t="s">
        <v>275</v>
      </c>
      <c r="E463" s="73" t="n">
        <v>11</v>
      </c>
      <c r="F463" s="41" t="n">
        <v>122.58</v>
      </c>
      <c r="G463" s="41" t="n">
        <v>1348.38</v>
      </c>
      <c r="H463" s="1" t="s">
        <v>574</v>
      </c>
    </row>
    <row r="464" customFormat="false" ht="15" hidden="false" customHeight="true" outlineLevel="0" collapsed="false">
      <c r="A464" s="1" t="s">
        <v>602</v>
      </c>
      <c r="B464" s="1" t="s">
        <v>85</v>
      </c>
      <c r="C464" s="1" t="s">
        <v>573</v>
      </c>
      <c r="D464" s="1" t="s">
        <v>275</v>
      </c>
      <c r="E464" s="73" t="n">
        <v>11</v>
      </c>
      <c r="F464" s="41" t="n">
        <v>122.58</v>
      </c>
      <c r="G464" s="41" t="n">
        <v>1348.38</v>
      </c>
      <c r="H464" s="1" t="s">
        <v>574</v>
      </c>
    </row>
    <row r="465" customFormat="false" ht="15" hidden="false" customHeight="true" outlineLevel="0" collapsed="false">
      <c r="A465" s="1" t="s">
        <v>602</v>
      </c>
      <c r="B465" s="1" t="s">
        <v>85</v>
      </c>
      <c r="C465" s="1" t="s">
        <v>573</v>
      </c>
      <c r="D465" s="1" t="s">
        <v>272</v>
      </c>
      <c r="E465" s="73" t="n">
        <v>20</v>
      </c>
      <c r="F465" s="41" t="n">
        <v>134.1</v>
      </c>
      <c r="G465" s="41" t="n">
        <v>2682</v>
      </c>
      <c r="H465" s="1" t="s">
        <v>574</v>
      </c>
    </row>
    <row r="466" customFormat="false" ht="15" hidden="false" customHeight="true" outlineLevel="0" collapsed="false">
      <c r="A466" s="1" t="s">
        <v>602</v>
      </c>
      <c r="B466" s="1" t="s">
        <v>85</v>
      </c>
      <c r="C466" s="1" t="s">
        <v>573</v>
      </c>
      <c r="D466" s="1" t="s">
        <v>272</v>
      </c>
      <c r="E466" s="73" t="n">
        <v>1</v>
      </c>
      <c r="F466" s="41" t="n">
        <v>119.85</v>
      </c>
      <c r="G466" s="41" t="n">
        <v>119.85</v>
      </c>
      <c r="H466" s="1" t="s">
        <v>610</v>
      </c>
    </row>
    <row r="467" customFormat="false" ht="15" hidden="false" customHeight="true" outlineLevel="0" collapsed="false">
      <c r="A467" s="1" t="s">
        <v>602</v>
      </c>
      <c r="B467" s="1" t="s">
        <v>85</v>
      </c>
      <c r="C467" s="1" t="s">
        <v>573</v>
      </c>
      <c r="D467" s="1" t="s">
        <v>266</v>
      </c>
      <c r="E467" s="73" t="n">
        <v>4</v>
      </c>
      <c r="F467" s="41" t="n">
        <v>119.85</v>
      </c>
      <c r="G467" s="41" t="n">
        <v>479.4</v>
      </c>
      <c r="H467" s="1" t="s">
        <v>574</v>
      </c>
    </row>
    <row r="468" customFormat="false" ht="15" hidden="false" customHeight="true" outlineLevel="0" collapsed="false">
      <c r="A468" s="1" t="s">
        <v>602</v>
      </c>
      <c r="B468" s="1" t="s">
        <v>85</v>
      </c>
      <c r="C468" s="1" t="s">
        <v>573</v>
      </c>
      <c r="D468" s="1" t="s">
        <v>266</v>
      </c>
      <c r="E468" s="73" t="n">
        <v>4</v>
      </c>
      <c r="F468" s="41" t="n">
        <v>119.85</v>
      </c>
      <c r="G468" s="41" t="n">
        <v>479.4</v>
      </c>
      <c r="H468" s="1" t="s">
        <v>574</v>
      </c>
    </row>
    <row r="469" customFormat="false" ht="15" hidden="false" customHeight="true" outlineLevel="0" collapsed="false">
      <c r="A469" s="1" t="s">
        <v>602</v>
      </c>
      <c r="B469" s="1" t="s">
        <v>85</v>
      </c>
      <c r="C469" s="1" t="s">
        <v>573</v>
      </c>
      <c r="D469" s="1" t="s">
        <v>267</v>
      </c>
      <c r="E469" s="73" t="n">
        <v>0</v>
      </c>
      <c r="F469" s="41" t="n">
        <v>0</v>
      </c>
      <c r="G469" s="41" t="n">
        <v>0</v>
      </c>
      <c r="H469" s="1" t="s">
        <v>575</v>
      </c>
    </row>
    <row r="470" customFormat="false" ht="15" hidden="false" customHeight="true" outlineLevel="0" collapsed="false">
      <c r="A470" s="1" t="s">
        <v>602</v>
      </c>
      <c r="B470" s="1" t="s">
        <v>85</v>
      </c>
      <c r="C470" s="1" t="s">
        <v>573</v>
      </c>
      <c r="D470" s="1" t="s">
        <v>264</v>
      </c>
      <c r="E470" s="73" t="n">
        <v>8</v>
      </c>
      <c r="F470" s="41" t="n">
        <v>123.6</v>
      </c>
      <c r="G470" s="41" t="n">
        <v>988.8</v>
      </c>
      <c r="H470" s="1" t="s">
        <v>574</v>
      </c>
    </row>
    <row r="471" customFormat="false" ht="15" hidden="false" customHeight="true" outlineLevel="0" collapsed="false">
      <c r="A471" s="1" t="s">
        <v>602</v>
      </c>
      <c r="B471" s="1" t="s">
        <v>85</v>
      </c>
      <c r="C471" s="1" t="s">
        <v>573</v>
      </c>
      <c r="D471" s="1" t="s">
        <v>264</v>
      </c>
      <c r="E471" s="73" t="n">
        <v>1</v>
      </c>
      <c r="F471" s="41" t="n">
        <v>988.8</v>
      </c>
      <c r="G471" s="41" t="n">
        <v>988.8</v>
      </c>
      <c r="H471" s="1" t="s">
        <v>575</v>
      </c>
    </row>
    <row r="472" customFormat="false" ht="15" hidden="false" customHeight="true" outlineLevel="0" collapsed="false">
      <c r="A472" s="1" t="s">
        <v>602</v>
      </c>
      <c r="B472" s="1" t="s">
        <v>32</v>
      </c>
      <c r="C472" s="1" t="s">
        <v>576</v>
      </c>
      <c r="D472" s="1" t="s">
        <v>269</v>
      </c>
      <c r="E472" s="73" t="n">
        <v>0</v>
      </c>
      <c r="F472" s="41" t="n">
        <v>0</v>
      </c>
      <c r="G472" s="41" t="n">
        <v>0</v>
      </c>
      <c r="H472" s="1" t="s">
        <v>577</v>
      </c>
    </row>
    <row r="473" customFormat="false" ht="15" hidden="false" customHeight="true" outlineLevel="0" collapsed="false">
      <c r="A473" s="1" t="s">
        <v>602</v>
      </c>
      <c r="B473" s="1" t="s">
        <v>32</v>
      </c>
      <c r="C473" s="1" t="s">
        <v>578</v>
      </c>
      <c r="D473" s="1" t="s">
        <v>269</v>
      </c>
      <c r="E473" s="73" t="n">
        <v>0</v>
      </c>
      <c r="F473" s="41" t="n">
        <v>0</v>
      </c>
      <c r="G473" s="41" t="n">
        <v>0</v>
      </c>
      <c r="H473" s="1" t="s">
        <v>579</v>
      </c>
    </row>
    <row r="474" customFormat="false" ht="15" hidden="false" customHeight="true" outlineLevel="0" collapsed="false">
      <c r="A474" s="1" t="s">
        <v>602</v>
      </c>
      <c r="B474" s="1" t="s">
        <v>32</v>
      </c>
      <c r="C474" s="1" t="s">
        <v>576</v>
      </c>
      <c r="D474" s="1" t="s">
        <v>271</v>
      </c>
      <c r="E474" s="73" t="n">
        <v>0</v>
      </c>
      <c r="F474" s="41" t="n">
        <v>0</v>
      </c>
      <c r="G474" s="41" t="n">
        <v>0</v>
      </c>
      <c r="H474" s="1" t="s">
        <v>577</v>
      </c>
    </row>
    <row r="475" customFormat="false" ht="15" hidden="false" customHeight="true" outlineLevel="0" collapsed="false">
      <c r="A475" s="1" t="s">
        <v>602</v>
      </c>
      <c r="B475" s="1" t="s">
        <v>32</v>
      </c>
      <c r="C475" s="1" t="s">
        <v>576</v>
      </c>
      <c r="D475" s="1" t="s">
        <v>271</v>
      </c>
      <c r="E475" s="73" t="n">
        <v>0</v>
      </c>
      <c r="F475" s="41" t="n">
        <v>0</v>
      </c>
      <c r="G475" s="41" t="n">
        <v>0</v>
      </c>
      <c r="H475" s="1" t="s">
        <v>577</v>
      </c>
    </row>
    <row r="476" customFormat="false" ht="15" hidden="false" customHeight="true" outlineLevel="0" collapsed="false">
      <c r="A476" s="1" t="s">
        <v>602</v>
      </c>
      <c r="B476" s="1" t="s">
        <v>32</v>
      </c>
      <c r="C476" s="1" t="s">
        <v>578</v>
      </c>
      <c r="D476" s="1" t="s">
        <v>271</v>
      </c>
      <c r="E476" s="73" t="n">
        <v>0</v>
      </c>
      <c r="F476" s="41" t="n">
        <v>0</v>
      </c>
      <c r="G476" s="41" t="n">
        <v>0</v>
      </c>
      <c r="H476" s="1" t="s">
        <v>579</v>
      </c>
    </row>
    <row r="477" customFormat="false" ht="15" hidden="false" customHeight="true" outlineLevel="0" collapsed="false">
      <c r="A477" s="1" t="s">
        <v>602</v>
      </c>
      <c r="B477" s="1" t="s">
        <v>32</v>
      </c>
      <c r="C477" s="1" t="s">
        <v>576</v>
      </c>
      <c r="D477" s="1" t="s">
        <v>275</v>
      </c>
      <c r="E477" s="73" t="n">
        <v>0</v>
      </c>
      <c r="F477" s="41" t="n">
        <v>0</v>
      </c>
      <c r="G477" s="41" t="n">
        <v>0</v>
      </c>
      <c r="H477" s="1" t="s">
        <v>577</v>
      </c>
    </row>
    <row r="478" customFormat="false" ht="15" hidden="false" customHeight="true" outlineLevel="0" collapsed="false">
      <c r="A478" s="1" t="s">
        <v>602</v>
      </c>
      <c r="B478" s="1" t="s">
        <v>32</v>
      </c>
      <c r="C478" s="1" t="s">
        <v>578</v>
      </c>
      <c r="D478" s="1" t="s">
        <v>275</v>
      </c>
      <c r="E478" s="73" t="n">
        <v>0</v>
      </c>
      <c r="F478" s="41" t="n">
        <v>0</v>
      </c>
      <c r="G478" s="41" t="n">
        <v>0</v>
      </c>
      <c r="H478" s="1" t="s">
        <v>580</v>
      </c>
    </row>
    <row r="479" customFormat="false" ht="15" hidden="false" customHeight="true" outlineLevel="0" collapsed="false">
      <c r="A479" s="1" t="s">
        <v>602</v>
      </c>
      <c r="B479" s="1" t="s">
        <v>32</v>
      </c>
      <c r="C479" s="1" t="s">
        <v>576</v>
      </c>
      <c r="D479" s="1" t="s">
        <v>272</v>
      </c>
      <c r="E479" s="73" t="n">
        <v>0</v>
      </c>
      <c r="F479" s="41" t="n">
        <v>0</v>
      </c>
      <c r="G479" s="41" t="n">
        <v>0</v>
      </c>
      <c r="H479" s="1" t="s">
        <v>577</v>
      </c>
    </row>
    <row r="480" customFormat="false" ht="15" hidden="false" customHeight="true" outlineLevel="0" collapsed="false">
      <c r="A480" s="1" t="s">
        <v>602</v>
      </c>
      <c r="B480" s="1" t="s">
        <v>32</v>
      </c>
      <c r="C480" s="1" t="s">
        <v>576</v>
      </c>
      <c r="D480" s="1" t="s">
        <v>272</v>
      </c>
      <c r="E480" s="73" t="n">
        <v>0</v>
      </c>
      <c r="F480" s="41" t="n">
        <v>0</v>
      </c>
      <c r="G480" s="41" t="n">
        <v>0</v>
      </c>
      <c r="H480" s="1" t="s">
        <v>577</v>
      </c>
    </row>
    <row r="481" customFormat="false" ht="15" hidden="false" customHeight="true" outlineLevel="0" collapsed="false">
      <c r="A481" s="1" t="s">
        <v>602</v>
      </c>
      <c r="B481" s="1" t="s">
        <v>32</v>
      </c>
      <c r="C481" s="1" t="s">
        <v>576</v>
      </c>
      <c r="D481" s="1" t="s">
        <v>266</v>
      </c>
      <c r="E481" s="73" t="n">
        <v>0</v>
      </c>
      <c r="F481" s="41" t="n">
        <v>0</v>
      </c>
      <c r="G481" s="41" t="n">
        <v>0</v>
      </c>
      <c r="H481" s="1" t="s">
        <v>577</v>
      </c>
    </row>
    <row r="482" customFormat="false" ht="15" hidden="false" customHeight="true" outlineLevel="0" collapsed="false">
      <c r="A482" s="1" t="s">
        <v>602</v>
      </c>
      <c r="B482" s="1" t="s">
        <v>32</v>
      </c>
      <c r="C482" s="1" t="s">
        <v>578</v>
      </c>
      <c r="D482" s="1" t="s">
        <v>266</v>
      </c>
      <c r="E482" s="73" t="n">
        <v>0</v>
      </c>
      <c r="F482" s="41" t="n">
        <v>0</v>
      </c>
      <c r="G482" s="41" t="n">
        <v>0</v>
      </c>
      <c r="H482" s="1" t="s">
        <v>579</v>
      </c>
    </row>
    <row r="483" customFormat="false" ht="15" hidden="false" customHeight="true" outlineLevel="0" collapsed="false">
      <c r="A483" s="1" t="s">
        <v>602</v>
      </c>
      <c r="B483" s="1" t="s">
        <v>32</v>
      </c>
      <c r="C483" s="1" t="s">
        <v>576</v>
      </c>
      <c r="D483" s="1" t="s">
        <v>267</v>
      </c>
      <c r="E483" s="73" t="n">
        <v>0</v>
      </c>
      <c r="F483" s="41" t="n">
        <v>0</v>
      </c>
      <c r="G483" s="41" t="n">
        <v>0</v>
      </c>
      <c r="H483" s="1" t="s">
        <v>577</v>
      </c>
    </row>
    <row r="484" customFormat="false" ht="15" hidden="false" customHeight="true" outlineLevel="0" collapsed="false">
      <c r="A484" s="1" t="s">
        <v>602</v>
      </c>
      <c r="B484" s="1" t="s">
        <v>32</v>
      </c>
      <c r="C484" s="1" t="s">
        <v>576</v>
      </c>
      <c r="D484" s="1" t="s">
        <v>264</v>
      </c>
      <c r="E484" s="73" t="n">
        <v>0</v>
      </c>
      <c r="F484" s="41" t="n">
        <v>0</v>
      </c>
      <c r="G484" s="41" t="n">
        <v>0</v>
      </c>
      <c r="H484" s="1" t="s">
        <v>577</v>
      </c>
    </row>
    <row r="485" customFormat="false" ht="15" hidden="false" customHeight="true" outlineLevel="0" collapsed="false">
      <c r="A485" s="1" t="s">
        <v>602</v>
      </c>
      <c r="B485" s="1" t="s">
        <v>32</v>
      </c>
      <c r="C485" s="1" t="s">
        <v>578</v>
      </c>
      <c r="D485" s="1" t="s">
        <v>264</v>
      </c>
      <c r="E485" s="73" t="n">
        <v>0</v>
      </c>
      <c r="F485" s="41" t="n">
        <v>0</v>
      </c>
      <c r="G485" s="41" t="n">
        <v>0</v>
      </c>
      <c r="H485" s="1" t="s">
        <v>581</v>
      </c>
    </row>
    <row r="486" customFormat="false" ht="15" hidden="false" customHeight="true" outlineLevel="0" collapsed="false">
      <c r="A486" s="1" t="s">
        <v>602</v>
      </c>
      <c r="B486" s="1" t="s">
        <v>582</v>
      </c>
      <c r="C486" s="1" t="s">
        <v>583</v>
      </c>
      <c r="D486" s="1" t="s">
        <v>271</v>
      </c>
      <c r="E486" s="73" t="n">
        <v>13402</v>
      </c>
      <c r="F486" s="41" t="n">
        <v>2.64</v>
      </c>
      <c r="G486" s="41" t="n">
        <v>35381.28</v>
      </c>
      <c r="H486" s="1" t="s">
        <v>402</v>
      </c>
    </row>
    <row r="487" customFormat="false" ht="15" hidden="false" customHeight="true" outlineLevel="0" collapsed="false">
      <c r="A487" s="1" t="s">
        <v>602</v>
      </c>
      <c r="B487" s="1" t="s">
        <v>44</v>
      </c>
      <c r="C487" s="1" t="s">
        <v>584</v>
      </c>
      <c r="D487" s="1" t="s">
        <v>269</v>
      </c>
      <c r="E487" s="73" t="n">
        <v>1</v>
      </c>
      <c r="F487" s="41" t="n">
        <v>4343.82</v>
      </c>
      <c r="G487" s="41" t="n">
        <v>4343.82</v>
      </c>
      <c r="H487" s="1" t="s">
        <v>611</v>
      </c>
    </row>
    <row r="488" customFormat="false" ht="15" hidden="false" customHeight="true" outlineLevel="0" collapsed="false">
      <c r="A488" s="1" t="s">
        <v>602</v>
      </c>
      <c r="B488" s="1" t="s">
        <v>44</v>
      </c>
      <c r="C488" s="1" t="s">
        <v>584</v>
      </c>
      <c r="D488" s="1" t="s">
        <v>271</v>
      </c>
      <c r="E488" s="73" t="n">
        <v>1</v>
      </c>
      <c r="F488" s="41" t="n">
        <v>4773.1</v>
      </c>
      <c r="G488" s="41" t="n">
        <v>4773.1</v>
      </c>
      <c r="H488" s="1" t="s">
        <v>611</v>
      </c>
    </row>
    <row r="489" customFormat="false" ht="15" hidden="false" customHeight="true" outlineLevel="0" collapsed="false">
      <c r="A489" s="1" t="s">
        <v>602</v>
      </c>
      <c r="B489" s="1" t="s">
        <v>44</v>
      </c>
      <c r="C489" s="1" t="s">
        <v>587</v>
      </c>
      <c r="D489" s="1" t="s">
        <v>271</v>
      </c>
      <c r="E489" s="73" t="n">
        <v>0</v>
      </c>
      <c r="F489" s="41" t="n">
        <v>0</v>
      </c>
      <c r="G489" s="41" t="n">
        <v>0</v>
      </c>
      <c r="H489" s="1" t="s">
        <v>588</v>
      </c>
    </row>
    <row r="490" customFormat="false" ht="15" hidden="false" customHeight="true" outlineLevel="0" collapsed="false">
      <c r="A490" s="1" t="s">
        <v>602</v>
      </c>
      <c r="B490" s="1" t="s">
        <v>44</v>
      </c>
      <c r="C490" s="1" t="s">
        <v>589</v>
      </c>
      <c r="D490" s="1" t="s">
        <v>271</v>
      </c>
      <c r="E490" s="73" t="n">
        <v>0</v>
      </c>
      <c r="F490" s="41" t="n">
        <v>0</v>
      </c>
      <c r="G490" s="41" t="n">
        <v>0</v>
      </c>
      <c r="H490" s="1" t="s">
        <v>590</v>
      </c>
    </row>
    <row r="491" customFormat="false" ht="15" hidden="false" customHeight="true" outlineLevel="0" collapsed="false">
      <c r="A491" s="1" t="s">
        <v>602</v>
      </c>
      <c r="B491" s="1" t="s">
        <v>44</v>
      </c>
      <c r="C491" s="1" t="s">
        <v>591</v>
      </c>
      <c r="D491" s="1" t="s">
        <v>271</v>
      </c>
      <c r="E491" s="73" t="n">
        <v>0</v>
      </c>
      <c r="F491" s="41" t="n">
        <v>0</v>
      </c>
      <c r="G491" s="41" t="n">
        <v>0</v>
      </c>
      <c r="H491" s="1" t="s">
        <v>592</v>
      </c>
    </row>
    <row r="492" customFormat="false" ht="15" hidden="false" customHeight="true" outlineLevel="0" collapsed="false">
      <c r="A492" s="1" t="s">
        <v>602</v>
      </c>
      <c r="B492" s="1" t="s">
        <v>44</v>
      </c>
      <c r="C492" s="1" t="s">
        <v>584</v>
      </c>
      <c r="D492" s="1" t="s">
        <v>275</v>
      </c>
      <c r="E492" s="73" t="n">
        <v>1</v>
      </c>
      <c r="F492" s="41" t="n">
        <v>1019.8</v>
      </c>
      <c r="G492" s="41" t="n">
        <v>1019.8</v>
      </c>
      <c r="H492" s="1" t="s">
        <v>611</v>
      </c>
    </row>
    <row r="493" customFormat="false" ht="15" hidden="false" customHeight="true" outlineLevel="0" collapsed="false">
      <c r="A493" s="1" t="s">
        <v>602</v>
      </c>
      <c r="B493" s="1" t="s">
        <v>44</v>
      </c>
      <c r="C493" s="1" t="s">
        <v>584</v>
      </c>
      <c r="D493" s="1" t="s">
        <v>275</v>
      </c>
      <c r="E493" s="73" t="n">
        <v>0</v>
      </c>
      <c r="F493" s="41" t="n">
        <v>0</v>
      </c>
      <c r="G493" s="41" t="n">
        <v>0</v>
      </c>
      <c r="H493" s="1" t="s">
        <v>586</v>
      </c>
    </row>
    <row r="494" customFormat="false" ht="15" hidden="false" customHeight="true" outlineLevel="0" collapsed="false">
      <c r="A494" s="1" t="s">
        <v>602</v>
      </c>
      <c r="B494" s="1" t="s">
        <v>44</v>
      </c>
      <c r="C494" s="1" t="s">
        <v>593</v>
      </c>
      <c r="D494" s="1" t="s">
        <v>275</v>
      </c>
      <c r="E494" s="73" t="n">
        <v>0</v>
      </c>
      <c r="F494" s="41" t="n">
        <v>0</v>
      </c>
      <c r="G494" s="41" t="n">
        <v>0</v>
      </c>
      <c r="H494" s="1" t="s">
        <v>588</v>
      </c>
    </row>
    <row r="495" customFormat="false" ht="15" hidden="false" customHeight="true" outlineLevel="0" collapsed="false">
      <c r="A495" s="1" t="s">
        <v>602</v>
      </c>
      <c r="B495" s="1" t="s">
        <v>44</v>
      </c>
      <c r="C495" s="1" t="s">
        <v>594</v>
      </c>
      <c r="D495" s="1" t="s">
        <v>275</v>
      </c>
      <c r="E495" s="73" t="n">
        <v>0</v>
      </c>
      <c r="F495" s="41" t="n">
        <v>0</v>
      </c>
      <c r="G495" s="41" t="n">
        <v>0</v>
      </c>
      <c r="H495" s="1" t="s">
        <v>592</v>
      </c>
    </row>
    <row r="496" customFormat="false" ht="15" hidden="false" customHeight="true" outlineLevel="0" collapsed="false">
      <c r="A496" s="1" t="s">
        <v>602</v>
      </c>
      <c r="B496" s="1" t="s">
        <v>44</v>
      </c>
      <c r="C496" s="1" t="s">
        <v>584</v>
      </c>
      <c r="D496" s="1" t="s">
        <v>272</v>
      </c>
      <c r="E496" s="73" t="n">
        <v>1</v>
      </c>
      <c r="F496" s="41" t="n">
        <v>2399.73</v>
      </c>
      <c r="G496" s="41" t="n">
        <v>2399.73</v>
      </c>
      <c r="H496" s="1" t="s">
        <v>611</v>
      </c>
    </row>
    <row r="497" customFormat="false" ht="15" hidden="false" customHeight="true" outlineLevel="0" collapsed="false">
      <c r="A497" s="1" t="s">
        <v>602</v>
      </c>
      <c r="B497" s="1" t="s">
        <v>44</v>
      </c>
      <c r="C497" s="1" t="s">
        <v>595</v>
      </c>
      <c r="D497" s="1" t="s">
        <v>272</v>
      </c>
      <c r="E497" s="73" t="n">
        <v>0</v>
      </c>
      <c r="F497" s="41" t="n">
        <v>0</v>
      </c>
      <c r="G497" s="41" t="n">
        <v>0</v>
      </c>
      <c r="H497" s="1" t="s">
        <v>588</v>
      </c>
    </row>
    <row r="498" customFormat="false" ht="15" hidden="false" customHeight="true" outlineLevel="0" collapsed="false">
      <c r="A498" s="1" t="s">
        <v>602</v>
      </c>
      <c r="B498" s="1" t="s">
        <v>44</v>
      </c>
      <c r="C498" s="1" t="s">
        <v>596</v>
      </c>
      <c r="D498" s="1" t="s">
        <v>272</v>
      </c>
      <c r="E498" s="73" t="n">
        <v>0</v>
      </c>
      <c r="F498" s="41" t="n">
        <v>0</v>
      </c>
      <c r="G498" s="41" t="n">
        <v>0</v>
      </c>
      <c r="H498" s="1" t="s">
        <v>588</v>
      </c>
    </row>
    <row r="499" customFormat="false" ht="15" hidden="false" customHeight="true" outlineLevel="0" collapsed="false">
      <c r="A499" s="1" t="s">
        <v>602</v>
      </c>
      <c r="B499" s="1" t="s">
        <v>44</v>
      </c>
      <c r="C499" s="1" t="s">
        <v>597</v>
      </c>
      <c r="D499" s="1" t="s">
        <v>272</v>
      </c>
      <c r="E499" s="73" t="n">
        <v>0</v>
      </c>
      <c r="F499" s="41" t="n">
        <v>0</v>
      </c>
      <c r="G499" s="41" t="n">
        <v>0</v>
      </c>
      <c r="H499" s="1" t="s">
        <v>592</v>
      </c>
    </row>
    <row r="500" customFormat="false" ht="15" hidden="false" customHeight="true" outlineLevel="0" collapsed="false">
      <c r="A500" s="1" t="s">
        <v>602</v>
      </c>
      <c r="B500" s="1" t="s">
        <v>44</v>
      </c>
      <c r="C500" s="1" t="s">
        <v>598</v>
      </c>
      <c r="D500" s="1" t="s">
        <v>272</v>
      </c>
      <c r="E500" s="73" t="n">
        <v>0</v>
      </c>
      <c r="F500" s="41" t="n">
        <v>0</v>
      </c>
      <c r="G500" s="41" t="n">
        <v>0</v>
      </c>
      <c r="H500" s="1" t="s">
        <v>592</v>
      </c>
    </row>
    <row r="501" customFormat="false" ht="15" hidden="false" customHeight="true" outlineLevel="0" collapsed="false">
      <c r="A501" s="1" t="s">
        <v>602</v>
      </c>
      <c r="B501" s="1" t="s">
        <v>44</v>
      </c>
      <c r="C501" s="1" t="s">
        <v>584</v>
      </c>
      <c r="D501" s="1" t="s">
        <v>266</v>
      </c>
      <c r="E501" s="73" t="n">
        <v>0</v>
      </c>
      <c r="F501" s="41" t="n">
        <v>0</v>
      </c>
      <c r="G501" s="41" t="n">
        <v>0</v>
      </c>
      <c r="H501" s="1" t="s">
        <v>585</v>
      </c>
    </row>
    <row r="502" customFormat="false" ht="15" hidden="false" customHeight="true" outlineLevel="0" collapsed="false">
      <c r="A502" s="1" t="s">
        <v>602</v>
      </c>
      <c r="B502" s="1" t="s">
        <v>44</v>
      </c>
      <c r="C502" s="1" t="s">
        <v>584</v>
      </c>
      <c r="D502" s="1" t="s">
        <v>266</v>
      </c>
      <c r="E502" s="73" t="n">
        <v>1</v>
      </c>
      <c r="F502" s="41" t="n">
        <v>4808.82</v>
      </c>
      <c r="G502" s="41" t="n">
        <v>4808.82</v>
      </c>
      <c r="H502" s="1" t="s">
        <v>586</v>
      </c>
    </row>
    <row r="503" customFormat="false" ht="15" hidden="false" customHeight="true" outlineLevel="0" collapsed="false">
      <c r="A503" s="1" t="s">
        <v>602</v>
      </c>
      <c r="B503" s="1" t="s">
        <v>44</v>
      </c>
      <c r="C503" s="1" t="s">
        <v>596</v>
      </c>
      <c r="D503" s="1" t="s">
        <v>266</v>
      </c>
      <c r="E503" s="73" t="n">
        <v>0</v>
      </c>
      <c r="F503" s="41" t="n">
        <v>0</v>
      </c>
      <c r="G503" s="41" t="n">
        <v>0</v>
      </c>
      <c r="H503" s="1" t="s">
        <v>592</v>
      </c>
    </row>
    <row r="504" customFormat="false" ht="15" hidden="false" customHeight="true" outlineLevel="0" collapsed="false">
      <c r="A504" s="1" t="s">
        <v>602</v>
      </c>
      <c r="B504" s="1" t="s">
        <v>44</v>
      </c>
      <c r="C504" s="1" t="s">
        <v>597</v>
      </c>
      <c r="D504" s="1" t="s">
        <v>266</v>
      </c>
      <c r="E504" s="73" t="n">
        <v>0</v>
      </c>
      <c r="F504" s="41" t="n">
        <v>0</v>
      </c>
      <c r="G504" s="41" t="n">
        <v>0</v>
      </c>
      <c r="H504" s="1" t="s">
        <v>592</v>
      </c>
    </row>
    <row r="505" customFormat="false" ht="15" hidden="false" customHeight="true" outlineLevel="0" collapsed="false">
      <c r="A505" s="1" t="s">
        <v>602</v>
      </c>
      <c r="B505" s="1" t="s">
        <v>44</v>
      </c>
      <c r="C505" s="1" t="s">
        <v>584</v>
      </c>
      <c r="D505" s="1" t="s">
        <v>267</v>
      </c>
      <c r="E505" s="73" t="n">
        <v>1</v>
      </c>
      <c r="F505" s="41" t="n">
        <v>111.44</v>
      </c>
      <c r="G505" s="41" t="n">
        <v>111.44</v>
      </c>
      <c r="H505" s="1" t="s">
        <v>611</v>
      </c>
    </row>
    <row r="506" customFormat="false" ht="15" hidden="false" customHeight="true" outlineLevel="0" collapsed="false">
      <c r="A506" s="1" t="s">
        <v>602</v>
      </c>
      <c r="B506" s="1" t="s">
        <v>44</v>
      </c>
      <c r="C506" s="1" t="s">
        <v>584</v>
      </c>
      <c r="D506" s="1" t="s">
        <v>267</v>
      </c>
      <c r="E506" s="73" t="n">
        <v>0</v>
      </c>
      <c r="F506" s="41" t="n">
        <v>0</v>
      </c>
      <c r="G506" s="41" t="n">
        <v>0</v>
      </c>
      <c r="H506" s="1" t="s">
        <v>585</v>
      </c>
    </row>
    <row r="507" customFormat="false" ht="15" hidden="false" customHeight="true" outlineLevel="0" collapsed="false">
      <c r="A507" s="1" t="s">
        <v>602</v>
      </c>
      <c r="B507" s="1" t="s">
        <v>44</v>
      </c>
      <c r="C507" s="1" t="s">
        <v>584</v>
      </c>
      <c r="D507" s="1" t="s">
        <v>264</v>
      </c>
      <c r="E507" s="73" t="n">
        <v>1</v>
      </c>
      <c r="F507" s="41" t="n">
        <v>4028.26</v>
      </c>
      <c r="G507" s="41" t="n">
        <v>4028.26</v>
      </c>
      <c r="H507" s="1" t="s">
        <v>611</v>
      </c>
    </row>
    <row r="508" customFormat="false" ht="15" hidden="false" customHeight="true" outlineLevel="0" collapsed="false">
      <c r="A508" s="1" t="s">
        <v>602</v>
      </c>
      <c r="B508" s="1" t="s">
        <v>44</v>
      </c>
      <c r="C508" s="1" t="s">
        <v>584</v>
      </c>
      <c r="D508" s="1" t="s">
        <v>264</v>
      </c>
      <c r="E508" s="73" t="n">
        <v>0</v>
      </c>
      <c r="F508" s="41" t="n">
        <v>0</v>
      </c>
      <c r="G508" s="41" t="n">
        <v>0</v>
      </c>
      <c r="H508" s="1" t="s">
        <v>585</v>
      </c>
    </row>
    <row r="509" customFormat="false" ht="15" hidden="false" customHeight="true" outlineLevel="0" collapsed="false">
      <c r="A509" s="1" t="s">
        <v>602</v>
      </c>
      <c r="B509" s="1" t="s">
        <v>44</v>
      </c>
      <c r="C509" s="1" t="s">
        <v>599</v>
      </c>
      <c r="D509" s="1" t="s">
        <v>264</v>
      </c>
      <c r="E509" s="73" t="n">
        <v>0</v>
      </c>
      <c r="F509" s="41" t="n">
        <v>0</v>
      </c>
      <c r="G509" s="41" t="n">
        <v>0</v>
      </c>
      <c r="H509" s="1" t="s">
        <v>588</v>
      </c>
    </row>
    <row r="510" customFormat="false" ht="15" hidden="false" customHeight="true" outlineLevel="0" collapsed="false">
      <c r="A510" s="1" t="s">
        <v>602</v>
      </c>
      <c r="B510" s="1" t="s">
        <v>44</v>
      </c>
      <c r="C510" s="1" t="s">
        <v>594</v>
      </c>
      <c r="D510" s="1" t="s">
        <v>264</v>
      </c>
      <c r="E510" s="73" t="n">
        <v>0</v>
      </c>
      <c r="F510" s="41" t="n">
        <v>0</v>
      </c>
      <c r="G510" s="41" t="n">
        <v>0</v>
      </c>
      <c r="H510" s="1" t="s">
        <v>592</v>
      </c>
    </row>
    <row r="511" customFormat="false" ht="15" hidden="false" customHeight="true" outlineLevel="0" collapsed="false">
      <c r="A511" s="1" t="s">
        <v>602</v>
      </c>
      <c r="B511" s="1" t="s">
        <v>87</v>
      </c>
      <c r="C511" s="1" t="s">
        <v>600</v>
      </c>
      <c r="D511" s="1" t="s">
        <v>269</v>
      </c>
      <c r="E511" s="73" t="n">
        <v>2</v>
      </c>
      <c r="F511" s="41" t="n">
        <v>50</v>
      </c>
      <c r="G511" s="41" t="n">
        <v>100</v>
      </c>
      <c r="H511" s="1" t="s">
        <v>601</v>
      </c>
    </row>
    <row r="512" customFormat="false" ht="15" hidden="false" customHeight="true" outlineLevel="0" collapsed="false">
      <c r="A512" s="1" t="s">
        <v>602</v>
      </c>
      <c r="B512" s="1" t="s">
        <v>87</v>
      </c>
      <c r="C512" s="1" t="s">
        <v>600</v>
      </c>
      <c r="D512" s="1" t="s">
        <v>271</v>
      </c>
      <c r="E512" s="73" t="n">
        <v>2</v>
      </c>
      <c r="F512" s="41" t="n">
        <v>50</v>
      </c>
      <c r="G512" s="41" t="n">
        <v>100</v>
      </c>
      <c r="H512" s="1" t="s">
        <v>601</v>
      </c>
    </row>
    <row r="513" customFormat="false" ht="15" hidden="false" customHeight="true" outlineLevel="0" collapsed="false">
      <c r="A513" s="1" t="s">
        <v>602</v>
      </c>
      <c r="B513" s="1" t="s">
        <v>87</v>
      </c>
      <c r="C513" s="1" t="s">
        <v>600</v>
      </c>
      <c r="D513" s="1" t="s">
        <v>275</v>
      </c>
      <c r="E513" s="73" t="n">
        <v>1</v>
      </c>
      <c r="F513" s="41" t="n">
        <v>10</v>
      </c>
      <c r="G513" s="41" t="n">
        <v>10</v>
      </c>
      <c r="H513" s="1" t="s">
        <v>601</v>
      </c>
    </row>
    <row r="514" customFormat="false" ht="15" hidden="false" customHeight="true" outlineLevel="0" collapsed="false">
      <c r="A514" s="1" t="s">
        <v>602</v>
      </c>
      <c r="B514" s="1" t="s">
        <v>87</v>
      </c>
      <c r="C514" s="1" t="s">
        <v>600</v>
      </c>
      <c r="D514" s="1" t="s">
        <v>272</v>
      </c>
      <c r="E514" s="73" t="n">
        <v>1</v>
      </c>
      <c r="F514" s="41" t="n">
        <v>10</v>
      </c>
      <c r="G514" s="41" t="n">
        <v>10</v>
      </c>
      <c r="H514" s="1" t="s">
        <v>601</v>
      </c>
    </row>
    <row r="515" customFormat="false" ht="15" hidden="false" customHeight="true" outlineLevel="0" collapsed="false">
      <c r="A515" s="1" t="s">
        <v>602</v>
      </c>
      <c r="B515" s="1" t="s">
        <v>87</v>
      </c>
      <c r="C515" s="1" t="s">
        <v>600</v>
      </c>
      <c r="D515" s="1" t="s">
        <v>272</v>
      </c>
      <c r="E515" s="73" t="n">
        <v>5</v>
      </c>
      <c r="F515" s="41" t="n">
        <v>50</v>
      </c>
      <c r="G515" s="41" t="n">
        <v>250</v>
      </c>
      <c r="H515" s="1" t="s">
        <v>601</v>
      </c>
    </row>
    <row r="516" customFormat="false" ht="15" hidden="false" customHeight="true" outlineLevel="0" collapsed="false">
      <c r="A516" s="1" t="s">
        <v>602</v>
      </c>
      <c r="B516" s="1" t="s">
        <v>87</v>
      </c>
      <c r="C516" s="1" t="s">
        <v>600</v>
      </c>
      <c r="D516" s="1" t="s">
        <v>266</v>
      </c>
      <c r="E516" s="73" t="n">
        <v>2</v>
      </c>
      <c r="F516" s="41" t="n">
        <v>50</v>
      </c>
      <c r="G516" s="41" t="n">
        <v>100</v>
      </c>
      <c r="H516" s="1" t="s">
        <v>601</v>
      </c>
    </row>
    <row r="517" customFormat="false" ht="15" hidden="false" customHeight="true" outlineLevel="0" collapsed="false">
      <c r="A517" s="1" t="s">
        <v>602</v>
      </c>
      <c r="B517" s="1" t="s">
        <v>87</v>
      </c>
      <c r="C517" s="1" t="s">
        <v>600</v>
      </c>
      <c r="D517" s="1" t="s">
        <v>267</v>
      </c>
      <c r="E517" s="73" t="n">
        <v>1</v>
      </c>
      <c r="F517" s="41" t="n">
        <v>50</v>
      </c>
      <c r="G517" s="41" t="n">
        <v>50</v>
      </c>
      <c r="H517" s="1" t="s">
        <v>601</v>
      </c>
    </row>
    <row r="518" customFormat="false" ht="15" hidden="false" customHeight="true" outlineLevel="0" collapsed="false">
      <c r="A518" s="1" t="s">
        <v>602</v>
      </c>
      <c r="B518" s="1" t="s">
        <v>87</v>
      </c>
      <c r="C518" s="1" t="s">
        <v>600</v>
      </c>
      <c r="D518" s="1" t="s">
        <v>264</v>
      </c>
      <c r="E518" s="73" t="n">
        <v>1</v>
      </c>
      <c r="F518" s="41" t="n">
        <v>90</v>
      </c>
      <c r="G518" s="41" t="n">
        <v>90</v>
      </c>
      <c r="H518" s="1" t="s">
        <v>601</v>
      </c>
    </row>
    <row r="519" customFormat="false" ht="15" hidden="false" customHeight="true" outlineLevel="0" collapsed="false">
      <c r="A519" s="1" t="s">
        <v>602</v>
      </c>
      <c r="B519" s="1" t="s">
        <v>87</v>
      </c>
      <c r="C519" s="1" t="s">
        <v>600</v>
      </c>
      <c r="D519" s="1" t="s">
        <v>264</v>
      </c>
      <c r="E519" s="73" t="n">
        <v>2</v>
      </c>
      <c r="F519" s="41" t="n">
        <v>10</v>
      </c>
      <c r="G519" s="41" t="n">
        <v>20</v>
      </c>
      <c r="H519" s="1" t="s">
        <v>601</v>
      </c>
    </row>
    <row r="520" customFormat="false" ht="15" hidden="false" customHeight="true" outlineLevel="0" collapsed="false">
      <c r="A520" s="1" t="s">
        <v>602</v>
      </c>
      <c r="B520" s="1" t="s">
        <v>87</v>
      </c>
      <c r="C520" s="1" t="s">
        <v>600</v>
      </c>
      <c r="D520" s="1" t="s">
        <v>264</v>
      </c>
      <c r="E520" s="73" t="n">
        <v>3</v>
      </c>
      <c r="F520" s="41" t="n">
        <v>50</v>
      </c>
      <c r="G520" s="41" t="n">
        <v>150</v>
      </c>
      <c r="H520" s="1" t="s">
        <v>601</v>
      </c>
    </row>
    <row r="521" customFormat="false" ht="15" hidden="false" customHeight="true" outlineLevel="0" collapsed="false">
      <c r="A521" s="1" t="s">
        <v>612</v>
      </c>
      <c r="B521" s="1" t="s">
        <v>400</v>
      </c>
      <c r="C521" s="1" t="s">
        <v>401</v>
      </c>
      <c r="D521" s="1" t="s">
        <v>271</v>
      </c>
      <c r="E521" s="73" t="n">
        <v>13418</v>
      </c>
      <c r="F521" s="41" t="n">
        <v>0.427453957585064</v>
      </c>
      <c r="G521" s="41" t="n">
        <v>5735.57720287639</v>
      </c>
      <c r="H521" s="1" t="s">
        <v>402</v>
      </c>
    </row>
    <row r="522" customFormat="false" ht="15" hidden="false" customHeight="true" outlineLevel="0" collapsed="false">
      <c r="A522" s="1" t="s">
        <v>612</v>
      </c>
      <c r="B522" s="1" t="s">
        <v>403</v>
      </c>
      <c r="C522" s="1" t="s">
        <v>86</v>
      </c>
      <c r="D522" s="1" t="s">
        <v>271</v>
      </c>
      <c r="E522" s="73" t="n">
        <v>13418</v>
      </c>
      <c r="F522" s="41" t="n">
        <v>0.266574828615826</v>
      </c>
      <c r="G522" s="41" t="n">
        <v>3576.90105036715</v>
      </c>
      <c r="H522" s="1" t="s">
        <v>402</v>
      </c>
    </row>
    <row r="523" customFormat="false" ht="15" hidden="false" customHeight="true" outlineLevel="0" collapsed="false">
      <c r="A523" s="1" t="s">
        <v>612</v>
      </c>
      <c r="B523" s="1" t="s">
        <v>55</v>
      </c>
      <c r="C523" s="1" t="s">
        <v>404</v>
      </c>
      <c r="D523" s="1" t="s">
        <v>269</v>
      </c>
      <c r="E523" s="73" t="n">
        <v>1</v>
      </c>
      <c r="F523" s="41" t="n">
        <v>33737.43</v>
      </c>
      <c r="G523" s="41" t="n">
        <v>33737.43</v>
      </c>
      <c r="H523" s="1" t="s">
        <v>405</v>
      </c>
    </row>
    <row r="524" customFormat="false" ht="15" hidden="false" customHeight="true" outlineLevel="0" collapsed="false">
      <c r="A524" s="1" t="s">
        <v>612</v>
      </c>
      <c r="B524" s="1" t="s">
        <v>55</v>
      </c>
      <c r="C524" s="1" t="s">
        <v>404</v>
      </c>
      <c r="D524" s="1" t="s">
        <v>275</v>
      </c>
      <c r="E524" s="73" t="n">
        <v>1</v>
      </c>
      <c r="F524" s="41" t="n">
        <v>20747.18</v>
      </c>
      <c r="G524" s="41" t="n">
        <v>20747.18</v>
      </c>
      <c r="H524" s="1" t="s">
        <v>405</v>
      </c>
    </row>
    <row r="525" customFormat="false" ht="15" hidden="false" customHeight="true" outlineLevel="0" collapsed="false">
      <c r="A525" s="1" t="s">
        <v>612</v>
      </c>
      <c r="B525" s="1" t="s">
        <v>55</v>
      </c>
      <c r="C525" s="1" t="s">
        <v>404</v>
      </c>
      <c r="D525" s="1" t="s">
        <v>272</v>
      </c>
      <c r="E525" s="73" t="n">
        <v>1</v>
      </c>
      <c r="F525" s="41" t="n">
        <v>40834.77</v>
      </c>
      <c r="G525" s="41" t="n">
        <v>40834.77</v>
      </c>
      <c r="H525" s="1" t="s">
        <v>405</v>
      </c>
    </row>
    <row r="526" customFormat="false" ht="15" hidden="false" customHeight="true" outlineLevel="0" collapsed="false">
      <c r="A526" s="1" t="s">
        <v>612</v>
      </c>
      <c r="B526" s="1" t="s">
        <v>55</v>
      </c>
      <c r="C526" s="1" t="s">
        <v>404</v>
      </c>
      <c r="D526" s="1" t="s">
        <v>266</v>
      </c>
      <c r="E526" s="73" t="n">
        <v>1</v>
      </c>
      <c r="F526" s="41" t="n">
        <v>88540.29</v>
      </c>
      <c r="G526" s="41" t="n">
        <v>88540.29</v>
      </c>
      <c r="H526" s="1" t="s">
        <v>405</v>
      </c>
    </row>
    <row r="527" customFormat="false" ht="15" hidden="false" customHeight="true" outlineLevel="0" collapsed="false">
      <c r="A527" s="1" t="s">
        <v>612</v>
      </c>
      <c r="B527" s="1" t="s">
        <v>55</v>
      </c>
      <c r="C527" s="1" t="s">
        <v>404</v>
      </c>
      <c r="D527" s="1" t="s">
        <v>267</v>
      </c>
      <c r="E527" s="73" t="n">
        <v>1</v>
      </c>
      <c r="F527" s="41" t="n">
        <v>26681.82</v>
      </c>
      <c r="G527" s="41" t="n">
        <v>26681.82</v>
      </c>
      <c r="H527" s="1" t="s">
        <v>405</v>
      </c>
    </row>
    <row r="528" customFormat="false" ht="15" hidden="false" customHeight="true" outlineLevel="0" collapsed="false">
      <c r="A528" s="1" t="s">
        <v>612</v>
      </c>
      <c r="B528" s="1" t="s">
        <v>55</v>
      </c>
      <c r="C528" s="1" t="s">
        <v>404</v>
      </c>
      <c r="D528" s="1" t="s">
        <v>264</v>
      </c>
      <c r="E528" s="73" t="n">
        <v>1</v>
      </c>
      <c r="F528" s="41" t="n">
        <v>31624.98</v>
      </c>
      <c r="G528" s="41" t="n">
        <v>31624.98</v>
      </c>
      <c r="H528" s="1" t="s">
        <v>405</v>
      </c>
    </row>
    <row r="529" customFormat="false" ht="15" hidden="false" customHeight="true" outlineLevel="0" collapsed="false">
      <c r="A529" s="1" t="s">
        <v>612</v>
      </c>
      <c r="B529" s="1" t="s">
        <v>406</v>
      </c>
      <c r="C529" s="1" t="s">
        <v>407</v>
      </c>
      <c r="D529" s="1" t="s">
        <v>257</v>
      </c>
      <c r="E529" s="73" t="n">
        <v>1</v>
      </c>
      <c r="F529" s="41" t="n">
        <v>1222.09</v>
      </c>
      <c r="G529" s="41" t="n">
        <v>1222.09</v>
      </c>
      <c r="H529" s="1" t="s">
        <v>613</v>
      </c>
    </row>
    <row r="530" customFormat="false" ht="15" hidden="false" customHeight="true" outlineLevel="0" collapsed="false">
      <c r="A530" s="1" t="s">
        <v>612</v>
      </c>
      <c r="B530" s="1" t="s">
        <v>406</v>
      </c>
      <c r="C530" s="1" t="s">
        <v>409</v>
      </c>
      <c r="D530" s="1" t="s">
        <v>257</v>
      </c>
      <c r="E530" s="73" t="n">
        <v>0</v>
      </c>
      <c r="F530" s="41" t="n">
        <v>0</v>
      </c>
      <c r="G530" s="41" t="n">
        <v>0</v>
      </c>
      <c r="H530" s="1" t="s">
        <v>603</v>
      </c>
    </row>
    <row r="531" customFormat="false" ht="15" hidden="false" customHeight="true" outlineLevel="0" collapsed="false">
      <c r="A531" s="1" t="s">
        <v>612</v>
      </c>
      <c r="B531" s="1" t="s">
        <v>406</v>
      </c>
      <c r="C531" s="1" t="s">
        <v>407</v>
      </c>
      <c r="D531" s="1" t="s">
        <v>269</v>
      </c>
      <c r="E531" s="73" t="n">
        <v>0</v>
      </c>
      <c r="F531" s="41" t="n">
        <v>0</v>
      </c>
      <c r="G531" s="41" t="n">
        <v>0</v>
      </c>
      <c r="H531" s="1" t="s">
        <v>408</v>
      </c>
    </row>
    <row r="532" customFormat="false" ht="15" hidden="false" customHeight="true" outlineLevel="0" collapsed="false">
      <c r="A532" s="1" t="s">
        <v>612</v>
      </c>
      <c r="B532" s="1" t="s">
        <v>406</v>
      </c>
      <c r="C532" s="1" t="s">
        <v>409</v>
      </c>
      <c r="D532" s="1" t="s">
        <v>269</v>
      </c>
      <c r="E532" s="73" t="n">
        <v>0</v>
      </c>
      <c r="F532" s="41" t="n">
        <v>0</v>
      </c>
      <c r="G532" s="41" t="n">
        <v>0</v>
      </c>
      <c r="H532" s="1" t="s">
        <v>603</v>
      </c>
    </row>
    <row r="533" customFormat="false" ht="15" hidden="false" customHeight="true" outlineLevel="0" collapsed="false">
      <c r="A533" s="1" t="s">
        <v>612</v>
      </c>
      <c r="B533" s="1" t="s">
        <v>406</v>
      </c>
      <c r="C533" s="1" t="s">
        <v>407</v>
      </c>
      <c r="D533" s="1" t="s">
        <v>271</v>
      </c>
      <c r="E533" s="73" t="n">
        <v>0</v>
      </c>
      <c r="F533" s="41" t="n">
        <v>0</v>
      </c>
      <c r="G533" s="41" t="n">
        <v>0</v>
      </c>
      <c r="H533" s="1" t="s">
        <v>411</v>
      </c>
    </row>
    <row r="534" customFormat="false" ht="15" hidden="false" customHeight="true" outlineLevel="0" collapsed="false">
      <c r="A534" s="1" t="s">
        <v>612</v>
      </c>
      <c r="B534" s="1" t="s">
        <v>406</v>
      </c>
      <c r="C534" s="1" t="s">
        <v>412</v>
      </c>
      <c r="D534" s="1" t="s">
        <v>271</v>
      </c>
      <c r="E534" s="73" t="n">
        <v>0</v>
      </c>
      <c r="F534" s="41" t="n">
        <v>0</v>
      </c>
      <c r="G534" s="41" t="n">
        <v>0</v>
      </c>
      <c r="H534" s="1" t="s">
        <v>413</v>
      </c>
    </row>
    <row r="535" customFormat="false" ht="15" hidden="false" customHeight="true" outlineLevel="0" collapsed="false">
      <c r="A535" s="1" t="s">
        <v>612</v>
      </c>
      <c r="B535" s="1" t="s">
        <v>406</v>
      </c>
      <c r="C535" s="1" t="s">
        <v>407</v>
      </c>
      <c r="D535" s="1" t="s">
        <v>275</v>
      </c>
      <c r="E535" s="73" t="n">
        <v>0</v>
      </c>
      <c r="F535" s="41" t="n">
        <v>0</v>
      </c>
      <c r="G535" s="41" t="n">
        <v>0</v>
      </c>
      <c r="H535" s="1" t="s">
        <v>411</v>
      </c>
    </row>
    <row r="536" customFormat="false" ht="15" hidden="false" customHeight="true" outlineLevel="0" collapsed="false">
      <c r="A536" s="1" t="s">
        <v>612</v>
      </c>
      <c r="B536" s="1" t="s">
        <v>406</v>
      </c>
      <c r="C536" s="1" t="s">
        <v>409</v>
      </c>
      <c r="D536" s="1" t="s">
        <v>275</v>
      </c>
      <c r="E536" s="73" t="n">
        <v>0</v>
      </c>
      <c r="F536" s="41" t="n">
        <v>0</v>
      </c>
      <c r="G536" s="41" t="n">
        <v>0</v>
      </c>
      <c r="H536" s="1" t="s">
        <v>603</v>
      </c>
    </row>
    <row r="537" customFormat="false" ht="15" hidden="false" customHeight="true" outlineLevel="0" collapsed="false">
      <c r="A537" s="1" t="s">
        <v>612</v>
      </c>
      <c r="B537" s="1" t="s">
        <v>406</v>
      </c>
      <c r="C537" s="1" t="s">
        <v>407</v>
      </c>
      <c r="D537" s="1" t="s">
        <v>272</v>
      </c>
      <c r="E537" s="73" t="n">
        <v>0</v>
      </c>
      <c r="F537" s="41" t="n">
        <v>0</v>
      </c>
      <c r="G537" s="41" t="n">
        <v>0</v>
      </c>
      <c r="H537" s="1" t="s">
        <v>408</v>
      </c>
    </row>
    <row r="538" customFormat="false" ht="15" hidden="false" customHeight="true" outlineLevel="0" collapsed="false">
      <c r="A538" s="1" t="s">
        <v>612</v>
      </c>
      <c r="B538" s="1" t="s">
        <v>406</v>
      </c>
      <c r="C538" s="1" t="s">
        <v>409</v>
      </c>
      <c r="D538" s="1" t="s">
        <v>272</v>
      </c>
      <c r="E538" s="73" t="n">
        <v>0</v>
      </c>
      <c r="F538" s="41" t="n">
        <v>0</v>
      </c>
      <c r="G538" s="41" t="n">
        <v>0</v>
      </c>
      <c r="H538" s="1" t="s">
        <v>410</v>
      </c>
    </row>
    <row r="539" customFormat="false" ht="15" hidden="false" customHeight="true" outlineLevel="0" collapsed="false">
      <c r="A539" s="1" t="s">
        <v>612</v>
      </c>
      <c r="B539" s="1" t="s">
        <v>406</v>
      </c>
      <c r="C539" s="1" t="s">
        <v>407</v>
      </c>
      <c r="D539" s="1" t="s">
        <v>266</v>
      </c>
      <c r="E539" s="73" t="n">
        <v>0</v>
      </c>
      <c r="F539" s="41" t="n">
        <v>0</v>
      </c>
      <c r="G539" s="41" t="n">
        <v>0</v>
      </c>
      <c r="H539" s="1" t="s">
        <v>415</v>
      </c>
    </row>
    <row r="540" customFormat="false" ht="15" hidden="false" customHeight="true" outlineLevel="0" collapsed="false">
      <c r="A540" s="1" t="s">
        <v>612</v>
      </c>
      <c r="B540" s="1" t="s">
        <v>406</v>
      </c>
      <c r="C540" s="1" t="s">
        <v>409</v>
      </c>
      <c r="D540" s="1" t="s">
        <v>266</v>
      </c>
      <c r="E540" s="73" t="n">
        <v>0</v>
      </c>
      <c r="F540" s="41" t="n">
        <v>0</v>
      </c>
      <c r="G540" s="41" t="n">
        <v>0</v>
      </c>
      <c r="H540" s="1" t="s">
        <v>603</v>
      </c>
    </row>
    <row r="541" customFormat="false" ht="15" hidden="false" customHeight="true" outlineLevel="0" collapsed="false">
      <c r="A541" s="1" t="s">
        <v>612</v>
      </c>
      <c r="B541" s="1" t="s">
        <v>406</v>
      </c>
      <c r="C541" s="1" t="s">
        <v>409</v>
      </c>
      <c r="D541" s="1" t="s">
        <v>266</v>
      </c>
      <c r="E541" s="73" t="n">
        <v>0</v>
      </c>
      <c r="F541" s="41" t="n">
        <v>0</v>
      </c>
      <c r="G541" s="41" t="n">
        <v>0</v>
      </c>
      <c r="H541" s="1" t="s">
        <v>410</v>
      </c>
    </row>
    <row r="542" customFormat="false" ht="15" hidden="false" customHeight="true" outlineLevel="0" collapsed="false">
      <c r="A542" s="1" t="s">
        <v>612</v>
      </c>
      <c r="B542" s="1" t="s">
        <v>406</v>
      </c>
      <c r="C542" s="1" t="s">
        <v>407</v>
      </c>
      <c r="D542" s="1" t="s">
        <v>267</v>
      </c>
      <c r="E542" s="73" t="n">
        <v>0</v>
      </c>
      <c r="F542" s="41" t="n">
        <v>0</v>
      </c>
      <c r="G542" s="41" t="n">
        <v>0</v>
      </c>
      <c r="H542" s="1" t="s">
        <v>411</v>
      </c>
    </row>
    <row r="543" customFormat="false" ht="15" hidden="false" customHeight="true" outlineLevel="0" collapsed="false">
      <c r="A543" s="1" t="s">
        <v>612</v>
      </c>
      <c r="B543" s="1" t="s">
        <v>406</v>
      </c>
      <c r="C543" s="1" t="s">
        <v>407</v>
      </c>
      <c r="D543" s="1" t="s">
        <v>267</v>
      </c>
      <c r="E543" s="73" t="n">
        <v>0</v>
      </c>
      <c r="F543" s="41" t="n">
        <v>0</v>
      </c>
      <c r="G543" s="41" t="n">
        <v>0</v>
      </c>
      <c r="H543" s="1" t="s">
        <v>416</v>
      </c>
    </row>
    <row r="544" customFormat="false" ht="15" hidden="false" customHeight="true" outlineLevel="0" collapsed="false">
      <c r="A544" s="1" t="s">
        <v>612</v>
      </c>
      <c r="B544" s="1" t="s">
        <v>78</v>
      </c>
      <c r="C544" s="1" t="s">
        <v>417</v>
      </c>
      <c r="D544" s="1" t="s">
        <v>275</v>
      </c>
      <c r="E544" s="73" t="n">
        <v>3704</v>
      </c>
      <c r="F544" s="41" t="n">
        <v>0.563787597705515</v>
      </c>
      <c r="G544" s="41" t="n">
        <v>2088.26926190123</v>
      </c>
      <c r="H544" s="1" t="s">
        <v>402</v>
      </c>
    </row>
    <row r="545" customFormat="false" ht="15" hidden="false" customHeight="true" outlineLevel="0" collapsed="false">
      <c r="A545" s="1" t="s">
        <v>612</v>
      </c>
      <c r="B545" s="1" t="s">
        <v>78</v>
      </c>
      <c r="C545" s="1" t="s">
        <v>417</v>
      </c>
      <c r="D545" s="1" t="s">
        <v>272</v>
      </c>
      <c r="E545" s="73" t="n">
        <v>6434</v>
      </c>
      <c r="F545" s="41" t="n">
        <v>0.563787597705515</v>
      </c>
      <c r="G545" s="41" t="n">
        <v>3627.40940363728</v>
      </c>
      <c r="H545" s="1" t="s">
        <v>402</v>
      </c>
    </row>
    <row r="546" customFormat="false" ht="15" hidden="false" customHeight="true" outlineLevel="0" collapsed="false">
      <c r="A546" s="1" t="s">
        <v>612</v>
      </c>
      <c r="B546" s="1" t="s">
        <v>78</v>
      </c>
      <c r="C546" s="1" t="s">
        <v>417</v>
      </c>
      <c r="D546" s="1" t="s">
        <v>266</v>
      </c>
      <c r="E546" s="73" t="n">
        <v>14441</v>
      </c>
      <c r="F546" s="41" t="n">
        <v>0.563787597705515</v>
      </c>
      <c r="G546" s="41" t="n">
        <v>8141.65669846534</v>
      </c>
      <c r="H546" s="1" t="s">
        <v>402</v>
      </c>
    </row>
    <row r="547" customFormat="false" ht="15" hidden="false" customHeight="true" outlineLevel="0" collapsed="false">
      <c r="A547" s="1" t="s">
        <v>612</v>
      </c>
      <c r="B547" s="1" t="s">
        <v>78</v>
      </c>
      <c r="C547" s="1" t="s">
        <v>417</v>
      </c>
      <c r="D547" s="1" t="s">
        <v>264</v>
      </c>
      <c r="E547" s="73" t="n">
        <v>4795</v>
      </c>
      <c r="F547" s="41" t="n">
        <v>0.563787597705515</v>
      </c>
      <c r="G547" s="41" t="n">
        <v>2703.36153099795</v>
      </c>
      <c r="H547" s="1" t="s">
        <v>402</v>
      </c>
    </row>
    <row r="548" customFormat="false" ht="15" hidden="false" customHeight="true" outlineLevel="0" collapsed="false">
      <c r="A548" s="1" t="s">
        <v>612</v>
      </c>
      <c r="B548" s="1" t="s">
        <v>418</v>
      </c>
      <c r="C548" s="1" t="s">
        <v>419</v>
      </c>
      <c r="D548" s="1" t="s">
        <v>257</v>
      </c>
      <c r="E548" s="73" t="n">
        <v>5160</v>
      </c>
      <c r="F548" s="41" t="n">
        <v>1.86</v>
      </c>
      <c r="G548" s="41" t="n">
        <v>9597.6</v>
      </c>
      <c r="H548" s="1" t="s">
        <v>614</v>
      </c>
    </row>
    <row r="549" customFormat="false" ht="15" hidden="false" customHeight="true" outlineLevel="0" collapsed="false">
      <c r="A549" s="1" t="s">
        <v>612</v>
      </c>
      <c r="B549" s="1" t="s">
        <v>418</v>
      </c>
      <c r="C549" s="1" t="s">
        <v>419</v>
      </c>
      <c r="D549" s="1" t="s">
        <v>269</v>
      </c>
      <c r="E549" s="73" t="n">
        <v>333</v>
      </c>
      <c r="F549" s="41" t="n">
        <v>1.86</v>
      </c>
      <c r="G549" s="41" t="n">
        <v>619.38</v>
      </c>
      <c r="H549" s="1" t="s">
        <v>614</v>
      </c>
    </row>
    <row r="550" customFormat="false" ht="15" hidden="false" customHeight="true" outlineLevel="0" collapsed="false">
      <c r="A550" s="1" t="s">
        <v>612</v>
      </c>
      <c r="B550" s="1" t="s">
        <v>418</v>
      </c>
      <c r="C550" s="1" t="s">
        <v>615</v>
      </c>
      <c r="D550" s="1" t="s">
        <v>269</v>
      </c>
      <c r="E550" s="73" t="n">
        <v>-1</v>
      </c>
      <c r="F550" s="41" t="n">
        <v>350</v>
      </c>
      <c r="G550" s="41" t="n">
        <v>-350</v>
      </c>
      <c r="H550" s="1" t="s">
        <v>616</v>
      </c>
    </row>
    <row r="551" customFormat="false" ht="15" hidden="false" customHeight="true" outlineLevel="0" collapsed="false">
      <c r="A551" s="1" t="s">
        <v>612</v>
      </c>
      <c r="B551" s="1" t="s">
        <v>418</v>
      </c>
      <c r="C551" s="1" t="s">
        <v>617</v>
      </c>
      <c r="D551" s="1" t="s">
        <v>269</v>
      </c>
      <c r="E551" s="73" t="n">
        <v>-1</v>
      </c>
      <c r="F551" s="41" t="n">
        <v>206.78</v>
      </c>
      <c r="G551" s="41" t="n">
        <v>-206.78</v>
      </c>
      <c r="H551" s="1" t="s">
        <v>618</v>
      </c>
    </row>
    <row r="552" customFormat="false" ht="15" hidden="false" customHeight="true" outlineLevel="0" collapsed="false">
      <c r="A552" s="1" t="s">
        <v>612</v>
      </c>
      <c r="B552" s="1" t="s">
        <v>418</v>
      </c>
      <c r="C552" s="1" t="s">
        <v>421</v>
      </c>
      <c r="D552" s="1" t="s">
        <v>269</v>
      </c>
      <c r="E552" s="73" t="n">
        <v>0</v>
      </c>
      <c r="F552" s="41" t="n">
        <v>0</v>
      </c>
      <c r="G552" s="41" t="n">
        <v>0</v>
      </c>
      <c r="H552" s="1" t="s">
        <v>422</v>
      </c>
    </row>
    <row r="553" customFormat="false" ht="15" hidden="false" customHeight="true" outlineLevel="0" collapsed="false">
      <c r="A553" s="1" t="s">
        <v>612</v>
      </c>
      <c r="B553" s="1" t="s">
        <v>418</v>
      </c>
      <c r="C553" s="1" t="s">
        <v>423</v>
      </c>
      <c r="D553" s="1" t="s">
        <v>269</v>
      </c>
      <c r="E553" s="73" t="n">
        <v>1</v>
      </c>
      <c r="F553" s="41" t="n">
        <v>439.28</v>
      </c>
      <c r="G553" s="41" t="n">
        <v>439.28</v>
      </c>
      <c r="H553" s="1" t="s">
        <v>424</v>
      </c>
    </row>
    <row r="554" customFormat="false" ht="15" hidden="false" customHeight="true" outlineLevel="0" collapsed="false">
      <c r="A554" s="1" t="s">
        <v>612</v>
      </c>
      <c r="B554" s="1" t="s">
        <v>418</v>
      </c>
      <c r="C554" s="1" t="s">
        <v>425</v>
      </c>
      <c r="D554" s="1" t="s">
        <v>269</v>
      </c>
      <c r="E554" s="73" t="n">
        <v>0</v>
      </c>
      <c r="F554" s="41" t="n">
        <v>0</v>
      </c>
      <c r="G554" s="41" t="n">
        <v>0</v>
      </c>
      <c r="H554" s="1" t="s">
        <v>424</v>
      </c>
    </row>
    <row r="555" customFormat="false" ht="15" hidden="false" customHeight="true" outlineLevel="0" collapsed="false">
      <c r="A555" s="1" t="s">
        <v>612</v>
      </c>
      <c r="B555" s="1" t="s">
        <v>418</v>
      </c>
      <c r="C555" s="1" t="s">
        <v>427</v>
      </c>
      <c r="D555" s="1" t="s">
        <v>269</v>
      </c>
      <c r="E555" s="73" t="n">
        <v>-1</v>
      </c>
      <c r="F555" s="41" t="n">
        <v>756.56</v>
      </c>
      <c r="G555" s="41" t="n">
        <v>-756.56</v>
      </c>
      <c r="H555" s="1" t="s">
        <v>428</v>
      </c>
    </row>
    <row r="556" customFormat="false" ht="15" hidden="false" customHeight="true" outlineLevel="0" collapsed="false">
      <c r="A556" s="1" t="s">
        <v>612</v>
      </c>
      <c r="B556" s="1" t="s">
        <v>418</v>
      </c>
      <c r="C556" s="1" t="s">
        <v>427</v>
      </c>
      <c r="D556" s="1" t="s">
        <v>269</v>
      </c>
      <c r="E556" s="73" t="n">
        <v>-1</v>
      </c>
      <c r="F556" s="41" t="n">
        <v>4211.32</v>
      </c>
      <c r="G556" s="41" t="n">
        <v>-4211.32</v>
      </c>
      <c r="H556" s="1" t="s">
        <v>429</v>
      </c>
    </row>
    <row r="557" customFormat="false" ht="15" hidden="false" customHeight="true" outlineLevel="0" collapsed="false">
      <c r="A557" s="1" t="s">
        <v>612</v>
      </c>
      <c r="B557" s="1" t="s">
        <v>418</v>
      </c>
      <c r="C557" s="1" t="s">
        <v>430</v>
      </c>
      <c r="D557" s="1" t="s">
        <v>269</v>
      </c>
      <c r="E557" s="73" t="n">
        <v>-5</v>
      </c>
      <c r="F557" s="41" t="n">
        <v>410.699645390071</v>
      </c>
      <c r="G557" s="41" t="n">
        <v>-2053.49822695035</v>
      </c>
      <c r="H557" s="1" t="s">
        <v>619</v>
      </c>
    </row>
    <row r="558" customFormat="false" ht="15" hidden="false" customHeight="true" outlineLevel="0" collapsed="false">
      <c r="A558" s="1" t="s">
        <v>612</v>
      </c>
      <c r="B558" s="1" t="s">
        <v>418</v>
      </c>
      <c r="C558" s="1" t="s">
        <v>432</v>
      </c>
      <c r="D558" s="1" t="s">
        <v>269</v>
      </c>
      <c r="E558" s="73" t="n">
        <v>0</v>
      </c>
      <c r="F558" s="41" t="n">
        <v>0</v>
      </c>
      <c r="G558" s="41" t="n">
        <v>0</v>
      </c>
      <c r="H558" s="1" t="s">
        <v>431</v>
      </c>
    </row>
    <row r="559" customFormat="false" ht="15" hidden="false" customHeight="true" outlineLevel="0" collapsed="false">
      <c r="A559" s="1" t="s">
        <v>612</v>
      </c>
      <c r="B559" s="1" t="s">
        <v>418</v>
      </c>
      <c r="C559" s="1" t="s">
        <v>433</v>
      </c>
      <c r="D559" s="1" t="s">
        <v>269</v>
      </c>
      <c r="E559" s="73" t="n">
        <v>0</v>
      </c>
      <c r="F559" s="41" t="n">
        <v>0</v>
      </c>
      <c r="G559" s="41" t="n">
        <v>0</v>
      </c>
      <c r="H559" s="1" t="s">
        <v>431</v>
      </c>
    </row>
    <row r="560" customFormat="false" ht="15" hidden="false" customHeight="true" outlineLevel="0" collapsed="false">
      <c r="A560" s="1" t="s">
        <v>612</v>
      </c>
      <c r="B560" s="1" t="s">
        <v>418</v>
      </c>
      <c r="C560" s="1" t="s">
        <v>434</v>
      </c>
      <c r="D560" s="1" t="s">
        <v>269</v>
      </c>
      <c r="E560" s="73" t="n">
        <v>3</v>
      </c>
      <c r="F560" s="41" t="n">
        <v>278.600873702422</v>
      </c>
      <c r="G560" s="41" t="n">
        <v>835.802621107267</v>
      </c>
      <c r="H560" s="1" t="s">
        <v>619</v>
      </c>
    </row>
    <row r="561" customFormat="false" ht="15" hidden="false" customHeight="true" outlineLevel="0" collapsed="false">
      <c r="A561" s="1" t="s">
        <v>612</v>
      </c>
      <c r="B561" s="1" t="s">
        <v>418</v>
      </c>
      <c r="C561" s="1" t="s">
        <v>435</v>
      </c>
      <c r="D561" s="1" t="s">
        <v>269</v>
      </c>
      <c r="E561" s="73" t="n">
        <v>0</v>
      </c>
      <c r="F561" s="41" t="n">
        <v>0</v>
      </c>
      <c r="G561" s="41" t="n">
        <v>0</v>
      </c>
      <c r="H561" s="1" t="s">
        <v>431</v>
      </c>
    </row>
    <row r="562" customFormat="false" ht="15" hidden="false" customHeight="true" outlineLevel="0" collapsed="false">
      <c r="A562" s="1" t="s">
        <v>612</v>
      </c>
      <c r="B562" s="1" t="s">
        <v>418</v>
      </c>
      <c r="C562" s="1" t="s">
        <v>436</v>
      </c>
      <c r="D562" s="1" t="s">
        <v>271</v>
      </c>
      <c r="E562" s="73" t="n">
        <v>1</v>
      </c>
      <c r="F562" s="41" t="n">
        <v>33.5</v>
      </c>
      <c r="G562" s="41" t="n">
        <v>33.5</v>
      </c>
      <c r="H562" s="1" t="s">
        <v>437</v>
      </c>
    </row>
    <row r="563" customFormat="false" ht="15" hidden="false" customHeight="true" outlineLevel="0" collapsed="false">
      <c r="A563" s="1" t="s">
        <v>612</v>
      </c>
      <c r="B563" s="1" t="s">
        <v>418</v>
      </c>
      <c r="C563" s="1" t="s">
        <v>436</v>
      </c>
      <c r="D563" s="1" t="s">
        <v>271</v>
      </c>
      <c r="E563" s="73" t="n">
        <v>1</v>
      </c>
      <c r="F563" s="41" t="n">
        <v>22</v>
      </c>
      <c r="G563" s="41" t="n">
        <v>22</v>
      </c>
      <c r="H563" s="1" t="s">
        <v>438</v>
      </c>
    </row>
    <row r="564" customFormat="false" ht="15" hidden="false" customHeight="true" outlineLevel="0" collapsed="false">
      <c r="A564" s="1" t="s">
        <v>612</v>
      </c>
      <c r="B564" s="1" t="s">
        <v>418</v>
      </c>
      <c r="C564" s="1" t="s">
        <v>419</v>
      </c>
      <c r="D564" s="1" t="s">
        <v>271</v>
      </c>
      <c r="E564" s="73" t="n">
        <v>258</v>
      </c>
      <c r="F564" s="41" t="n">
        <v>1.86</v>
      </c>
      <c r="G564" s="41" t="n">
        <v>479.88</v>
      </c>
      <c r="H564" s="1" t="s">
        <v>614</v>
      </c>
    </row>
    <row r="565" customFormat="false" ht="15" hidden="false" customHeight="true" outlineLevel="0" collapsed="false">
      <c r="A565" s="1" t="s">
        <v>612</v>
      </c>
      <c r="B565" s="1" t="s">
        <v>418</v>
      </c>
      <c r="C565" s="1" t="s">
        <v>615</v>
      </c>
      <c r="D565" s="1" t="s">
        <v>271</v>
      </c>
      <c r="E565" s="73" t="n">
        <v>1</v>
      </c>
      <c r="F565" s="41" t="n">
        <v>350</v>
      </c>
      <c r="G565" s="41" t="n">
        <v>350</v>
      </c>
      <c r="H565" s="1" t="s">
        <v>620</v>
      </c>
    </row>
    <row r="566" customFormat="false" ht="15" hidden="false" customHeight="true" outlineLevel="0" collapsed="false">
      <c r="A566" s="1" t="s">
        <v>612</v>
      </c>
      <c r="B566" s="1" t="s">
        <v>418</v>
      </c>
      <c r="C566" s="1" t="s">
        <v>421</v>
      </c>
      <c r="D566" s="1" t="s">
        <v>271</v>
      </c>
      <c r="E566" s="73" t="n">
        <v>2</v>
      </c>
      <c r="F566" s="41" t="n">
        <v>393.04</v>
      </c>
      <c r="G566" s="41" t="n">
        <v>786.08</v>
      </c>
      <c r="H566" s="1" t="s">
        <v>424</v>
      </c>
    </row>
    <row r="567" customFormat="false" ht="15" hidden="false" customHeight="true" outlineLevel="0" collapsed="false">
      <c r="A567" s="1" t="s">
        <v>612</v>
      </c>
      <c r="B567" s="1" t="s">
        <v>418</v>
      </c>
      <c r="C567" s="1" t="s">
        <v>423</v>
      </c>
      <c r="D567" s="1" t="s">
        <v>271</v>
      </c>
      <c r="E567" s="73" t="n">
        <v>2</v>
      </c>
      <c r="F567" s="41" t="n">
        <v>439.28</v>
      </c>
      <c r="G567" s="41" t="n">
        <v>878.56</v>
      </c>
      <c r="H567" s="1" t="s">
        <v>424</v>
      </c>
    </row>
    <row r="568" customFormat="false" ht="15" hidden="false" customHeight="true" outlineLevel="0" collapsed="false">
      <c r="A568" s="1" t="s">
        <v>612</v>
      </c>
      <c r="B568" s="1" t="s">
        <v>418</v>
      </c>
      <c r="C568" s="1" t="s">
        <v>425</v>
      </c>
      <c r="D568" s="1" t="s">
        <v>271</v>
      </c>
      <c r="E568" s="73" t="n">
        <v>1</v>
      </c>
      <c r="F568" s="41" t="n">
        <v>407.27</v>
      </c>
      <c r="G568" s="41" t="n">
        <v>407.27</v>
      </c>
      <c r="H568" s="1" t="s">
        <v>424</v>
      </c>
    </row>
    <row r="569" customFormat="false" ht="15" hidden="false" customHeight="true" outlineLevel="0" collapsed="false">
      <c r="A569" s="1" t="s">
        <v>612</v>
      </c>
      <c r="B569" s="1" t="s">
        <v>418</v>
      </c>
      <c r="C569" s="1" t="s">
        <v>427</v>
      </c>
      <c r="D569" s="1" t="s">
        <v>271</v>
      </c>
      <c r="E569" s="73" t="n">
        <v>1</v>
      </c>
      <c r="F569" s="41" t="n">
        <v>206.78</v>
      </c>
      <c r="G569" s="41" t="n">
        <v>206.78</v>
      </c>
      <c r="H569" s="1" t="s">
        <v>621</v>
      </c>
    </row>
    <row r="570" customFormat="false" ht="15" hidden="false" customHeight="true" outlineLevel="0" collapsed="false">
      <c r="A570" s="1" t="s">
        <v>612</v>
      </c>
      <c r="B570" s="1" t="s">
        <v>418</v>
      </c>
      <c r="C570" s="1" t="s">
        <v>427</v>
      </c>
      <c r="D570" s="1" t="s">
        <v>271</v>
      </c>
      <c r="E570" s="73" t="n">
        <v>1</v>
      </c>
      <c r="F570" s="41" t="n">
        <v>317.52</v>
      </c>
      <c r="G570" s="41" t="n">
        <v>317.52</v>
      </c>
      <c r="H570" s="1" t="s">
        <v>442</v>
      </c>
    </row>
    <row r="571" customFormat="false" ht="15" hidden="false" customHeight="true" outlineLevel="0" collapsed="false">
      <c r="A571" s="1" t="s">
        <v>612</v>
      </c>
      <c r="B571" s="1" t="s">
        <v>418</v>
      </c>
      <c r="C571" s="1" t="s">
        <v>427</v>
      </c>
      <c r="D571" s="1" t="s">
        <v>271</v>
      </c>
      <c r="E571" s="73" t="n">
        <v>49</v>
      </c>
      <c r="F571" s="41" t="n">
        <v>33.16</v>
      </c>
      <c r="G571" s="41" t="n">
        <v>1624.84</v>
      </c>
      <c r="H571" s="1" t="s">
        <v>443</v>
      </c>
    </row>
    <row r="572" customFormat="false" ht="15" hidden="false" customHeight="true" outlineLevel="0" collapsed="false">
      <c r="A572" s="1" t="s">
        <v>612</v>
      </c>
      <c r="B572" s="1" t="s">
        <v>418</v>
      </c>
      <c r="C572" s="1" t="s">
        <v>444</v>
      </c>
      <c r="D572" s="1" t="s">
        <v>271</v>
      </c>
      <c r="E572" s="73" t="n">
        <v>5</v>
      </c>
      <c r="F572" s="41" t="n">
        <v>410.699645390071</v>
      </c>
      <c r="G572" s="41" t="n">
        <v>2053.49822695035</v>
      </c>
      <c r="H572" s="1" t="s">
        <v>619</v>
      </c>
    </row>
    <row r="573" customFormat="false" ht="15" hidden="false" customHeight="true" outlineLevel="0" collapsed="false">
      <c r="A573" s="1" t="s">
        <v>612</v>
      </c>
      <c r="B573" s="1" t="s">
        <v>418</v>
      </c>
      <c r="C573" s="1" t="s">
        <v>432</v>
      </c>
      <c r="D573" s="1" t="s">
        <v>271</v>
      </c>
      <c r="E573" s="73" t="n">
        <v>2</v>
      </c>
      <c r="F573" s="41" t="n">
        <v>278.600873702422</v>
      </c>
      <c r="G573" s="41" t="n">
        <v>557.201747404844</v>
      </c>
      <c r="H573" s="1" t="s">
        <v>619</v>
      </c>
    </row>
    <row r="574" customFormat="false" ht="15" hidden="false" customHeight="true" outlineLevel="0" collapsed="false">
      <c r="A574" s="1" t="s">
        <v>612</v>
      </c>
      <c r="B574" s="1" t="s">
        <v>418</v>
      </c>
      <c r="C574" s="1" t="s">
        <v>445</v>
      </c>
      <c r="D574" s="1" t="s">
        <v>271</v>
      </c>
      <c r="E574" s="73" t="n">
        <v>0</v>
      </c>
      <c r="F574" s="41" t="n">
        <v>0</v>
      </c>
      <c r="G574" s="41" t="n">
        <v>0</v>
      </c>
      <c r="H574" s="1" t="s">
        <v>431</v>
      </c>
    </row>
    <row r="575" customFormat="false" ht="15" hidden="false" customHeight="true" outlineLevel="0" collapsed="false">
      <c r="A575" s="1" t="s">
        <v>612</v>
      </c>
      <c r="B575" s="1" t="s">
        <v>418</v>
      </c>
      <c r="C575" s="1" t="s">
        <v>446</v>
      </c>
      <c r="D575" s="1" t="s">
        <v>271</v>
      </c>
      <c r="E575" s="73" t="n">
        <v>-2</v>
      </c>
      <c r="F575" s="41" t="n">
        <v>278.600873702422</v>
      </c>
      <c r="G575" s="41" t="n">
        <v>-557.201747404844</v>
      </c>
      <c r="H575" s="1" t="s">
        <v>619</v>
      </c>
    </row>
    <row r="576" customFormat="false" ht="15" hidden="false" customHeight="true" outlineLevel="0" collapsed="false">
      <c r="A576" s="1" t="s">
        <v>612</v>
      </c>
      <c r="B576" s="1" t="s">
        <v>418</v>
      </c>
      <c r="C576" s="1" t="s">
        <v>447</v>
      </c>
      <c r="D576" s="1" t="s">
        <v>271</v>
      </c>
      <c r="E576" s="73" t="n">
        <v>-3</v>
      </c>
      <c r="F576" s="41" t="n">
        <v>278.600873702422</v>
      </c>
      <c r="G576" s="41" t="n">
        <v>-835.802621107267</v>
      </c>
      <c r="H576" s="1" t="s">
        <v>619</v>
      </c>
    </row>
    <row r="577" customFormat="false" ht="15" hidden="false" customHeight="true" outlineLevel="0" collapsed="false">
      <c r="A577" s="1" t="s">
        <v>612</v>
      </c>
      <c r="B577" s="1" t="s">
        <v>418</v>
      </c>
      <c r="C577" s="1" t="s">
        <v>448</v>
      </c>
      <c r="D577" s="1" t="s">
        <v>271</v>
      </c>
      <c r="E577" s="73" t="n">
        <v>-1</v>
      </c>
      <c r="F577" s="41" t="n">
        <v>278.600873702422</v>
      </c>
      <c r="G577" s="41" t="n">
        <v>-278.600873702422</v>
      </c>
      <c r="H577" s="1" t="s">
        <v>619</v>
      </c>
    </row>
    <row r="578" customFormat="false" ht="15" hidden="false" customHeight="true" outlineLevel="0" collapsed="false">
      <c r="A578" s="1" t="s">
        <v>612</v>
      </c>
      <c r="B578" s="1" t="s">
        <v>418</v>
      </c>
      <c r="C578" s="1" t="s">
        <v>419</v>
      </c>
      <c r="D578" s="1" t="s">
        <v>275</v>
      </c>
      <c r="E578" s="73" t="n">
        <v>266</v>
      </c>
      <c r="F578" s="41" t="n">
        <v>1.86</v>
      </c>
      <c r="G578" s="41" t="n">
        <v>494.76</v>
      </c>
      <c r="H578" s="1" t="s">
        <v>614</v>
      </c>
    </row>
    <row r="579" customFormat="false" ht="15" hidden="false" customHeight="true" outlineLevel="0" collapsed="false">
      <c r="A579" s="1" t="s">
        <v>612</v>
      </c>
      <c r="B579" s="1" t="s">
        <v>418</v>
      </c>
      <c r="C579" s="1" t="s">
        <v>421</v>
      </c>
      <c r="D579" s="1" t="s">
        <v>275</v>
      </c>
      <c r="E579" s="73" t="n">
        <v>1</v>
      </c>
      <c r="F579" s="41" t="n">
        <v>393.04</v>
      </c>
      <c r="G579" s="41" t="n">
        <v>393.04</v>
      </c>
      <c r="H579" s="1" t="s">
        <v>422</v>
      </c>
    </row>
    <row r="580" customFormat="false" ht="15" hidden="false" customHeight="true" outlineLevel="0" collapsed="false">
      <c r="A580" s="1" t="s">
        <v>612</v>
      </c>
      <c r="B580" s="1" t="s">
        <v>418</v>
      </c>
      <c r="C580" s="1" t="s">
        <v>423</v>
      </c>
      <c r="D580" s="1" t="s">
        <v>275</v>
      </c>
      <c r="E580" s="73" t="n">
        <v>1</v>
      </c>
      <c r="F580" s="41" t="n">
        <v>439.28</v>
      </c>
      <c r="G580" s="41" t="n">
        <v>439.28</v>
      </c>
      <c r="H580" s="1" t="s">
        <v>422</v>
      </c>
    </row>
    <row r="581" customFormat="false" ht="15" hidden="false" customHeight="true" outlineLevel="0" collapsed="false">
      <c r="A581" s="1" t="s">
        <v>612</v>
      </c>
      <c r="B581" s="1" t="s">
        <v>418</v>
      </c>
      <c r="C581" s="1" t="s">
        <v>425</v>
      </c>
      <c r="D581" s="1" t="s">
        <v>275</v>
      </c>
      <c r="E581" s="73" t="n">
        <v>0</v>
      </c>
      <c r="F581" s="41" t="n">
        <v>0</v>
      </c>
      <c r="G581" s="41" t="n">
        <v>0</v>
      </c>
      <c r="H581" s="1" t="s">
        <v>424</v>
      </c>
    </row>
    <row r="582" customFormat="false" ht="15" hidden="false" customHeight="true" outlineLevel="0" collapsed="false">
      <c r="A582" s="1" t="s">
        <v>612</v>
      </c>
      <c r="B582" s="1" t="s">
        <v>418</v>
      </c>
      <c r="C582" s="1" t="s">
        <v>432</v>
      </c>
      <c r="D582" s="1" t="s">
        <v>275</v>
      </c>
      <c r="E582" s="73" t="n">
        <v>3</v>
      </c>
      <c r="F582" s="41" t="n">
        <v>278.600873702422</v>
      </c>
      <c r="G582" s="41" t="n">
        <v>835.802621107267</v>
      </c>
      <c r="H582" s="1" t="s">
        <v>619</v>
      </c>
    </row>
    <row r="583" customFormat="false" ht="15" hidden="false" customHeight="true" outlineLevel="0" collapsed="false">
      <c r="A583" s="1" t="s">
        <v>612</v>
      </c>
      <c r="B583" s="1" t="s">
        <v>418</v>
      </c>
      <c r="C583" s="1" t="s">
        <v>450</v>
      </c>
      <c r="D583" s="1" t="s">
        <v>275</v>
      </c>
      <c r="E583" s="73" t="n">
        <v>-1</v>
      </c>
      <c r="F583" s="41" t="n">
        <v>7.02923076923077</v>
      </c>
      <c r="G583" s="41" t="n">
        <v>-7.02923076923077</v>
      </c>
      <c r="H583" s="1" t="s">
        <v>619</v>
      </c>
    </row>
    <row r="584" customFormat="false" ht="15" hidden="false" customHeight="true" outlineLevel="0" collapsed="false">
      <c r="A584" s="1" t="s">
        <v>612</v>
      </c>
      <c r="B584" s="1" t="s">
        <v>418</v>
      </c>
      <c r="C584" s="1" t="s">
        <v>451</v>
      </c>
      <c r="D584" s="1" t="s">
        <v>275</v>
      </c>
      <c r="E584" s="73" t="n">
        <v>0</v>
      </c>
      <c r="F584" s="41" t="n">
        <v>0</v>
      </c>
      <c r="G584" s="41" t="n">
        <v>0</v>
      </c>
    </row>
    <row r="585" customFormat="false" ht="15" hidden="false" customHeight="true" outlineLevel="0" collapsed="false">
      <c r="A585" s="1" t="s">
        <v>612</v>
      </c>
      <c r="B585" s="1" t="s">
        <v>418</v>
      </c>
      <c r="C585" s="1" t="s">
        <v>452</v>
      </c>
      <c r="D585" s="1" t="s">
        <v>275</v>
      </c>
      <c r="E585" s="73" t="n">
        <v>0</v>
      </c>
      <c r="F585" s="41" t="n">
        <v>0</v>
      </c>
      <c r="G585" s="41" t="n">
        <v>0</v>
      </c>
      <c r="H585" s="1" t="s">
        <v>431</v>
      </c>
    </row>
    <row r="586" customFormat="false" ht="15" hidden="false" customHeight="true" outlineLevel="0" collapsed="false">
      <c r="A586" s="1" t="s">
        <v>612</v>
      </c>
      <c r="B586" s="1" t="s">
        <v>418</v>
      </c>
      <c r="C586" s="1" t="s">
        <v>419</v>
      </c>
      <c r="D586" s="1" t="s">
        <v>272</v>
      </c>
      <c r="E586" s="73" t="n">
        <v>601</v>
      </c>
      <c r="F586" s="41" t="n">
        <v>1.86</v>
      </c>
      <c r="G586" s="41" t="n">
        <v>1117.86</v>
      </c>
      <c r="H586" s="1" t="s">
        <v>614</v>
      </c>
    </row>
    <row r="587" customFormat="false" ht="15" hidden="false" customHeight="true" outlineLevel="0" collapsed="false">
      <c r="A587" s="1" t="s">
        <v>612</v>
      </c>
      <c r="B587" s="1" t="s">
        <v>418</v>
      </c>
      <c r="C587" s="1" t="s">
        <v>421</v>
      </c>
      <c r="D587" s="1" t="s">
        <v>272</v>
      </c>
      <c r="E587" s="73" t="n">
        <v>3</v>
      </c>
      <c r="F587" s="41" t="n">
        <v>393.04</v>
      </c>
      <c r="G587" s="41" t="n">
        <v>1179.12</v>
      </c>
      <c r="H587" s="1" t="s">
        <v>622</v>
      </c>
    </row>
    <row r="588" customFormat="false" ht="15" hidden="false" customHeight="true" outlineLevel="0" collapsed="false">
      <c r="A588" s="1" t="s">
        <v>612</v>
      </c>
      <c r="B588" s="1" t="s">
        <v>418</v>
      </c>
      <c r="C588" s="1" t="s">
        <v>423</v>
      </c>
      <c r="D588" s="1" t="s">
        <v>272</v>
      </c>
      <c r="E588" s="73" t="n">
        <v>1</v>
      </c>
      <c r="F588" s="41" t="n">
        <v>439.28</v>
      </c>
      <c r="G588" s="41" t="n">
        <v>439.28</v>
      </c>
      <c r="H588" s="1" t="s">
        <v>623</v>
      </c>
    </row>
    <row r="589" customFormat="false" ht="15" hidden="false" customHeight="true" outlineLevel="0" collapsed="false">
      <c r="A589" s="1" t="s">
        <v>612</v>
      </c>
      <c r="B589" s="1" t="s">
        <v>418</v>
      </c>
      <c r="C589" s="1" t="s">
        <v>425</v>
      </c>
      <c r="D589" s="1" t="s">
        <v>272</v>
      </c>
      <c r="E589" s="73" t="n">
        <v>4</v>
      </c>
      <c r="F589" s="41" t="n">
        <v>407.27</v>
      </c>
      <c r="G589" s="41" t="n">
        <v>1629.08</v>
      </c>
      <c r="H589" s="1" t="s">
        <v>623</v>
      </c>
    </row>
    <row r="590" customFormat="false" ht="15" hidden="false" customHeight="true" outlineLevel="0" collapsed="false">
      <c r="A590" s="1" t="s">
        <v>612</v>
      </c>
      <c r="B590" s="1" t="s">
        <v>418</v>
      </c>
      <c r="C590" s="1" t="s">
        <v>427</v>
      </c>
      <c r="D590" s="1" t="s">
        <v>272</v>
      </c>
      <c r="E590" s="73" t="n">
        <v>1</v>
      </c>
      <c r="F590" s="41" t="n">
        <v>439.04</v>
      </c>
      <c r="G590" s="41" t="n">
        <v>439.04</v>
      </c>
      <c r="H590" s="1" t="s">
        <v>456</v>
      </c>
    </row>
    <row r="591" customFormat="false" ht="15" hidden="false" customHeight="true" outlineLevel="0" collapsed="false">
      <c r="A591" s="1" t="s">
        <v>612</v>
      </c>
      <c r="B591" s="1" t="s">
        <v>418</v>
      </c>
      <c r="C591" s="1" t="s">
        <v>427</v>
      </c>
      <c r="D591" s="1" t="s">
        <v>272</v>
      </c>
      <c r="E591" s="73" t="n">
        <v>78</v>
      </c>
      <c r="F591" s="41" t="n">
        <v>33.16</v>
      </c>
      <c r="G591" s="41" t="n">
        <v>2586.48</v>
      </c>
      <c r="H591" s="1" t="s">
        <v>457</v>
      </c>
    </row>
    <row r="592" customFormat="false" ht="15" hidden="false" customHeight="true" outlineLevel="0" collapsed="false">
      <c r="A592" s="1" t="s">
        <v>612</v>
      </c>
      <c r="B592" s="1" t="s">
        <v>418</v>
      </c>
      <c r="C592" s="1" t="s">
        <v>458</v>
      </c>
      <c r="D592" s="1" t="s">
        <v>272</v>
      </c>
      <c r="E592" s="73" t="n">
        <v>0</v>
      </c>
      <c r="F592" s="41" t="n">
        <v>0</v>
      </c>
      <c r="G592" s="41" t="n">
        <v>0</v>
      </c>
    </row>
    <row r="593" customFormat="false" ht="15" hidden="false" customHeight="true" outlineLevel="0" collapsed="false">
      <c r="A593" s="1" t="s">
        <v>612</v>
      </c>
      <c r="B593" s="1" t="s">
        <v>418</v>
      </c>
      <c r="C593" s="1" t="s">
        <v>459</v>
      </c>
      <c r="D593" s="1" t="s">
        <v>272</v>
      </c>
      <c r="E593" s="73" t="n">
        <v>1</v>
      </c>
      <c r="F593" s="41" t="n">
        <v>278.600873702422</v>
      </c>
      <c r="G593" s="41" t="n">
        <v>278.600873702422</v>
      </c>
      <c r="H593" s="1" t="s">
        <v>619</v>
      </c>
    </row>
    <row r="594" customFormat="false" ht="15" hidden="false" customHeight="true" outlineLevel="0" collapsed="false">
      <c r="A594" s="1" t="s">
        <v>612</v>
      </c>
      <c r="B594" s="1" t="s">
        <v>418</v>
      </c>
      <c r="C594" s="1" t="s">
        <v>460</v>
      </c>
      <c r="D594" s="1" t="s">
        <v>272</v>
      </c>
      <c r="E594" s="73" t="n">
        <v>0</v>
      </c>
      <c r="F594" s="41" t="n">
        <v>0</v>
      </c>
      <c r="G594" s="41" t="n">
        <v>0</v>
      </c>
    </row>
    <row r="595" customFormat="false" ht="15" hidden="false" customHeight="true" outlineLevel="0" collapsed="false">
      <c r="A595" s="1" t="s">
        <v>612</v>
      </c>
      <c r="B595" s="1" t="s">
        <v>418</v>
      </c>
      <c r="C595" s="1" t="s">
        <v>624</v>
      </c>
      <c r="D595" s="1" t="s">
        <v>272</v>
      </c>
      <c r="E595" s="73" t="n">
        <v>1</v>
      </c>
      <c r="F595" s="41" t="n">
        <v>26.326</v>
      </c>
      <c r="G595" s="41" t="n">
        <v>26.326</v>
      </c>
      <c r="H595" s="1" t="s">
        <v>431</v>
      </c>
    </row>
    <row r="596" customFormat="false" ht="15" hidden="false" customHeight="true" outlineLevel="0" collapsed="false">
      <c r="A596" s="1" t="s">
        <v>612</v>
      </c>
      <c r="B596" s="1" t="s">
        <v>418</v>
      </c>
      <c r="C596" s="1" t="s">
        <v>419</v>
      </c>
      <c r="D596" s="1" t="s">
        <v>266</v>
      </c>
      <c r="E596" s="73" t="n">
        <v>461</v>
      </c>
      <c r="F596" s="41" t="n">
        <v>1.86</v>
      </c>
      <c r="G596" s="41" t="n">
        <v>857.46</v>
      </c>
      <c r="H596" s="1" t="s">
        <v>614</v>
      </c>
    </row>
    <row r="597" customFormat="false" ht="15" hidden="false" customHeight="true" outlineLevel="0" collapsed="false">
      <c r="A597" s="1" t="s">
        <v>612</v>
      </c>
      <c r="B597" s="1" t="s">
        <v>418</v>
      </c>
      <c r="C597" s="1" t="s">
        <v>421</v>
      </c>
      <c r="D597" s="1" t="s">
        <v>266</v>
      </c>
      <c r="E597" s="73" t="n">
        <v>4</v>
      </c>
      <c r="F597" s="41" t="n">
        <v>393.04</v>
      </c>
      <c r="G597" s="41" t="n">
        <v>1572.16</v>
      </c>
      <c r="H597" s="1" t="s">
        <v>424</v>
      </c>
    </row>
    <row r="598" customFormat="false" ht="15" hidden="false" customHeight="true" outlineLevel="0" collapsed="false">
      <c r="A598" s="1" t="s">
        <v>612</v>
      </c>
      <c r="B598" s="1" t="s">
        <v>418</v>
      </c>
      <c r="C598" s="1" t="s">
        <v>423</v>
      </c>
      <c r="D598" s="1" t="s">
        <v>266</v>
      </c>
      <c r="E598" s="73" t="n">
        <v>4</v>
      </c>
      <c r="F598" s="41" t="n">
        <v>439.28</v>
      </c>
      <c r="G598" s="41" t="n">
        <v>1757.12</v>
      </c>
      <c r="H598" s="1" t="s">
        <v>625</v>
      </c>
    </row>
    <row r="599" customFormat="false" ht="15" hidden="false" customHeight="true" outlineLevel="0" collapsed="false">
      <c r="A599" s="1" t="s">
        <v>612</v>
      </c>
      <c r="B599" s="1" t="s">
        <v>418</v>
      </c>
      <c r="C599" s="1" t="s">
        <v>425</v>
      </c>
      <c r="D599" s="1" t="s">
        <v>266</v>
      </c>
      <c r="E599" s="73" t="n">
        <v>6</v>
      </c>
      <c r="F599" s="41" t="n">
        <v>407.27</v>
      </c>
      <c r="G599" s="41" t="n">
        <v>2443.62</v>
      </c>
      <c r="H599" s="1" t="s">
        <v>625</v>
      </c>
    </row>
    <row r="600" customFormat="false" ht="15" hidden="false" customHeight="true" outlineLevel="0" collapsed="false">
      <c r="A600" s="1" t="s">
        <v>612</v>
      </c>
      <c r="B600" s="1" t="s">
        <v>418</v>
      </c>
      <c r="C600" s="1" t="s">
        <v>465</v>
      </c>
      <c r="D600" s="1" t="s">
        <v>266</v>
      </c>
      <c r="E600" s="73" t="n">
        <v>1</v>
      </c>
      <c r="F600" s="41" t="n">
        <v>738.92</v>
      </c>
      <c r="G600" s="41" t="n">
        <v>738.92</v>
      </c>
      <c r="H600" s="1" t="s">
        <v>466</v>
      </c>
    </row>
    <row r="601" customFormat="false" ht="15" hidden="false" customHeight="true" outlineLevel="0" collapsed="false">
      <c r="A601" s="1" t="s">
        <v>612</v>
      </c>
      <c r="B601" s="1" t="s">
        <v>418</v>
      </c>
      <c r="C601" s="1" t="s">
        <v>465</v>
      </c>
      <c r="D601" s="1" t="s">
        <v>266</v>
      </c>
      <c r="E601" s="73" t="n">
        <v>25</v>
      </c>
      <c r="F601" s="41" t="n">
        <v>19.53</v>
      </c>
      <c r="G601" s="41" t="n">
        <v>488.25</v>
      </c>
      <c r="H601" s="1" t="s">
        <v>443</v>
      </c>
    </row>
    <row r="602" customFormat="false" ht="15" hidden="false" customHeight="true" outlineLevel="0" collapsed="false">
      <c r="A602" s="1" t="s">
        <v>612</v>
      </c>
      <c r="B602" s="1" t="s">
        <v>418</v>
      </c>
      <c r="C602" s="1" t="s">
        <v>432</v>
      </c>
      <c r="D602" s="1" t="s">
        <v>266</v>
      </c>
      <c r="E602" s="73" t="n">
        <v>21</v>
      </c>
      <c r="F602" s="41" t="n">
        <v>278.600873702422</v>
      </c>
      <c r="G602" s="41" t="n">
        <v>5850.61834775087</v>
      </c>
      <c r="H602" s="1" t="s">
        <v>619</v>
      </c>
    </row>
    <row r="603" customFormat="false" ht="15" hidden="false" customHeight="true" outlineLevel="0" collapsed="false">
      <c r="A603" s="1" t="s">
        <v>612</v>
      </c>
      <c r="B603" s="1" t="s">
        <v>418</v>
      </c>
      <c r="C603" s="1" t="s">
        <v>467</v>
      </c>
      <c r="D603" s="1" t="s">
        <v>266</v>
      </c>
      <c r="E603" s="73" t="n">
        <v>0</v>
      </c>
      <c r="F603" s="41" t="n">
        <v>0</v>
      </c>
      <c r="G603" s="41" t="n">
        <v>0</v>
      </c>
      <c r="H603" s="1" t="s">
        <v>431</v>
      </c>
    </row>
    <row r="604" customFormat="false" ht="15" hidden="false" customHeight="true" outlineLevel="0" collapsed="false">
      <c r="A604" s="1" t="s">
        <v>612</v>
      </c>
      <c r="B604" s="1" t="s">
        <v>418</v>
      </c>
      <c r="C604" s="1" t="s">
        <v>468</v>
      </c>
      <c r="D604" s="1" t="s">
        <v>266</v>
      </c>
      <c r="E604" s="73" t="n">
        <v>0</v>
      </c>
      <c r="F604" s="41" t="n">
        <v>0</v>
      </c>
      <c r="G604" s="41" t="n">
        <v>0</v>
      </c>
      <c r="H604" s="1" t="s">
        <v>431</v>
      </c>
    </row>
    <row r="605" customFormat="false" ht="15" hidden="false" customHeight="true" outlineLevel="0" collapsed="false">
      <c r="A605" s="1" t="s">
        <v>612</v>
      </c>
      <c r="B605" s="1" t="s">
        <v>418</v>
      </c>
      <c r="C605" s="1" t="s">
        <v>469</v>
      </c>
      <c r="D605" s="1" t="s">
        <v>266</v>
      </c>
      <c r="E605" s="73" t="n">
        <v>0</v>
      </c>
      <c r="F605" s="41" t="n">
        <v>0</v>
      </c>
      <c r="G605" s="41" t="n">
        <v>0</v>
      </c>
      <c r="H605" s="1" t="s">
        <v>431</v>
      </c>
    </row>
    <row r="606" customFormat="false" ht="15" hidden="false" customHeight="true" outlineLevel="0" collapsed="false">
      <c r="A606" s="1" t="s">
        <v>612</v>
      </c>
      <c r="B606" s="1" t="s">
        <v>418</v>
      </c>
      <c r="C606" s="1" t="s">
        <v>419</v>
      </c>
      <c r="D606" s="1" t="s">
        <v>267</v>
      </c>
      <c r="E606" s="73" t="n">
        <v>112</v>
      </c>
      <c r="F606" s="41" t="n">
        <v>1.86</v>
      </c>
      <c r="G606" s="41" t="n">
        <v>208.32</v>
      </c>
      <c r="H606" s="1" t="s">
        <v>614</v>
      </c>
    </row>
    <row r="607" customFormat="false" ht="15" hidden="false" customHeight="true" outlineLevel="0" collapsed="false">
      <c r="A607" s="1" t="s">
        <v>612</v>
      </c>
      <c r="B607" s="1" t="s">
        <v>418</v>
      </c>
      <c r="C607" s="1" t="s">
        <v>421</v>
      </c>
      <c r="D607" s="1" t="s">
        <v>267</v>
      </c>
      <c r="E607" s="73" t="n">
        <v>1</v>
      </c>
      <c r="F607" s="41" t="n">
        <v>393.04</v>
      </c>
      <c r="G607" s="41" t="n">
        <v>393.04</v>
      </c>
      <c r="H607" s="1" t="s">
        <v>424</v>
      </c>
    </row>
    <row r="608" customFormat="false" ht="15" hidden="false" customHeight="true" outlineLevel="0" collapsed="false">
      <c r="A608" s="1" t="s">
        <v>612</v>
      </c>
      <c r="B608" s="1" t="s">
        <v>418</v>
      </c>
      <c r="C608" s="1" t="s">
        <v>423</v>
      </c>
      <c r="D608" s="1" t="s">
        <v>267</v>
      </c>
      <c r="E608" s="73" t="n">
        <v>0</v>
      </c>
      <c r="F608" s="41" t="n">
        <v>0</v>
      </c>
      <c r="G608" s="41" t="n">
        <v>0</v>
      </c>
      <c r="H608" s="1" t="s">
        <v>471</v>
      </c>
    </row>
    <row r="609" customFormat="false" ht="15" hidden="false" customHeight="true" outlineLevel="0" collapsed="false">
      <c r="A609" s="1" t="s">
        <v>612</v>
      </c>
      <c r="B609" s="1" t="s">
        <v>418</v>
      </c>
      <c r="C609" s="1" t="s">
        <v>425</v>
      </c>
      <c r="D609" s="1" t="s">
        <v>267</v>
      </c>
      <c r="E609" s="73" t="n">
        <v>0</v>
      </c>
      <c r="F609" s="41" t="n">
        <v>0</v>
      </c>
      <c r="G609" s="41" t="n">
        <v>0</v>
      </c>
      <c r="H609" s="1" t="s">
        <v>422</v>
      </c>
    </row>
    <row r="610" customFormat="false" ht="15" hidden="false" customHeight="true" outlineLevel="0" collapsed="false">
      <c r="A610" s="1" t="s">
        <v>612</v>
      </c>
      <c r="B610" s="1" t="s">
        <v>418</v>
      </c>
      <c r="C610" s="1" t="s">
        <v>465</v>
      </c>
      <c r="D610" s="1" t="s">
        <v>267</v>
      </c>
      <c r="E610" s="73" t="n">
        <v>1</v>
      </c>
      <c r="F610" s="41" t="n">
        <v>607.6</v>
      </c>
      <c r="G610" s="41" t="n">
        <v>607.6</v>
      </c>
      <c r="H610" s="1" t="s">
        <v>472</v>
      </c>
    </row>
    <row r="611" customFormat="false" ht="15" hidden="false" customHeight="true" outlineLevel="0" collapsed="false">
      <c r="A611" s="1" t="s">
        <v>612</v>
      </c>
      <c r="B611" s="1" t="s">
        <v>418</v>
      </c>
      <c r="C611" s="1" t="s">
        <v>465</v>
      </c>
      <c r="D611" s="1" t="s">
        <v>267</v>
      </c>
      <c r="E611" s="73" t="n">
        <v>42</v>
      </c>
      <c r="F611" s="41" t="n">
        <v>19.53</v>
      </c>
      <c r="G611" s="41" t="n">
        <v>820.26</v>
      </c>
      <c r="H611" s="1" t="s">
        <v>443</v>
      </c>
    </row>
    <row r="612" customFormat="false" ht="15" hidden="false" customHeight="true" outlineLevel="0" collapsed="false">
      <c r="A612" s="1" t="s">
        <v>612</v>
      </c>
      <c r="B612" s="1" t="s">
        <v>418</v>
      </c>
      <c r="C612" s="1" t="s">
        <v>432</v>
      </c>
      <c r="D612" s="1" t="s">
        <v>267</v>
      </c>
      <c r="E612" s="73" t="n">
        <v>2</v>
      </c>
      <c r="F612" s="41" t="n">
        <v>278.600873702422</v>
      </c>
      <c r="G612" s="41" t="n">
        <v>557.201747404844</v>
      </c>
      <c r="H612" s="1" t="s">
        <v>619</v>
      </c>
    </row>
    <row r="613" customFormat="false" ht="15" hidden="false" customHeight="true" outlineLevel="0" collapsed="false">
      <c r="A613" s="1" t="s">
        <v>612</v>
      </c>
      <c r="B613" s="1" t="s">
        <v>418</v>
      </c>
      <c r="C613" s="1" t="s">
        <v>473</v>
      </c>
      <c r="D613" s="1" t="s">
        <v>267</v>
      </c>
      <c r="E613" s="73" t="n">
        <v>-1</v>
      </c>
      <c r="F613" s="41" t="n">
        <v>370.462380952381</v>
      </c>
      <c r="G613" s="41" t="n">
        <v>-370.462380952381</v>
      </c>
      <c r="H613" s="1" t="s">
        <v>619</v>
      </c>
    </row>
    <row r="614" customFormat="false" ht="15" hidden="false" customHeight="true" outlineLevel="0" collapsed="false">
      <c r="A614" s="1" t="s">
        <v>612</v>
      </c>
      <c r="B614" s="1" t="s">
        <v>418</v>
      </c>
      <c r="C614" s="1" t="s">
        <v>436</v>
      </c>
      <c r="D614" s="1" t="s">
        <v>264</v>
      </c>
      <c r="E614" s="73" t="n">
        <v>1</v>
      </c>
      <c r="F614" s="41" t="n">
        <v>25.5</v>
      </c>
      <c r="G614" s="41" t="n">
        <v>25.5</v>
      </c>
      <c r="H614" s="1" t="s">
        <v>564</v>
      </c>
    </row>
    <row r="615" customFormat="false" ht="15" hidden="false" customHeight="true" outlineLevel="0" collapsed="false">
      <c r="A615" s="1" t="s">
        <v>612</v>
      </c>
      <c r="B615" s="1" t="s">
        <v>418</v>
      </c>
      <c r="C615" s="1" t="s">
        <v>419</v>
      </c>
      <c r="D615" s="1" t="s">
        <v>264</v>
      </c>
      <c r="E615" s="73" t="n">
        <v>0</v>
      </c>
      <c r="F615" s="41" t="n">
        <v>0</v>
      </c>
      <c r="G615" s="41" t="n">
        <v>0</v>
      </c>
      <c r="H615" s="1" t="s">
        <v>420</v>
      </c>
    </row>
    <row r="616" customFormat="false" ht="15" hidden="false" customHeight="true" outlineLevel="0" collapsed="false">
      <c r="A616" s="1" t="s">
        <v>612</v>
      </c>
      <c r="B616" s="1" t="s">
        <v>418</v>
      </c>
      <c r="C616" s="1" t="s">
        <v>419</v>
      </c>
      <c r="D616" s="1" t="s">
        <v>264</v>
      </c>
      <c r="E616" s="73" t="n">
        <v>261</v>
      </c>
      <c r="F616" s="41" t="n">
        <v>1.86</v>
      </c>
      <c r="G616" s="41" t="n">
        <v>485.46</v>
      </c>
      <c r="H616" s="1" t="s">
        <v>614</v>
      </c>
    </row>
    <row r="617" customFormat="false" ht="15" hidden="false" customHeight="true" outlineLevel="0" collapsed="false">
      <c r="A617" s="1" t="s">
        <v>612</v>
      </c>
      <c r="B617" s="1" t="s">
        <v>418</v>
      </c>
      <c r="C617" s="1" t="s">
        <v>421</v>
      </c>
      <c r="D617" s="1" t="s">
        <v>264</v>
      </c>
      <c r="E617" s="73" t="n">
        <v>3</v>
      </c>
      <c r="F617" s="41" t="n">
        <v>393.04</v>
      </c>
      <c r="G617" s="41" t="n">
        <v>1179.12</v>
      </c>
      <c r="H617" s="1" t="s">
        <v>471</v>
      </c>
    </row>
    <row r="618" customFormat="false" ht="15" hidden="false" customHeight="true" outlineLevel="0" collapsed="false">
      <c r="A618" s="1" t="s">
        <v>612</v>
      </c>
      <c r="B618" s="1" t="s">
        <v>418</v>
      </c>
      <c r="C618" s="1" t="s">
        <v>423</v>
      </c>
      <c r="D618" s="1" t="s">
        <v>264</v>
      </c>
      <c r="E618" s="73" t="n">
        <v>2</v>
      </c>
      <c r="F618" s="41" t="n">
        <v>439.28</v>
      </c>
      <c r="G618" s="41" t="n">
        <v>878.56</v>
      </c>
      <c r="H618" s="1" t="s">
        <v>422</v>
      </c>
    </row>
    <row r="619" customFormat="false" ht="15" hidden="false" customHeight="true" outlineLevel="0" collapsed="false">
      <c r="A619" s="1" t="s">
        <v>612</v>
      </c>
      <c r="B619" s="1" t="s">
        <v>418</v>
      </c>
      <c r="C619" s="1" t="s">
        <v>425</v>
      </c>
      <c r="D619" s="1" t="s">
        <v>264</v>
      </c>
      <c r="E619" s="73" t="n">
        <v>3</v>
      </c>
      <c r="F619" s="41" t="n">
        <v>407.27</v>
      </c>
      <c r="G619" s="41" t="n">
        <v>1221.81</v>
      </c>
      <c r="H619" s="1" t="s">
        <v>471</v>
      </c>
    </row>
    <row r="620" customFormat="false" ht="15" hidden="false" customHeight="true" outlineLevel="0" collapsed="false">
      <c r="A620" s="1" t="s">
        <v>612</v>
      </c>
      <c r="B620" s="1" t="s">
        <v>418</v>
      </c>
      <c r="C620" s="1" t="s">
        <v>432</v>
      </c>
      <c r="D620" s="1" t="s">
        <v>264</v>
      </c>
      <c r="E620" s="73" t="n">
        <v>4</v>
      </c>
      <c r="F620" s="41" t="n">
        <v>278.600873702422</v>
      </c>
      <c r="G620" s="41" t="n">
        <v>1114.40349480969</v>
      </c>
      <c r="H620" s="1" t="s">
        <v>619</v>
      </c>
    </row>
    <row r="621" customFormat="false" ht="15" hidden="false" customHeight="true" outlineLevel="0" collapsed="false">
      <c r="A621" s="1" t="s">
        <v>612</v>
      </c>
      <c r="B621" s="1" t="s">
        <v>418</v>
      </c>
      <c r="C621" s="1" t="s">
        <v>477</v>
      </c>
      <c r="D621" s="1" t="s">
        <v>264</v>
      </c>
      <c r="E621" s="73" t="n">
        <v>0</v>
      </c>
      <c r="F621" s="41" t="n">
        <v>0</v>
      </c>
      <c r="G621" s="41" t="n">
        <v>0</v>
      </c>
    </row>
    <row r="622" customFormat="false" ht="15" hidden="false" customHeight="true" outlineLevel="0" collapsed="false">
      <c r="A622" s="1" t="s">
        <v>612</v>
      </c>
      <c r="B622" s="1" t="s">
        <v>418</v>
      </c>
      <c r="C622" s="1" t="s">
        <v>478</v>
      </c>
      <c r="D622" s="1" t="s">
        <v>264</v>
      </c>
      <c r="E622" s="73" t="n">
        <v>-12</v>
      </c>
      <c r="F622" s="41" t="n">
        <v>26.326</v>
      </c>
      <c r="G622" s="41" t="n">
        <v>-315.912</v>
      </c>
      <c r="H622" s="1" t="s">
        <v>619</v>
      </c>
    </row>
    <row r="623" customFormat="false" ht="15" hidden="false" customHeight="true" outlineLevel="0" collapsed="false">
      <c r="A623" s="1" t="s">
        <v>612</v>
      </c>
      <c r="B623" s="1" t="s">
        <v>418</v>
      </c>
      <c r="C623" s="1" t="s">
        <v>626</v>
      </c>
      <c r="D623" s="1" t="s">
        <v>264</v>
      </c>
      <c r="E623" s="73" t="n">
        <v>-1</v>
      </c>
      <c r="F623" s="41" t="n">
        <v>26.326</v>
      </c>
      <c r="G623" s="41" t="n">
        <v>-26.326</v>
      </c>
      <c r="H623" s="1" t="s">
        <v>431</v>
      </c>
    </row>
    <row r="624" customFormat="false" ht="15" hidden="false" customHeight="true" outlineLevel="0" collapsed="false">
      <c r="A624" s="1" t="s">
        <v>612</v>
      </c>
      <c r="B624" s="1" t="s">
        <v>418</v>
      </c>
      <c r="C624" s="1" t="s">
        <v>480</v>
      </c>
      <c r="D624" s="1" t="s">
        <v>264</v>
      </c>
      <c r="E624" s="73" t="n">
        <v>0</v>
      </c>
      <c r="F624" s="41" t="n">
        <v>0</v>
      </c>
      <c r="G624" s="41" t="n">
        <v>0</v>
      </c>
    </row>
    <row r="625" customFormat="false" ht="15" hidden="false" customHeight="true" outlineLevel="0" collapsed="false">
      <c r="A625" s="1" t="s">
        <v>612</v>
      </c>
      <c r="B625" s="1" t="s">
        <v>481</v>
      </c>
      <c r="C625" s="1" t="s">
        <v>482</v>
      </c>
      <c r="D625" s="1" t="s">
        <v>269</v>
      </c>
      <c r="E625" s="73" t="n">
        <v>6445</v>
      </c>
      <c r="F625" s="41" t="n">
        <v>0.253754640366083</v>
      </c>
      <c r="G625" s="41" t="n">
        <v>1635.4486571594</v>
      </c>
      <c r="H625" s="1" t="s">
        <v>402</v>
      </c>
    </row>
    <row r="626" customFormat="false" ht="15" hidden="false" customHeight="true" outlineLevel="0" collapsed="false">
      <c r="A626" s="1" t="s">
        <v>612</v>
      </c>
      <c r="B626" s="1" t="s">
        <v>481</v>
      </c>
      <c r="C626" s="1" t="s">
        <v>482</v>
      </c>
      <c r="D626" s="1" t="s">
        <v>271</v>
      </c>
      <c r="E626" s="73" t="n">
        <v>13418</v>
      </c>
      <c r="F626" s="41" t="n">
        <v>0.253754640366083</v>
      </c>
      <c r="G626" s="41" t="n">
        <v>3404.8797644321</v>
      </c>
      <c r="H626" s="1" t="s">
        <v>402</v>
      </c>
    </row>
    <row r="627" customFormat="false" ht="15" hidden="false" customHeight="true" outlineLevel="0" collapsed="false">
      <c r="A627" s="1" t="s">
        <v>612</v>
      </c>
      <c r="B627" s="1" t="s">
        <v>481</v>
      </c>
      <c r="C627" s="1" t="s">
        <v>482</v>
      </c>
      <c r="D627" s="1" t="s">
        <v>275</v>
      </c>
      <c r="E627" s="73" t="n">
        <v>3704</v>
      </c>
      <c r="F627" s="41" t="n">
        <v>0.253754640366083</v>
      </c>
      <c r="G627" s="41" t="n">
        <v>939.90718791597</v>
      </c>
      <c r="H627" s="1" t="s">
        <v>402</v>
      </c>
    </row>
    <row r="628" customFormat="false" ht="15" hidden="false" customHeight="true" outlineLevel="0" collapsed="false">
      <c r="A628" s="1" t="s">
        <v>612</v>
      </c>
      <c r="B628" s="1" t="s">
        <v>481</v>
      </c>
      <c r="C628" s="1" t="s">
        <v>482</v>
      </c>
      <c r="D628" s="1" t="s">
        <v>272</v>
      </c>
      <c r="E628" s="73" t="n">
        <v>6434</v>
      </c>
      <c r="F628" s="41" t="n">
        <v>0.253754640366083</v>
      </c>
      <c r="G628" s="41" t="n">
        <v>1632.65735611538</v>
      </c>
      <c r="H628" s="1" t="s">
        <v>402</v>
      </c>
    </row>
    <row r="629" customFormat="false" ht="15" hidden="false" customHeight="true" outlineLevel="0" collapsed="false">
      <c r="A629" s="1" t="s">
        <v>612</v>
      </c>
      <c r="B629" s="1" t="s">
        <v>481</v>
      </c>
      <c r="C629" s="1" t="s">
        <v>482</v>
      </c>
      <c r="D629" s="1" t="s">
        <v>266</v>
      </c>
      <c r="E629" s="73" t="n">
        <v>14441</v>
      </c>
      <c r="F629" s="41" t="n">
        <v>0.253754640366083</v>
      </c>
      <c r="G629" s="41" t="n">
        <v>3664.4707615266</v>
      </c>
      <c r="H629" s="1" t="s">
        <v>402</v>
      </c>
    </row>
    <row r="630" customFormat="false" ht="15" hidden="false" customHeight="true" outlineLevel="0" collapsed="false">
      <c r="A630" s="1" t="s">
        <v>612</v>
      </c>
      <c r="B630" s="1" t="s">
        <v>481</v>
      </c>
      <c r="C630" s="1" t="s">
        <v>482</v>
      </c>
      <c r="D630" s="1" t="s">
        <v>267</v>
      </c>
      <c r="E630" s="73" t="n">
        <v>4749</v>
      </c>
      <c r="F630" s="41" t="n">
        <v>0.253754640366083</v>
      </c>
      <c r="G630" s="41" t="n">
        <v>1205.08078709853</v>
      </c>
      <c r="H630" s="1" t="s">
        <v>402</v>
      </c>
    </row>
    <row r="631" customFormat="false" ht="15" hidden="false" customHeight="true" outlineLevel="0" collapsed="false">
      <c r="A631" s="1" t="s">
        <v>612</v>
      </c>
      <c r="B631" s="1" t="s">
        <v>481</v>
      </c>
      <c r="C631" s="1" t="s">
        <v>482</v>
      </c>
      <c r="D631" s="1" t="s">
        <v>264</v>
      </c>
      <c r="E631" s="73" t="n">
        <v>4795</v>
      </c>
      <c r="F631" s="41" t="n">
        <v>0.253754640366083</v>
      </c>
      <c r="G631" s="41" t="n">
        <v>1216.75350055537</v>
      </c>
      <c r="H631" s="1" t="s">
        <v>402</v>
      </c>
    </row>
    <row r="632" customFormat="false" ht="15" hidden="false" customHeight="true" outlineLevel="0" collapsed="false">
      <c r="A632" s="1" t="s">
        <v>612</v>
      </c>
      <c r="B632" s="1" t="s">
        <v>485</v>
      </c>
      <c r="C632" s="1" t="s">
        <v>486</v>
      </c>
      <c r="D632" s="1" t="s">
        <v>271</v>
      </c>
      <c r="E632" s="73" t="n">
        <v>13418</v>
      </c>
      <c r="F632" s="41" t="n">
        <v>0.119761365635941</v>
      </c>
      <c r="G632" s="41" t="n">
        <v>1606.95800410306</v>
      </c>
      <c r="H632" s="1" t="s">
        <v>402</v>
      </c>
    </row>
    <row r="633" customFormat="false" ht="15" hidden="false" customHeight="true" outlineLevel="0" collapsed="false">
      <c r="A633" s="1" t="s">
        <v>612</v>
      </c>
      <c r="B633" s="1" t="s">
        <v>45</v>
      </c>
      <c r="C633" s="1" t="s">
        <v>487</v>
      </c>
      <c r="D633" s="1" t="s">
        <v>269</v>
      </c>
      <c r="E633" s="73" t="n">
        <v>1</v>
      </c>
      <c r="F633" s="41" t="n">
        <v>9145.68</v>
      </c>
      <c r="G633" s="41" t="n">
        <v>9145.68</v>
      </c>
      <c r="H633" s="1" t="s">
        <v>488</v>
      </c>
    </row>
    <row r="634" customFormat="false" ht="15" hidden="false" customHeight="true" outlineLevel="0" collapsed="false">
      <c r="A634" s="1" t="s">
        <v>612</v>
      </c>
      <c r="B634" s="1" t="s">
        <v>45</v>
      </c>
      <c r="C634" s="1" t="s">
        <v>487</v>
      </c>
      <c r="D634" s="1" t="s">
        <v>275</v>
      </c>
      <c r="E634" s="73" t="n">
        <v>1</v>
      </c>
      <c r="F634" s="41" t="n">
        <v>3372.11</v>
      </c>
      <c r="G634" s="41" t="n">
        <v>3372.11</v>
      </c>
      <c r="H634" s="1" t="s">
        <v>488</v>
      </c>
    </row>
    <row r="635" customFormat="false" ht="15" hidden="false" customHeight="true" outlineLevel="0" collapsed="false">
      <c r="A635" s="1" t="s">
        <v>612</v>
      </c>
      <c r="B635" s="1" t="s">
        <v>45</v>
      </c>
      <c r="C635" s="1" t="s">
        <v>487</v>
      </c>
      <c r="D635" s="1" t="s">
        <v>267</v>
      </c>
      <c r="E635" s="73" t="n">
        <v>1</v>
      </c>
      <c r="F635" s="41" t="n">
        <v>15695.77</v>
      </c>
      <c r="G635" s="41" t="n">
        <v>15695.77</v>
      </c>
      <c r="H635" s="1" t="s">
        <v>488</v>
      </c>
    </row>
    <row r="636" customFormat="false" ht="15" hidden="false" customHeight="true" outlineLevel="0" collapsed="false">
      <c r="A636" s="1" t="s">
        <v>612</v>
      </c>
      <c r="B636" s="1" t="s">
        <v>45</v>
      </c>
      <c r="C636" s="1" t="s">
        <v>489</v>
      </c>
      <c r="D636" s="1" t="s">
        <v>264</v>
      </c>
      <c r="E636" s="73" t="n">
        <v>0</v>
      </c>
      <c r="F636" s="41" t="n">
        <v>0</v>
      </c>
      <c r="G636" s="41" t="n">
        <v>0</v>
      </c>
      <c r="H636" s="1" t="s">
        <v>490</v>
      </c>
    </row>
    <row r="637" customFormat="false" ht="15" hidden="false" customHeight="true" outlineLevel="0" collapsed="false">
      <c r="A637" s="1" t="s">
        <v>612</v>
      </c>
      <c r="B637" s="1" t="s">
        <v>50</v>
      </c>
      <c r="C637" s="1" t="s">
        <v>491</v>
      </c>
      <c r="D637" s="1" t="s">
        <v>269</v>
      </c>
      <c r="E637" s="73" t="n">
        <v>0</v>
      </c>
      <c r="F637" s="41" t="n">
        <v>0</v>
      </c>
      <c r="G637" s="41" t="n">
        <v>0</v>
      </c>
      <c r="H637" s="1" t="s">
        <v>492</v>
      </c>
    </row>
    <row r="638" customFormat="false" ht="15" hidden="false" customHeight="true" outlineLevel="0" collapsed="false">
      <c r="A638" s="1" t="s">
        <v>612</v>
      </c>
      <c r="B638" s="1" t="s">
        <v>50</v>
      </c>
      <c r="C638" s="1" t="s">
        <v>491</v>
      </c>
      <c r="D638" s="1" t="s">
        <v>271</v>
      </c>
      <c r="E638" s="73" t="n">
        <v>0</v>
      </c>
      <c r="F638" s="41" t="n">
        <v>0</v>
      </c>
      <c r="G638" s="41" t="n">
        <v>0</v>
      </c>
      <c r="H638" s="1" t="s">
        <v>492</v>
      </c>
    </row>
    <row r="639" customFormat="false" ht="15" hidden="false" customHeight="true" outlineLevel="0" collapsed="false">
      <c r="A639" s="1" t="s">
        <v>612</v>
      </c>
      <c r="B639" s="1" t="s">
        <v>50</v>
      </c>
      <c r="C639" s="1" t="s">
        <v>491</v>
      </c>
      <c r="D639" s="1" t="s">
        <v>275</v>
      </c>
      <c r="E639" s="73" t="n">
        <v>0</v>
      </c>
      <c r="F639" s="41" t="n">
        <v>0</v>
      </c>
      <c r="G639" s="41" t="n">
        <v>0</v>
      </c>
      <c r="H639" s="1" t="s">
        <v>492</v>
      </c>
    </row>
    <row r="640" customFormat="false" ht="15" hidden="false" customHeight="true" outlineLevel="0" collapsed="false">
      <c r="A640" s="1" t="s">
        <v>612</v>
      </c>
      <c r="B640" s="1" t="s">
        <v>50</v>
      </c>
      <c r="C640" s="1" t="s">
        <v>491</v>
      </c>
      <c r="D640" s="1" t="s">
        <v>272</v>
      </c>
      <c r="E640" s="73" t="n">
        <v>0</v>
      </c>
      <c r="F640" s="41" t="n">
        <v>0</v>
      </c>
      <c r="G640" s="41" t="n">
        <v>0</v>
      </c>
      <c r="H640" s="1" t="s">
        <v>493</v>
      </c>
    </row>
    <row r="641" customFormat="false" ht="15" hidden="false" customHeight="true" outlineLevel="0" collapsed="false">
      <c r="A641" s="1" t="s">
        <v>612</v>
      </c>
      <c r="B641" s="1" t="s">
        <v>50</v>
      </c>
      <c r="C641" s="1" t="s">
        <v>491</v>
      </c>
      <c r="D641" s="1" t="s">
        <v>272</v>
      </c>
      <c r="E641" s="73" t="n">
        <v>0</v>
      </c>
      <c r="F641" s="41" t="n">
        <v>0</v>
      </c>
      <c r="G641" s="41" t="n">
        <v>0</v>
      </c>
      <c r="H641" s="1" t="s">
        <v>492</v>
      </c>
    </row>
    <row r="642" customFormat="false" ht="15" hidden="false" customHeight="true" outlineLevel="0" collapsed="false">
      <c r="A642" s="1" t="s">
        <v>612</v>
      </c>
      <c r="B642" s="1" t="s">
        <v>50</v>
      </c>
      <c r="C642" s="1" t="s">
        <v>491</v>
      </c>
      <c r="D642" s="1" t="s">
        <v>266</v>
      </c>
      <c r="E642" s="73" t="n">
        <v>0</v>
      </c>
      <c r="F642" s="41" t="n">
        <v>0</v>
      </c>
      <c r="G642" s="41" t="n">
        <v>0</v>
      </c>
      <c r="H642" s="1" t="s">
        <v>494</v>
      </c>
    </row>
    <row r="643" customFormat="false" ht="15" hidden="false" customHeight="true" outlineLevel="0" collapsed="false">
      <c r="A643" s="1" t="s">
        <v>612</v>
      </c>
      <c r="B643" s="1" t="s">
        <v>50</v>
      </c>
      <c r="C643" s="1" t="s">
        <v>491</v>
      </c>
      <c r="D643" s="1" t="s">
        <v>266</v>
      </c>
      <c r="E643" s="73" t="n">
        <v>0</v>
      </c>
      <c r="F643" s="41" t="n">
        <v>0</v>
      </c>
      <c r="G643" s="41" t="n">
        <v>0</v>
      </c>
      <c r="H643" s="1" t="s">
        <v>492</v>
      </c>
    </row>
    <row r="644" customFormat="false" ht="15" hidden="false" customHeight="true" outlineLevel="0" collapsed="false">
      <c r="A644" s="1" t="s">
        <v>612</v>
      </c>
      <c r="B644" s="1" t="s">
        <v>50</v>
      </c>
      <c r="C644" s="1" t="s">
        <v>491</v>
      </c>
      <c r="D644" s="1" t="s">
        <v>267</v>
      </c>
      <c r="E644" s="73" t="n">
        <v>0</v>
      </c>
      <c r="F644" s="41" t="n">
        <v>0</v>
      </c>
      <c r="G644" s="41" t="n">
        <v>0</v>
      </c>
      <c r="H644" s="1" t="s">
        <v>492</v>
      </c>
    </row>
    <row r="645" customFormat="false" ht="15" hidden="false" customHeight="true" outlineLevel="0" collapsed="false">
      <c r="A645" s="1" t="s">
        <v>612</v>
      </c>
      <c r="B645" s="1" t="s">
        <v>50</v>
      </c>
      <c r="C645" s="1" t="s">
        <v>491</v>
      </c>
      <c r="D645" s="1" t="s">
        <v>264</v>
      </c>
      <c r="E645" s="73" t="n">
        <v>0</v>
      </c>
      <c r="F645" s="41" t="n">
        <v>0</v>
      </c>
      <c r="G645" s="41" t="n">
        <v>0</v>
      </c>
      <c r="H645" s="1" t="s">
        <v>492</v>
      </c>
    </row>
    <row r="646" customFormat="false" ht="15" hidden="false" customHeight="true" outlineLevel="0" collapsed="false">
      <c r="A646" s="1" t="s">
        <v>612</v>
      </c>
      <c r="B646" s="1" t="s">
        <v>495</v>
      </c>
      <c r="C646" s="1" t="s">
        <v>496</v>
      </c>
      <c r="D646" s="1" t="s">
        <v>269</v>
      </c>
      <c r="E646" s="73" t="n">
        <v>0</v>
      </c>
      <c r="F646" s="41" t="n">
        <v>0</v>
      </c>
      <c r="G646" s="41" t="n">
        <v>0</v>
      </c>
      <c r="H646" s="1" t="s">
        <v>497</v>
      </c>
    </row>
    <row r="647" customFormat="false" ht="15" hidden="false" customHeight="true" outlineLevel="0" collapsed="false">
      <c r="A647" s="1" t="s">
        <v>612</v>
      </c>
      <c r="B647" s="1" t="s">
        <v>495</v>
      </c>
      <c r="C647" s="1" t="s">
        <v>498</v>
      </c>
      <c r="D647" s="1" t="s">
        <v>269</v>
      </c>
      <c r="E647" s="73" t="n">
        <v>0</v>
      </c>
      <c r="F647" s="41" t="n">
        <v>0</v>
      </c>
      <c r="G647" s="41" t="n">
        <v>0</v>
      </c>
      <c r="H647" s="1" t="s">
        <v>499</v>
      </c>
    </row>
    <row r="648" customFormat="false" ht="15" hidden="false" customHeight="true" outlineLevel="0" collapsed="false">
      <c r="A648" s="1" t="s">
        <v>612</v>
      </c>
      <c r="B648" s="1" t="s">
        <v>495</v>
      </c>
      <c r="C648" s="1" t="s">
        <v>627</v>
      </c>
      <c r="D648" s="1" t="s">
        <v>269</v>
      </c>
      <c r="E648" s="73" t="n">
        <v>1</v>
      </c>
      <c r="F648" s="41" t="n">
        <v>96</v>
      </c>
      <c r="G648" s="41" t="n">
        <v>96</v>
      </c>
      <c r="H648" s="1" t="s">
        <v>628</v>
      </c>
    </row>
    <row r="649" customFormat="false" ht="15" hidden="false" customHeight="true" outlineLevel="0" collapsed="false">
      <c r="A649" s="1" t="s">
        <v>612</v>
      </c>
      <c r="B649" s="1" t="s">
        <v>495</v>
      </c>
      <c r="C649" s="1" t="s">
        <v>500</v>
      </c>
      <c r="D649" s="1" t="s">
        <v>269</v>
      </c>
      <c r="E649" s="73" t="n">
        <v>10</v>
      </c>
      <c r="F649" s="41" t="n">
        <v>20</v>
      </c>
      <c r="G649" s="41" t="n">
        <v>200</v>
      </c>
      <c r="H649" s="1" t="s">
        <v>501</v>
      </c>
    </row>
    <row r="650" customFormat="false" ht="15" hidden="false" customHeight="true" outlineLevel="0" collapsed="false">
      <c r="A650" s="1" t="s">
        <v>612</v>
      </c>
      <c r="B650" s="1" t="s">
        <v>495</v>
      </c>
      <c r="C650" s="1" t="s">
        <v>502</v>
      </c>
      <c r="D650" s="1" t="s">
        <v>269</v>
      </c>
      <c r="E650" s="73" t="n">
        <v>1</v>
      </c>
      <c r="F650" s="41" t="n">
        <v>682.73</v>
      </c>
      <c r="G650" s="41" t="n">
        <v>682.73</v>
      </c>
      <c r="H650" s="1" t="s">
        <v>629</v>
      </c>
    </row>
    <row r="651" customFormat="false" ht="15" hidden="false" customHeight="true" outlineLevel="0" collapsed="false">
      <c r="A651" s="1" t="s">
        <v>612</v>
      </c>
      <c r="B651" s="1" t="s">
        <v>495</v>
      </c>
      <c r="C651" s="1" t="s">
        <v>502</v>
      </c>
      <c r="D651" s="1" t="s">
        <v>269</v>
      </c>
      <c r="E651" s="73" t="n">
        <v>1</v>
      </c>
      <c r="F651" s="41" t="n">
        <v>894.25</v>
      </c>
      <c r="G651" s="41" t="n">
        <v>894.25</v>
      </c>
      <c r="H651" s="1" t="s">
        <v>630</v>
      </c>
    </row>
    <row r="652" customFormat="false" ht="15" hidden="false" customHeight="true" outlineLevel="0" collapsed="false">
      <c r="A652" s="1" t="s">
        <v>612</v>
      </c>
      <c r="B652" s="1" t="s">
        <v>495</v>
      </c>
      <c r="C652" s="1" t="s">
        <v>504</v>
      </c>
      <c r="D652" s="1" t="s">
        <v>269</v>
      </c>
      <c r="E652" s="73" t="n">
        <v>0</v>
      </c>
      <c r="F652" s="41" t="n">
        <v>0</v>
      </c>
      <c r="G652" s="41" t="n">
        <v>0</v>
      </c>
      <c r="H652" s="1" t="s">
        <v>628</v>
      </c>
    </row>
    <row r="653" customFormat="false" ht="15" hidden="false" customHeight="true" outlineLevel="0" collapsed="false">
      <c r="A653" s="1" t="s">
        <v>612</v>
      </c>
      <c r="B653" s="1" t="s">
        <v>495</v>
      </c>
      <c r="C653" s="1" t="s">
        <v>504</v>
      </c>
      <c r="D653" s="1" t="s">
        <v>269</v>
      </c>
      <c r="E653" s="73" t="n">
        <v>1</v>
      </c>
      <c r="F653" s="41" t="n">
        <v>86</v>
      </c>
      <c r="G653" s="41" t="n">
        <v>86</v>
      </c>
      <c r="H653" s="1" t="s">
        <v>630</v>
      </c>
    </row>
    <row r="654" customFormat="false" ht="15" hidden="false" customHeight="true" outlineLevel="0" collapsed="false">
      <c r="A654" s="1" t="s">
        <v>612</v>
      </c>
      <c r="B654" s="1" t="s">
        <v>495</v>
      </c>
      <c r="C654" s="1" t="s">
        <v>502</v>
      </c>
      <c r="D654" s="1" t="s">
        <v>271</v>
      </c>
      <c r="E654" s="73" t="n">
        <v>0</v>
      </c>
      <c r="F654" s="41" t="n">
        <v>0</v>
      </c>
      <c r="G654" s="41" t="n">
        <v>0</v>
      </c>
      <c r="H654" s="1" t="s">
        <v>503</v>
      </c>
    </row>
    <row r="655" customFormat="false" ht="15" hidden="false" customHeight="true" outlineLevel="0" collapsed="false">
      <c r="A655" s="1" t="s">
        <v>612</v>
      </c>
      <c r="B655" s="1" t="s">
        <v>495</v>
      </c>
      <c r="C655" s="1" t="s">
        <v>500</v>
      </c>
      <c r="D655" s="1" t="s">
        <v>275</v>
      </c>
      <c r="E655" s="73" t="n">
        <v>3</v>
      </c>
      <c r="F655" s="41" t="n">
        <v>20</v>
      </c>
      <c r="G655" s="41" t="n">
        <v>60</v>
      </c>
      <c r="H655" s="1" t="s">
        <v>501</v>
      </c>
    </row>
    <row r="656" customFormat="false" ht="15" hidden="false" customHeight="true" outlineLevel="0" collapsed="false">
      <c r="A656" s="1" t="s">
        <v>612</v>
      </c>
      <c r="B656" s="1" t="s">
        <v>495</v>
      </c>
      <c r="C656" s="1" t="s">
        <v>502</v>
      </c>
      <c r="D656" s="1" t="s">
        <v>275</v>
      </c>
      <c r="E656" s="73" t="n">
        <v>1</v>
      </c>
      <c r="F656" s="41" t="n">
        <v>556.03</v>
      </c>
      <c r="G656" s="41" t="n">
        <v>556.03</v>
      </c>
      <c r="H656" s="1" t="s">
        <v>628</v>
      </c>
    </row>
    <row r="657" customFormat="false" ht="15" hidden="false" customHeight="true" outlineLevel="0" collapsed="false">
      <c r="A657" s="1" t="s">
        <v>612</v>
      </c>
      <c r="B657" s="1" t="s">
        <v>495</v>
      </c>
      <c r="C657" s="1" t="s">
        <v>502</v>
      </c>
      <c r="D657" s="1" t="s">
        <v>275</v>
      </c>
      <c r="E657" s="73" t="n">
        <v>1</v>
      </c>
      <c r="F657" s="41" t="n">
        <v>447.78</v>
      </c>
      <c r="G657" s="41" t="n">
        <v>447.78</v>
      </c>
      <c r="H657" s="1" t="s">
        <v>630</v>
      </c>
    </row>
    <row r="658" customFormat="false" ht="15" hidden="false" customHeight="true" outlineLevel="0" collapsed="false">
      <c r="A658" s="1" t="s">
        <v>612</v>
      </c>
      <c r="B658" s="1" t="s">
        <v>495</v>
      </c>
      <c r="C658" s="1" t="s">
        <v>504</v>
      </c>
      <c r="D658" s="1" t="s">
        <v>275</v>
      </c>
      <c r="E658" s="73" t="n">
        <v>0</v>
      </c>
      <c r="F658" s="41" t="n">
        <v>0</v>
      </c>
      <c r="G658" s="41" t="n">
        <v>0</v>
      </c>
      <c r="H658" s="1" t="s">
        <v>505</v>
      </c>
    </row>
    <row r="659" customFormat="false" ht="15" hidden="false" customHeight="true" outlineLevel="0" collapsed="false">
      <c r="A659" s="1" t="s">
        <v>612</v>
      </c>
      <c r="B659" s="1" t="s">
        <v>495</v>
      </c>
      <c r="C659" s="1" t="s">
        <v>496</v>
      </c>
      <c r="D659" s="1" t="s">
        <v>272</v>
      </c>
      <c r="E659" s="73" t="n">
        <v>0</v>
      </c>
      <c r="F659" s="41" t="n">
        <v>0</v>
      </c>
      <c r="G659" s="41" t="n">
        <v>0</v>
      </c>
      <c r="H659" s="1" t="s">
        <v>506</v>
      </c>
    </row>
    <row r="660" customFormat="false" ht="15" hidden="false" customHeight="true" outlineLevel="0" collapsed="false">
      <c r="A660" s="1" t="s">
        <v>612</v>
      </c>
      <c r="B660" s="1" t="s">
        <v>495</v>
      </c>
      <c r="C660" s="1" t="s">
        <v>498</v>
      </c>
      <c r="D660" s="1" t="s">
        <v>272</v>
      </c>
      <c r="E660" s="73" t="n">
        <v>0</v>
      </c>
      <c r="F660" s="41" t="n">
        <v>0</v>
      </c>
      <c r="G660" s="41" t="n">
        <v>0</v>
      </c>
      <c r="H660" s="1" t="s">
        <v>507</v>
      </c>
    </row>
    <row r="661" customFormat="false" ht="15" hidden="false" customHeight="true" outlineLevel="0" collapsed="false">
      <c r="A661" s="1" t="s">
        <v>612</v>
      </c>
      <c r="B661" s="1" t="s">
        <v>495</v>
      </c>
      <c r="C661" s="1" t="s">
        <v>508</v>
      </c>
      <c r="D661" s="1" t="s">
        <v>272</v>
      </c>
      <c r="E661" s="73" t="n">
        <v>0</v>
      </c>
      <c r="F661" s="41" t="n">
        <v>0</v>
      </c>
      <c r="G661" s="41" t="n">
        <v>0</v>
      </c>
      <c r="H661" s="1" t="s">
        <v>628</v>
      </c>
    </row>
    <row r="662" customFormat="false" ht="15" hidden="false" customHeight="true" outlineLevel="0" collapsed="false">
      <c r="A662" s="1" t="s">
        <v>612</v>
      </c>
      <c r="B662" s="1" t="s">
        <v>495</v>
      </c>
      <c r="C662" s="1" t="s">
        <v>508</v>
      </c>
      <c r="D662" s="1" t="s">
        <v>272</v>
      </c>
      <c r="E662" s="73" t="n">
        <v>1</v>
      </c>
      <c r="F662" s="41" t="n">
        <v>1150</v>
      </c>
      <c r="G662" s="41" t="n">
        <v>1150</v>
      </c>
      <c r="H662" s="1" t="s">
        <v>630</v>
      </c>
    </row>
    <row r="663" customFormat="false" ht="15" hidden="false" customHeight="true" outlineLevel="0" collapsed="false">
      <c r="A663" s="1" t="s">
        <v>612</v>
      </c>
      <c r="B663" s="1" t="s">
        <v>495</v>
      </c>
      <c r="C663" s="1" t="s">
        <v>500</v>
      </c>
      <c r="D663" s="1" t="s">
        <v>272</v>
      </c>
      <c r="E663" s="73" t="n">
        <v>13</v>
      </c>
      <c r="F663" s="41" t="n">
        <v>20</v>
      </c>
      <c r="G663" s="41" t="n">
        <v>260</v>
      </c>
      <c r="H663" s="1" t="s">
        <v>501</v>
      </c>
    </row>
    <row r="664" customFormat="false" ht="15" hidden="false" customHeight="true" outlineLevel="0" collapsed="false">
      <c r="A664" s="1" t="s">
        <v>612</v>
      </c>
      <c r="B664" s="1" t="s">
        <v>495</v>
      </c>
      <c r="C664" s="1" t="s">
        <v>502</v>
      </c>
      <c r="D664" s="1" t="s">
        <v>272</v>
      </c>
      <c r="E664" s="73" t="n">
        <v>0</v>
      </c>
      <c r="F664" s="41" t="n">
        <v>0</v>
      </c>
      <c r="G664" s="41" t="n">
        <v>0</v>
      </c>
      <c r="H664" s="1" t="s">
        <v>503</v>
      </c>
    </row>
    <row r="665" customFormat="false" ht="15" hidden="false" customHeight="true" outlineLevel="0" collapsed="false">
      <c r="A665" s="1" t="s">
        <v>612</v>
      </c>
      <c r="B665" s="1" t="s">
        <v>495</v>
      </c>
      <c r="C665" s="1" t="s">
        <v>504</v>
      </c>
      <c r="D665" s="1" t="s">
        <v>272</v>
      </c>
      <c r="E665" s="73" t="n">
        <v>0</v>
      </c>
      <c r="F665" s="41" t="n">
        <v>0</v>
      </c>
      <c r="G665" s="41" t="n">
        <v>0</v>
      </c>
      <c r="H665" s="1" t="s">
        <v>628</v>
      </c>
    </row>
    <row r="666" customFormat="false" ht="15" hidden="false" customHeight="true" outlineLevel="0" collapsed="false">
      <c r="A666" s="1" t="s">
        <v>612</v>
      </c>
      <c r="B666" s="1" t="s">
        <v>495</v>
      </c>
      <c r="C666" s="1" t="s">
        <v>504</v>
      </c>
      <c r="D666" s="1" t="s">
        <v>272</v>
      </c>
      <c r="E666" s="73" t="n">
        <v>1</v>
      </c>
      <c r="F666" s="41" t="n">
        <v>475.21</v>
      </c>
      <c r="G666" s="41" t="n">
        <v>475.21</v>
      </c>
      <c r="H666" s="1" t="s">
        <v>630</v>
      </c>
    </row>
    <row r="667" customFormat="false" ht="15" hidden="false" customHeight="true" outlineLevel="0" collapsed="false">
      <c r="A667" s="1" t="s">
        <v>612</v>
      </c>
      <c r="B667" s="1" t="s">
        <v>495</v>
      </c>
      <c r="C667" s="1" t="s">
        <v>627</v>
      </c>
      <c r="D667" s="1" t="s">
        <v>266</v>
      </c>
      <c r="E667" s="73" t="n">
        <v>1</v>
      </c>
      <c r="F667" s="41" t="n">
        <v>132</v>
      </c>
      <c r="G667" s="41" t="n">
        <v>132</v>
      </c>
      <c r="H667" s="1" t="s">
        <v>628</v>
      </c>
    </row>
    <row r="668" customFormat="false" ht="15" hidden="false" customHeight="true" outlineLevel="0" collapsed="false">
      <c r="A668" s="1" t="s">
        <v>612</v>
      </c>
      <c r="B668" s="1" t="s">
        <v>495</v>
      </c>
      <c r="C668" s="1" t="s">
        <v>500</v>
      </c>
      <c r="D668" s="1" t="s">
        <v>266</v>
      </c>
      <c r="E668" s="73" t="n">
        <v>19</v>
      </c>
      <c r="F668" s="41" t="n">
        <v>20</v>
      </c>
      <c r="G668" s="41" t="n">
        <v>380</v>
      </c>
      <c r="H668" s="1" t="s">
        <v>501</v>
      </c>
    </row>
    <row r="669" customFormat="false" ht="15" hidden="false" customHeight="true" outlineLevel="0" collapsed="false">
      <c r="A669" s="1" t="s">
        <v>612</v>
      </c>
      <c r="B669" s="1" t="s">
        <v>495</v>
      </c>
      <c r="C669" s="1" t="s">
        <v>502</v>
      </c>
      <c r="D669" s="1" t="s">
        <v>266</v>
      </c>
      <c r="E669" s="73" t="n">
        <v>1</v>
      </c>
      <c r="F669" s="41" t="n">
        <v>1035.78</v>
      </c>
      <c r="G669" s="41" t="n">
        <v>1035.78</v>
      </c>
      <c r="H669" s="1" t="s">
        <v>628</v>
      </c>
    </row>
    <row r="670" customFormat="false" ht="15" hidden="false" customHeight="true" outlineLevel="0" collapsed="false">
      <c r="A670" s="1" t="s">
        <v>612</v>
      </c>
      <c r="B670" s="1" t="s">
        <v>495</v>
      </c>
      <c r="C670" s="1" t="s">
        <v>502</v>
      </c>
      <c r="D670" s="1" t="s">
        <v>266</v>
      </c>
      <c r="E670" s="73" t="n">
        <v>1</v>
      </c>
      <c r="F670" s="41" t="n">
        <v>1381.14</v>
      </c>
      <c r="G670" s="41" t="n">
        <v>1381.14</v>
      </c>
      <c r="H670" s="1" t="s">
        <v>630</v>
      </c>
    </row>
    <row r="671" customFormat="false" ht="15" hidden="false" customHeight="true" outlineLevel="0" collapsed="false">
      <c r="A671" s="1" t="s">
        <v>612</v>
      </c>
      <c r="B671" s="1" t="s">
        <v>495</v>
      </c>
      <c r="C671" s="1" t="s">
        <v>509</v>
      </c>
      <c r="D671" s="1" t="s">
        <v>266</v>
      </c>
      <c r="E671" s="73" t="n">
        <v>0</v>
      </c>
      <c r="F671" s="41" t="n">
        <v>0</v>
      </c>
      <c r="G671" s="41" t="n">
        <v>0</v>
      </c>
      <c r="H671" s="1" t="s">
        <v>628</v>
      </c>
    </row>
    <row r="672" customFormat="false" ht="15" hidden="false" customHeight="true" outlineLevel="0" collapsed="false">
      <c r="A672" s="1" t="s">
        <v>612</v>
      </c>
      <c r="B672" s="1" t="s">
        <v>495</v>
      </c>
      <c r="C672" s="1" t="s">
        <v>509</v>
      </c>
      <c r="D672" s="1" t="s">
        <v>266</v>
      </c>
      <c r="E672" s="73" t="n">
        <v>1</v>
      </c>
      <c r="F672" s="41" t="n">
        <v>264</v>
      </c>
      <c r="G672" s="41" t="n">
        <v>264</v>
      </c>
      <c r="H672" s="1" t="s">
        <v>630</v>
      </c>
    </row>
    <row r="673" customFormat="false" ht="15" hidden="false" customHeight="true" outlineLevel="0" collapsed="false">
      <c r="A673" s="1" t="s">
        <v>612</v>
      </c>
      <c r="B673" s="1" t="s">
        <v>495</v>
      </c>
      <c r="C673" s="1" t="s">
        <v>508</v>
      </c>
      <c r="D673" s="1" t="s">
        <v>267</v>
      </c>
      <c r="E673" s="73" t="n">
        <v>0</v>
      </c>
      <c r="F673" s="41" t="n">
        <v>0</v>
      </c>
      <c r="G673" s="41" t="n">
        <v>0</v>
      </c>
      <c r="H673" s="1" t="s">
        <v>510</v>
      </c>
    </row>
    <row r="674" customFormat="false" ht="15" hidden="false" customHeight="true" outlineLevel="0" collapsed="false">
      <c r="A674" s="1" t="s">
        <v>612</v>
      </c>
      <c r="B674" s="1" t="s">
        <v>495</v>
      </c>
      <c r="C674" s="1" t="s">
        <v>500</v>
      </c>
      <c r="D674" s="1" t="s">
        <v>267</v>
      </c>
      <c r="E674" s="73" t="n">
        <v>4</v>
      </c>
      <c r="F674" s="41" t="n">
        <v>20</v>
      </c>
      <c r="G674" s="41" t="n">
        <v>80</v>
      </c>
      <c r="H674" s="1" t="s">
        <v>501</v>
      </c>
    </row>
    <row r="675" customFormat="false" ht="15" hidden="false" customHeight="true" outlineLevel="0" collapsed="false">
      <c r="A675" s="1" t="s">
        <v>612</v>
      </c>
      <c r="B675" s="1" t="s">
        <v>495</v>
      </c>
      <c r="C675" s="1" t="s">
        <v>502</v>
      </c>
      <c r="D675" s="1" t="s">
        <v>267</v>
      </c>
      <c r="E675" s="73" t="n">
        <v>0</v>
      </c>
      <c r="F675" s="41" t="n">
        <v>0</v>
      </c>
      <c r="G675" s="41" t="n">
        <v>0</v>
      </c>
      <c r="H675" s="1" t="s">
        <v>503</v>
      </c>
    </row>
    <row r="676" customFormat="false" ht="15" hidden="false" customHeight="true" outlineLevel="0" collapsed="false">
      <c r="A676" s="1" t="s">
        <v>612</v>
      </c>
      <c r="B676" s="1" t="s">
        <v>495</v>
      </c>
      <c r="C676" s="1" t="s">
        <v>509</v>
      </c>
      <c r="D676" s="1" t="s">
        <v>267</v>
      </c>
      <c r="E676" s="73" t="n">
        <v>0</v>
      </c>
      <c r="F676" s="41" t="n">
        <v>0</v>
      </c>
      <c r="G676" s="41" t="n">
        <v>0</v>
      </c>
      <c r="H676" s="1" t="s">
        <v>505</v>
      </c>
    </row>
    <row r="677" customFormat="false" ht="15" hidden="false" customHeight="true" outlineLevel="0" collapsed="false">
      <c r="A677" s="1" t="s">
        <v>612</v>
      </c>
      <c r="B677" s="1" t="s">
        <v>495</v>
      </c>
      <c r="C677" s="1" t="s">
        <v>496</v>
      </c>
      <c r="D677" s="1" t="s">
        <v>264</v>
      </c>
      <c r="E677" s="73" t="n">
        <v>0</v>
      </c>
      <c r="F677" s="41" t="n">
        <v>0</v>
      </c>
      <c r="G677" s="41" t="n">
        <v>0</v>
      </c>
      <c r="H677" s="1" t="s">
        <v>511</v>
      </c>
    </row>
    <row r="678" customFormat="false" ht="15" hidden="false" customHeight="true" outlineLevel="0" collapsed="false">
      <c r="A678" s="1" t="s">
        <v>612</v>
      </c>
      <c r="B678" s="1" t="s">
        <v>495</v>
      </c>
      <c r="C678" s="1" t="s">
        <v>500</v>
      </c>
      <c r="D678" s="1" t="s">
        <v>264</v>
      </c>
      <c r="E678" s="73" t="n">
        <v>8</v>
      </c>
      <c r="F678" s="41" t="n">
        <v>20</v>
      </c>
      <c r="G678" s="41" t="n">
        <v>160</v>
      </c>
      <c r="H678" s="1" t="s">
        <v>501</v>
      </c>
    </row>
    <row r="679" customFormat="false" ht="15" hidden="false" customHeight="true" outlineLevel="0" collapsed="false">
      <c r="A679" s="1" t="s">
        <v>612</v>
      </c>
      <c r="B679" s="1" t="s">
        <v>495</v>
      </c>
      <c r="C679" s="1" t="s">
        <v>502</v>
      </c>
      <c r="D679" s="1" t="s">
        <v>264</v>
      </c>
      <c r="E679" s="73" t="n">
        <v>1</v>
      </c>
      <c r="F679" s="41" t="n">
        <v>1209.07</v>
      </c>
      <c r="G679" s="41" t="n">
        <v>1209.07</v>
      </c>
      <c r="H679" s="1" t="s">
        <v>628</v>
      </c>
    </row>
    <row r="680" customFormat="false" ht="15" hidden="false" customHeight="true" outlineLevel="0" collapsed="false">
      <c r="A680" s="1" t="s">
        <v>612</v>
      </c>
      <c r="B680" s="1" t="s">
        <v>495</v>
      </c>
      <c r="C680" s="1" t="s">
        <v>502</v>
      </c>
      <c r="D680" s="1" t="s">
        <v>264</v>
      </c>
      <c r="E680" s="73" t="n">
        <v>1</v>
      </c>
      <c r="F680" s="41" t="n">
        <v>497.22</v>
      </c>
      <c r="G680" s="41" t="n">
        <v>497.22</v>
      </c>
      <c r="H680" s="1" t="s">
        <v>630</v>
      </c>
    </row>
    <row r="681" customFormat="false" ht="15" hidden="false" customHeight="true" outlineLevel="0" collapsed="false">
      <c r="A681" s="1" t="s">
        <v>612</v>
      </c>
      <c r="B681" s="1" t="s">
        <v>495</v>
      </c>
      <c r="C681" s="1" t="s">
        <v>504</v>
      </c>
      <c r="D681" s="1" t="s">
        <v>264</v>
      </c>
      <c r="E681" s="73" t="n">
        <v>1</v>
      </c>
      <c r="F681" s="41" t="n">
        <v>230.72</v>
      </c>
      <c r="G681" s="41" t="n">
        <v>230.72</v>
      </c>
      <c r="H681" s="1" t="s">
        <v>628</v>
      </c>
    </row>
    <row r="682" customFormat="false" ht="15" hidden="false" customHeight="true" outlineLevel="0" collapsed="false">
      <c r="A682" s="1" t="s">
        <v>612</v>
      </c>
      <c r="B682" s="1" t="s">
        <v>495</v>
      </c>
      <c r="C682" s="1" t="s">
        <v>504</v>
      </c>
      <c r="D682" s="1" t="s">
        <v>264</v>
      </c>
      <c r="E682" s="73" t="n">
        <v>1</v>
      </c>
      <c r="F682" s="41" t="n">
        <v>381.6</v>
      </c>
      <c r="G682" s="41" t="n">
        <v>381.6</v>
      </c>
      <c r="H682" s="1" t="s">
        <v>630</v>
      </c>
    </row>
    <row r="683" customFormat="false" ht="15" hidden="false" customHeight="true" outlineLevel="0" collapsed="false">
      <c r="A683" s="1" t="s">
        <v>612</v>
      </c>
      <c r="B683" s="1" t="s">
        <v>512</v>
      </c>
      <c r="C683" s="1" t="s">
        <v>631</v>
      </c>
      <c r="D683" s="1" t="s">
        <v>269</v>
      </c>
      <c r="E683" s="73" t="n">
        <v>0</v>
      </c>
      <c r="F683" s="41" t="n">
        <v>0</v>
      </c>
      <c r="G683" s="41" t="n">
        <v>0</v>
      </c>
      <c r="H683" s="1" t="s">
        <v>516</v>
      </c>
    </row>
    <row r="684" customFormat="false" ht="15" hidden="false" customHeight="true" outlineLevel="0" collapsed="false">
      <c r="A684" s="1" t="s">
        <v>612</v>
      </c>
      <c r="B684" s="1" t="s">
        <v>512</v>
      </c>
      <c r="C684" s="1" t="s">
        <v>513</v>
      </c>
      <c r="D684" s="1" t="s">
        <v>269</v>
      </c>
      <c r="E684" s="73" t="n">
        <v>0</v>
      </c>
      <c r="F684" s="41" t="n">
        <v>0</v>
      </c>
      <c r="G684" s="41" t="n">
        <v>0</v>
      </c>
      <c r="H684" s="1" t="s">
        <v>514</v>
      </c>
    </row>
    <row r="685" customFormat="false" ht="15" hidden="false" customHeight="true" outlineLevel="0" collapsed="false">
      <c r="A685" s="1" t="s">
        <v>612</v>
      </c>
      <c r="B685" s="1" t="s">
        <v>512</v>
      </c>
      <c r="C685" s="1" t="s">
        <v>517</v>
      </c>
      <c r="D685" s="1" t="s">
        <v>269</v>
      </c>
      <c r="E685" s="73" t="n">
        <v>0</v>
      </c>
      <c r="F685" s="41" t="n">
        <v>0</v>
      </c>
      <c r="G685" s="41" t="n">
        <v>0</v>
      </c>
      <c r="H685" s="1" t="s">
        <v>518</v>
      </c>
    </row>
    <row r="686" customFormat="false" ht="15" hidden="false" customHeight="true" outlineLevel="0" collapsed="false">
      <c r="A686" s="1" t="s">
        <v>612</v>
      </c>
      <c r="B686" s="1" t="s">
        <v>512</v>
      </c>
      <c r="C686" s="1" t="s">
        <v>632</v>
      </c>
      <c r="D686" s="1" t="s">
        <v>269</v>
      </c>
      <c r="E686" s="73" t="n">
        <v>0</v>
      </c>
      <c r="F686" s="41" t="n">
        <v>0</v>
      </c>
      <c r="G686" s="41" t="n">
        <v>0</v>
      </c>
      <c r="H686" s="1" t="s">
        <v>520</v>
      </c>
    </row>
    <row r="687" customFormat="false" ht="15" hidden="false" customHeight="true" outlineLevel="0" collapsed="false">
      <c r="A687" s="1" t="s">
        <v>612</v>
      </c>
      <c r="B687" s="1" t="s">
        <v>512</v>
      </c>
      <c r="C687" s="1" t="s">
        <v>521</v>
      </c>
      <c r="D687" s="1" t="s">
        <v>271</v>
      </c>
      <c r="E687" s="73" t="n">
        <v>0</v>
      </c>
      <c r="F687" s="41" t="n">
        <v>0</v>
      </c>
      <c r="G687" s="41" t="n">
        <v>0</v>
      </c>
      <c r="H687" s="1" t="s">
        <v>522</v>
      </c>
    </row>
    <row r="688" customFormat="false" ht="15" hidden="false" customHeight="true" outlineLevel="0" collapsed="false">
      <c r="A688" s="1" t="s">
        <v>612</v>
      </c>
      <c r="B688" s="1" t="s">
        <v>512</v>
      </c>
      <c r="C688" s="1" t="s">
        <v>523</v>
      </c>
      <c r="D688" s="1" t="s">
        <v>271</v>
      </c>
      <c r="E688" s="73" t="n">
        <v>0</v>
      </c>
      <c r="F688" s="41" t="n">
        <v>0</v>
      </c>
      <c r="G688" s="41" t="n">
        <v>0</v>
      </c>
      <c r="H688" s="1" t="s">
        <v>524</v>
      </c>
    </row>
    <row r="689" customFormat="false" ht="15" hidden="false" customHeight="true" outlineLevel="0" collapsed="false">
      <c r="A689" s="1" t="s">
        <v>612</v>
      </c>
      <c r="B689" s="1" t="s">
        <v>512</v>
      </c>
      <c r="C689" s="1" t="s">
        <v>525</v>
      </c>
      <c r="D689" s="1" t="s">
        <v>275</v>
      </c>
      <c r="E689" s="73" t="n">
        <v>0</v>
      </c>
      <c r="F689" s="41" t="n">
        <v>0</v>
      </c>
      <c r="G689" s="41" t="n">
        <v>0</v>
      </c>
      <c r="H689" s="1" t="s">
        <v>526</v>
      </c>
    </row>
    <row r="690" customFormat="false" ht="15" hidden="false" customHeight="true" outlineLevel="0" collapsed="false">
      <c r="A690" s="1" t="s">
        <v>612</v>
      </c>
      <c r="B690" s="1" t="s">
        <v>512</v>
      </c>
      <c r="C690" s="1" t="s">
        <v>527</v>
      </c>
      <c r="D690" s="1" t="s">
        <v>275</v>
      </c>
      <c r="E690" s="73" t="n">
        <v>0</v>
      </c>
      <c r="F690" s="41" t="n">
        <v>0</v>
      </c>
      <c r="G690" s="41" t="n">
        <v>0</v>
      </c>
      <c r="H690" s="1" t="s">
        <v>528</v>
      </c>
    </row>
    <row r="691" customFormat="false" ht="15" hidden="false" customHeight="true" outlineLevel="0" collapsed="false">
      <c r="A691" s="1" t="s">
        <v>612</v>
      </c>
      <c r="B691" s="1" t="s">
        <v>512</v>
      </c>
      <c r="C691" s="1" t="s">
        <v>529</v>
      </c>
      <c r="D691" s="1" t="s">
        <v>275</v>
      </c>
      <c r="E691" s="73" t="n">
        <v>0</v>
      </c>
      <c r="F691" s="41" t="n">
        <v>0</v>
      </c>
      <c r="G691" s="41" t="n">
        <v>0</v>
      </c>
      <c r="H691" s="1" t="s">
        <v>522</v>
      </c>
    </row>
    <row r="692" customFormat="false" ht="15" hidden="false" customHeight="true" outlineLevel="0" collapsed="false">
      <c r="A692" s="1" t="s">
        <v>612</v>
      </c>
      <c r="B692" s="1" t="s">
        <v>512</v>
      </c>
      <c r="C692" s="1" t="s">
        <v>530</v>
      </c>
      <c r="D692" s="1" t="s">
        <v>275</v>
      </c>
      <c r="E692" s="73" t="n">
        <v>0</v>
      </c>
      <c r="F692" s="41" t="n">
        <v>0</v>
      </c>
      <c r="G692" s="41" t="n">
        <v>0</v>
      </c>
      <c r="H692" s="1" t="s">
        <v>531</v>
      </c>
    </row>
    <row r="693" customFormat="false" ht="15" hidden="false" customHeight="true" outlineLevel="0" collapsed="false">
      <c r="A693" s="1" t="s">
        <v>612</v>
      </c>
      <c r="B693" s="1" t="s">
        <v>512</v>
      </c>
      <c r="C693" s="1" t="s">
        <v>532</v>
      </c>
      <c r="D693" s="1" t="s">
        <v>275</v>
      </c>
      <c r="E693" s="73" t="n">
        <v>0</v>
      </c>
      <c r="F693" s="41" t="n">
        <v>0</v>
      </c>
      <c r="G693" s="41" t="n">
        <v>0</v>
      </c>
      <c r="H693" s="1" t="s">
        <v>531</v>
      </c>
    </row>
    <row r="694" customFormat="false" ht="15" hidden="false" customHeight="true" outlineLevel="0" collapsed="false">
      <c r="A694" s="1" t="s">
        <v>612</v>
      </c>
      <c r="B694" s="1" t="s">
        <v>512</v>
      </c>
      <c r="C694" s="1" t="s">
        <v>533</v>
      </c>
      <c r="D694" s="1" t="s">
        <v>275</v>
      </c>
      <c r="E694" s="73" t="n">
        <v>1</v>
      </c>
      <c r="F694" s="41" t="n">
        <v>3430.14</v>
      </c>
      <c r="G694" s="41" t="n">
        <v>3430.14</v>
      </c>
      <c r="H694" s="1" t="s">
        <v>534</v>
      </c>
    </row>
    <row r="695" customFormat="false" ht="15" hidden="false" customHeight="true" outlineLevel="0" collapsed="false">
      <c r="A695" s="1" t="s">
        <v>612</v>
      </c>
      <c r="B695" s="1" t="s">
        <v>512</v>
      </c>
      <c r="C695" s="1" t="s">
        <v>535</v>
      </c>
      <c r="D695" s="1" t="s">
        <v>272</v>
      </c>
      <c r="E695" s="73" t="n">
        <v>0</v>
      </c>
      <c r="F695" s="41" t="n">
        <v>0</v>
      </c>
      <c r="G695" s="41" t="n">
        <v>0</v>
      </c>
      <c r="H695" s="1" t="s">
        <v>522</v>
      </c>
    </row>
    <row r="696" customFormat="false" ht="15" hidden="false" customHeight="true" outlineLevel="0" collapsed="false">
      <c r="A696" s="1" t="s">
        <v>612</v>
      </c>
      <c r="B696" s="1" t="s">
        <v>512</v>
      </c>
      <c r="C696" s="1" t="s">
        <v>536</v>
      </c>
      <c r="D696" s="1" t="s">
        <v>272</v>
      </c>
      <c r="E696" s="73" t="n">
        <v>0</v>
      </c>
      <c r="F696" s="41" t="n">
        <v>0</v>
      </c>
      <c r="G696" s="41" t="n">
        <v>0</v>
      </c>
      <c r="H696" s="1" t="s">
        <v>537</v>
      </c>
    </row>
    <row r="697" customFormat="false" ht="15" hidden="false" customHeight="true" outlineLevel="0" collapsed="false">
      <c r="A697" s="1" t="s">
        <v>612</v>
      </c>
      <c r="B697" s="1" t="s">
        <v>512</v>
      </c>
      <c r="C697" s="1" t="s">
        <v>538</v>
      </c>
      <c r="D697" s="1" t="s">
        <v>266</v>
      </c>
      <c r="E697" s="73" t="n">
        <v>0</v>
      </c>
      <c r="F697" s="41" t="n">
        <v>0</v>
      </c>
      <c r="G697" s="41" t="n">
        <v>0</v>
      </c>
      <c r="H697" s="1" t="s">
        <v>539</v>
      </c>
    </row>
    <row r="698" customFormat="false" ht="15" hidden="false" customHeight="true" outlineLevel="0" collapsed="false">
      <c r="A698" s="1" t="s">
        <v>612</v>
      </c>
      <c r="B698" s="1" t="s">
        <v>512</v>
      </c>
      <c r="C698" s="1" t="s">
        <v>540</v>
      </c>
      <c r="D698" s="1" t="s">
        <v>266</v>
      </c>
      <c r="E698" s="73" t="n">
        <v>0</v>
      </c>
      <c r="F698" s="41" t="n">
        <v>0</v>
      </c>
      <c r="G698" s="41" t="n">
        <v>0</v>
      </c>
      <c r="H698" s="1" t="s">
        <v>514</v>
      </c>
    </row>
    <row r="699" customFormat="false" ht="15" hidden="false" customHeight="true" outlineLevel="0" collapsed="false">
      <c r="A699" s="1" t="s">
        <v>612</v>
      </c>
      <c r="B699" s="1" t="s">
        <v>512</v>
      </c>
      <c r="C699" s="1" t="s">
        <v>541</v>
      </c>
      <c r="D699" s="1" t="s">
        <v>266</v>
      </c>
      <c r="E699" s="73" t="n">
        <v>0</v>
      </c>
      <c r="F699" s="41" t="n">
        <v>0</v>
      </c>
      <c r="G699" s="41" t="n">
        <v>0</v>
      </c>
      <c r="H699" s="1" t="s">
        <v>518</v>
      </c>
    </row>
    <row r="700" customFormat="false" ht="15" hidden="false" customHeight="true" outlineLevel="0" collapsed="false">
      <c r="A700" s="1" t="s">
        <v>612</v>
      </c>
      <c r="B700" s="1" t="s">
        <v>512</v>
      </c>
      <c r="C700" s="1" t="s">
        <v>542</v>
      </c>
      <c r="D700" s="1" t="s">
        <v>266</v>
      </c>
      <c r="E700" s="73" t="n">
        <v>0</v>
      </c>
      <c r="F700" s="41" t="n">
        <v>0</v>
      </c>
      <c r="G700" s="41" t="n">
        <v>0</v>
      </c>
      <c r="H700" s="1" t="s">
        <v>524</v>
      </c>
    </row>
    <row r="701" customFormat="false" ht="15" hidden="false" customHeight="true" outlineLevel="0" collapsed="false">
      <c r="A701" s="1" t="s">
        <v>612</v>
      </c>
      <c r="B701" s="1" t="s">
        <v>512</v>
      </c>
      <c r="C701" s="1" t="s">
        <v>538</v>
      </c>
      <c r="D701" s="1" t="s">
        <v>267</v>
      </c>
      <c r="E701" s="73" t="n">
        <v>0</v>
      </c>
      <c r="F701" s="41" t="n">
        <v>0</v>
      </c>
      <c r="G701" s="41" t="n">
        <v>0</v>
      </c>
      <c r="H701" s="1" t="s">
        <v>522</v>
      </c>
    </row>
    <row r="702" customFormat="false" ht="15" hidden="false" customHeight="true" outlineLevel="0" collapsed="false">
      <c r="A702" s="1" t="s">
        <v>612</v>
      </c>
      <c r="B702" s="1" t="s">
        <v>512</v>
      </c>
      <c r="C702" s="1" t="s">
        <v>543</v>
      </c>
      <c r="D702" s="1" t="s">
        <v>267</v>
      </c>
      <c r="E702" s="73" t="n">
        <v>0</v>
      </c>
      <c r="F702" s="41" t="n">
        <v>0</v>
      </c>
      <c r="G702" s="41" t="n">
        <v>0</v>
      </c>
      <c r="H702" s="1" t="s">
        <v>522</v>
      </c>
    </row>
    <row r="703" customFormat="false" ht="15" hidden="false" customHeight="true" outlineLevel="0" collapsed="false">
      <c r="A703" s="1" t="s">
        <v>612</v>
      </c>
      <c r="B703" s="1" t="s">
        <v>512</v>
      </c>
      <c r="C703" s="1" t="s">
        <v>544</v>
      </c>
      <c r="D703" s="1" t="s">
        <v>267</v>
      </c>
      <c r="E703" s="73" t="n">
        <v>0</v>
      </c>
      <c r="F703" s="41" t="n">
        <v>0</v>
      </c>
      <c r="G703" s="41" t="n">
        <v>0</v>
      </c>
      <c r="H703" s="1" t="s">
        <v>537</v>
      </c>
    </row>
    <row r="704" customFormat="false" ht="15" hidden="false" customHeight="true" outlineLevel="0" collapsed="false">
      <c r="A704" s="1" t="s">
        <v>612</v>
      </c>
      <c r="B704" s="1" t="s">
        <v>512</v>
      </c>
      <c r="C704" s="1" t="s">
        <v>542</v>
      </c>
      <c r="D704" s="1" t="s">
        <v>267</v>
      </c>
      <c r="E704" s="73" t="n">
        <v>0</v>
      </c>
      <c r="F704" s="41" t="n">
        <v>0</v>
      </c>
      <c r="G704" s="41" t="n">
        <v>0</v>
      </c>
      <c r="H704" s="1" t="s">
        <v>545</v>
      </c>
    </row>
    <row r="705" customFormat="false" ht="15" hidden="false" customHeight="true" outlineLevel="0" collapsed="false">
      <c r="A705" s="1" t="s">
        <v>612</v>
      </c>
      <c r="B705" s="1" t="s">
        <v>512</v>
      </c>
      <c r="C705" s="1" t="s">
        <v>546</v>
      </c>
      <c r="D705" s="1" t="s">
        <v>264</v>
      </c>
      <c r="E705" s="73" t="n">
        <v>4795</v>
      </c>
      <c r="F705" s="41" t="n">
        <v>0.66</v>
      </c>
      <c r="G705" s="41" t="n">
        <v>3164.7</v>
      </c>
      <c r="H705" s="1" t="s">
        <v>402</v>
      </c>
    </row>
    <row r="706" customFormat="false" ht="15" hidden="false" customHeight="true" outlineLevel="0" collapsed="false">
      <c r="A706" s="1" t="s">
        <v>612</v>
      </c>
      <c r="B706" s="1" t="s">
        <v>512</v>
      </c>
      <c r="C706" s="1" t="s">
        <v>547</v>
      </c>
      <c r="D706" s="1" t="s">
        <v>264</v>
      </c>
      <c r="E706" s="73" t="n">
        <v>1</v>
      </c>
      <c r="F706" s="41" t="n">
        <v>2736.16</v>
      </c>
      <c r="G706" s="41" t="n">
        <v>2736.16</v>
      </c>
      <c r="H706" s="1" t="s">
        <v>522</v>
      </c>
    </row>
    <row r="707" customFormat="false" ht="15" hidden="false" customHeight="true" outlineLevel="0" collapsed="false">
      <c r="A707" s="1" t="s">
        <v>612</v>
      </c>
      <c r="B707" s="1" t="s">
        <v>512</v>
      </c>
      <c r="C707" s="1" t="s">
        <v>548</v>
      </c>
      <c r="D707" s="1" t="s">
        <v>264</v>
      </c>
      <c r="E707" s="73" t="n">
        <v>0</v>
      </c>
      <c r="F707" s="41" t="n">
        <v>0</v>
      </c>
      <c r="G707" s="41" t="n">
        <v>0</v>
      </c>
      <c r="H707" s="1" t="s">
        <v>522</v>
      </c>
    </row>
    <row r="708" customFormat="false" ht="15" hidden="false" customHeight="true" outlineLevel="0" collapsed="false">
      <c r="A708" s="1" t="s">
        <v>612</v>
      </c>
      <c r="B708" s="1" t="s">
        <v>512</v>
      </c>
      <c r="C708" s="1" t="s">
        <v>549</v>
      </c>
      <c r="D708" s="1" t="s">
        <v>264</v>
      </c>
      <c r="E708" s="73" t="n">
        <v>1</v>
      </c>
      <c r="F708" s="41" t="n">
        <v>13845.81</v>
      </c>
      <c r="G708" s="41" t="n">
        <v>13845.81</v>
      </c>
      <c r="H708" s="1" t="s">
        <v>545</v>
      </c>
    </row>
    <row r="709" customFormat="false" ht="15" hidden="false" customHeight="true" outlineLevel="0" collapsed="false">
      <c r="A709" s="1" t="s">
        <v>612</v>
      </c>
      <c r="B709" s="1" t="s">
        <v>512</v>
      </c>
      <c r="C709" s="1" t="s">
        <v>550</v>
      </c>
      <c r="D709" s="1" t="s">
        <v>264</v>
      </c>
      <c r="E709" s="73" t="n">
        <v>0</v>
      </c>
      <c r="F709" s="41" t="n">
        <v>0</v>
      </c>
      <c r="G709" s="41" t="n">
        <v>0</v>
      </c>
      <c r="H709" s="1" t="s">
        <v>537</v>
      </c>
    </row>
    <row r="710" customFormat="false" ht="15" hidden="false" customHeight="true" outlineLevel="0" collapsed="false">
      <c r="A710" s="1" t="s">
        <v>612</v>
      </c>
      <c r="B710" s="1" t="s">
        <v>551</v>
      </c>
      <c r="C710" s="1" t="s">
        <v>552</v>
      </c>
      <c r="D710" s="1" t="s">
        <v>271</v>
      </c>
      <c r="E710" s="73" t="n">
        <v>1</v>
      </c>
      <c r="F710" s="41" t="n">
        <v>238.88</v>
      </c>
      <c r="G710" s="41" t="n">
        <v>238.88</v>
      </c>
      <c r="H710" s="1" t="s">
        <v>606</v>
      </c>
    </row>
    <row r="711" customFormat="false" ht="15" hidden="false" customHeight="true" outlineLevel="0" collapsed="false">
      <c r="A711" s="1" t="s">
        <v>612</v>
      </c>
      <c r="B711" s="1" t="s">
        <v>551</v>
      </c>
      <c r="C711" s="1" t="s">
        <v>554</v>
      </c>
      <c r="D711" s="1" t="s">
        <v>271</v>
      </c>
      <c r="E711" s="73" t="n">
        <v>1</v>
      </c>
      <c r="F711" s="41" t="n">
        <v>609.17</v>
      </c>
      <c r="G711" s="41" t="n">
        <v>609.17</v>
      </c>
      <c r="H711" s="1" t="s">
        <v>606</v>
      </c>
    </row>
    <row r="712" customFormat="false" ht="15" hidden="false" customHeight="true" outlineLevel="0" collapsed="false">
      <c r="A712" s="1" t="s">
        <v>612</v>
      </c>
      <c r="B712" s="1" t="s">
        <v>551</v>
      </c>
      <c r="C712" s="1" t="s">
        <v>555</v>
      </c>
      <c r="D712" s="1" t="s">
        <v>271</v>
      </c>
      <c r="E712" s="73" t="n">
        <v>1</v>
      </c>
      <c r="F712" s="41" t="n">
        <v>510</v>
      </c>
      <c r="G712" s="41" t="n">
        <v>510</v>
      </c>
      <c r="H712" s="1" t="s">
        <v>606</v>
      </c>
    </row>
    <row r="713" customFormat="false" ht="15" hidden="false" customHeight="true" outlineLevel="0" collapsed="false">
      <c r="A713" s="1" t="s">
        <v>612</v>
      </c>
      <c r="B713" s="1" t="s">
        <v>551</v>
      </c>
      <c r="C713" s="1" t="s">
        <v>556</v>
      </c>
      <c r="D713" s="1" t="s">
        <v>271</v>
      </c>
      <c r="E713" s="73" t="n">
        <v>1</v>
      </c>
      <c r="F713" s="41" t="n">
        <v>333.1</v>
      </c>
      <c r="G713" s="41" t="n">
        <v>333.1</v>
      </c>
      <c r="H713" s="1" t="s">
        <v>606</v>
      </c>
    </row>
    <row r="714" customFormat="false" ht="15" hidden="false" customHeight="true" outlineLevel="0" collapsed="false">
      <c r="A714" s="1" t="s">
        <v>612</v>
      </c>
      <c r="B714" s="1" t="s">
        <v>551</v>
      </c>
      <c r="C714" s="1" t="s">
        <v>559</v>
      </c>
      <c r="D714" s="1" t="s">
        <v>271</v>
      </c>
      <c r="E714" s="73" t="n">
        <v>1</v>
      </c>
      <c r="F714" s="41" t="n">
        <v>2973.2</v>
      </c>
      <c r="G714" s="41" t="n">
        <v>2973.2</v>
      </c>
      <c r="H714" s="1" t="s">
        <v>606</v>
      </c>
    </row>
    <row r="715" customFormat="false" ht="15" hidden="false" customHeight="true" outlineLevel="0" collapsed="false">
      <c r="A715" s="1" t="s">
        <v>612</v>
      </c>
      <c r="B715" s="1" t="s">
        <v>551</v>
      </c>
      <c r="C715" s="1" t="s">
        <v>633</v>
      </c>
      <c r="D715" s="1" t="s">
        <v>271</v>
      </c>
      <c r="E715" s="73" t="n">
        <v>1</v>
      </c>
      <c r="F715" s="41" t="n">
        <v>1833.24</v>
      </c>
      <c r="G715" s="41" t="n">
        <v>1833.24</v>
      </c>
      <c r="H715" s="1" t="s">
        <v>606</v>
      </c>
    </row>
    <row r="716" customFormat="false" ht="15" hidden="false" customHeight="true" outlineLevel="0" collapsed="false">
      <c r="A716" s="1" t="s">
        <v>612</v>
      </c>
      <c r="B716" s="1" t="s">
        <v>551</v>
      </c>
      <c r="C716" s="1" t="s">
        <v>560</v>
      </c>
      <c r="D716" s="1" t="s">
        <v>271</v>
      </c>
      <c r="E716" s="73" t="n">
        <v>1</v>
      </c>
      <c r="F716" s="41" t="n">
        <v>7615.46</v>
      </c>
      <c r="G716" s="41" t="n">
        <v>7615.46</v>
      </c>
      <c r="H716" s="1" t="s">
        <v>606</v>
      </c>
    </row>
    <row r="717" customFormat="false" ht="15" hidden="false" customHeight="true" outlineLevel="0" collapsed="false">
      <c r="A717" s="1" t="s">
        <v>612</v>
      </c>
      <c r="B717" s="1" t="s">
        <v>551</v>
      </c>
      <c r="C717" s="1" t="s">
        <v>634</v>
      </c>
      <c r="D717" s="1" t="s">
        <v>272</v>
      </c>
      <c r="E717" s="73" t="n">
        <v>-1</v>
      </c>
      <c r="F717" s="41" t="n">
        <v>1046.56</v>
      </c>
      <c r="G717" s="41" t="n">
        <v>-1046.56</v>
      </c>
      <c r="H717" s="1" t="s">
        <v>635</v>
      </c>
    </row>
    <row r="718" customFormat="false" ht="15" hidden="false" customHeight="true" outlineLevel="0" collapsed="false">
      <c r="A718" s="1" t="s">
        <v>612</v>
      </c>
      <c r="B718" s="1" t="s">
        <v>551</v>
      </c>
      <c r="C718" s="1" t="s">
        <v>552</v>
      </c>
      <c r="D718" s="1" t="s">
        <v>272</v>
      </c>
      <c r="E718" s="73" t="n">
        <v>-1</v>
      </c>
      <c r="F718" s="41" t="n">
        <v>238.88</v>
      </c>
      <c r="G718" s="41" t="n">
        <v>-238.88</v>
      </c>
      <c r="H718" s="1" t="s">
        <v>563</v>
      </c>
    </row>
    <row r="719" customFormat="false" ht="15" hidden="false" customHeight="true" outlineLevel="0" collapsed="false">
      <c r="A719" s="1" t="s">
        <v>612</v>
      </c>
      <c r="B719" s="1" t="s">
        <v>551</v>
      </c>
      <c r="C719" s="1" t="s">
        <v>552</v>
      </c>
      <c r="D719" s="1" t="s">
        <v>272</v>
      </c>
      <c r="E719" s="73" t="n">
        <v>-1</v>
      </c>
      <c r="F719" s="41" t="n">
        <v>238.88</v>
      </c>
      <c r="G719" s="41" t="n">
        <v>-238.88</v>
      </c>
      <c r="H719" s="1" t="s">
        <v>606</v>
      </c>
    </row>
    <row r="720" customFormat="false" ht="15" hidden="false" customHeight="true" outlineLevel="0" collapsed="false">
      <c r="A720" s="1" t="s">
        <v>612</v>
      </c>
      <c r="B720" s="1" t="s">
        <v>551</v>
      </c>
      <c r="C720" s="1" t="s">
        <v>555</v>
      </c>
      <c r="D720" s="1" t="s">
        <v>264</v>
      </c>
      <c r="E720" s="73" t="n">
        <v>1</v>
      </c>
      <c r="F720" s="41" t="n">
        <v>67.33</v>
      </c>
      <c r="G720" s="41" t="n">
        <v>67.33</v>
      </c>
      <c r="H720" s="1" t="s">
        <v>565</v>
      </c>
    </row>
    <row r="721" customFormat="false" ht="15" hidden="false" customHeight="true" outlineLevel="0" collapsed="false">
      <c r="A721" s="1" t="s">
        <v>612</v>
      </c>
      <c r="B721" s="1" t="s">
        <v>551</v>
      </c>
      <c r="C721" s="1" t="s">
        <v>555</v>
      </c>
      <c r="D721" s="1" t="s">
        <v>264</v>
      </c>
      <c r="E721" s="73" t="n">
        <v>-1</v>
      </c>
      <c r="F721" s="41" t="n">
        <v>510</v>
      </c>
      <c r="G721" s="41" t="n">
        <v>-510</v>
      </c>
      <c r="H721" s="1" t="s">
        <v>606</v>
      </c>
    </row>
    <row r="722" customFormat="false" ht="15" hidden="false" customHeight="true" outlineLevel="0" collapsed="false">
      <c r="A722" s="1" t="s">
        <v>612</v>
      </c>
      <c r="B722" s="1" t="s">
        <v>47</v>
      </c>
      <c r="C722" s="1" t="s">
        <v>566</v>
      </c>
      <c r="D722" s="1" t="s">
        <v>269</v>
      </c>
      <c r="E722" s="73" t="n">
        <v>0</v>
      </c>
      <c r="F722" s="41" t="n">
        <v>0</v>
      </c>
      <c r="G722" s="41" t="n">
        <v>0</v>
      </c>
      <c r="H722" s="1" t="s">
        <v>567</v>
      </c>
    </row>
    <row r="723" customFormat="false" ht="15" hidden="false" customHeight="true" outlineLevel="0" collapsed="false">
      <c r="A723" s="1" t="s">
        <v>612</v>
      </c>
      <c r="B723" s="1" t="s">
        <v>47</v>
      </c>
      <c r="C723" s="1" t="s">
        <v>566</v>
      </c>
      <c r="D723" s="1" t="s">
        <v>271</v>
      </c>
      <c r="E723" s="73" t="n">
        <v>0</v>
      </c>
      <c r="F723" s="41" t="n">
        <v>0</v>
      </c>
      <c r="G723" s="41" t="n">
        <v>0</v>
      </c>
      <c r="H723" s="1" t="s">
        <v>568</v>
      </c>
    </row>
    <row r="724" customFormat="false" ht="15" hidden="false" customHeight="true" outlineLevel="0" collapsed="false">
      <c r="A724" s="1" t="s">
        <v>612</v>
      </c>
      <c r="B724" s="1" t="s">
        <v>47</v>
      </c>
      <c r="C724" s="1" t="s">
        <v>566</v>
      </c>
      <c r="D724" s="1" t="s">
        <v>275</v>
      </c>
      <c r="E724" s="73" t="n">
        <v>0</v>
      </c>
      <c r="F724" s="41" t="n">
        <v>0</v>
      </c>
      <c r="G724" s="41" t="n">
        <v>0</v>
      </c>
      <c r="H724" s="1" t="s">
        <v>569</v>
      </c>
    </row>
    <row r="725" customFormat="false" ht="15" hidden="false" customHeight="true" outlineLevel="0" collapsed="false">
      <c r="A725" s="1" t="s">
        <v>612</v>
      </c>
      <c r="B725" s="1" t="s">
        <v>47</v>
      </c>
      <c r="C725" s="1" t="s">
        <v>566</v>
      </c>
      <c r="D725" s="1" t="s">
        <v>272</v>
      </c>
      <c r="E725" s="73" t="n">
        <v>0</v>
      </c>
      <c r="F725" s="41" t="n">
        <v>0</v>
      </c>
      <c r="G725" s="41" t="n">
        <v>0</v>
      </c>
      <c r="H725" s="1" t="s">
        <v>570</v>
      </c>
    </row>
    <row r="726" customFormat="false" ht="15" hidden="false" customHeight="true" outlineLevel="0" collapsed="false">
      <c r="A726" s="1" t="s">
        <v>612</v>
      </c>
      <c r="B726" s="1" t="s">
        <v>47</v>
      </c>
      <c r="C726" s="1" t="s">
        <v>566</v>
      </c>
      <c r="D726" s="1" t="s">
        <v>266</v>
      </c>
      <c r="E726" s="73" t="n">
        <v>0</v>
      </c>
      <c r="F726" s="41" t="n">
        <v>0</v>
      </c>
      <c r="G726" s="41" t="n">
        <v>0</v>
      </c>
      <c r="H726" s="1" t="s">
        <v>571</v>
      </c>
    </row>
    <row r="727" customFormat="false" ht="15" hidden="false" customHeight="true" outlineLevel="0" collapsed="false">
      <c r="A727" s="1" t="s">
        <v>612</v>
      </c>
      <c r="B727" s="1" t="s">
        <v>47</v>
      </c>
      <c r="C727" s="1" t="s">
        <v>566</v>
      </c>
      <c r="D727" s="1" t="s">
        <v>267</v>
      </c>
      <c r="E727" s="73" t="n">
        <v>0</v>
      </c>
      <c r="F727" s="41" t="n">
        <v>0</v>
      </c>
      <c r="G727" s="41" t="n">
        <v>0</v>
      </c>
      <c r="H727" s="1" t="s">
        <v>569</v>
      </c>
    </row>
    <row r="728" customFormat="false" ht="15" hidden="false" customHeight="true" outlineLevel="0" collapsed="false">
      <c r="A728" s="1" t="s">
        <v>612</v>
      </c>
      <c r="B728" s="1" t="s">
        <v>47</v>
      </c>
      <c r="C728" s="1" t="s">
        <v>566</v>
      </c>
      <c r="D728" s="1" t="s">
        <v>264</v>
      </c>
      <c r="E728" s="73" t="n">
        <v>0</v>
      </c>
      <c r="F728" s="41" t="n">
        <v>0</v>
      </c>
      <c r="G728" s="41" t="n">
        <v>0</v>
      </c>
      <c r="H728" s="1" t="s">
        <v>572</v>
      </c>
    </row>
    <row r="729" customFormat="false" ht="15" hidden="false" customHeight="true" outlineLevel="0" collapsed="false">
      <c r="A729" s="1" t="s">
        <v>612</v>
      </c>
      <c r="B729" s="1" t="s">
        <v>85</v>
      </c>
      <c r="C729" s="1" t="s">
        <v>573</v>
      </c>
      <c r="D729" s="1" t="s">
        <v>257</v>
      </c>
      <c r="E729" s="73" t="n">
        <v>144</v>
      </c>
      <c r="F729" s="41" t="n">
        <v>123.13</v>
      </c>
      <c r="G729" s="41" t="n">
        <v>17730.72</v>
      </c>
      <c r="H729" s="1" t="s">
        <v>610</v>
      </c>
    </row>
    <row r="730" customFormat="false" ht="15" hidden="false" customHeight="true" outlineLevel="0" collapsed="false">
      <c r="A730" s="1" t="s">
        <v>612</v>
      </c>
      <c r="B730" s="1" t="s">
        <v>85</v>
      </c>
      <c r="C730" s="1" t="s">
        <v>573</v>
      </c>
      <c r="D730" s="1" t="s">
        <v>269</v>
      </c>
      <c r="E730" s="73" t="n">
        <v>3</v>
      </c>
      <c r="F730" s="41" t="n">
        <v>155.82</v>
      </c>
      <c r="G730" s="41" t="n">
        <v>467.46</v>
      </c>
      <c r="H730" s="1" t="s">
        <v>610</v>
      </c>
    </row>
    <row r="731" customFormat="false" ht="15" hidden="false" customHeight="true" outlineLevel="0" collapsed="false">
      <c r="A731" s="1" t="s">
        <v>612</v>
      </c>
      <c r="B731" s="1" t="s">
        <v>85</v>
      </c>
      <c r="C731" s="1" t="s">
        <v>573</v>
      </c>
      <c r="D731" s="1" t="s">
        <v>271</v>
      </c>
      <c r="E731" s="73" t="n">
        <v>18</v>
      </c>
      <c r="F731" s="41" t="n">
        <v>139.33</v>
      </c>
      <c r="G731" s="41" t="n">
        <v>2507.94</v>
      </c>
      <c r="H731" s="1" t="s">
        <v>575</v>
      </c>
    </row>
    <row r="732" customFormat="false" ht="15" hidden="false" customHeight="true" outlineLevel="0" collapsed="false">
      <c r="A732" s="1" t="s">
        <v>612</v>
      </c>
      <c r="B732" s="1" t="s">
        <v>85</v>
      </c>
      <c r="C732" s="1" t="s">
        <v>573</v>
      </c>
      <c r="D732" s="1" t="s">
        <v>275</v>
      </c>
      <c r="E732" s="73" t="n">
        <v>15</v>
      </c>
      <c r="F732" s="41" t="n">
        <v>158.22</v>
      </c>
      <c r="G732" s="41" t="n">
        <v>2373.3</v>
      </c>
      <c r="H732" s="1" t="s">
        <v>575</v>
      </c>
    </row>
    <row r="733" customFormat="false" ht="15" hidden="false" customHeight="true" outlineLevel="0" collapsed="false">
      <c r="A733" s="1" t="s">
        <v>612</v>
      </c>
      <c r="B733" s="1" t="s">
        <v>85</v>
      </c>
      <c r="C733" s="1" t="s">
        <v>573</v>
      </c>
      <c r="D733" s="1" t="s">
        <v>272</v>
      </c>
      <c r="E733" s="73" t="n">
        <v>26</v>
      </c>
      <c r="F733" s="41" t="n">
        <v>155.59</v>
      </c>
      <c r="G733" s="41" t="n">
        <v>4045.34</v>
      </c>
      <c r="H733" s="1" t="s">
        <v>575</v>
      </c>
    </row>
    <row r="734" customFormat="false" ht="15" hidden="false" customHeight="true" outlineLevel="0" collapsed="false">
      <c r="A734" s="1" t="s">
        <v>612</v>
      </c>
      <c r="B734" s="1" t="s">
        <v>85</v>
      </c>
      <c r="C734" s="1" t="s">
        <v>573</v>
      </c>
      <c r="D734" s="1" t="s">
        <v>266</v>
      </c>
      <c r="E734" s="73" t="n">
        <v>11</v>
      </c>
      <c r="F734" s="41" t="n">
        <v>106.24</v>
      </c>
      <c r="G734" s="41" t="n">
        <v>1168.64</v>
      </c>
      <c r="H734" s="1" t="s">
        <v>575</v>
      </c>
    </row>
    <row r="735" customFormat="false" ht="15" hidden="false" customHeight="true" outlineLevel="0" collapsed="false">
      <c r="A735" s="1" t="s">
        <v>612</v>
      </c>
      <c r="B735" s="1" t="s">
        <v>85</v>
      </c>
      <c r="C735" s="1" t="s">
        <v>573</v>
      </c>
      <c r="D735" s="1" t="s">
        <v>267</v>
      </c>
      <c r="E735" s="73" t="n">
        <v>2</v>
      </c>
      <c r="F735" s="41" t="n">
        <v>143.82</v>
      </c>
      <c r="G735" s="41" t="n">
        <v>287.64</v>
      </c>
      <c r="H735" s="1" t="s">
        <v>575</v>
      </c>
    </row>
    <row r="736" customFormat="false" ht="15" hidden="false" customHeight="true" outlineLevel="0" collapsed="false">
      <c r="A736" s="1" t="s">
        <v>612</v>
      </c>
      <c r="B736" s="1" t="s">
        <v>85</v>
      </c>
      <c r="C736" s="1" t="s">
        <v>573</v>
      </c>
      <c r="D736" s="1" t="s">
        <v>264</v>
      </c>
      <c r="E736" s="73" t="n">
        <v>10</v>
      </c>
      <c r="F736" s="41" t="n">
        <v>146.53</v>
      </c>
      <c r="G736" s="41" t="n">
        <v>1465.3</v>
      </c>
      <c r="H736" s="1" t="s">
        <v>575</v>
      </c>
    </row>
    <row r="737" customFormat="false" ht="15" hidden="false" customHeight="true" outlineLevel="0" collapsed="false">
      <c r="A737" s="1" t="s">
        <v>612</v>
      </c>
      <c r="B737" s="1" t="s">
        <v>85</v>
      </c>
      <c r="C737" s="1" t="s">
        <v>573</v>
      </c>
      <c r="D737" s="1" t="s">
        <v>264</v>
      </c>
      <c r="E737" s="73" t="n">
        <v>10</v>
      </c>
      <c r="F737" s="41" t="n">
        <v>122.11</v>
      </c>
      <c r="G737" s="41" t="n">
        <v>1221.1</v>
      </c>
      <c r="H737" s="1" t="s">
        <v>610</v>
      </c>
    </row>
    <row r="738" customFormat="false" ht="15" hidden="false" customHeight="true" outlineLevel="0" collapsed="false">
      <c r="A738" s="1" t="s">
        <v>612</v>
      </c>
      <c r="B738" s="1" t="s">
        <v>32</v>
      </c>
      <c r="C738" s="1" t="s">
        <v>576</v>
      </c>
      <c r="D738" s="1" t="s">
        <v>269</v>
      </c>
      <c r="E738" s="73" t="n">
        <v>0</v>
      </c>
      <c r="F738" s="41" t="n">
        <v>0</v>
      </c>
      <c r="G738" s="41" t="n">
        <v>0</v>
      </c>
      <c r="H738" s="1" t="s">
        <v>577</v>
      </c>
    </row>
    <row r="739" customFormat="false" ht="15" hidden="false" customHeight="true" outlineLevel="0" collapsed="false">
      <c r="A739" s="1" t="s">
        <v>612</v>
      </c>
      <c r="B739" s="1" t="s">
        <v>32</v>
      </c>
      <c r="C739" s="1" t="s">
        <v>578</v>
      </c>
      <c r="D739" s="1" t="s">
        <v>269</v>
      </c>
      <c r="E739" s="73" t="n">
        <v>0</v>
      </c>
      <c r="F739" s="41" t="n">
        <v>0</v>
      </c>
      <c r="G739" s="41" t="n">
        <v>0</v>
      </c>
      <c r="H739" s="1" t="s">
        <v>579</v>
      </c>
    </row>
    <row r="740" customFormat="false" ht="15" hidden="false" customHeight="true" outlineLevel="0" collapsed="false">
      <c r="A740" s="1" t="s">
        <v>612</v>
      </c>
      <c r="B740" s="1" t="s">
        <v>32</v>
      </c>
      <c r="C740" s="1" t="s">
        <v>576</v>
      </c>
      <c r="D740" s="1" t="s">
        <v>271</v>
      </c>
      <c r="E740" s="73" t="n">
        <v>0</v>
      </c>
      <c r="F740" s="41" t="n">
        <v>0</v>
      </c>
      <c r="G740" s="41" t="n">
        <v>0</v>
      </c>
      <c r="H740" s="1" t="s">
        <v>577</v>
      </c>
    </row>
    <row r="741" customFormat="false" ht="15" hidden="false" customHeight="true" outlineLevel="0" collapsed="false">
      <c r="A741" s="1" t="s">
        <v>612</v>
      </c>
      <c r="B741" s="1" t="s">
        <v>32</v>
      </c>
      <c r="C741" s="1" t="s">
        <v>576</v>
      </c>
      <c r="D741" s="1" t="s">
        <v>271</v>
      </c>
      <c r="E741" s="73" t="n">
        <v>0</v>
      </c>
      <c r="F741" s="41" t="n">
        <v>0</v>
      </c>
      <c r="G741" s="41" t="n">
        <v>0</v>
      </c>
      <c r="H741" s="1" t="s">
        <v>577</v>
      </c>
    </row>
    <row r="742" customFormat="false" ht="15" hidden="false" customHeight="true" outlineLevel="0" collapsed="false">
      <c r="A742" s="1" t="s">
        <v>612</v>
      </c>
      <c r="B742" s="1" t="s">
        <v>32</v>
      </c>
      <c r="C742" s="1" t="s">
        <v>578</v>
      </c>
      <c r="D742" s="1" t="s">
        <v>271</v>
      </c>
      <c r="E742" s="73" t="n">
        <v>0</v>
      </c>
      <c r="F742" s="41" t="n">
        <v>0</v>
      </c>
      <c r="G742" s="41" t="n">
        <v>0</v>
      </c>
      <c r="H742" s="1" t="s">
        <v>579</v>
      </c>
    </row>
    <row r="743" customFormat="false" ht="15" hidden="false" customHeight="true" outlineLevel="0" collapsed="false">
      <c r="A743" s="1" t="s">
        <v>612</v>
      </c>
      <c r="B743" s="1" t="s">
        <v>32</v>
      </c>
      <c r="C743" s="1" t="s">
        <v>576</v>
      </c>
      <c r="D743" s="1" t="s">
        <v>275</v>
      </c>
      <c r="E743" s="73" t="n">
        <v>0</v>
      </c>
      <c r="F743" s="41" t="n">
        <v>0</v>
      </c>
      <c r="G743" s="41" t="n">
        <v>0</v>
      </c>
      <c r="H743" s="1" t="s">
        <v>577</v>
      </c>
    </row>
    <row r="744" customFormat="false" ht="15" hidden="false" customHeight="true" outlineLevel="0" collapsed="false">
      <c r="A744" s="1" t="s">
        <v>612</v>
      </c>
      <c r="B744" s="1" t="s">
        <v>32</v>
      </c>
      <c r="C744" s="1" t="s">
        <v>578</v>
      </c>
      <c r="D744" s="1" t="s">
        <v>275</v>
      </c>
      <c r="E744" s="73" t="n">
        <v>0</v>
      </c>
      <c r="F744" s="41" t="n">
        <v>0</v>
      </c>
      <c r="G744" s="41" t="n">
        <v>0</v>
      </c>
      <c r="H744" s="1" t="s">
        <v>580</v>
      </c>
    </row>
    <row r="745" customFormat="false" ht="15" hidden="false" customHeight="true" outlineLevel="0" collapsed="false">
      <c r="A745" s="1" t="s">
        <v>612</v>
      </c>
      <c r="B745" s="1" t="s">
        <v>32</v>
      </c>
      <c r="C745" s="1" t="s">
        <v>576</v>
      </c>
      <c r="D745" s="1" t="s">
        <v>272</v>
      </c>
      <c r="E745" s="73" t="n">
        <v>0</v>
      </c>
      <c r="F745" s="41" t="n">
        <v>0</v>
      </c>
      <c r="G745" s="41" t="n">
        <v>0</v>
      </c>
      <c r="H745" s="1" t="s">
        <v>577</v>
      </c>
    </row>
    <row r="746" customFormat="false" ht="15" hidden="false" customHeight="true" outlineLevel="0" collapsed="false">
      <c r="A746" s="1" t="s">
        <v>612</v>
      </c>
      <c r="B746" s="1" t="s">
        <v>32</v>
      </c>
      <c r="C746" s="1" t="s">
        <v>576</v>
      </c>
      <c r="D746" s="1" t="s">
        <v>272</v>
      </c>
      <c r="E746" s="73" t="n">
        <v>0</v>
      </c>
      <c r="F746" s="41" t="n">
        <v>0</v>
      </c>
      <c r="G746" s="41" t="n">
        <v>0</v>
      </c>
      <c r="H746" s="1" t="s">
        <v>577</v>
      </c>
    </row>
    <row r="747" customFormat="false" ht="15" hidden="false" customHeight="true" outlineLevel="0" collapsed="false">
      <c r="A747" s="1" t="s">
        <v>612</v>
      </c>
      <c r="B747" s="1" t="s">
        <v>32</v>
      </c>
      <c r="C747" s="1" t="s">
        <v>576</v>
      </c>
      <c r="D747" s="1" t="s">
        <v>266</v>
      </c>
      <c r="E747" s="73" t="n">
        <v>0</v>
      </c>
      <c r="F747" s="41" t="n">
        <v>0</v>
      </c>
      <c r="G747" s="41" t="n">
        <v>0</v>
      </c>
      <c r="H747" s="1" t="s">
        <v>577</v>
      </c>
    </row>
    <row r="748" customFormat="false" ht="15" hidden="false" customHeight="true" outlineLevel="0" collapsed="false">
      <c r="A748" s="1" t="s">
        <v>612</v>
      </c>
      <c r="B748" s="1" t="s">
        <v>32</v>
      </c>
      <c r="C748" s="1" t="s">
        <v>578</v>
      </c>
      <c r="D748" s="1" t="s">
        <v>266</v>
      </c>
      <c r="E748" s="73" t="n">
        <v>0</v>
      </c>
      <c r="F748" s="41" t="n">
        <v>0</v>
      </c>
      <c r="G748" s="41" t="n">
        <v>0</v>
      </c>
      <c r="H748" s="1" t="s">
        <v>579</v>
      </c>
    </row>
    <row r="749" customFormat="false" ht="15" hidden="false" customHeight="true" outlineLevel="0" collapsed="false">
      <c r="A749" s="1" t="s">
        <v>612</v>
      </c>
      <c r="B749" s="1" t="s">
        <v>32</v>
      </c>
      <c r="C749" s="1" t="s">
        <v>576</v>
      </c>
      <c r="D749" s="1" t="s">
        <v>267</v>
      </c>
      <c r="E749" s="73" t="n">
        <v>0</v>
      </c>
      <c r="F749" s="41" t="n">
        <v>0</v>
      </c>
      <c r="G749" s="41" t="n">
        <v>0</v>
      </c>
      <c r="H749" s="1" t="s">
        <v>577</v>
      </c>
    </row>
    <row r="750" customFormat="false" ht="15" hidden="false" customHeight="true" outlineLevel="0" collapsed="false">
      <c r="A750" s="1" t="s">
        <v>612</v>
      </c>
      <c r="B750" s="1" t="s">
        <v>32</v>
      </c>
      <c r="C750" s="1" t="s">
        <v>576</v>
      </c>
      <c r="D750" s="1" t="s">
        <v>264</v>
      </c>
      <c r="E750" s="73" t="n">
        <v>0</v>
      </c>
      <c r="F750" s="41" t="n">
        <v>0</v>
      </c>
      <c r="G750" s="41" t="n">
        <v>0</v>
      </c>
      <c r="H750" s="1" t="s">
        <v>577</v>
      </c>
    </row>
    <row r="751" customFormat="false" ht="15" hidden="false" customHeight="true" outlineLevel="0" collapsed="false">
      <c r="A751" s="1" t="s">
        <v>612</v>
      </c>
      <c r="B751" s="1" t="s">
        <v>32</v>
      </c>
      <c r="C751" s="1" t="s">
        <v>578</v>
      </c>
      <c r="D751" s="1" t="s">
        <v>264</v>
      </c>
      <c r="E751" s="73" t="n">
        <v>0</v>
      </c>
      <c r="F751" s="41" t="n">
        <v>0</v>
      </c>
      <c r="G751" s="41" t="n">
        <v>0</v>
      </c>
      <c r="H751" s="1" t="s">
        <v>581</v>
      </c>
    </row>
    <row r="752" customFormat="false" ht="15" hidden="false" customHeight="true" outlineLevel="0" collapsed="false">
      <c r="A752" s="1" t="s">
        <v>612</v>
      </c>
      <c r="B752" s="1" t="s">
        <v>582</v>
      </c>
      <c r="C752" s="1" t="s">
        <v>583</v>
      </c>
      <c r="D752" s="1" t="s">
        <v>271</v>
      </c>
      <c r="E752" s="73" t="n">
        <v>13418</v>
      </c>
      <c r="F752" s="41" t="n">
        <v>3.23223677486643</v>
      </c>
      <c r="G752" s="41" t="n">
        <v>43370.1530451578</v>
      </c>
      <c r="H752" s="1" t="s">
        <v>402</v>
      </c>
    </row>
    <row r="753" customFormat="false" ht="15" hidden="false" customHeight="true" outlineLevel="0" collapsed="false">
      <c r="A753" s="1" t="s">
        <v>612</v>
      </c>
      <c r="B753" s="1" t="s">
        <v>44</v>
      </c>
      <c r="C753" s="1" t="s">
        <v>584</v>
      </c>
      <c r="D753" s="1" t="s">
        <v>269</v>
      </c>
      <c r="E753" s="73" t="n">
        <v>-1</v>
      </c>
      <c r="F753" s="41" t="n">
        <v>514.86</v>
      </c>
      <c r="G753" s="41" t="n">
        <v>-514.86</v>
      </c>
      <c r="H753" s="1" t="s">
        <v>636</v>
      </c>
    </row>
    <row r="754" customFormat="false" ht="15" hidden="false" customHeight="true" outlineLevel="0" collapsed="false">
      <c r="A754" s="1" t="s">
        <v>612</v>
      </c>
      <c r="B754" s="1" t="s">
        <v>44</v>
      </c>
      <c r="C754" s="1" t="s">
        <v>584</v>
      </c>
      <c r="D754" s="1" t="s">
        <v>271</v>
      </c>
      <c r="E754" s="73" t="n">
        <v>0</v>
      </c>
      <c r="F754" s="41" t="n">
        <v>0</v>
      </c>
      <c r="G754" s="41" t="n">
        <v>0</v>
      </c>
      <c r="H754" s="1" t="s">
        <v>637</v>
      </c>
    </row>
    <row r="755" customFormat="false" ht="15" hidden="false" customHeight="true" outlineLevel="0" collapsed="false">
      <c r="A755" s="1" t="s">
        <v>612</v>
      </c>
      <c r="B755" s="1" t="s">
        <v>44</v>
      </c>
      <c r="C755" s="1" t="s">
        <v>587</v>
      </c>
      <c r="D755" s="1" t="s">
        <v>271</v>
      </c>
      <c r="E755" s="73" t="n">
        <v>0</v>
      </c>
      <c r="F755" s="41" t="n">
        <v>0</v>
      </c>
      <c r="G755" s="41" t="n">
        <v>0</v>
      </c>
      <c r="H755" s="1" t="s">
        <v>588</v>
      </c>
    </row>
    <row r="756" customFormat="false" ht="15" hidden="false" customHeight="true" outlineLevel="0" collapsed="false">
      <c r="A756" s="1" t="s">
        <v>612</v>
      </c>
      <c r="B756" s="1" t="s">
        <v>44</v>
      </c>
      <c r="C756" s="1" t="s">
        <v>589</v>
      </c>
      <c r="D756" s="1" t="s">
        <v>271</v>
      </c>
      <c r="E756" s="73" t="n">
        <v>0</v>
      </c>
      <c r="F756" s="41" t="n">
        <v>0</v>
      </c>
      <c r="G756" s="41" t="n">
        <v>0</v>
      </c>
      <c r="H756" s="1" t="s">
        <v>590</v>
      </c>
    </row>
    <row r="757" customFormat="false" ht="15" hidden="false" customHeight="true" outlineLevel="0" collapsed="false">
      <c r="A757" s="1" t="s">
        <v>612</v>
      </c>
      <c r="B757" s="1" t="s">
        <v>44</v>
      </c>
      <c r="C757" s="1" t="s">
        <v>591</v>
      </c>
      <c r="D757" s="1" t="s">
        <v>271</v>
      </c>
      <c r="E757" s="73" t="n">
        <v>0</v>
      </c>
      <c r="F757" s="41" t="n">
        <v>0</v>
      </c>
      <c r="G757" s="41" t="n">
        <v>0</v>
      </c>
      <c r="H757" s="1" t="s">
        <v>592</v>
      </c>
    </row>
    <row r="758" customFormat="false" ht="15" hidden="false" customHeight="true" outlineLevel="0" collapsed="false">
      <c r="A758" s="1" t="s">
        <v>612</v>
      </c>
      <c r="B758" s="1" t="s">
        <v>44</v>
      </c>
      <c r="C758" s="1" t="s">
        <v>584</v>
      </c>
      <c r="D758" s="1" t="s">
        <v>275</v>
      </c>
      <c r="E758" s="73" t="n">
        <v>1</v>
      </c>
      <c r="F758" s="41" t="n">
        <v>987.11</v>
      </c>
      <c r="G758" s="41" t="n">
        <v>987.11</v>
      </c>
      <c r="H758" s="1" t="s">
        <v>637</v>
      </c>
    </row>
    <row r="759" customFormat="false" ht="15" hidden="false" customHeight="true" outlineLevel="0" collapsed="false">
      <c r="A759" s="1" t="s">
        <v>612</v>
      </c>
      <c r="B759" s="1" t="s">
        <v>44</v>
      </c>
      <c r="C759" s="1" t="s">
        <v>584</v>
      </c>
      <c r="D759" s="1" t="s">
        <v>275</v>
      </c>
      <c r="E759" s="73" t="n">
        <v>0</v>
      </c>
      <c r="F759" s="41" t="n">
        <v>0</v>
      </c>
      <c r="G759" s="41" t="n">
        <v>0</v>
      </c>
      <c r="H759" s="1" t="s">
        <v>586</v>
      </c>
    </row>
    <row r="760" customFormat="false" ht="15" hidden="false" customHeight="true" outlineLevel="0" collapsed="false">
      <c r="A760" s="1" t="s">
        <v>612</v>
      </c>
      <c r="B760" s="1" t="s">
        <v>44</v>
      </c>
      <c r="C760" s="1" t="s">
        <v>593</v>
      </c>
      <c r="D760" s="1" t="s">
        <v>275</v>
      </c>
      <c r="E760" s="73" t="n">
        <v>0</v>
      </c>
      <c r="F760" s="41" t="n">
        <v>0</v>
      </c>
      <c r="G760" s="41" t="n">
        <v>0</v>
      </c>
      <c r="H760" s="1" t="s">
        <v>588</v>
      </c>
    </row>
    <row r="761" customFormat="false" ht="15" hidden="false" customHeight="true" outlineLevel="0" collapsed="false">
      <c r="A761" s="1" t="s">
        <v>612</v>
      </c>
      <c r="B761" s="1" t="s">
        <v>44</v>
      </c>
      <c r="C761" s="1" t="s">
        <v>594</v>
      </c>
      <c r="D761" s="1" t="s">
        <v>275</v>
      </c>
      <c r="E761" s="73" t="n">
        <v>0</v>
      </c>
      <c r="F761" s="41" t="n">
        <v>0</v>
      </c>
      <c r="G761" s="41" t="n">
        <v>0</v>
      </c>
      <c r="H761" s="1" t="s">
        <v>592</v>
      </c>
    </row>
    <row r="762" customFormat="false" ht="15" hidden="false" customHeight="true" outlineLevel="0" collapsed="false">
      <c r="A762" s="1" t="s">
        <v>612</v>
      </c>
      <c r="B762" s="1" t="s">
        <v>44</v>
      </c>
      <c r="C762" s="1" t="s">
        <v>584</v>
      </c>
      <c r="D762" s="1" t="s">
        <v>272</v>
      </c>
      <c r="E762" s="73" t="n">
        <v>1</v>
      </c>
      <c r="F762" s="41" t="n">
        <v>3707.87</v>
      </c>
      <c r="G762" s="41" t="n">
        <v>3707.87</v>
      </c>
      <c r="H762" s="1" t="s">
        <v>637</v>
      </c>
    </row>
    <row r="763" customFormat="false" ht="15" hidden="false" customHeight="true" outlineLevel="0" collapsed="false">
      <c r="A763" s="1" t="s">
        <v>612</v>
      </c>
      <c r="B763" s="1" t="s">
        <v>44</v>
      </c>
      <c r="C763" s="1" t="s">
        <v>595</v>
      </c>
      <c r="D763" s="1" t="s">
        <v>272</v>
      </c>
      <c r="E763" s="73" t="n">
        <v>-1</v>
      </c>
      <c r="F763" s="41" t="n">
        <v>245.98</v>
      </c>
      <c r="G763" s="41" t="n">
        <v>-245.98</v>
      </c>
      <c r="H763" s="1" t="s">
        <v>588</v>
      </c>
    </row>
    <row r="764" customFormat="false" ht="15" hidden="false" customHeight="true" outlineLevel="0" collapsed="false">
      <c r="A764" s="1" t="s">
        <v>612</v>
      </c>
      <c r="B764" s="1" t="s">
        <v>44</v>
      </c>
      <c r="C764" s="1" t="s">
        <v>596</v>
      </c>
      <c r="D764" s="1" t="s">
        <v>272</v>
      </c>
      <c r="E764" s="73" t="n">
        <v>-1</v>
      </c>
      <c r="F764" s="41" t="n">
        <v>451.06</v>
      </c>
      <c r="G764" s="41" t="n">
        <v>-451.06</v>
      </c>
      <c r="H764" s="1" t="s">
        <v>588</v>
      </c>
    </row>
    <row r="765" customFormat="false" ht="15" hidden="false" customHeight="true" outlineLevel="0" collapsed="false">
      <c r="A765" s="1" t="s">
        <v>612</v>
      </c>
      <c r="B765" s="1" t="s">
        <v>44</v>
      </c>
      <c r="C765" s="1" t="s">
        <v>598</v>
      </c>
      <c r="D765" s="1" t="s">
        <v>272</v>
      </c>
      <c r="E765" s="73" t="n">
        <v>-1</v>
      </c>
      <c r="F765" s="41" t="n">
        <v>589.14</v>
      </c>
      <c r="G765" s="41" t="n">
        <v>-589.14</v>
      </c>
      <c r="H765" s="1" t="s">
        <v>592</v>
      </c>
    </row>
    <row r="766" customFormat="false" ht="15" hidden="false" customHeight="true" outlineLevel="0" collapsed="false">
      <c r="A766" s="1" t="s">
        <v>612</v>
      </c>
      <c r="B766" s="1" t="s">
        <v>44</v>
      </c>
      <c r="C766" s="1" t="s">
        <v>598</v>
      </c>
      <c r="D766" s="1" t="s">
        <v>272</v>
      </c>
      <c r="E766" s="73" t="n">
        <v>-1</v>
      </c>
      <c r="F766" s="41" t="n">
        <v>171.62</v>
      </c>
      <c r="G766" s="41" t="n">
        <v>-171.62</v>
      </c>
      <c r="H766" s="1" t="s">
        <v>585</v>
      </c>
    </row>
    <row r="767" customFormat="false" ht="15" hidden="false" customHeight="true" outlineLevel="0" collapsed="false">
      <c r="A767" s="1" t="s">
        <v>612</v>
      </c>
      <c r="B767" s="1" t="s">
        <v>44</v>
      </c>
      <c r="C767" s="1" t="s">
        <v>638</v>
      </c>
      <c r="D767" s="1" t="s">
        <v>272</v>
      </c>
      <c r="E767" s="73" t="n">
        <v>-1</v>
      </c>
      <c r="F767" s="41" t="n">
        <v>158.76</v>
      </c>
      <c r="G767" s="41" t="n">
        <v>-158.76</v>
      </c>
      <c r="H767" s="1" t="s">
        <v>592</v>
      </c>
    </row>
    <row r="768" customFormat="false" ht="15" hidden="false" customHeight="true" outlineLevel="0" collapsed="false">
      <c r="A768" s="1" t="s">
        <v>612</v>
      </c>
      <c r="B768" s="1" t="s">
        <v>44</v>
      </c>
      <c r="C768" s="1" t="s">
        <v>584</v>
      </c>
      <c r="D768" s="1" t="s">
        <v>266</v>
      </c>
      <c r="E768" s="73" t="n">
        <v>1</v>
      </c>
      <c r="F768" s="41" t="n">
        <v>4497.36</v>
      </c>
      <c r="G768" s="41" t="n">
        <v>4497.36</v>
      </c>
      <c r="H768" s="1" t="s">
        <v>586</v>
      </c>
    </row>
    <row r="769" customFormat="false" ht="15" hidden="false" customHeight="true" outlineLevel="0" collapsed="false">
      <c r="A769" s="1" t="s">
        <v>612</v>
      </c>
      <c r="B769" s="1" t="s">
        <v>44</v>
      </c>
      <c r="C769" s="1" t="s">
        <v>584</v>
      </c>
      <c r="D769" s="1" t="s">
        <v>266</v>
      </c>
      <c r="E769" s="73" t="n">
        <v>0</v>
      </c>
      <c r="F769" s="41" t="n">
        <v>0</v>
      </c>
      <c r="G769" s="41" t="n">
        <v>0</v>
      </c>
      <c r="H769" s="1" t="s">
        <v>586</v>
      </c>
    </row>
    <row r="770" customFormat="false" ht="15" hidden="false" customHeight="true" outlineLevel="0" collapsed="false">
      <c r="A770" s="1" t="s">
        <v>612</v>
      </c>
      <c r="B770" s="1" t="s">
        <v>44</v>
      </c>
      <c r="C770" s="1" t="s">
        <v>596</v>
      </c>
      <c r="D770" s="1" t="s">
        <v>266</v>
      </c>
      <c r="E770" s="73" t="n">
        <v>1</v>
      </c>
      <c r="F770" s="41" t="n">
        <v>158.76</v>
      </c>
      <c r="G770" s="41" t="n">
        <v>158.76</v>
      </c>
      <c r="H770" s="1" t="s">
        <v>592</v>
      </c>
    </row>
    <row r="771" customFormat="false" ht="15" hidden="false" customHeight="true" outlineLevel="0" collapsed="false">
      <c r="A771" s="1" t="s">
        <v>612</v>
      </c>
      <c r="B771" s="1" t="s">
        <v>44</v>
      </c>
      <c r="C771" s="1" t="s">
        <v>597</v>
      </c>
      <c r="D771" s="1" t="s">
        <v>266</v>
      </c>
      <c r="E771" s="73" t="n">
        <v>1</v>
      </c>
      <c r="F771" s="41" t="n">
        <v>451.06</v>
      </c>
      <c r="G771" s="41" t="n">
        <v>451.06</v>
      </c>
      <c r="H771" s="1" t="s">
        <v>592</v>
      </c>
    </row>
    <row r="772" customFormat="false" ht="15" hidden="false" customHeight="true" outlineLevel="0" collapsed="false">
      <c r="A772" s="1" t="s">
        <v>612</v>
      </c>
      <c r="B772" s="1" t="s">
        <v>44</v>
      </c>
      <c r="C772" s="1" t="s">
        <v>584</v>
      </c>
      <c r="D772" s="1" t="s">
        <v>267</v>
      </c>
      <c r="E772" s="73" t="n">
        <v>1</v>
      </c>
      <c r="F772" s="41" t="n">
        <v>368.28</v>
      </c>
      <c r="G772" s="41" t="n">
        <v>368.28</v>
      </c>
      <c r="H772" s="1" t="s">
        <v>637</v>
      </c>
    </row>
    <row r="773" customFormat="false" ht="15" hidden="false" customHeight="true" outlineLevel="0" collapsed="false">
      <c r="A773" s="1" t="s">
        <v>612</v>
      </c>
      <c r="B773" s="1" t="s">
        <v>44</v>
      </c>
      <c r="C773" s="1" t="s">
        <v>584</v>
      </c>
      <c r="D773" s="1" t="s">
        <v>267</v>
      </c>
      <c r="E773" s="73" t="n">
        <v>0</v>
      </c>
      <c r="F773" s="41" t="n">
        <v>0</v>
      </c>
      <c r="G773" s="41" t="n">
        <v>0</v>
      </c>
      <c r="H773" s="1" t="s">
        <v>585</v>
      </c>
    </row>
    <row r="774" customFormat="false" ht="15" hidden="false" customHeight="true" outlineLevel="0" collapsed="false">
      <c r="A774" s="1" t="s">
        <v>612</v>
      </c>
      <c r="B774" s="1" t="s">
        <v>44</v>
      </c>
      <c r="C774" s="1" t="s">
        <v>584</v>
      </c>
      <c r="D774" s="1" t="s">
        <v>264</v>
      </c>
      <c r="E774" s="73" t="n">
        <v>1</v>
      </c>
      <c r="F774" s="41" t="n">
        <v>1043.05</v>
      </c>
      <c r="G774" s="41" t="n">
        <v>1043.05</v>
      </c>
      <c r="H774" s="1" t="s">
        <v>637</v>
      </c>
    </row>
    <row r="775" customFormat="false" ht="15" hidden="false" customHeight="true" outlineLevel="0" collapsed="false">
      <c r="A775" s="1" t="s">
        <v>612</v>
      </c>
      <c r="B775" s="1" t="s">
        <v>44</v>
      </c>
      <c r="C775" s="1" t="s">
        <v>584</v>
      </c>
      <c r="D775" s="1" t="s">
        <v>264</v>
      </c>
      <c r="E775" s="73" t="n">
        <v>-1</v>
      </c>
      <c r="F775" s="41" t="n">
        <v>4096.89</v>
      </c>
      <c r="G775" s="41" t="n">
        <v>-4096.89</v>
      </c>
      <c r="H775" s="1" t="s">
        <v>585</v>
      </c>
    </row>
    <row r="776" customFormat="false" ht="15" hidden="false" customHeight="true" outlineLevel="0" collapsed="false">
      <c r="A776" s="1" t="s">
        <v>612</v>
      </c>
      <c r="B776" s="1" t="s">
        <v>44</v>
      </c>
      <c r="C776" s="1" t="s">
        <v>599</v>
      </c>
      <c r="D776" s="1" t="s">
        <v>264</v>
      </c>
      <c r="E776" s="73" t="n">
        <v>0</v>
      </c>
      <c r="F776" s="41" t="n">
        <v>0</v>
      </c>
      <c r="G776" s="41" t="n">
        <v>0</v>
      </c>
      <c r="H776" s="1" t="s">
        <v>588</v>
      </c>
    </row>
    <row r="777" customFormat="false" ht="15" hidden="false" customHeight="true" outlineLevel="0" collapsed="false">
      <c r="A777" s="1" t="s">
        <v>612</v>
      </c>
      <c r="B777" s="1" t="s">
        <v>44</v>
      </c>
      <c r="C777" s="1" t="s">
        <v>594</v>
      </c>
      <c r="D777" s="1" t="s">
        <v>264</v>
      </c>
      <c r="E777" s="73" t="n">
        <v>0</v>
      </c>
      <c r="F777" s="41" t="n">
        <v>0</v>
      </c>
      <c r="G777" s="41" t="n">
        <v>0</v>
      </c>
      <c r="H777" s="1" t="s">
        <v>592</v>
      </c>
    </row>
    <row r="778" customFormat="false" ht="15" hidden="false" customHeight="true" outlineLevel="0" collapsed="false">
      <c r="A778" s="1" t="s">
        <v>612</v>
      </c>
      <c r="B778" s="1" t="s">
        <v>87</v>
      </c>
      <c r="C778" s="1" t="s">
        <v>600</v>
      </c>
      <c r="D778" s="1" t="s">
        <v>269</v>
      </c>
      <c r="E778" s="73" t="n">
        <v>2</v>
      </c>
      <c r="F778" s="41" t="n">
        <v>50</v>
      </c>
      <c r="G778" s="41" t="n">
        <v>100</v>
      </c>
      <c r="H778" s="1" t="s">
        <v>601</v>
      </c>
    </row>
    <row r="779" customFormat="false" ht="15" hidden="false" customHeight="true" outlineLevel="0" collapsed="false">
      <c r="A779" s="1" t="s">
        <v>612</v>
      </c>
      <c r="B779" s="1" t="s">
        <v>87</v>
      </c>
      <c r="C779" s="1" t="s">
        <v>600</v>
      </c>
      <c r="D779" s="1" t="s">
        <v>271</v>
      </c>
      <c r="E779" s="73" t="n">
        <v>2</v>
      </c>
      <c r="F779" s="41" t="n">
        <v>50</v>
      </c>
      <c r="G779" s="41" t="n">
        <v>100</v>
      </c>
      <c r="H779" s="1" t="s">
        <v>601</v>
      </c>
    </row>
    <row r="780" customFormat="false" ht="15" hidden="false" customHeight="true" outlineLevel="0" collapsed="false">
      <c r="A780" s="1" t="s">
        <v>612</v>
      </c>
      <c r="B780" s="1" t="s">
        <v>87</v>
      </c>
      <c r="C780" s="1" t="s">
        <v>600</v>
      </c>
      <c r="D780" s="1" t="s">
        <v>275</v>
      </c>
      <c r="E780" s="73" t="n">
        <v>1</v>
      </c>
      <c r="F780" s="41" t="n">
        <v>10</v>
      </c>
      <c r="G780" s="41" t="n">
        <v>10</v>
      </c>
      <c r="H780" s="1" t="s">
        <v>601</v>
      </c>
    </row>
    <row r="781" customFormat="false" ht="15" hidden="false" customHeight="true" outlineLevel="0" collapsed="false">
      <c r="A781" s="1" t="s">
        <v>612</v>
      </c>
      <c r="B781" s="1" t="s">
        <v>87</v>
      </c>
      <c r="C781" s="1" t="s">
        <v>600</v>
      </c>
      <c r="D781" s="1" t="s">
        <v>272</v>
      </c>
      <c r="E781" s="73" t="n">
        <v>1</v>
      </c>
      <c r="F781" s="41" t="n">
        <v>10</v>
      </c>
      <c r="G781" s="41" t="n">
        <v>10</v>
      </c>
      <c r="H781" s="1" t="s">
        <v>601</v>
      </c>
    </row>
    <row r="782" customFormat="false" ht="15" hidden="false" customHeight="true" outlineLevel="0" collapsed="false">
      <c r="A782" s="1" t="s">
        <v>612</v>
      </c>
      <c r="B782" s="1" t="s">
        <v>87</v>
      </c>
      <c r="C782" s="1" t="s">
        <v>600</v>
      </c>
      <c r="D782" s="1" t="s">
        <v>272</v>
      </c>
      <c r="E782" s="73" t="n">
        <v>5</v>
      </c>
      <c r="F782" s="41" t="n">
        <v>50</v>
      </c>
      <c r="G782" s="41" t="n">
        <v>250</v>
      </c>
      <c r="H782" s="1" t="s">
        <v>601</v>
      </c>
    </row>
    <row r="783" customFormat="false" ht="15" hidden="false" customHeight="true" outlineLevel="0" collapsed="false">
      <c r="A783" s="1" t="s">
        <v>612</v>
      </c>
      <c r="B783" s="1" t="s">
        <v>87</v>
      </c>
      <c r="C783" s="1" t="s">
        <v>600</v>
      </c>
      <c r="D783" s="1" t="s">
        <v>266</v>
      </c>
      <c r="E783" s="73" t="n">
        <v>2</v>
      </c>
      <c r="F783" s="41" t="n">
        <v>50</v>
      </c>
      <c r="G783" s="41" t="n">
        <v>100</v>
      </c>
      <c r="H783" s="1" t="s">
        <v>601</v>
      </c>
    </row>
    <row r="784" customFormat="false" ht="15" hidden="false" customHeight="true" outlineLevel="0" collapsed="false">
      <c r="A784" s="1" t="s">
        <v>612</v>
      </c>
      <c r="B784" s="1" t="s">
        <v>87</v>
      </c>
      <c r="C784" s="1" t="s">
        <v>600</v>
      </c>
      <c r="D784" s="1" t="s">
        <v>267</v>
      </c>
      <c r="E784" s="73" t="n">
        <v>1</v>
      </c>
      <c r="F784" s="41" t="n">
        <v>50</v>
      </c>
      <c r="G784" s="41" t="n">
        <v>50</v>
      </c>
      <c r="H784" s="1" t="s">
        <v>601</v>
      </c>
    </row>
    <row r="785" customFormat="false" ht="15" hidden="false" customHeight="true" outlineLevel="0" collapsed="false">
      <c r="A785" s="1" t="s">
        <v>612</v>
      </c>
      <c r="B785" s="1" t="s">
        <v>87</v>
      </c>
      <c r="C785" s="1" t="s">
        <v>600</v>
      </c>
      <c r="D785" s="1" t="s">
        <v>264</v>
      </c>
      <c r="E785" s="73" t="n">
        <v>1</v>
      </c>
      <c r="F785" s="41" t="n">
        <v>90</v>
      </c>
      <c r="G785" s="41" t="n">
        <v>90</v>
      </c>
      <c r="H785" s="1" t="s">
        <v>601</v>
      </c>
    </row>
    <row r="786" customFormat="false" ht="15" hidden="false" customHeight="true" outlineLevel="0" collapsed="false">
      <c r="A786" s="1" t="s">
        <v>612</v>
      </c>
      <c r="B786" s="1" t="s">
        <v>87</v>
      </c>
      <c r="C786" s="1" t="s">
        <v>600</v>
      </c>
      <c r="D786" s="1" t="s">
        <v>264</v>
      </c>
      <c r="E786" s="73" t="n">
        <v>2</v>
      </c>
      <c r="F786" s="41" t="n">
        <v>10</v>
      </c>
      <c r="G786" s="41" t="n">
        <v>20</v>
      </c>
      <c r="H786" s="1" t="s">
        <v>601</v>
      </c>
    </row>
    <row r="787" customFormat="false" ht="15" hidden="false" customHeight="true" outlineLevel="0" collapsed="false">
      <c r="A787" s="1" t="s">
        <v>612</v>
      </c>
      <c r="B787" s="1" t="s">
        <v>87</v>
      </c>
      <c r="C787" s="1" t="s">
        <v>600</v>
      </c>
      <c r="D787" s="1" t="s">
        <v>264</v>
      </c>
      <c r="E787" s="73" t="n">
        <v>3</v>
      </c>
      <c r="F787" s="41" t="n">
        <v>50</v>
      </c>
      <c r="G787" s="41" t="n">
        <v>150</v>
      </c>
      <c r="H787" s="1" t="s">
        <v>601</v>
      </c>
    </row>
    <row r="788" customFormat="false" ht="15" hidden="false" customHeight="true" outlineLevel="0" collapsed="false">
      <c r="A788" s="1" t="s">
        <v>639</v>
      </c>
      <c r="B788" s="1" t="s">
        <v>400</v>
      </c>
      <c r="C788" s="1" t="s">
        <v>401</v>
      </c>
      <c r="D788" s="1" t="s">
        <v>271</v>
      </c>
      <c r="E788" s="73" t="n">
        <v>13530</v>
      </c>
      <c r="F788" s="41" t="n">
        <v>0.35</v>
      </c>
      <c r="G788" s="41" t="n">
        <v>4735.5</v>
      </c>
      <c r="H788" s="1" t="s">
        <v>402</v>
      </c>
    </row>
    <row r="789" customFormat="false" ht="15" hidden="false" customHeight="true" outlineLevel="0" collapsed="false">
      <c r="A789" s="1" t="s">
        <v>639</v>
      </c>
      <c r="B789" s="1" t="s">
        <v>403</v>
      </c>
      <c r="C789" s="1" t="s">
        <v>86</v>
      </c>
      <c r="D789" s="1" t="s">
        <v>271</v>
      </c>
      <c r="E789" s="73" t="n">
        <v>13530</v>
      </c>
      <c r="F789" s="41" t="n">
        <v>0.23</v>
      </c>
      <c r="G789" s="41" t="n">
        <v>3111.9</v>
      </c>
      <c r="H789" s="1" t="s">
        <v>402</v>
      </c>
    </row>
    <row r="790" customFormat="false" ht="15" hidden="false" customHeight="true" outlineLevel="0" collapsed="false">
      <c r="A790" s="1" t="s">
        <v>639</v>
      </c>
      <c r="B790" s="1" t="s">
        <v>55</v>
      </c>
      <c r="C790" s="1" t="s">
        <v>404</v>
      </c>
      <c r="D790" s="1" t="s">
        <v>269</v>
      </c>
      <c r="E790" s="73" t="n">
        <v>1</v>
      </c>
      <c r="F790" s="41" t="n">
        <v>37628.98</v>
      </c>
      <c r="G790" s="41" t="n">
        <v>37628.98</v>
      </c>
      <c r="H790" s="1" t="s">
        <v>405</v>
      </c>
    </row>
    <row r="791" customFormat="false" ht="15" hidden="false" customHeight="true" outlineLevel="0" collapsed="false">
      <c r="A791" s="1" t="s">
        <v>639</v>
      </c>
      <c r="B791" s="1" t="s">
        <v>55</v>
      </c>
      <c r="C791" s="1" t="s">
        <v>404</v>
      </c>
      <c r="D791" s="1" t="s">
        <v>275</v>
      </c>
      <c r="E791" s="73" t="n">
        <v>1</v>
      </c>
      <c r="F791" s="41" t="n">
        <v>21544.9</v>
      </c>
      <c r="G791" s="41" t="n">
        <v>21544.9</v>
      </c>
      <c r="H791" s="1" t="s">
        <v>405</v>
      </c>
    </row>
    <row r="792" customFormat="false" ht="15" hidden="false" customHeight="true" outlineLevel="0" collapsed="false">
      <c r="A792" s="1" t="s">
        <v>639</v>
      </c>
      <c r="B792" s="1" t="s">
        <v>55</v>
      </c>
      <c r="C792" s="1" t="s">
        <v>404</v>
      </c>
      <c r="D792" s="1" t="s">
        <v>272</v>
      </c>
      <c r="E792" s="73" t="n">
        <v>1</v>
      </c>
      <c r="F792" s="41" t="n">
        <v>41387.02</v>
      </c>
      <c r="G792" s="41" t="n">
        <v>41387.02</v>
      </c>
      <c r="H792" s="1" t="s">
        <v>405</v>
      </c>
    </row>
    <row r="793" customFormat="false" ht="15" hidden="false" customHeight="true" outlineLevel="0" collapsed="false">
      <c r="A793" s="1" t="s">
        <v>639</v>
      </c>
      <c r="B793" s="1" t="s">
        <v>55</v>
      </c>
      <c r="C793" s="1" t="s">
        <v>404</v>
      </c>
      <c r="D793" s="1" t="s">
        <v>266</v>
      </c>
      <c r="E793" s="73" t="n">
        <v>1</v>
      </c>
      <c r="F793" s="41" t="n">
        <v>90134.89</v>
      </c>
      <c r="G793" s="41" t="n">
        <v>90134.89</v>
      </c>
      <c r="H793" s="1" t="s">
        <v>405</v>
      </c>
    </row>
    <row r="794" customFormat="false" ht="15" hidden="false" customHeight="true" outlineLevel="0" collapsed="false">
      <c r="A794" s="1" t="s">
        <v>639</v>
      </c>
      <c r="B794" s="1" t="s">
        <v>55</v>
      </c>
      <c r="C794" s="1" t="s">
        <v>404</v>
      </c>
      <c r="D794" s="1" t="s">
        <v>267</v>
      </c>
      <c r="E794" s="73" t="n">
        <v>1</v>
      </c>
      <c r="F794" s="41" t="n">
        <v>26769.64</v>
      </c>
      <c r="G794" s="41" t="n">
        <v>26769.64</v>
      </c>
      <c r="H794" s="1" t="s">
        <v>405</v>
      </c>
    </row>
    <row r="795" customFormat="false" ht="15" hidden="false" customHeight="true" outlineLevel="0" collapsed="false">
      <c r="A795" s="1" t="s">
        <v>639</v>
      </c>
      <c r="B795" s="1" t="s">
        <v>55</v>
      </c>
      <c r="C795" s="1" t="s">
        <v>404</v>
      </c>
      <c r="D795" s="1" t="s">
        <v>264</v>
      </c>
      <c r="E795" s="73" t="n">
        <v>1</v>
      </c>
      <c r="F795" s="41" t="n">
        <v>31924.42</v>
      </c>
      <c r="G795" s="41" t="n">
        <v>31924.42</v>
      </c>
      <c r="H795" s="1" t="s">
        <v>405</v>
      </c>
    </row>
    <row r="796" customFormat="false" ht="15" hidden="false" customHeight="true" outlineLevel="0" collapsed="false">
      <c r="A796" s="1" t="s">
        <v>639</v>
      </c>
      <c r="B796" s="1" t="s">
        <v>406</v>
      </c>
      <c r="C796" s="1" t="s">
        <v>407</v>
      </c>
      <c r="D796" s="1" t="s">
        <v>257</v>
      </c>
      <c r="E796" s="73" t="n">
        <v>0</v>
      </c>
      <c r="F796" s="41" t="n">
        <v>0</v>
      </c>
      <c r="G796" s="41" t="n">
        <v>0</v>
      </c>
      <c r="H796" s="1" t="s">
        <v>613</v>
      </c>
    </row>
    <row r="797" customFormat="false" ht="15" hidden="false" customHeight="true" outlineLevel="0" collapsed="false">
      <c r="A797" s="1" t="s">
        <v>639</v>
      </c>
      <c r="B797" s="1" t="s">
        <v>406</v>
      </c>
      <c r="C797" s="1" t="s">
        <v>409</v>
      </c>
      <c r="D797" s="1" t="s">
        <v>257</v>
      </c>
      <c r="E797" s="73" t="n">
        <v>0</v>
      </c>
      <c r="F797" s="41" t="n">
        <v>0</v>
      </c>
      <c r="G797" s="41" t="n">
        <v>0</v>
      </c>
      <c r="H797" s="1" t="s">
        <v>603</v>
      </c>
    </row>
    <row r="798" customFormat="false" ht="15" hidden="false" customHeight="true" outlineLevel="0" collapsed="false">
      <c r="A798" s="1" t="s">
        <v>639</v>
      </c>
      <c r="B798" s="1" t="s">
        <v>406</v>
      </c>
      <c r="C798" s="1" t="s">
        <v>407</v>
      </c>
      <c r="D798" s="1" t="s">
        <v>269</v>
      </c>
      <c r="E798" s="73" t="n">
        <v>0</v>
      </c>
      <c r="F798" s="41" t="n">
        <v>0</v>
      </c>
      <c r="G798" s="41" t="n">
        <v>0</v>
      </c>
      <c r="H798" s="1" t="s">
        <v>408</v>
      </c>
    </row>
    <row r="799" customFormat="false" ht="15" hidden="false" customHeight="true" outlineLevel="0" collapsed="false">
      <c r="A799" s="1" t="s">
        <v>639</v>
      </c>
      <c r="B799" s="1" t="s">
        <v>406</v>
      </c>
      <c r="C799" s="1" t="s">
        <v>409</v>
      </c>
      <c r="D799" s="1" t="s">
        <v>269</v>
      </c>
      <c r="E799" s="73" t="n">
        <v>0</v>
      </c>
      <c r="F799" s="41" t="n">
        <v>0</v>
      </c>
      <c r="G799" s="41" t="n">
        <v>0</v>
      </c>
      <c r="H799" s="1" t="s">
        <v>603</v>
      </c>
    </row>
    <row r="800" customFormat="false" ht="15" hidden="false" customHeight="true" outlineLevel="0" collapsed="false">
      <c r="A800" s="1" t="s">
        <v>639</v>
      </c>
      <c r="B800" s="1" t="s">
        <v>406</v>
      </c>
      <c r="C800" s="1" t="s">
        <v>407</v>
      </c>
      <c r="D800" s="1" t="s">
        <v>271</v>
      </c>
      <c r="E800" s="73" t="n">
        <v>0</v>
      </c>
      <c r="F800" s="41" t="n">
        <v>0</v>
      </c>
      <c r="G800" s="41" t="n">
        <v>0</v>
      </c>
      <c r="H800" s="1" t="s">
        <v>411</v>
      </c>
    </row>
    <row r="801" customFormat="false" ht="15" hidden="false" customHeight="true" outlineLevel="0" collapsed="false">
      <c r="A801" s="1" t="s">
        <v>639</v>
      </c>
      <c r="B801" s="1" t="s">
        <v>406</v>
      </c>
      <c r="C801" s="1" t="s">
        <v>412</v>
      </c>
      <c r="D801" s="1" t="s">
        <v>271</v>
      </c>
      <c r="E801" s="73" t="n">
        <v>0</v>
      </c>
      <c r="F801" s="41" t="n">
        <v>0</v>
      </c>
      <c r="G801" s="41" t="n">
        <v>0</v>
      </c>
      <c r="H801" s="1" t="s">
        <v>413</v>
      </c>
    </row>
    <row r="802" customFormat="false" ht="15" hidden="false" customHeight="true" outlineLevel="0" collapsed="false">
      <c r="A802" s="1" t="s">
        <v>639</v>
      </c>
      <c r="B802" s="1" t="s">
        <v>406</v>
      </c>
      <c r="C802" s="1" t="s">
        <v>407</v>
      </c>
      <c r="D802" s="1" t="s">
        <v>275</v>
      </c>
      <c r="E802" s="73" t="n">
        <v>0</v>
      </c>
      <c r="F802" s="41" t="n">
        <v>0</v>
      </c>
      <c r="G802" s="41" t="n">
        <v>0</v>
      </c>
      <c r="H802" s="1" t="s">
        <v>411</v>
      </c>
    </row>
    <row r="803" customFormat="false" ht="15" hidden="false" customHeight="true" outlineLevel="0" collapsed="false">
      <c r="A803" s="1" t="s">
        <v>639</v>
      </c>
      <c r="B803" s="1" t="s">
        <v>406</v>
      </c>
      <c r="C803" s="1" t="s">
        <v>409</v>
      </c>
      <c r="D803" s="1" t="s">
        <v>275</v>
      </c>
      <c r="E803" s="73" t="n">
        <v>0</v>
      </c>
      <c r="F803" s="41" t="n">
        <v>0</v>
      </c>
      <c r="G803" s="41" t="n">
        <v>0</v>
      </c>
      <c r="H803" s="1" t="s">
        <v>603</v>
      </c>
    </row>
    <row r="804" customFormat="false" ht="15" hidden="false" customHeight="true" outlineLevel="0" collapsed="false">
      <c r="A804" s="1" t="s">
        <v>639</v>
      </c>
      <c r="B804" s="1" t="s">
        <v>406</v>
      </c>
      <c r="C804" s="1" t="s">
        <v>407</v>
      </c>
      <c r="D804" s="1" t="s">
        <v>272</v>
      </c>
      <c r="E804" s="73" t="n">
        <v>0</v>
      </c>
      <c r="F804" s="41" t="n">
        <v>0</v>
      </c>
      <c r="G804" s="41" t="n">
        <v>0</v>
      </c>
      <c r="H804" s="1" t="s">
        <v>408</v>
      </c>
    </row>
    <row r="805" customFormat="false" ht="15" hidden="false" customHeight="true" outlineLevel="0" collapsed="false">
      <c r="A805" s="1" t="s">
        <v>639</v>
      </c>
      <c r="B805" s="1" t="s">
        <v>406</v>
      </c>
      <c r="C805" s="1" t="s">
        <v>409</v>
      </c>
      <c r="D805" s="1" t="s">
        <v>272</v>
      </c>
      <c r="E805" s="73" t="n">
        <v>0</v>
      </c>
      <c r="F805" s="41" t="n">
        <v>0</v>
      </c>
      <c r="G805" s="41" t="n">
        <v>0</v>
      </c>
      <c r="H805" s="1" t="s">
        <v>410</v>
      </c>
    </row>
    <row r="806" customFormat="false" ht="15" hidden="false" customHeight="true" outlineLevel="0" collapsed="false">
      <c r="A806" s="1" t="s">
        <v>639</v>
      </c>
      <c r="B806" s="1" t="s">
        <v>406</v>
      </c>
      <c r="C806" s="1" t="s">
        <v>407</v>
      </c>
      <c r="D806" s="1" t="s">
        <v>266</v>
      </c>
      <c r="E806" s="73" t="n">
        <v>0</v>
      </c>
      <c r="F806" s="41" t="n">
        <v>0</v>
      </c>
      <c r="G806" s="41" t="n">
        <v>0</v>
      </c>
      <c r="H806" s="1" t="s">
        <v>415</v>
      </c>
    </row>
    <row r="807" customFormat="false" ht="15" hidden="false" customHeight="true" outlineLevel="0" collapsed="false">
      <c r="A807" s="1" t="s">
        <v>639</v>
      </c>
      <c r="B807" s="1" t="s">
        <v>406</v>
      </c>
      <c r="C807" s="1" t="s">
        <v>409</v>
      </c>
      <c r="D807" s="1" t="s">
        <v>266</v>
      </c>
      <c r="E807" s="73" t="n">
        <v>0</v>
      </c>
      <c r="F807" s="41" t="n">
        <v>0</v>
      </c>
      <c r="G807" s="41" t="n">
        <v>0</v>
      </c>
      <c r="H807" s="1" t="s">
        <v>603</v>
      </c>
    </row>
    <row r="808" customFormat="false" ht="15" hidden="false" customHeight="true" outlineLevel="0" collapsed="false">
      <c r="A808" s="1" t="s">
        <v>639</v>
      </c>
      <c r="B808" s="1" t="s">
        <v>406</v>
      </c>
      <c r="C808" s="1" t="s">
        <v>409</v>
      </c>
      <c r="D808" s="1" t="s">
        <v>266</v>
      </c>
      <c r="E808" s="73" t="n">
        <v>0</v>
      </c>
      <c r="F808" s="41" t="n">
        <v>0</v>
      </c>
      <c r="G808" s="41" t="n">
        <v>0</v>
      </c>
      <c r="H808" s="1" t="s">
        <v>410</v>
      </c>
    </row>
    <row r="809" customFormat="false" ht="15" hidden="false" customHeight="true" outlineLevel="0" collapsed="false">
      <c r="A809" s="1" t="s">
        <v>639</v>
      </c>
      <c r="B809" s="1" t="s">
        <v>406</v>
      </c>
      <c r="C809" s="1" t="s">
        <v>407</v>
      </c>
      <c r="D809" s="1" t="s">
        <v>267</v>
      </c>
      <c r="E809" s="73" t="n">
        <v>0</v>
      </c>
      <c r="F809" s="41" t="n">
        <v>0</v>
      </c>
      <c r="G809" s="41" t="n">
        <v>0</v>
      </c>
      <c r="H809" s="1" t="s">
        <v>411</v>
      </c>
    </row>
    <row r="810" customFormat="false" ht="15" hidden="false" customHeight="true" outlineLevel="0" collapsed="false">
      <c r="A810" s="1" t="s">
        <v>639</v>
      </c>
      <c r="B810" s="1" t="s">
        <v>406</v>
      </c>
      <c r="C810" s="1" t="s">
        <v>407</v>
      </c>
      <c r="D810" s="1" t="s">
        <v>267</v>
      </c>
      <c r="E810" s="73" t="n">
        <v>0</v>
      </c>
      <c r="F810" s="41" t="n">
        <v>0</v>
      </c>
      <c r="G810" s="41" t="n">
        <v>0</v>
      </c>
      <c r="H810" s="1" t="s">
        <v>416</v>
      </c>
    </row>
    <row r="811" customFormat="false" ht="15" hidden="false" customHeight="true" outlineLevel="0" collapsed="false">
      <c r="A811" s="1" t="s">
        <v>639</v>
      </c>
      <c r="B811" s="1" t="s">
        <v>78</v>
      </c>
      <c r="C811" s="1" t="s">
        <v>417</v>
      </c>
      <c r="D811" s="1" t="s">
        <v>275</v>
      </c>
      <c r="E811" s="73" t="n">
        <v>3765</v>
      </c>
      <c r="F811" s="41" t="n">
        <v>0.43</v>
      </c>
      <c r="G811" s="41" t="n">
        <v>1618.95</v>
      </c>
      <c r="H811" s="1" t="s">
        <v>402</v>
      </c>
    </row>
    <row r="812" customFormat="false" ht="15" hidden="false" customHeight="true" outlineLevel="0" collapsed="false">
      <c r="A812" s="1" t="s">
        <v>639</v>
      </c>
      <c r="B812" s="1" t="s">
        <v>78</v>
      </c>
      <c r="C812" s="1" t="s">
        <v>417</v>
      </c>
      <c r="D812" s="1" t="s">
        <v>266</v>
      </c>
      <c r="E812" s="73" t="n">
        <v>14689</v>
      </c>
      <c r="F812" s="41" t="n">
        <v>0.43</v>
      </c>
      <c r="G812" s="41" t="n">
        <v>6316.27</v>
      </c>
      <c r="H812" s="1" t="s">
        <v>402</v>
      </c>
    </row>
    <row r="813" customFormat="false" ht="15" hidden="false" customHeight="true" outlineLevel="0" collapsed="false">
      <c r="A813" s="1" t="s">
        <v>639</v>
      </c>
      <c r="B813" s="1" t="s">
        <v>78</v>
      </c>
      <c r="C813" s="1" t="s">
        <v>417</v>
      </c>
      <c r="D813" s="1" t="s">
        <v>264</v>
      </c>
      <c r="E813" s="73" t="n">
        <v>4806</v>
      </c>
      <c r="F813" s="41" t="n">
        <v>0.43</v>
      </c>
      <c r="G813" s="41" t="n">
        <v>2066.58</v>
      </c>
      <c r="H813" s="1" t="s">
        <v>402</v>
      </c>
    </row>
    <row r="814" customFormat="false" ht="15" hidden="false" customHeight="true" outlineLevel="0" collapsed="false">
      <c r="A814" s="1" t="s">
        <v>639</v>
      </c>
      <c r="B814" s="1" t="s">
        <v>418</v>
      </c>
      <c r="C814" s="1" t="s">
        <v>419</v>
      </c>
      <c r="D814" s="1" t="s">
        <v>257</v>
      </c>
      <c r="E814" s="73" t="n">
        <v>6438</v>
      </c>
      <c r="F814" s="41" t="n">
        <v>1.86</v>
      </c>
      <c r="G814" s="41" t="n">
        <v>11974.68</v>
      </c>
      <c r="H814" s="1" t="s">
        <v>640</v>
      </c>
    </row>
    <row r="815" customFormat="false" ht="15" hidden="false" customHeight="true" outlineLevel="0" collapsed="false">
      <c r="A815" s="1" t="s">
        <v>639</v>
      </c>
      <c r="B815" s="1" t="s">
        <v>418</v>
      </c>
      <c r="C815" s="1" t="s">
        <v>419</v>
      </c>
      <c r="D815" s="1" t="s">
        <v>269</v>
      </c>
      <c r="E815" s="73" t="n">
        <v>341</v>
      </c>
      <c r="F815" s="41" t="n">
        <v>1.86</v>
      </c>
      <c r="G815" s="41" t="n">
        <v>634.26</v>
      </c>
      <c r="H815" s="1" t="s">
        <v>640</v>
      </c>
    </row>
    <row r="816" customFormat="false" ht="15" hidden="false" customHeight="true" outlineLevel="0" collapsed="false">
      <c r="A816" s="1" t="s">
        <v>639</v>
      </c>
      <c r="B816" s="1" t="s">
        <v>418</v>
      </c>
      <c r="C816" s="1" t="s">
        <v>641</v>
      </c>
      <c r="D816" s="1" t="s">
        <v>269</v>
      </c>
      <c r="E816" s="73" t="n">
        <v>1</v>
      </c>
      <c r="F816" s="41" t="n">
        <v>1366.75</v>
      </c>
      <c r="G816" s="41" t="n">
        <v>1366.75</v>
      </c>
      <c r="H816" s="1" t="s">
        <v>642</v>
      </c>
    </row>
    <row r="817" customFormat="false" ht="15" hidden="false" customHeight="true" outlineLevel="0" collapsed="false">
      <c r="A817" s="1" t="s">
        <v>639</v>
      </c>
      <c r="B817" s="1" t="s">
        <v>418</v>
      </c>
      <c r="C817" s="1" t="s">
        <v>615</v>
      </c>
      <c r="D817" s="1" t="s">
        <v>269</v>
      </c>
      <c r="E817" s="73" t="n">
        <v>0</v>
      </c>
      <c r="F817" s="41" t="n">
        <v>0</v>
      </c>
      <c r="G817" s="41" t="n">
        <v>0</v>
      </c>
      <c r="H817" s="1" t="s">
        <v>616</v>
      </c>
    </row>
    <row r="818" customFormat="false" ht="15" hidden="false" customHeight="true" outlineLevel="0" collapsed="false">
      <c r="A818" s="1" t="s">
        <v>639</v>
      </c>
      <c r="B818" s="1" t="s">
        <v>418</v>
      </c>
      <c r="C818" s="1" t="s">
        <v>617</v>
      </c>
      <c r="D818" s="1" t="s">
        <v>269</v>
      </c>
      <c r="E818" s="73" t="n">
        <v>0</v>
      </c>
      <c r="F818" s="41" t="n">
        <v>0</v>
      </c>
      <c r="G818" s="41" t="n">
        <v>0</v>
      </c>
      <c r="H818" s="1" t="s">
        <v>618</v>
      </c>
    </row>
    <row r="819" customFormat="false" ht="15" hidden="false" customHeight="true" outlineLevel="0" collapsed="false">
      <c r="A819" s="1" t="s">
        <v>639</v>
      </c>
      <c r="B819" s="1" t="s">
        <v>418</v>
      </c>
      <c r="C819" s="1" t="s">
        <v>427</v>
      </c>
      <c r="D819" s="1" t="s">
        <v>269</v>
      </c>
      <c r="E819" s="73" t="n">
        <v>-1</v>
      </c>
      <c r="F819" s="41" t="n">
        <v>620.34</v>
      </c>
      <c r="G819" s="41" t="n">
        <v>-620.34</v>
      </c>
      <c r="H819" s="1" t="s">
        <v>428</v>
      </c>
    </row>
    <row r="820" customFormat="false" ht="15" hidden="false" customHeight="true" outlineLevel="0" collapsed="false">
      <c r="A820" s="1" t="s">
        <v>639</v>
      </c>
      <c r="B820" s="1" t="s">
        <v>418</v>
      </c>
      <c r="C820" s="1" t="s">
        <v>427</v>
      </c>
      <c r="D820" s="1" t="s">
        <v>269</v>
      </c>
      <c r="E820" s="73" t="n">
        <v>-1</v>
      </c>
      <c r="F820" s="41" t="n">
        <v>2216.95</v>
      </c>
      <c r="G820" s="41" t="n">
        <v>-2216.95</v>
      </c>
      <c r="H820" s="1" t="s">
        <v>429</v>
      </c>
    </row>
    <row r="821" customFormat="false" ht="15" hidden="false" customHeight="true" outlineLevel="0" collapsed="false">
      <c r="A821" s="1" t="s">
        <v>639</v>
      </c>
      <c r="B821" s="1" t="s">
        <v>418</v>
      </c>
      <c r="C821" s="1" t="s">
        <v>430</v>
      </c>
      <c r="D821" s="1" t="s">
        <v>269</v>
      </c>
      <c r="E821" s="73" t="n">
        <v>-1</v>
      </c>
      <c r="F821" s="41" t="n">
        <v>260.108024691358</v>
      </c>
      <c r="G821" s="41" t="n">
        <v>-260.108024691358</v>
      </c>
      <c r="H821" s="1" t="s">
        <v>643</v>
      </c>
    </row>
    <row r="822" customFormat="false" ht="15" hidden="false" customHeight="true" outlineLevel="0" collapsed="false">
      <c r="A822" s="1" t="s">
        <v>639</v>
      </c>
      <c r="B822" s="1" t="s">
        <v>418</v>
      </c>
      <c r="C822" s="1" t="s">
        <v>432</v>
      </c>
      <c r="D822" s="1" t="s">
        <v>269</v>
      </c>
      <c r="E822" s="73" t="n">
        <v>0</v>
      </c>
      <c r="F822" s="41" t="n">
        <v>0</v>
      </c>
      <c r="G822" s="41" t="n">
        <v>0</v>
      </c>
      <c r="H822" s="1" t="s">
        <v>431</v>
      </c>
    </row>
    <row r="823" customFormat="false" ht="15" hidden="false" customHeight="true" outlineLevel="0" collapsed="false">
      <c r="A823" s="1" t="s">
        <v>639</v>
      </c>
      <c r="B823" s="1" t="s">
        <v>418</v>
      </c>
      <c r="C823" s="1" t="s">
        <v>433</v>
      </c>
      <c r="D823" s="1" t="s">
        <v>269</v>
      </c>
      <c r="E823" s="73" t="n">
        <v>0</v>
      </c>
      <c r="F823" s="41" t="n">
        <v>0</v>
      </c>
      <c r="G823" s="41" t="n">
        <v>0</v>
      </c>
      <c r="H823" s="1" t="s">
        <v>431</v>
      </c>
    </row>
    <row r="824" customFormat="false" ht="15" hidden="false" customHeight="true" outlineLevel="0" collapsed="false">
      <c r="A824" s="1" t="s">
        <v>639</v>
      </c>
      <c r="B824" s="1" t="s">
        <v>418</v>
      </c>
      <c r="C824" s="1" t="s">
        <v>434</v>
      </c>
      <c r="D824" s="1" t="s">
        <v>269</v>
      </c>
      <c r="E824" s="73" t="n">
        <v>3</v>
      </c>
      <c r="F824" s="41" t="n">
        <v>221.785743509048</v>
      </c>
      <c r="G824" s="41" t="n">
        <v>665.357230527144</v>
      </c>
      <c r="H824" s="1" t="s">
        <v>643</v>
      </c>
    </row>
    <row r="825" customFormat="false" ht="15" hidden="false" customHeight="true" outlineLevel="0" collapsed="false">
      <c r="A825" s="1" t="s">
        <v>639</v>
      </c>
      <c r="B825" s="1" t="s">
        <v>418</v>
      </c>
      <c r="C825" s="1" t="s">
        <v>435</v>
      </c>
      <c r="D825" s="1" t="s">
        <v>269</v>
      </c>
      <c r="E825" s="73" t="n">
        <v>0</v>
      </c>
      <c r="F825" s="41" t="n">
        <v>0</v>
      </c>
      <c r="G825" s="41" t="n">
        <v>0</v>
      </c>
      <c r="H825" s="1" t="s">
        <v>431</v>
      </c>
    </row>
    <row r="826" customFormat="false" ht="15" hidden="false" customHeight="true" outlineLevel="0" collapsed="false">
      <c r="A826" s="1" t="s">
        <v>639</v>
      </c>
      <c r="B826" s="1" t="s">
        <v>418</v>
      </c>
      <c r="C826" s="1" t="s">
        <v>436</v>
      </c>
      <c r="D826" s="1" t="s">
        <v>271</v>
      </c>
      <c r="E826" s="73" t="n">
        <v>1</v>
      </c>
      <c r="F826" s="41" t="n">
        <v>33.5</v>
      </c>
      <c r="G826" s="41" t="n">
        <v>33.5</v>
      </c>
      <c r="H826" s="1" t="s">
        <v>437</v>
      </c>
    </row>
    <row r="827" customFormat="false" ht="15" hidden="false" customHeight="true" outlineLevel="0" collapsed="false">
      <c r="A827" s="1" t="s">
        <v>639</v>
      </c>
      <c r="B827" s="1" t="s">
        <v>418</v>
      </c>
      <c r="C827" s="1" t="s">
        <v>436</v>
      </c>
      <c r="D827" s="1" t="s">
        <v>271</v>
      </c>
      <c r="E827" s="73" t="n">
        <v>1</v>
      </c>
      <c r="F827" s="41" t="n">
        <v>22</v>
      </c>
      <c r="G827" s="41" t="n">
        <v>22</v>
      </c>
      <c r="H827" s="1" t="s">
        <v>438</v>
      </c>
    </row>
    <row r="828" customFormat="false" ht="15" hidden="false" customHeight="true" outlineLevel="0" collapsed="false">
      <c r="A828" s="1" t="s">
        <v>639</v>
      </c>
      <c r="B828" s="1" t="s">
        <v>418</v>
      </c>
      <c r="C828" s="1" t="s">
        <v>419</v>
      </c>
      <c r="D828" s="1" t="s">
        <v>271</v>
      </c>
      <c r="E828" s="73" t="n">
        <v>312</v>
      </c>
      <c r="F828" s="41" t="n">
        <v>1.86</v>
      </c>
      <c r="G828" s="41" t="n">
        <v>580.32</v>
      </c>
      <c r="H828" s="1" t="s">
        <v>420</v>
      </c>
    </row>
    <row r="829" customFormat="false" ht="15" hidden="false" customHeight="true" outlineLevel="0" collapsed="false">
      <c r="A829" s="1" t="s">
        <v>639</v>
      </c>
      <c r="B829" s="1" t="s">
        <v>418</v>
      </c>
      <c r="C829" s="1" t="s">
        <v>641</v>
      </c>
      <c r="D829" s="1" t="s">
        <v>271</v>
      </c>
      <c r="E829" s="73" t="n">
        <v>1</v>
      </c>
      <c r="F829" s="41" t="n">
        <v>1366.75</v>
      </c>
      <c r="G829" s="41" t="n">
        <v>1366.75</v>
      </c>
      <c r="H829" s="1" t="s">
        <v>642</v>
      </c>
    </row>
    <row r="830" customFormat="false" ht="15" hidden="false" customHeight="true" outlineLevel="0" collapsed="false">
      <c r="A830" s="1" t="s">
        <v>639</v>
      </c>
      <c r="B830" s="1" t="s">
        <v>418</v>
      </c>
      <c r="C830" s="1" t="s">
        <v>615</v>
      </c>
      <c r="D830" s="1" t="s">
        <v>271</v>
      </c>
      <c r="E830" s="73" t="n">
        <v>0</v>
      </c>
      <c r="F830" s="41" t="n">
        <v>0</v>
      </c>
      <c r="G830" s="41" t="n">
        <v>0</v>
      </c>
      <c r="H830" s="1" t="s">
        <v>620</v>
      </c>
    </row>
    <row r="831" customFormat="false" ht="15" hidden="false" customHeight="true" outlineLevel="0" collapsed="false">
      <c r="A831" s="1" t="s">
        <v>639</v>
      </c>
      <c r="B831" s="1" t="s">
        <v>418</v>
      </c>
      <c r="C831" s="1" t="s">
        <v>427</v>
      </c>
      <c r="D831" s="1" t="s">
        <v>271</v>
      </c>
      <c r="E831" s="73" t="n">
        <v>0</v>
      </c>
      <c r="F831" s="41" t="n">
        <v>0</v>
      </c>
      <c r="G831" s="41" t="n">
        <v>0</v>
      </c>
      <c r="H831" s="1" t="s">
        <v>621</v>
      </c>
    </row>
    <row r="832" customFormat="false" ht="15" hidden="false" customHeight="true" outlineLevel="0" collapsed="false">
      <c r="A832" s="1" t="s">
        <v>639</v>
      </c>
      <c r="B832" s="1" t="s">
        <v>418</v>
      </c>
      <c r="C832" s="1" t="s">
        <v>427</v>
      </c>
      <c r="D832" s="1" t="s">
        <v>271</v>
      </c>
      <c r="E832" s="73" t="n">
        <v>1</v>
      </c>
      <c r="F832" s="41" t="n">
        <v>446.88</v>
      </c>
      <c r="G832" s="41" t="n">
        <v>446.88</v>
      </c>
      <c r="H832" s="1" t="s">
        <v>442</v>
      </c>
    </row>
    <row r="833" customFormat="false" ht="15" hidden="false" customHeight="true" outlineLevel="0" collapsed="false">
      <c r="A833" s="1" t="s">
        <v>639</v>
      </c>
      <c r="B833" s="1" t="s">
        <v>418</v>
      </c>
      <c r="C833" s="1" t="s">
        <v>427</v>
      </c>
      <c r="D833" s="1" t="s">
        <v>271</v>
      </c>
      <c r="E833" s="73" t="n">
        <v>36</v>
      </c>
      <c r="F833" s="41" t="n">
        <v>21.95</v>
      </c>
      <c r="G833" s="41" t="n">
        <v>790.2</v>
      </c>
      <c r="H833" s="1" t="s">
        <v>443</v>
      </c>
    </row>
    <row r="834" customFormat="false" ht="15" hidden="false" customHeight="true" outlineLevel="0" collapsed="false">
      <c r="A834" s="1" t="s">
        <v>639</v>
      </c>
      <c r="B834" s="1" t="s">
        <v>418</v>
      </c>
      <c r="C834" s="1" t="s">
        <v>444</v>
      </c>
      <c r="D834" s="1" t="s">
        <v>271</v>
      </c>
      <c r="E834" s="73" t="n">
        <v>1</v>
      </c>
      <c r="F834" s="41" t="n">
        <v>260.108024691358</v>
      </c>
      <c r="G834" s="41" t="n">
        <v>260.108024691358</v>
      </c>
      <c r="H834" s="1" t="s">
        <v>643</v>
      </c>
    </row>
    <row r="835" customFormat="false" ht="15" hidden="false" customHeight="true" outlineLevel="0" collapsed="false">
      <c r="A835" s="1" t="s">
        <v>639</v>
      </c>
      <c r="B835" s="1" t="s">
        <v>418</v>
      </c>
      <c r="C835" s="1" t="s">
        <v>432</v>
      </c>
      <c r="D835" s="1" t="s">
        <v>271</v>
      </c>
      <c r="E835" s="73" t="n">
        <v>2</v>
      </c>
      <c r="F835" s="41" t="n">
        <v>221.785743509048</v>
      </c>
      <c r="G835" s="41" t="n">
        <v>443.571487018096</v>
      </c>
      <c r="H835" s="1" t="s">
        <v>643</v>
      </c>
    </row>
    <row r="836" customFormat="false" ht="15" hidden="false" customHeight="true" outlineLevel="0" collapsed="false">
      <c r="A836" s="1" t="s">
        <v>639</v>
      </c>
      <c r="B836" s="1" t="s">
        <v>418</v>
      </c>
      <c r="C836" s="1" t="s">
        <v>445</v>
      </c>
      <c r="D836" s="1" t="s">
        <v>271</v>
      </c>
      <c r="E836" s="73" t="n">
        <v>0</v>
      </c>
      <c r="F836" s="41" t="n">
        <v>0</v>
      </c>
      <c r="G836" s="41" t="n">
        <v>0</v>
      </c>
      <c r="H836" s="1" t="s">
        <v>431</v>
      </c>
    </row>
    <row r="837" customFormat="false" ht="15" hidden="false" customHeight="true" outlineLevel="0" collapsed="false">
      <c r="A837" s="1" t="s">
        <v>639</v>
      </c>
      <c r="B837" s="1" t="s">
        <v>418</v>
      </c>
      <c r="C837" s="1" t="s">
        <v>446</v>
      </c>
      <c r="D837" s="1" t="s">
        <v>271</v>
      </c>
      <c r="E837" s="73" t="n">
        <v>-6</v>
      </c>
      <c r="F837" s="41" t="n">
        <v>221.785743509048</v>
      </c>
      <c r="G837" s="41" t="n">
        <v>-1330.71446105429</v>
      </c>
      <c r="H837" s="1" t="s">
        <v>643</v>
      </c>
    </row>
    <row r="838" customFormat="false" ht="15" hidden="false" customHeight="true" outlineLevel="0" collapsed="false">
      <c r="A838" s="1" t="s">
        <v>639</v>
      </c>
      <c r="B838" s="1" t="s">
        <v>418</v>
      </c>
      <c r="C838" s="1" t="s">
        <v>447</v>
      </c>
      <c r="D838" s="1" t="s">
        <v>271</v>
      </c>
      <c r="E838" s="73" t="n">
        <v>-3</v>
      </c>
      <c r="F838" s="41" t="n">
        <v>221.785743509048</v>
      </c>
      <c r="G838" s="41" t="n">
        <v>-665.357230527144</v>
      </c>
      <c r="H838" s="1" t="s">
        <v>643</v>
      </c>
    </row>
    <row r="839" customFormat="false" ht="15" hidden="false" customHeight="true" outlineLevel="0" collapsed="false">
      <c r="A839" s="1" t="s">
        <v>639</v>
      </c>
      <c r="B839" s="1" t="s">
        <v>418</v>
      </c>
      <c r="C839" s="1" t="s">
        <v>448</v>
      </c>
      <c r="D839" s="1" t="s">
        <v>271</v>
      </c>
      <c r="E839" s="73" t="n">
        <v>-2</v>
      </c>
      <c r="F839" s="41" t="n">
        <v>221.785743509048</v>
      </c>
      <c r="G839" s="41" t="n">
        <v>-443.571487018096</v>
      </c>
      <c r="H839" s="1" t="s">
        <v>643</v>
      </c>
    </row>
    <row r="840" customFormat="false" ht="15" hidden="false" customHeight="true" outlineLevel="0" collapsed="false">
      <c r="A840" s="1" t="s">
        <v>639</v>
      </c>
      <c r="B840" s="1" t="s">
        <v>418</v>
      </c>
      <c r="C840" s="1" t="s">
        <v>419</v>
      </c>
      <c r="D840" s="1" t="s">
        <v>275</v>
      </c>
      <c r="E840" s="73" t="n">
        <v>222</v>
      </c>
      <c r="F840" s="41" t="n">
        <v>1.86</v>
      </c>
      <c r="G840" s="41" t="n">
        <v>412.92</v>
      </c>
      <c r="H840" s="1" t="s">
        <v>420</v>
      </c>
    </row>
    <row r="841" customFormat="false" ht="15" hidden="false" customHeight="true" outlineLevel="0" collapsed="false">
      <c r="A841" s="1" t="s">
        <v>639</v>
      </c>
      <c r="B841" s="1" t="s">
        <v>418</v>
      </c>
      <c r="C841" s="1" t="s">
        <v>641</v>
      </c>
      <c r="D841" s="1" t="s">
        <v>275</v>
      </c>
      <c r="E841" s="73" t="n">
        <v>1</v>
      </c>
      <c r="F841" s="41" t="n">
        <v>1366.75</v>
      </c>
      <c r="G841" s="41" t="n">
        <v>1366.75</v>
      </c>
      <c r="H841" s="1" t="s">
        <v>642</v>
      </c>
    </row>
    <row r="842" customFormat="false" ht="15" hidden="false" customHeight="true" outlineLevel="0" collapsed="false">
      <c r="A842" s="1" t="s">
        <v>639</v>
      </c>
      <c r="B842" s="1" t="s">
        <v>418</v>
      </c>
      <c r="C842" s="1" t="s">
        <v>432</v>
      </c>
      <c r="D842" s="1" t="s">
        <v>275</v>
      </c>
      <c r="E842" s="73" t="n">
        <v>1</v>
      </c>
      <c r="F842" s="41" t="n">
        <v>221.785743509048</v>
      </c>
      <c r="G842" s="41" t="n">
        <v>221.785743509048</v>
      </c>
      <c r="H842" s="1" t="s">
        <v>643</v>
      </c>
    </row>
    <row r="843" customFormat="false" ht="15" hidden="false" customHeight="true" outlineLevel="0" collapsed="false">
      <c r="A843" s="1" t="s">
        <v>639</v>
      </c>
      <c r="B843" s="1" t="s">
        <v>418</v>
      </c>
      <c r="C843" s="1" t="s">
        <v>450</v>
      </c>
      <c r="D843" s="1" t="s">
        <v>275</v>
      </c>
      <c r="E843" s="73" t="n">
        <v>0</v>
      </c>
      <c r="F843" s="41" t="n">
        <v>0</v>
      </c>
      <c r="G843" s="41" t="n">
        <v>0</v>
      </c>
      <c r="H843" s="1" t="s">
        <v>643</v>
      </c>
    </row>
    <row r="844" customFormat="false" ht="15" hidden="false" customHeight="true" outlineLevel="0" collapsed="false">
      <c r="A844" s="1" t="s">
        <v>639</v>
      </c>
      <c r="B844" s="1" t="s">
        <v>418</v>
      </c>
      <c r="C844" s="1" t="s">
        <v>451</v>
      </c>
      <c r="D844" s="1" t="s">
        <v>275</v>
      </c>
      <c r="E844" s="73" t="n">
        <v>0</v>
      </c>
      <c r="F844" s="41" t="n">
        <v>0</v>
      </c>
      <c r="G844" s="41" t="n">
        <v>0</v>
      </c>
    </row>
    <row r="845" customFormat="false" ht="15" hidden="false" customHeight="true" outlineLevel="0" collapsed="false">
      <c r="A845" s="1" t="s">
        <v>639</v>
      </c>
      <c r="B845" s="1" t="s">
        <v>418</v>
      </c>
      <c r="C845" s="1" t="s">
        <v>452</v>
      </c>
      <c r="D845" s="1" t="s">
        <v>275</v>
      </c>
      <c r="E845" s="73" t="n">
        <v>0</v>
      </c>
      <c r="F845" s="41" t="n">
        <v>0</v>
      </c>
      <c r="G845" s="41" t="n">
        <v>0</v>
      </c>
      <c r="H845" s="1" t="s">
        <v>431</v>
      </c>
    </row>
    <row r="846" customFormat="false" ht="15" hidden="false" customHeight="true" outlineLevel="0" collapsed="false">
      <c r="A846" s="1" t="s">
        <v>639</v>
      </c>
      <c r="B846" s="1" t="s">
        <v>418</v>
      </c>
      <c r="C846" s="1" t="s">
        <v>419</v>
      </c>
      <c r="D846" s="1" t="s">
        <v>272</v>
      </c>
      <c r="E846" s="73" t="n">
        <v>669</v>
      </c>
      <c r="F846" s="41" t="n">
        <v>1.86</v>
      </c>
      <c r="G846" s="41" t="n">
        <v>1244.34</v>
      </c>
      <c r="H846" s="1" t="s">
        <v>420</v>
      </c>
    </row>
    <row r="847" customFormat="false" ht="15" hidden="false" customHeight="true" outlineLevel="0" collapsed="false">
      <c r="A847" s="1" t="s">
        <v>639</v>
      </c>
      <c r="B847" s="1" t="s">
        <v>418</v>
      </c>
      <c r="C847" s="1" t="s">
        <v>641</v>
      </c>
      <c r="D847" s="1" t="s">
        <v>272</v>
      </c>
      <c r="E847" s="73" t="n">
        <v>1</v>
      </c>
      <c r="F847" s="41" t="n">
        <v>1366.75</v>
      </c>
      <c r="G847" s="41" t="n">
        <v>1366.75</v>
      </c>
      <c r="H847" s="1" t="s">
        <v>642</v>
      </c>
    </row>
    <row r="848" customFormat="false" ht="15" hidden="false" customHeight="true" outlineLevel="0" collapsed="false">
      <c r="A848" s="1" t="s">
        <v>639</v>
      </c>
      <c r="B848" s="1" t="s">
        <v>418</v>
      </c>
      <c r="C848" s="1" t="s">
        <v>427</v>
      </c>
      <c r="D848" s="1" t="s">
        <v>272</v>
      </c>
      <c r="E848" s="73" t="n">
        <v>1</v>
      </c>
      <c r="F848" s="41" t="n">
        <v>173.46</v>
      </c>
      <c r="G848" s="41" t="n">
        <v>173.46</v>
      </c>
      <c r="H848" s="1" t="s">
        <v>456</v>
      </c>
    </row>
    <row r="849" customFormat="false" ht="15" hidden="false" customHeight="true" outlineLevel="0" collapsed="false">
      <c r="A849" s="1" t="s">
        <v>639</v>
      </c>
      <c r="B849" s="1" t="s">
        <v>418</v>
      </c>
      <c r="C849" s="1" t="s">
        <v>427</v>
      </c>
      <c r="D849" s="1" t="s">
        <v>272</v>
      </c>
      <c r="E849" s="73" t="n">
        <v>65</v>
      </c>
      <c r="F849" s="41" t="n">
        <v>21.95</v>
      </c>
      <c r="G849" s="41" t="n">
        <v>1426.75</v>
      </c>
      <c r="H849" s="1" t="s">
        <v>457</v>
      </c>
    </row>
    <row r="850" customFormat="false" ht="15" hidden="false" customHeight="true" outlineLevel="0" collapsed="false">
      <c r="A850" s="1" t="s">
        <v>639</v>
      </c>
      <c r="B850" s="1" t="s">
        <v>418</v>
      </c>
      <c r="C850" s="1" t="s">
        <v>458</v>
      </c>
      <c r="D850" s="1" t="s">
        <v>272</v>
      </c>
      <c r="E850" s="73" t="n">
        <v>1</v>
      </c>
      <c r="F850" s="41" t="n">
        <v>221.785743509048</v>
      </c>
      <c r="G850" s="41" t="n">
        <v>221.785743509048</v>
      </c>
      <c r="H850" s="1" t="s">
        <v>643</v>
      </c>
    </row>
    <row r="851" customFormat="false" ht="15" hidden="false" customHeight="true" outlineLevel="0" collapsed="false">
      <c r="A851" s="1" t="s">
        <v>639</v>
      </c>
      <c r="B851" s="1" t="s">
        <v>418</v>
      </c>
      <c r="C851" s="1" t="s">
        <v>459</v>
      </c>
      <c r="D851" s="1" t="s">
        <v>272</v>
      </c>
      <c r="E851" s="73" t="n">
        <v>2</v>
      </c>
      <c r="F851" s="41" t="n">
        <v>221.785743509048</v>
      </c>
      <c r="G851" s="41" t="n">
        <v>443.571487018096</v>
      </c>
      <c r="H851" s="1" t="s">
        <v>643</v>
      </c>
    </row>
    <row r="852" customFormat="false" ht="15" hidden="false" customHeight="true" outlineLevel="0" collapsed="false">
      <c r="A852" s="1" t="s">
        <v>639</v>
      </c>
      <c r="B852" s="1" t="s">
        <v>418</v>
      </c>
      <c r="C852" s="1" t="s">
        <v>460</v>
      </c>
      <c r="D852" s="1" t="s">
        <v>272</v>
      </c>
      <c r="E852" s="73" t="n">
        <v>0</v>
      </c>
      <c r="F852" s="41" t="n">
        <v>0</v>
      </c>
      <c r="G852" s="41" t="n">
        <v>0</v>
      </c>
    </row>
    <row r="853" customFormat="false" ht="15" hidden="false" customHeight="true" outlineLevel="0" collapsed="false">
      <c r="A853" s="1" t="s">
        <v>639</v>
      </c>
      <c r="B853" s="1" t="s">
        <v>418</v>
      </c>
      <c r="C853" s="1" t="s">
        <v>624</v>
      </c>
      <c r="D853" s="1" t="s">
        <v>272</v>
      </c>
      <c r="E853" s="73" t="n">
        <v>0</v>
      </c>
      <c r="F853" s="41" t="n">
        <v>0</v>
      </c>
      <c r="G853" s="41" t="n">
        <v>0</v>
      </c>
      <c r="H853" s="1" t="s">
        <v>643</v>
      </c>
    </row>
    <row r="854" customFormat="false" ht="15" hidden="false" customHeight="true" outlineLevel="0" collapsed="false">
      <c r="A854" s="1" t="s">
        <v>639</v>
      </c>
      <c r="B854" s="1" t="s">
        <v>418</v>
      </c>
      <c r="C854" s="1" t="s">
        <v>419</v>
      </c>
      <c r="D854" s="1" t="s">
        <v>266</v>
      </c>
      <c r="E854" s="73" t="n">
        <v>510</v>
      </c>
      <c r="F854" s="41" t="n">
        <v>1.86</v>
      </c>
      <c r="G854" s="41" t="n">
        <v>948.6</v>
      </c>
      <c r="H854" s="1" t="s">
        <v>420</v>
      </c>
    </row>
    <row r="855" customFormat="false" ht="15" hidden="false" customHeight="true" outlineLevel="0" collapsed="false">
      <c r="A855" s="1" t="s">
        <v>639</v>
      </c>
      <c r="B855" s="1" t="s">
        <v>418</v>
      </c>
      <c r="C855" s="1" t="s">
        <v>641</v>
      </c>
      <c r="D855" s="1" t="s">
        <v>266</v>
      </c>
      <c r="E855" s="73" t="n">
        <v>1</v>
      </c>
      <c r="F855" s="41" t="n">
        <v>1366.75</v>
      </c>
      <c r="G855" s="41" t="n">
        <v>1366.75</v>
      </c>
      <c r="H855" s="1" t="s">
        <v>642</v>
      </c>
    </row>
    <row r="856" customFormat="false" ht="15" hidden="false" customHeight="true" outlineLevel="0" collapsed="false">
      <c r="A856" s="1" t="s">
        <v>639</v>
      </c>
      <c r="B856" s="1" t="s">
        <v>418</v>
      </c>
      <c r="C856" s="1" t="s">
        <v>465</v>
      </c>
      <c r="D856" s="1" t="s">
        <v>266</v>
      </c>
      <c r="E856" s="73" t="n">
        <v>1</v>
      </c>
      <c r="F856" s="41" t="n">
        <v>542</v>
      </c>
      <c r="G856" s="41" t="n">
        <v>542</v>
      </c>
      <c r="H856" s="1" t="s">
        <v>466</v>
      </c>
    </row>
    <row r="857" customFormat="false" ht="15" hidden="false" customHeight="true" outlineLevel="0" collapsed="false">
      <c r="A857" s="1" t="s">
        <v>639</v>
      </c>
      <c r="B857" s="1" t="s">
        <v>418</v>
      </c>
      <c r="C857" s="1" t="s">
        <v>465</v>
      </c>
      <c r="D857" s="1" t="s">
        <v>266</v>
      </c>
      <c r="E857" s="73" t="n">
        <v>0</v>
      </c>
      <c r="F857" s="41" t="n">
        <v>0</v>
      </c>
      <c r="G857" s="41" t="n">
        <v>0</v>
      </c>
      <c r="H857" s="1" t="s">
        <v>443</v>
      </c>
    </row>
    <row r="858" customFormat="false" ht="15" hidden="false" customHeight="true" outlineLevel="0" collapsed="false">
      <c r="A858" s="1" t="s">
        <v>639</v>
      </c>
      <c r="B858" s="1" t="s">
        <v>418</v>
      </c>
      <c r="C858" s="1" t="s">
        <v>432</v>
      </c>
      <c r="D858" s="1" t="s">
        <v>266</v>
      </c>
      <c r="E858" s="73" t="n">
        <v>6</v>
      </c>
      <c r="F858" s="41" t="n">
        <v>221.785743509048</v>
      </c>
      <c r="G858" s="41" t="n">
        <v>1330.71446105429</v>
      </c>
      <c r="H858" s="1" t="s">
        <v>643</v>
      </c>
    </row>
    <row r="859" customFormat="false" ht="15" hidden="false" customHeight="true" outlineLevel="0" collapsed="false">
      <c r="A859" s="1" t="s">
        <v>639</v>
      </c>
      <c r="B859" s="1" t="s">
        <v>418</v>
      </c>
      <c r="C859" s="1" t="s">
        <v>468</v>
      </c>
      <c r="D859" s="1" t="s">
        <v>266</v>
      </c>
      <c r="E859" s="73" t="n">
        <v>0</v>
      </c>
      <c r="F859" s="41" t="n">
        <v>0</v>
      </c>
      <c r="G859" s="41" t="n">
        <v>0</v>
      </c>
      <c r="H859" s="1" t="s">
        <v>431</v>
      </c>
    </row>
    <row r="860" customFormat="false" ht="15" hidden="false" customHeight="true" outlineLevel="0" collapsed="false">
      <c r="A860" s="1" t="s">
        <v>639</v>
      </c>
      <c r="B860" s="1" t="s">
        <v>418</v>
      </c>
      <c r="C860" s="1" t="s">
        <v>469</v>
      </c>
      <c r="D860" s="1" t="s">
        <v>266</v>
      </c>
      <c r="E860" s="73" t="n">
        <v>0</v>
      </c>
      <c r="F860" s="41" t="n">
        <v>0</v>
      </c>
      <c r="G860" s="41" t="n">
        <v>0</v>
      </c>
      <c r="H860" s="1" t="s">
        <v>431</v>
      </c>
    </row>
    <row r="861" customFormat="false" ht="15" hidden="false" customHeight="true" outlineLevel="0" collapsed="false">
      <c r="A861" s="1" t="s">
        <v>639</v>
      </c>
      <c r="B861" s="1" t="s">
        <v>418</v>
      </c>
      <c r="C861" s="1" t="s">
        <v>644</v>
      </c>
      <c r="D861" s="1" t="s">
        <v>266</v>
      </c>
      <c r="E861" s="73" t="n">
        <v>0</v>
      </c>
      <c r="F861" s="41" t="n">
        <v>0</v>
      </c>
      <c r="G861" s="41" t="n">
        <v>0</v>
      </c>
      <c r="H861" s="1" t="s">
        <v>431</v>
      </c>
    </row>
    <row r="862" customFormat="false" ht="15" hidden="false" customHeight="true" outlineLevel="0" collapsed="false">
      <c r="A862" s="1" t="s">
        <v>639</v>
      </c>
      <c r="B862" s="1" t="s">
        <v>418</v>
      </c>
      <c r="C862" s="1" t="s">
        <v>419</v>
      </c>
      <c r="D862" s="1" t="s">
        <v>267</v>
      </c>
      <c r="E862" s="73" t="n">
        <v>154</v>
      </c>
      <c r="F862" s="41" t="n">
        <v>1.86</v>
      </c>
      <c r="G862" s="41" t="n">
        <v>286.44</v>
      </c>
      <c r="H862" s="1" t="s">
        <v>420</v>
      </c>
    </row>
    <row r="863" customFormat="false" ht="15" hidden="false" customHeight="true" outlineLevel="0" collapsed="false">
      <c r="A863" s="1" t="s">
        <v>639</v>
      </c>
      <c r="B863" s="1" t="s">
        <v>418</v>
      </c>
      <c r="C863" s="1" t="s">
        <v>641</v>
      </c>
      <c r="D863" s="1" t="s">
        <v>267</v>
      </c>
      <c r="E863" s="73" t="n">
        <v>1</v>
      </c>
      <c r="F863" s="41" t="n">
        <v>1366.75</v>
      </c>
      <c r="G863" s="41" t="n">
        <v>1366.75</v>
      </c>
      <c r="H863" s="1" t="s">
        <v>642</v>
      </c>
    </row>
    <row r="864" customFormat="false" ht="15" hidden="false" customHeight="true" outlineLevel="0" collapsed="false">
      <c r="A864" s="1" t="s">
        <v>639</v>
      </c>
      <c r="B864" s="1" t="s">
        <v>418</v>
      </c>
      <c r="C864" s="1" t="s">
        <v>465</v>
      </c>
      <c r="D864" s="1" t="s">
        <v>267</v>
      </c>
      <c r="E864" s="73" t="n">
        <v>1</v>
      </c>
      <c r="F864" s="41" t="n">
        <v>729</v>
      </c>
      <c r="G864" s="41" t="n">
        <v>729</v>
      </c>
      <c r="H864" s="1" t="s">
        <v>472</v>
      </c>
    </row>
    <row r="865" customFormat="false" ht="15" hidden="false" customHeight="true" outlineLevel="0" collapsed="false">
      <c r="A865" s="1" t="s">
        <v>639</v>
      </c>
      <c r="B865" s="1" t="s">
        <v>418</v>
      </c>
      <c r="C865" s="1" t="s">
        <v>465</v>
      </c>
      <c r="D865" s="1" t="s">
        <v>267</v>
      </c>
      <c r="E865" s="73" t="n">
        <v>35</v>
      </c>
      <c r="F865" s="41" t="n">
        <v>18.52</v>
      </c>
      <c r="G865" s="41" t="n">
        <v>648.2</v>
      </c>
      <c r="H865" s="1" t="s">
        <v>443</v>
      </c>
    </row>
    <row r="866" customFormat="false" ht="15" hidden="false" customHeight="true" outlineLevel="0" collapsed="false">
      <c r="A866" s="1" t="s">
        <v>639</v>
      </c>
      <c r="B866" s="1" t="s">
        <v>418</v>
      </c>
      <c r="C866" s="1" t="s">
        <v>432</v>
      </c>
      <c r="D866" s="1" t="s">
        <v>267</v>
      </c>
      <c r="E866" s="73" t="n">
        <v>0</v>
      </c>
      <c r="F866" s="41" t="n">
        <v>0</v>
      </c>
      <c r="G866" s="41" t="n">
        <v>0</v>
      </c>
      <c r="H866" s="1" t="s">
        <v>431</v>
      </c>
    </row>
    <row r="867" customFormat="false" ht="15" hidden="false" customHeight="true" outlineLevel="0" collapsed="false">
      <c r="A867" s="1" t="s">
        <v>639</v>
      </c>
      <c r="B867" s="1" t="s">
        <v>418</v>
      </c>
      <c r="C867" s="1" t="s">
        <v>473</v>
      </c>
      <c r="D867" s="1" t="s">
        <v>267</v>
      </c>
      <c r="E867" s="73" t="n">
        <v>-1</v>
      </c>
      <c r="F867" s="41" t="n">
        <v>519.806923076923</v>
      </c>
      <c r="G867" s="41" t="n">
        <v>-519.806923076923</v>
      </c>
      <c r="H867" s="1" t="s">
        <v>643</v>
      </c>
    </row>
    <row r="868" customFormat="false" ht="15" hidden="false" customHeight="true" outlineLevel="0" collapsed="false">
      <c r="A868" s="1" t="s">
        <v>639</v>
      </c>
      <c r="B868" s="1" t="s">
        <v>418</v>
      </c>
      <c r="C868" s="1" t="s">
        <v>436</v>
      </c>
      <c r="D868" s="1" t="s">
        <v>264</v>
      </c>
      <c r="E868" s="73" t="n">
        <v>1</v>
      </c>
      <c r="F868" s="41" t="n">
        <v>25.5</v>
      </c>
      <c r="G868" s="41" t="n">
        <v>25.5</v>
      </c>
      <c r="H868" s="1" t="s">
        <v>564</v>
      </c>
    </row>
    <row r="869" customFormat="false" ht="15" hidden="false" customHeight="true" outlineLevel="0" collapsed="false">
      <c r="A869" s="1" t="s">
        <v>639</v>
      </c>
      <c r="B869" s="1" t="s">
        <v>418</v>
      </c>
      <c r="C869" s="1" t="s">
        <v>419</v>
      </c>
      <c r="D869" s="1" t="s">
        <v>264</v>
      </c>
      <c r="E869" s="73" t="n">
        <v>268</v>
      </c>
      <c r="F869" s="41" t="n">
        <v>1.86</v>
      </c>
      <c r="G869" s="41" t="n">
        <v>498.48</v>
      </c>
      <c r="H869" s="1" t="s">
        <v>420</v>
      </c>
    </row>
    <row r="870" customFormat="false" ht="15" hidden="false" customHeight="true" outlineLevel="0" collapsed="false">
      <c r="A870" s="1" t="s">
        <v>639</v>
      </c>
      <c r="B870" s="1" t="s">
        <v>418</v>
      </c>
      <c r="C870" s="1" t="s">
        <v>641</v>
      </c>
      <c r="D870" s="1" t="s">
        <v>264</v>
      </c>
      <c r="E870" s="73" t="n">
        <v>1</v>
      </c>
      <c r="F870" s="41" t="n">
        <v>1366.75</v>
      </c>
      <c r="G870" s="41" t="n">
        <v>1366.75</v>
      </c>
      <c r="H870" s="1" t="s">
        <v>642</v>
      </c>
    </row>
    <row r="871" customFormat="false" ht="15" hidden="false" customHeight="true" outlineLevel="0" collapsed="false">
      <c r="A871" s="1" t="s">
        <v>639</v>
      </c>
      <c r="B871" s="1" t="s">
        <v>418</v>
      </c>
      <c r="C871" s="1" t="s">
        <v>432</v>
      </c>
      <c r="D871" s="1" t="s">
        <v>264</v>
      </c>
      <c r="E871" s="73" t="n">
        <v>5</v>
      </c>
      <c r="F871" s="41" t="n">
        <v>221.785743509048</v>
      </c>
      <c r="G871" s="41" t="n">
        <v>1108.92871754524</v>
      </c>
      <c r="H871" s="1" t="s">
        <v>645</v>
      </c>
    </row>
    <row r="872" customFormat="false" ht="15" hidden="false" customHeight="true" outlineLevel="0" collapsed="false">
      <c r="A872" s="1" t="s">
        <v>639</v>
      </c>
      <c r="B872" s="1" t="s">
        <v>418</v>
      </c>
      <c r="C872" s="1" t="s">
        <v>477</v>
      </c>
      <c r="D872" s="1" t="s">
        <v>264</v>
      </c>
      <c r="E872" s="73" t="n">
        <v>0</v>
      </c>
      <c r="F872" s="41" t="n">
        <v>0</v>
      </c>
      <c r="G872" s="41" t="n">
        <v>0</v>
      </c>
    </row>
    <row r="873" customFormat="false" ht="15" hidden="false" customHeight="true" outlineLevel="0" collapsed="false">
      <c r="A873" s="1" t="s">
        <v>639</v>
      </c>
      <c r="B873" s="1" t="s">
        <v>418</v>
      </c>
      <c r="C873" s="1" t="s">
        <v>478</v>
      </c>
      <c r="D873" s="1" t="s">
        <v>264</v>
      </c>
      <c r="E873" s="73" t="n">
        <v>-8</v>
      </c>
      <c r="F873" s="41" t="n">
        <v>289.27</v>
      </c>
      <c r="G873" s="41" t="n">
        <v>-2314.16</v>
      </c>
      <c r="H873" s="1" t="s">
        <v>643</v>
      </c>
    </row>
    <row r="874" customFormat="false" ht="15" hidden="false" customHeight="true" outlineLevel="0" collapsed="false">
      <c r="A874" s="1" t="s">
        <v>639</v>
      </c>
      <c r="B874" s="1" t="s">
        <v>418</v>
      </c>
      <c r="C874" s="1" t="s">
        <v>626</v>
      </c>
      <c r="D874" s="1" t="s">
        <v>264</v>
      </c>
      <c r="E874" s="73" t="n">
        <v>0</v>
      </c>
      <c r="F874" s="41" t="n">
        <v>0</v>
      </c>
      <c r="G874" s="41" t="n">
        <v>0</v>
      </c>
      <c r="H874" s="1" t="s">
        <v>431</v>
      </c>
    </row>
    <row r="875" customFormat="false" ht="15" hidden="false" customHeight="true" outlineLevel="0" collapsed="false">
      <c r="A875" s="1" t="s">
        <v>639</v>
      </c>
      <c r="B875" s="1" t="s">
        <v>418</v>
      </c>
      <c r="C875" s="1" t="s">
        <v>480</v>
      </c>
      <c r="D875" s="1" t="s">
        <v>264</v>
      </c>
      <c r="E875" s="73" t="n">
        <v>0</v>
      </c>
      <c r="F875" s="41" t="n">
        <v>0</v>
      </c>
      <c r="G875" s="41" t="n">
        <v>0</v>
      </c>
    </row>
    <row r="876" customFormat="false" ht="15" hidden="false" customHeight="true" outlineLevel="0" collapsed="false">
      <c r="A876" s="1" t="s">
        <v>639</v>
      </c>
      <c r="B876" s="1" t="s">
        <v>481</v>
      </c>
      <c r="C876" s="1" t="s">
        <v>482</v>
      </c>
      <c r="D876" s="1" t="s">
        <v>269</v>
      </c>
      <c r="E876" s="73" t="n">
        <v>6588</v>
      </c>
      <c r="F876" s="41" t="n">
        <v>0.2</v>
      </c>
      <c r="G876" s="41" t="n">
        <v>1317.6</v>
      </c>
      <c r="H876" s="1" t="s">
        <v>402</v>
      </c>
    </row>
    <row r="877" customFormat="false" ht="15" hidden="false" customHeight="true" outlineLevel="0" collapsed="false">
      <c r="A877" s="1" t="s">
        <v>639</v>
      </c>
      <c r="B877" s="1" t="s">
        <v>481</v>
      </c>
      <c r="C877" s="1" t="s">
        <v>482</v>
      </c>
      <c r="D877" s="1" t="s">
        <v>271</v>
      </c>
      <c r="E877" s="73" t="n">
        <v>13530</v>
      </c>
      <c r="F877" s="41" t="n">
        <v>0.2</v>
      </c>
      <c r="G877" s="41" t="n">
        <v>2706</v>
      </c>
      <c r="H877" s="1" t="s">
        <v>402</v>
      </c>
    </row>
    <row r="878" customFormat="false" ht="15" hidden="false" customHeight="true" outlineLevel="0" collapsed="false">
      <c r="A878" s="1" t="s">
        <v>639</v>
      </c>
      <c r="B878" s="1" t="s">
        <v>481</v>
      </c>
      <c r="C878" s="1" t="s">
        <v>482</v>
      </c>
      <c r="D878" s="1" t="s">
        <v>275</v>
      </c>
      <c r="E878" s="73" t="n">
        <v>3765</v>
      </c>
      <c r="F878" s="41" t="n">
        <v>0.2</v>
      </c>
      <c r="G878" s="41" t="n">
        <v>753</v>
      </c>
      <c r="H878" s="1" t="s">
        <v>402</v>
      </c>
    </row>
    <row r="879" customFormat="false" ht="15" hidden="false" customHeight="true" outlineLevel="0" collapsed="false">
      <c r="A879" s="1" t="s">
        <v>639</v>
      </c>
      <c r="B879" s="1" t="s">
        <v>481</v>
      </c>
      <c r="C879" s="1" t="s">
        <v>482</v>
      </c>
      <c r="D879" s="1" t="s">
        <v>272</v>
      </c>
      <c r="E879" s="73" t="n">
        <v>6568</v>
      </c>
      <c r="F879" s="41" t="n">
        <v>0.2</v>
      </c>
      <c r="G879" s="41" t="n">
        <v>1313.6</v>
      </c>
      <c r="H879" s="1" t="s">
        <v>402</v>
      </c>
    </row>
    <row r="880" customFormat="false" ht="15" hidden="false" customHeight="true" outlineLevel="0" collapsed="false">
      <c r="A880" s="1" t="s">
        <v>639</v>
      </c>
      <c r="B880" s="1" t="s">
        <v>481</v>
      </c>
      <c r="C880" s="1" t="s">
        <v>482</v>
      </c>
      <c r="D880" s="1" t="s">
        <v>266</v>
      </c>
      <c r="E880" s="73" t="n">
        <v>14689</v>
      </c>
      <c r="F880" s="41" t="n">
        <v>0.2</v>
      </c>
      <c r="G880" s="41" t="n">
        <v>2937.8</v>
      </c>
      <c r="H880" s="1" t="s">
        <v>402</v>
      </c>
    </row>
    <row r="881" customFormat="false" ht="15" hidden="false" customHeight="true" outlineLevel="0" collapsed="false">
      <c r="A881" s="1" t="s">
        <v>639</v>
      </c>
      <c r="B881" s="1" t="s">
        <v>481</v>
      </c>
      <c r="C881" s="1" t="s">
        <v>482</v>
      </c>
      <c r="D881" s="1" t="s">
        <v>267</v>
      </c>
      <c r="E881" s="73" t="n">
        <v>4805</v>
      </c>
      <c r="F881" s="41" t="n">
        <v>0.2</v>
      </c>
      <c r="G881" s="41" t="n">
        <v>961</v>
      </c>
      <c r="H881" s="1" t="s">
        <v>402</v>
      </c>
    </row>
    <row r="882" customFormat="false" ht="15" hidden="false" customHeight="true" outlineLevel="0" collapsed="false">
      <c r="A882" s="1" t="s">
        <v>639</v>
      </c>
      <c r="B882" s="1" t="s">
        <v>481</v>
      </c>
      <c r="C882" s="1" t="s">
        <v>482</v>
      </c>
      <c r="D882" s="1" t="s">
        <v>264</v>
      </c>
      <c r="E882" s="73" t="n">
        <v>4806</v>
      </c>
      <c r="F882" s="41" t="n">
        <v>0.2</v>
      </c>
      <c r="G882" s="41" t="n">
        <v>961.2</v>
      </c>
      <c r="H882" s="1" t="s">
        <v>402</v>
      </c>
    </row>
    <row r="883" customFormat="false" ht="15" hidden="false" customHeight="true" outlineLevel="0" collapsed="false">
      <c r="A883" s="1" t="s">
        <v>639</v>
      </c>
      <c r="B883" s="1" t="s">
        <v>485</v>
      </c>
      <c r="C883" s="1" t="s">
        <v>486</v>
      </c>
      <c r="D883" s="1" t="s">
        <v>271</v>
      </c>
      <c r="E883" s="73" t="n">
        <v>13530</v>
      </c>
      <c r="F883" s="41" t="n">
        <v>0.11</v>
      </c>
      <c r="G883" s="41" t="n">
        <v>1488.3</v>
      </c>
      <c r="H883" s="1" t="s">
        <v>402</v>
      </c>
    </row>
    <row r="884" customFormat="false" ht="15" hidden="false" customHeight="true" outlineLevel="0" collapsed="false">
      <c r="A884" s="1" t="s">
        <v>639</v>
      </c>
      <c r="B884" s="1" t="s">
        <v>45</v>
      </c>
      <c r="C884" s="1" t="s">
        <v>487</v>
      </c>
      <c r="D884" s="1" t="s">
        <v>269</v>
      </c>
      <c r="E884" s="73" t="n">
        <v>1579</v>
      </c>
      <c r="F884" s="41" t="n">
        <v>7.19</v>
      </c>
      <c r="G884" s="41" t="n">
        <v>11353.01</v>
      </c>
      <c r="H884" s="1" t="s">
        <v>488</v>
      </c>
    </row>
    <row r="885" customFormat="false" ht="15" hidden="false" customHeight="true" outlineLevel="0" collapsed="false">
      <c r="A885" s="1" t="s">
        <v>639</v>
      </c>
      <c r="B885" s="1" t="s">
        <v>45</v>
      </c>
      <c r="C885" s="1" t="s">
        <v>487</v>
      </c>
      <c r="D885" s="1" t="s">
        <v>275</v>
      </c>
      <c r="E885" s="73" t="n">
        <v>469</v>
      </c>
      <c r="F885" s="41" t="n">
        <v>7.19</v>
      </c>
      <c r="G885" s="41" t="n">
        <v>3372.11</v>
      </c>
      <c r="H885" s="1" t="s">
        <v>488</v>
      </c>
    </row>
    <row r="886" customFormat="false" ht="15" hidden="false" customHeight="true" outlineLevel="0" collapsed="false">
      <c r="A886" s="1" t="s">
        <v>639</v>
      </c>
      <c r="B886" s="1" t="s">
        <v>45</v>
      </c>
      <c r="C886" s="1" t="s">
        <v>487</v>
      </c>
      <c r="D886" s="1" t="s">
        <v>272</v>
      </c>
      <c r="E886" s="73" t="n">
        <v>727</v>
      </c>
      <c r="F886" s="41" t="n">
        <v>7.20444291609354</v>
      </c>
      <c r="G886" s="41" t="n">
        <v>5237.63</v>
      </c>
      <c r="H886" s="1" t="s">
        <v>488</v>
      </c>
    </row>
    <row r="887" customFormat="false" ht="15" hidden="false" customHeight="true" outlineLevel="0" collapsed="false">
      <c r="A887" s="1" t="s">
        <v>639</v>
      </c>
      <c r="B887" s="1" t="s">
        <v>45</v>
      </c>
      <c r="C887" s="1" t="s">
        <v>487</v>
      </c>
      <c r="D887" s="1" t="s">
        <v>266</v>
      </c>
      <c r="E887" s="73" t="n">
        <v>2981</v>
      </c>
      <c r="F887" s="41" t="n">
        <v>7.19</v>
      </c>
      <c r="G887" s="41" t="n">
        <v>21433.39</v>
      </c>
      <c r="H887" s="1" t="s">
        <v>488</v>
      </c>
    </row>
    <row r="888" customFormat="false" ht="15" hidden="false" customHeight="true" outlineLevel="0" collapsed="false">
      <c r="A888" s="1" t="s">
        <v>639</v>
      </c>
      <c r="B888" s="1" t="s">
        <v>45</v>
      </c>
      <c r="C888" s="1" t="s">
        <v>487</v>
      </c>
      <c r="D888" s="1" t="s">
        <v>267</v>
      </c>
      <c r="E888" s="73" t="n">
        <v>2548</v>
      </c>
      <c r="F888" s="41" t="n">
        <v>7.19859497645212</v>
      </c>
      <c r="G888" s="41" t="n">
        <v>18342.02</v>
      </c>
      <c r="H888" s="1" t="s">
        <v>488</v>
      </c>
    </row>
    <row r="889" customFormat="false" ht="15" hidden="false" customHeight="true" outlineLevel="0" collapsed="false">
      <c r="A889" s="1" t="s">
        <v>639</v>
      </c>
      <c r="B889" s="1" t="s">
        <v>45</v>
      </c>
      <c r="C889" s="1" t="s">
        <v>489</v>
      </c>
      <c r="D889" s="1" t="s">
        <v>264</v>
      </c>
      <c r="E889" s="73" t="n">
        <v>0</v>
      </c>
      <c r="F889" s="41" t="n">
        <v>0</v>
      </c>
      <c r="G889" s="41" t="n">
        <v>0</v>
      </c>
      <c r="H889" s="1" t="s">
        <v>490</v>
      </c>
    </row>
    <row r="890" customFormat="false" ht="15" hidden="false" customHeight="true" outlineLevel="0" collapsed="false">
      <c r="A890" s="1" t="s">
        <v>639</v>
      </c>
      <c r="B890" s="1" t="s">
        <v>45</v>
      </c>
      <c r="C890" s="1" t="s">
        <v>487</v>
      </c>
      <c r="D890" s="1" t="s">
        <v>264</v>
      </c>
      <c r="E890" s="73" t="n">
        <v>1</v>
      </c>
      <c r="F890" s="41" t="n">
        <v>800</v>
      </c>
      <c r="G890" s="41" t="n">
        <v>800</v>
      </c>
      <c r="H890" s="1" t="s">
        <v>488</v>
      </c>
    </row>
    <row r="891" customFormat="false" ht="15" hidden="false" customHeight="true" outlineLevel="0" collapsed="false">
      <c r="A891" s="1" t="s">
        <v>639</v>
      </c>
      <c r="B891" s="1" t="s">
        <v>50</v>
      </c>
      <c r="C891" s="1" t="s">
        <v>491</v>
      </c>
      <c r="D891" s="1" t="s">
        <v>269</v>
      </c>
      <c r="E891" s="73" t="n">
        <v>0</v>
      </c>
      <c r="F891" s="41" t="n">
        <v>0</v>
      </c>
      <c r="G891" s="41" t="n">
        <v>0</v>
      </c>
      <c r="H891" s="1" t="s">
        <v>492</v>
      </c>
    </row>
    <row r="892" customFormat="false" ht="15" hidden="false" customHeight="true" outlineLevel="0" collapsed="false">
      <c r="A892" s="1" t="s">
        <v>639</v>
      </c>
      <c r="B892" s="1" t="s">
        <v>50</v>
      </c>
      <c r="C892" s="1" t="s">
        <v>491</v>
      </c>
      <c r="D892" s="1" t="s">
        <v>271</v>
      </c>
      <c r="E892" s="73" t="n">
        <v>0</v>
      </c>
      <c r="F892" s="41" t="n">
        <v>0</v>
      </c>
      <c r="G892" s="41" t="n">
        <v>0</v>
      </c>
      <c r="H892" s="1" t="s">
        <v>492</v>
      </c>
    </row>
    <row r="893" customFormat="false" ht="15" hidden="false" customHeight="true" outlineLevel="0" collapsed="false">
      <c r="A893" s="1" t="s">
        <v>639</v>
      </c>
      <c r="B893" s="1" t="s">
        <v>50</v>
      </c>
      <c r="C893" s="1" t="s">
        <v>491</v>
      </c>
      <c r="D893" s="1" t="s">
        <v>275</v>
      </c>
      <c r="E893" s="73" t="n">
        <v>0</v>
      </c>
      <c r="F893" s="41" t="n">
        <v>0</v>
      </c>
      <c r="G893" s="41" t="n">
        <v>0</v>
      </c>
      <c r="H893" s="1" t="s">
        <v>492</v>
      </c>
    </row>
    <row r="894" customFormat="false" ht="15" hidden="false" customHeight="true" outlineLevel="0" collapsed="false">
      <c r="A894" s="1" t="s">
        <v>639</v>
      </c>
      <c r="B894" s="1" t="s">
        <v>50</v>
      </c>
      <c r="C894" s="1" t="s">
        <v>491</v>
      </c>
      <c r="D894" s="1" t="s">
        <v>272</v>
      </c>
      <c r="E894" s="73" t="n">
        <v>0</v>
      </c>
      <c r="F894" s="41" t="n">
        <v>0</v>
      </c>
      <c r="G894" s="41" t="n">
        <v>0</v>
      </c>
      <c r="H894" s="1" t="s">
        <v>493</v>
      </c>
    </row>
    <row r="895" customFormat="false" ht="15" hidden="false" customHeight="true" outlineLevel="0" collapsed="false">
      <c r="A895" s="1" t="s">
        <v>639</v>
      </c>
      <c r="B895" s="1" t="s">
        <v>50</v>
      </c>
      <c r="C895" s="1" t="s">
        <v>491</v>
      </c>
      <c r="D895" s="1" t="s">
        <v>272</v>
      </c>
      <c r="E895" s="73" t="n">
        <v>0</v>
      </c>
      <c r="F895" s="41" t="n">
        <v>0</v>
      </c>
      <c r="G895" s="41" t="n">
        <v>0</v>
      </c>
      <c r="H895" s="1" t="s">
        <v>492</v>
      </c>
    </row>
    <row r="896" customFormat="false" ht="15" hidden="false" customHeight="true" outlineLevel="0" collapsed="false">
      <c r="A896" s="1" t="s">
        <v>639</v>
      </c>
      <c r="B896" s="1" t="s">
        <v>50</v>
      </c>
      <c r="C896" s="1" t="s">
        <v>491</v>
      </c>
      <c r="D896" s="1" t="s">
        <v>266</v>
      </c>
      <c r="E896" s="73" t="n">
        <v>0</v>
      </c>
      <c r="F896" s="41" t="n">
        <v>0</v>
      </c>
      <c r="G896" s="41" t="n">
        <v>0</v>
      </c>
      <c r="H896" s="1" t="s">
        <v>494</v>
      </c>
    </row>
    <row r="897" customFormat="false" ht="15" hidden="false" customHeight="true" outlineLevel="0" collapsed="false">
      <c r="A897" s="1" t="s">
        <v>639</v>
      </c>
      <c r="B897" s="1" t="s">
        <v>50</v>
      </c>
      <c r="C897" s="1" t="s">
        <v>491</v>
      </c>
      <c r="D897" s="1" t="s">
        <v>266</v>
      </c>
      <c r="E897" s="73" t="n">
        <v>0</v>
      </c>
      <c r="F897" s="41" t="n">
        <v>0</v>
      </c>
      <c r="G897" s="41" t="n">
        <v>0</v>
      </c>
      <c r="H897" s="1" t="s">
        <v>492</v>
      </c>
    </row>
    <row r="898" customFormat="false" ht="15" hidden="false" customHeight="true" outlineLevel="0" collapsed="false">
      <c r="A898" s="1" t="s">
        <v>639</v>
      </c>
      <c r="B898" s="1" t="s">
        <v>50</v>
      </c>
      <c r="C898" s="1" t="s">
        <v>491</v>
      </c>
      <c r="D898" s="1" t="s">
        <v>267</v>
      </c>
      <c r="E898" s="73" t="n">
        <v>0</v>
      </c>
      <c r="F898" s="41" t="n">
        <v>0</v>
      </c>
      <c r="G898" s="41" t="n">
        <v>0</v>
      </c>
      <c r="H898" s="1" t="s">
        <v>492</v>
      </c>
    </row>
    <row r="899" customFormat="false" ht="15" hidden="false" customHeight="true" outlineLevel="0" collapsed="false">
      <c r="A899" s="1" t="s">
        <v>639</v>
      </c>
      <c r="B899" s="1" t="s">
        <v>50</v>
      </c>
      <c r="C899" s="1" t="s">
        <v>491</v>
      </c>
      <c r="D899" s="1" t="s">
        <v>264</v>
      </c>
      <c r="E899" s="73" t="n">
        <v>0</v>
      </c>
      <c r="F899" s="41" t="n">
        <v>0</v>
      </c>
      <c r="G899" s="41" t="n">
        <v>0</v>
      </c>
      <c r="H899" s="1" t="s">
        <v>492</v>
      </c>
    </row>
    <row r="900" customFormat="false" ht="15" hidden="false" customHeight="true" outlineLevel="0" collapsed="false">
      <c r="A900" s="1" t="s">
        <v>639</v>
      </c>
      <c r="B900" s="1" t="s">
        <v>495</v>
      </c>
      <c r="C900" s="1" t="s">
        <v>496</v>
      </c>
      <c r="D900" s="1" t="s">
        <v>269</v>
      </c>
      <c r="E900" s="73" t="n">
        <v>0</v>
      </c>
      <c r="F900" s="41" t="n">
        <v>0</v>
      </c>
      <c r="G900" s="41" t="n">
        <v>0</v>
      </c>
      <c r="H900" s="1" t="s">
        <v>497</v>
      </c>
    </row>
    <row r="901" customFormat="false" ht="15" hidden="false" customHeight="true" outlineLevel="0" collapsed="false">
      <c r="A901" s="1" t="s">
        <v>639</v>
      </c>
      <c r="B901" s="1" t="s">
        <v>495</v>
      </c>
      <c r="C901" s="1" t="s">
        <v>498</v>
      </c>
      <c r="D901" s="1" t="s">
        <v>269</v>
      </c>
      <c r="E901" s="73" t="n">
        <v>0</v>
      </c>
      <c r="F901" s="41" t="n">
        <v>0</v>
      </c>
      <c r="G901" s="41" t="n">
        <v>0</v>
      </c>
      <c r="H901" s="1" t="s">
        <v>499</v>
      </c>
    </row>
    <row r="902" customFormat="false" ht="15" hidden="false" customHeight="true" outlineLevel="0" collapsed="false">
      <c r="A902" s="1" t="s">
        <v>639</v>
      </c>
      <c r="B902" s="1" t="s">
        <v>495</v>
      </c>
      <c r="C902" s="1" t="s">
        <v>500</v>
      </c>
      <c r="D902" s="1" t="s">
        <v>269</v>
      </c>
      <c r="E902" s="73" t="n">
        <v>10</v>
      </c>
      <c r="F902" s="41" t="n">
        <v>20</v>
      </c>
      <c r="G902" s="41" t="n">
        <v>200</v>
      </c>
      <c r="H902" s="1" t="s">
        <v>501</v>
      </c>
    </row>
    <row r="903" customFormat="false" ht="15" hidden="false" customHeight="true" outlineLevel="0" collapsed="false">
      <c r="A903" s="1" t="s">
        <v>639</v>
      </c>
      <c r="B903" s="1" t="s">
        <v>495</v>
      </c>
      <c r="C903" s="1" t="s">
        <v>502</v>
      </c>
      <c r="D903" s="1" t="s">
        <v>269</v>
      </c>
      <c r="E903" s="73" t="n">
        <v>1</v>
      </c>
      <c r="F903" s="41" t="n">
        <v>927.69</v>
      </c>
      <c r="G903" s="41" t="n">
        <v>927.69</v>
      </c>
      <c r="H903" s="1" t="s">
        <v>646</v>
      </c>
    </row>
    <row r="904" customFormat="false" ht="15" hidden="false" customHeight="true" outlineLevel="0" collapsed="false">
      <c r="A904" s="1" t="s">
        <v>639</v>
      </c>
      <c r="B904" s="1" t="s">
        <v>495</v>
      </c>
      <c r="C904" s="1" t="s">
        <v>504</v>
      </c>
      <c r="D904" s="1" t="s">
        <v>269</v>
      </c>
      <c r="E904" s="73" t="n">
        <v>1</v>
      </c>
      <c r="F904" s="41" t="n">
        <v>480</v>
      </c>
      <c r="G904" s="41" t="n">
        <v>480</v>
      </c>
      <c r="H904" s="1" t="s">
        <v>505</v>
      </c>
    </row>
    <row r="905" customFormat="false" ht="15" hidden="false" customHeight="true" outlineLevel="0" collapsed="false">
      <c r="A905" s="1" t="s">
        <v>639</v>
      </c>
      <c r="B905" s="1" t="s">
        <v>495</v>
      </c>
      <c r="C905" s="1" t="s">
        <v>502</v>
      </c>
      <c r="D905" s="1" t="s">
        <v>271</v>
      </c>
      <c r="E905" s="73" t="n">
        <v>0</v>
      </c>
      <c r="F905" s="41" t="n">
        <v>0</v>
      </c>
      <c r="G905" s="41" t="n">
        <v>0</v>
      </c>
      <c r="H905" s="1" t="s">
        <v>503</v>
      </c>
    </row>
    <row r="906" customFormat="false" ht="15" hidden="false" customHeight="true" outlineLevel="0" collapsed="false">
      <c r="A906" s="1" t="s">
        <v>639</v>
      </c>
      <c r="B906" s="1" t="s">
        <v>495</v>
      </c>
      <c r="C906" s="1" t="s">
        <v>500</v>
      </c>
      <c r="D906" s="1" t="s">
        <v>275</v>
      </c>
      <c r="E906" s="73" t="n">
        <v>3</v>
      </c>
      <c r="F906" s="41" t="n">
        <v>20</v>
      </c>
      <c r="G906" s="41" t="n">
        <v>60</v>
      </c>
      <c r="H906" s="1" t="s">
        <v>501</v>
      </c>
    </row>
    <row r="907" customFormat="false" ht="15" hidden="false" customHeight="true" outlineLevel="0" collapsed="false">
      <c r="A907" s="1" t="s">
        <v>639</v>
      </c>
      <c r="B907" s="1" t="s">
        <v>495</v>
      </c>
      <c r="C907" s="1" t="s">
        <v>502</v>
      </c>
      <c r="D907" s="1" t="s">
        <v>275</v>
      </c>
      <c r="E907" s="73" t="n">
        <v>0</v>
      </c>
      <c r="F907" s="41" t="n">
        <v>0</v>
      </c>
      <c r="G907" s="41" t="n">
        <v>0</v>
      </c>
      <c r="H907" s="1" t="s">
        <v>646</v>
      </c>
    </row>
    <row r="908" customFormat="false" ht="15" hidden="false" customHeight="true" outlineLevel="0" collapsed="false">
      <c r="A908" s="1" t="s">
        <v>639</v>
      </c>
      <c r="B908" s="1" t="s">
        <v>495</v>
      </c>
      <c r="C908" s="1" t="s">
        <v>504</v>
      </c>
      <c r="D908" s="1" t="s">
        <v>275</v>
      </c>
      <c r="E908" s="73" t="n">
        <v>0</v>
      </c>
      <c r="F908" s="41" t="n">
        <v>0</v>
      </c>
      <c r="G908" s="41" t="n">
        <v>0</v>
      </c>
      <c r="H908" s="1" t="s">
        <v>505</v>
      </c>
    </row>
    <row r="909" customFormat="false" ht="15" hidden="false" customHeight="true" outlineLevel="0" collapsed="false">
      <c r="A909" s="1" t="s">
        <v>639</v>
      </c>
      <c r="B909" s="1" t="s">
        <v>495</v>
      </c>
      <c r="C909" s="1" t="s">
        <v>496</v>
      </c>
      <c r="D909" s="1" t="s">
        <v>272</v>
      </c>
      <c r="E909" s="73" t="n">
        <v>0</v>
      </c>
      <c r="F909" s="41" t="n">
        <v>0</v>
      </c>
      <c r="G909" s="41" t="n">
        <v>0</v>
      </c>
      <c r="H909" s="1" t="s">
        <v>506</v>
      </c>
    </row>
    <row r="910" customFormat="false" ht="15" hidden="false" customHeight="true" outlineLevel="0" collapsed="false">
      <c r="A910" s="1" t="s">
        <v>639</v>
      </c>
      <c r="B910" s="1" t="s">
        <v>495</v>
      </c>
      <c r="C910" s="1" t="s">
        <v>498</v>
      </c>
      <c r="D910" s="1" t="s">
        <v>272</v>
      </c>
      <c r="E910" s="73" t="n">
        <v>0</v>
      </c>
      <c r="F910" s="41" t="n">
        <v>0</v>
      </c>
      <c r="G910" s="41" t="n">
        <v>0</v>
      </c>
      <c r="H910" s="1" t="s">
        <v>507</v>
      </c>
    </row>
    <row r="911" customFormat="false" ht="15" hidden="false" customHeight="true" outlineLevel="0" collapsed="false">
      <c r="A911" s="1" t="s">
        <v>639</v>
      </c>
      <c r="B911" s="1" t="s">
        <v>495</v>
      </c>
      <c r="C911" s="1" t="s">
        <v>500</v>
      </c>
      <c r="D911" s="1" t="s">
        <v>272</v>
      </c>
      <c r="E911" s="73" t="n">
        <v>13</v>
      </c>
      <c r="F911" s="41" t="n">
        <v>20</v>
      </c>
      <c r="G911" s="41" t="n">
        <v>260</v>
      </c>
      <c r="H911" s="1" t="s">
        <v>501</v>
      </c>
    </row>
    <row r="912" customFormat="false" ht="15" hidden="false" customHeight="true" outlineLevel="0" collapsed="false">
      <c r="A912" s="1" t="s">
        <v>639</v>
      </c>
      <c r="B912" s="1" t="s">
        <v>495</v>
      </c>
      <c r="C912" s="1" t="s">
        <v>502</v>
      </c>
      <c r="D912" s="1" t="s">
        <v>272</v>
      </c>
      <c r="E912" s="73" t="n">
        <v>1</v>
      </c>
      <c r="F912" s="41" t="n">
        <v>1454.08</v>
      </c>
      <c r="G912" s="41" t="n">
        <v>1454.08</v>
      </c>
      <c r="H912" s="1" t="s">
        <v>646</v>
      </c>
    </row>
    <row r="913" customFormat="false" ht="15" hidden="false" customHeight="true" outlineLevel="0" collapsed="false">
      <c r="A913" s="1" t="s">
        <v>639</v>
      </c>
      <c r="B913" s="1" t="s">
        <v>495</v>
      </c>
      <c r="C913" s="1" t="s">
        <v>504</v>
      </c>
      <c r="D913" s="1" t="s">
        <v>272</v>
      </c>
      <c r="E913" s="73" t="n">
        <v>1</v>
      </c>
      <c r="F913" s="41" t="n">
        <v>456</v>
      </c>
      <c r="G913" s="41" t="n">
        <v>456</v>
      </c>
      <c r="H913" s="1" t="s">
        <v>505</v>
      </c>
    </row>
    <row r="914" customFormat="false" ht="15" hidden="false" customHeight="true" outlineLevel="0" collapsed="false">
      <c r="A914" s="1" t="s">
        <v>639</v>
      </c>
      <c r="B914" s="1" t="s">
        <v>495</v>
      </c>
      <c r="C914" s="1" t="s">
        <v>500</v>
      </c>
      <c r="D914" s="1" t="s">
        <v>266</v>
      </c>
      <c r="E914" s="73" t="n">
        <v>19</v>
      </c>
      <c r="F914" s="41" t="n">
        <v>20</v>
      </c>
      <c r="G914" s="41" t="n">
        <v>380</v>
      </c>
      <c r="H914" s="1" t="s">
        <v>501</v>
      </c>
    </row>
    <row r="915" customFormat="false" ht="15" hidden="false" customHeight="true" outlineLevel="0" collapsed="false">
      <c r="A915" s="1" t="s">
        <v>639</v>
      </c>
      <c r="B915" s="1" t="s">
        <v>495</v>
      </c>
      <c r="C915" s="1" t="s">
        <v>502</v>
      </c>
      <c r="D915" s="1" t="s">
        <v>266</v>
      </c>
      <c r="E915" s="73" t="n">
        <v>1</v>
      </c>
      <c r="F915" s="41" t="n">
        <v>1598.23</v>
      </c>
      <c r="G915" s="41" t="n">
        <v>1598.23</v>
      </c>
      <c r="H915" s="1" t="s">
        <v>646</v>
      </c>
    </row>
    <row r="916" customFormat="false" ht="15" hidden="false" customHeight="true" outlineLevel="0" collapsed="false">
      <c r="A916" s="1" t="s">
        <v>639</v>
      </c>
      <c r="B916" s="1" t="s">
        <v>495</v>
      </c>
      <c r="C916" s="1" t="s">
        <v>509</v>
      </c>
      <c r="D916" s="1" t="s">
        <v>266</v>
      </c>
      <c r="E916" s="73" t="n">
        <v>0</v>
      </c>
      <c r="F916" s="41" t="n">
        <v>0</v>
      </c>
      <c r="G916" s="41" t="n">
        <v>0</v>
      </c>
      <c r="H916" s="1" t="s">
        <v>646</v>
      </c>
    </row>
    <row r="917" customFormat="false" ht="15" hidden="false" customHeight="true" outlineLevel="0" collapsed="false">
      <c r="A917" s="1" t="s">
        <v>639</v>
      </c>
      <c r="B917" s="1" t="s">
        <v>495</v>
      </c>
      <c r="C917" s="1" t="s">
        <v>508</v>
      </c>
      <c r="D917" s="1" t="s">
        <v>267</v>
      </c>
      <c r="E917" s="73" t="n">
        <v>0</v>
      </c>
      <c r="F917" s="41" t="n">
        <v>0</v>
      </c>
      <c r="G917" s="41" t="n">
        <v>0</v>
      </c>
      <c r="H917" s="1" t="s">
        <v>510</v>
      </c>
    </row>
    <row r="918" customFormat="false" ht="15" hidden="false" customHeight="true" outlineLevel="0" collapsed="false">
      <c r="A918" s="1" t="s">
        <v>639</v>
      </c>
      <c r="B918" s="1" t="s">
        <v>495</v>
      </c>
      <c r="C918" s="1" t="s">
        <v>500</v>
      </c>
      <c r="D918" s="1" t="s">
        <v>267</v>
      </c>
      <c r="E918" s="73" t="n">
        <v>4</v>
      </c>
      <c r="F918" s="41" t="n">
        <v>20</v>
      </c>
      <c r="G918" s="41" t="n">
        <v>80</v>
      </c>
      <c r="H918" s="1" t="s">
        <v>501</v>
      </c>
    </row>
    <row r="919" customFormat="false" ht="15" hidden="false" customHeight="true" outlineLevel="0" collapsed="false">
      <c r="A919" s="1" t="s">
        <v>639</v>
      </c>
      <c r="B919" s="1" t="s">
        <v>495</v>
      </c>
      <c r="C919" s="1" t="s">
        <v>502</v>
      </c>
      <c r="D919" s="1" t="s">
        <v>267</v>
      </c>
      <c r="E919" s="73" t="n">
        <v>1</v>
      </c>
      <c r="F919" s="41" t="n">
        <v>415.62</v>
      </c>
      <c r="G919" s="41" t="n">
        <v>415.62</v>
      </c>
      <c r="H919" s="1" t="s">
        <v>646</v>
      </c>
    </row>
    <row r="920" customFormat="false" ht="15" hidden="false" customHeight="true" outlineLevel="0" collapsed="false">
      <c r="A920" s="1" t="s">
        <v>639</v>
      </c>
      <c r="B920" s="1" t="s">
        <v>495</v>
      </c>
      <c r="C920" s="1" t="s">
        <v>509</v>
      </c>
      <c r="D920" s="1" t="s">
        <v>267</v>
      </c>
      <c r="E920" s="73" t="n">
        <v>1</v>
      </c>
      <c r="F920" s="41" t="n">
        <v>108</v>
      </c>
      <c r="G920" s="41" t="n">
        <v>108</v>
      </c>
      <c r="H920" s="1" t="s">
        <v>505</v>
      </c>
    </row>
    <row r="921" customFormat="false" ht="15" hidden="false" customHeight="true" outlineLevel="0" collapsed="false">
      <c r="A921" s="1" t="s">
        <v>639</v>
      </c>
      <c r="B921" s="1" t="s">
        <v>495</v>
      </c>
      <c r="C921" s="1" t="s">
        <v>496</v>
      </c>
      <c r="D921" s="1" t="s">
        <v>264</v>
      </c>
      <c r="E921" s="73" t="n">
        <v>0</v>
      </c>
      <c r="F921" s="41" t="n">
        <v>0</v>
      </c>
      <c r="G921" s="41" t="n">
        <v>0</v>
      </c>
      <c r="H921" s="1" t="s">
        <v>511</v>
      </c>
    </row>
    <row r="922" customFormat="false" ht="15" hidden="false" customHeight="true" outlineLevel="0" collapsed="false">
      <c r="A922" s="1" t="s">
        <v>639</v>
      </c>
      <c r="B922" s="1" t="s">
        <v>495</v>
      </c>
      <c r="C922" s="1" t="s">
        <v>500</v>
      </c>
      <c r="D922" s="1" t="s">
        <v>264</v>
      </c>
      <c r="E922" s="73" t="n">
        <v>8</v>
      </c>
      <c r="F922" s="41" t="n">
        <v>20</v>
      </c>
      <c r="G922" s="41" t="n">
        <v>160</v>
      </c>
      <c r="H922" s="1" t="s">
        <v>501</v>
      </c>
    </row>
    <row r="923" customFormat="false" ht="15" hidden="false" customHeight="true" outlineLevel="0" collapsed="false">
      <c r="A923" s="1" t="s">
        <v>639</v>
      </c>
      <c r="B923" s="1" t="s">
        <v>495</v>
      </c>
      <c r="C923" s="1" t="s">
        <v>502</v>
      </c>
      <c r="D923" s="1" t="s">
        <v>264</v>
      </c>
      <c r="E923" s="73" t="n">
        <v>1</v>
      </c>
      <c r="F923" s="41" t="n">
        <v>468.01</v>
      </c>
      <c r="G923" s="41" t="n">
        <v>468.01</v>
      </c>
      <c r="H923" s="1" t="s">
        <v>502</v>
      </c>
    </row>
    <row r="924" customFormat="false" ht="15" hidden="false" customHeight="true" outlineLevel="0" collapsed="false">
      <c r="A924" s="1" t="s">
        <v>639</v>
      </c>
      <c r="B924" s="1" t="s">
        <v>495</v>
      </c>
      <c r="C924" s="1" t="s">
        <v>504</v>
      </c>
      <c r="D924" s="1" t="s">
        <v>264</v>
      </c>
      <c r="E924" s="73" t="n">
        <v>1</v>
      </c>
      <c r="F924" s="41" t="n">
        <v>72</v>
      </c>
      <c r="G924" s="41" t="n">
        <v>72</v>
      </c>
      <c r="H924" s="1" t="s">
        <v>505</v>
      </c>
    </row>
    <row r="925" customFormat="false" ht="15" hidden="false" customHeight="true" outlineLevel="0" collapsed="false">
      <c r="A925" s="1" t="s">
        <v>639</v>
      </c>
      <c r="B925" s="1" t="s">
        <v>512</v>
      </c>
      <c r="C925" s="1" t="s">
        <v>631</v>
      </c>
      <c r="D925" s="1" t="s">
        <v>269</v>
      </c>
      <c r="E925" s="73" t="n">
        <v>0</v>
      </c>
      <c r="F925" s="41" t="n">
        <v>0</v>
      </c>
      <c r="G925" s="41" t="n">
        <v>0</v>
      </c>
      <c r="H925" s="1" t="s">
        <v>516</v>
      </c>
    </row>
    <row r="926" customFormat="false" ht="15" hidden="false" customHeight="true" outlineLevel="0" collapsed="false">
      <c r="A926" s="1" t="s">
        <v>639</v>
      </c>
      <c r="B926" s="1" t="s">
        <v>512</v>
      </c>
      <c r="C926" s="1" t="s">
        <v>513</v>
      </c>
      <c r="D926" s="1" t="s">
        <v>269</v>
      </c>
      <c r="E926" s="73" t="n">
        <v>0</v>
      </c>
      <c r="F926" s="41" t="n">
        <v>0</v>
      </c>
      <c r="G926" s="41" t="n">
        <v>0</v>
      </c>
      <c r="H926" s="1" t="s">
        <v>514</v>
      </c>
    </row>
    <row r="927" customFormat="false" ht="15" hidden="false" customHeight="true" outlineLevel="0" collapsed="false">
      <c r="A927" s="1" t="s">
        <v>639</v>
      </c>
      <c r="B927" s="1" t="s">
        <v>512</v>
      </c>
      <c r="C927" s="1" t="s">
        <v>517</v>
      </c>
      <c r="D927" s="1" t="s">
        <v>269</v>
      </c>
      <c r="E927" s="73" t="n">
        <v>0</v>
      </c>
      <c r="F927" s="41" t="n">
        <v>0</v>
      </c>
      <c r="G927" s="41" t="n">
        <v>0</v>
      </c>
      <c r="H927" s="1" t="s">
        <v>518</v>
      </c>
    </row>
    <row r="928" customFormat="false" ht="15" hidden="false" customHeight="true" outlineLevel="0" collapsed="false">
      <c r="A928" s="1" t="s">
        <v>639</v>
      </c>
      <c r="B928" s="1" t="s">
        <v>512</v>
      </c>
      <c r="C928" s="1" t="s">
        <v>632</v>
      </c>
      <c r="D928" s="1" t="s">
        <v>269</v>
      </c>
      <c r="E928" s="73" t="n">
        <v>0</v>
      </c>
      <c r="F928" s="41" t="n">
        <v>0</v>
      </c>
      <c r="G928" s="41" t="n">
        <v>0</v>
      </c>
      <c r="H928" s="1" t="s">
        <v>520</v>
      </c>
    </row>
    <row r="929" customFormat="false" ht="15" hidden="false" customHeight="true" outlineLevel="0" collapsed="false">
      <c r="A929" s="1" t="s">
        <v>639</v>
      </c>
      <c r="B929" s="1" t="s">
        <v>512</v>
      </c>
      <c r="C929" s="1" t="s">
        <v>521</v>
      </c>
      <c r="D929" s="1" t="s">
        <v>271</v>
      </c>
      <c r="E929" s="73" t="n">
        <v>0</v>
      </c>
      <c r="F929" s="41" t="n">
        <v>0</v>
      </c>
      <c r="G929" s="41" t="n">
        <v>0</v>
      </c>
      <c r="H929" s="1" t="s">
        <v>522</v>
      </c>
    </row>
    <row r="930" customFormat="false" ht="15" hidden="false" customHeight="true" outlineLevel="0" collapsed="false">
      <c r="A930" s="1" t="s">
        <v>639</v>
      </c>
      <c r="B930" s="1" t="s">
        <v>512</v>
      </c>
      <c r="C930" s="1" t="s">
        <v>523</v>
      </c>
      <c r="D930" s="1" t="s">
        <v>271</v>
      </c>
      <c r="E930" s="73" t="n">
        <v>0</v>
      </c>
      <c r="F930" s="41" t="n">
        <v>0</v>
      </c>
      <c r="G930" s="41" t="n">
        <v>0</v>
      </c>
      <c r="H930" s="1" t="s">
        <v>524</v>
      </c>
    </row>
    <row r="931" customFormat="false" ht="15" hidden="false" customHeight="true" outlineLevel="0" collapsed="false">
      <c r="A931" s="1" t="s">
        <v>639</v>
      </c>
      <c r="B931" s="1" t="s">
        <v>512</v>
      </c>
      <c r="C931" s="1" t="s">
        <v>525</v>
      </c>
      <c r="D931" s="1" t="s">
        <v>275</v>
      </c>
      <c r="E931" s="73" t="n">
        <v>0</v>
      </c>
      <c r="F931" s="41" t="n">
        <v>0</v>
      </c>
      <c r="G931" s="41" t="n">
        <v>0</v>
      </c>
      <c r="H931" s="1" t="s">
        <v>526</v>
      </c>
    </row>
    <row r="932" customFormat="false" ht="15" hidden="false" customHeight="true" outlineLevel="0" collapsed="false">
      <c r="A932" s="1" t="s">
        <v>639</v>
      </c>
      <c r="B932" s="1" t="s">
        <v>512</v>
      </c>
      <c r="C932" s="1" t="s">
        <v>527</v>
      </c>
      <c r="D932" s="1" t="s">
        <v>275</v>
      </c>
      <c r="E932" s="73" t="n">
        <v>0</v>
      </c>
      <c r="F932" s="41" t="n">
        <v>0</v>
      </c>
      <c r="G932" s="41" t="n">
        <v>0</v>
      </c>
      <c r="H932" s="1" t="s">
        <v>528</v>
      </c>
    </row>
    <row r="933" customFormat="false" ht="15" hidden="false" customHeight="true" outlineLevel="0" collapsed="false">
      <c r="A933" s="1" t="s">
        <v>639</v>
      </c>
      <c r="B933" s="1" t="s">
        <v>512</v>
      </c>
      <c r="C933" s="1" t="s">
        <v>529</v>
      </c>
      <c r="D933" s="1" t="s">
        <v>275</v>
      </c>
      <c r="E933" s="73" t="n">
        <v>0</v>
      </c>
      <c r="F933" s="41" t="n">
        <v>0</v>
      </c>
      <c r="G933" s="41" t="n">
        <v>0</v>
      </c>
      <c r="H933" s="1" t="s">
        <v>522</v>
      </c>
    </row>
    <row r="934" customFormat="false" ht="15" hidden="false" customHeight="true" outlineLevel="0" collapsed="false">
      <c r="A934" s="1" t="s">
        <v>639</v>
      </c>
      <c r="B934" s="1" t="s">
        <v>512</v>
      </c>
      <c r="C934" s="1" t="s">
        <v>530</v>
      </c>
      <c r="D934" s="1" t="s">
        <v>275</v>
      </c>
      <c r="E934" s="73" t="n">
        <v>0</v>
      </c>
      <c r="F934" s="41" t="n">
        <v>0</v>
      </c>
      <c r="G934" s="41" t="n">
        <v>0</v>
      </c>
      <c r="H934" s="1" t="s">
        <v>531</v>
      </c>
    </row>
    <row r="935" customFormat="false" ht="15" hidden="false" customHeight="true" outlineLevel="0" collapsed="false">
      <c r="A935" s="1" t="s">
        <v>639</v>
      </c>
      <c r="B935" s="1" t="s">
        <v>512</v>
      </c>
      <c r="C935" s="1" t="s">
        <v>532</v>
      </c>
      <c r="D935" s="1" t="s">
        <v>275</v>
      </c>
      <c r="E935" s="73" t="n">
        <v>0</v>
      </c>
      <c r="F935" s="41" t="n">
        <v>0</v>
      </c>
      <c r="G935" s="41" t="n">
        <v>0</v>
      </c>
      <c r="H935" s="1" t="s">
        <v>531</v>
      </c>
    </row>
    <row r="936" customFormat="false" ht="15" hidden="false" customHeight="true" outlineLevel="0" collapsed="false">
      <c r="A936" s="1" t="s">
        <v>639</v>
      </c>
      <c r="B936" s="1" t="s">
        <v>512</v>
      </c>
      <c r="C936" s="1" t="s">
        <v>533</v>
      </c>
      <c r="D936" s="1" t="s">
        <v>275</v>
      </c>
      <c r="E936" s="73" t="n">
        <v>1</v>
      </c>
      <c r="F936" s="41" t="n">
        <v>3548.72</v>
      </c>
      <c r="G936" s="41" t="n">
        <v>3548.72</v>
      </c>
      <c r="H936" s="1" t="s">
        <v>534</v>
      </c>
    </row>
    <row r="937" customFormat="false" ht="15" hidden="false" customHeight="true" outlineLevel="0" collapsed="false">
      <c r="A937" s="1" t="s">
        <v>639</v>
      </c>
      <c r="B937" s="1" t="s">
        <v>512</v>
      </c>
      <c r="C937" s="1" t="s">
        <v>535</v>
      </c>
      <c r="D937" s="1" t="s">
        <v>272</v>
      </c>
      <c r="E937" s="73" t="n">
        <v>0</v>
      </c>
      <c r="F937" s="41" t="n">
        <v>0</v>
      </c>
      <c r="G937" s="41" t="n">
        <v>0</v>
      </c>
      <c r="H937" s="1" t="s">
        <v>522</v>
      </c>
    </row>
    <row r="938" customFormat="false" ht="15" hidden="false" customHeight="true" outlineLevel="0" collapsed="false">
      <c r="A938" s="1" t="s">
        <v>639</v>
      </c>
      <c r="B938" s="1" t="s">
        <v>512</v>
      </c>
      <c r="C938" s="1" t="s">
        <v>536</v>
      </c>
      <c r="D938" s="1" t="s">
        <v>272</v>
      </c>
      <c r="E938" s="73" t="n">
        <v>0</v>
      </c>
      <c r="F938" s="41" t="n">
        <v>0</v>
      </c>
      <c r="G938" s="41" t="n">
        <v>0</v>
      </c>
      <c r="H938" s="1" t="s">
        <v>537</v>
      </c>
    </row>
    <row r="939" customFormat="false" ht="15" hidden="false" customHeight="true" outlineLevel="0" collapsed="false">
      <c r="A939" s="1" t="s">
        <v>639</v>
      </c>
      <c r="B939" s="1" t="s">
        <v>512</v>
      </c>
      <c r="C939" s="1" t="s">
        <v>538</v>
      </c>
      <c r="D939" s="1" t="s">
        <v>266</v>
      </c>
      <c r="E939" s="73" t="n">
        <v>0</v>
      </c>
      <c r="F939" s="41" t="n">
        <v>0</v>
      </c>
      <c r="G939" s="41" t="n">
        <v>0</v>
      </c>
      <c r="H939" s="1" t="s">
        <v>539</v>
      </c>
    </row>
    <row r="940" customFormat="false" ht="15" hidden="false" customHeight="true" outlineLevel="0" collapsed="false">
      <c r="A940" s="1" t="s">
        <v>639</v>
      </c>
      <c r="B940" s="1" t="s">
        <v>512</v>
      </c>
      <c r="C940" s="1" t="s">
        <v>540</v>
      </c>
      <c r="D940" s="1" t="s">
        <v>266</v>
      </c>
      <c r="E940" s="73" t="n">
        <v>0</v>
      </c>
      <c r="F940" s="41" t="n">
        <v>0</v>
      </c>
      <c r="G940" s="41" t="n">
        <v>0</v>
      </c>
      <c r="H940" s="1" t="s">
        <v>514</v>
      </c>
    </row>
    <row r="941" customFormat="false" ht="15" hidden="false" customHeight="true" outlineLevel="0" collapsed="false">
      <c r="A941" s="1" t="s">
        <v>639</v>
      </c>
      <c r="B941" s="1" t="s">
        <v>512</v>
      </c>
      <c r="C941" s="1" t="s">
        <v>541</v>
      </c>
      <c r="D941" s="1" t="s">
        <v>266</v>
      </c>
      <c r="E941" s="73" t="n">
        <v>0</v>
      </c>
      <c r="F941" s="41" t="n">
        <v>0</v>
      </c>
      <c r="G941" s="41" t="n">
        <v>0</v>
      </c>
      <c r="H941" s="1" t="s">
        <v>518</v>
      </c>
    </row>
    <row r="942" customFormat="false" ht="15" hidden="false" customHeight="true" outlineLevel="0" collapsed="false">
      <c r="A942" s="1" t="s">
        <v>639</v>
      </c>
      <c r="B942" s="1" t="s">
        <v>512</v>
      </c>
      <c r="C942" s="1" t="s">
        <v>542</v>
      </c>
      <c r="D942" s="1" t="s">
        <v>266</v>
      </c>
      <c r="E942" s="73" t="n">
        <v>0</v>
      </c>
      <c r="F942" s="41" t="n">
        <v>0</v>
      </c>
      <c r="G942" s="41" t="n">
        <v>0</v>
      </c>
      <c r="H942" s="1" t="s">
        <v>524</v>
      </c>
    </row>
    <row r="943" customFormat="false" ht="15" hidden="false" customHeight="true" outlineLevel="0" collapsed="false">
      <c r="A943" s="1" t="s">
        <v>639</v>
      </c>
      <c r="B943" s="1" t="s">
        <v>512</v>
      </c>
      <c r="C943" s="1" t="s">
        <v>538</v>
      </c>
      <c r="D943" s="1" t="s">
        <v>267</v>
      </c>
      <c r="E943" s="73" t="n">
        <v>0</v>
      </c>
      <c r="F943" s="41" t="n">
        <v>0</v>
      </c>
      <c r="G943" s="41" t="n">
        <v>0</v>
      </c>
      <c r="H943" s="1" t="s">
        <v>522</v>
      </c>
    </row>
    <row r="944" customFormat="false" ht="15" hidden="false" customHeight="true" outlineLevel="0" collapsed="false">
      <c r="A944" s="1" t="s">
        <v>639</v>
      </c>
      <c r="B944" s="1" t="s">
        <v>512</v>
      </c>
      <c r="C944" s="1" t="s">
        <v>543</v>
      </c>
      <c r="D944" s="1" t="s">
        <v>267</v>
      </c>
      <c r="E944" s="73" t="n">
        <v>0</v>
      </c>
      <c r="F944" s="41" t="n">
        <v>0</v>
      </c>
      <c r="G944" s="41" t="n">
        <v>0</v>
      </c>
      <c r="H944" s="1" t="s">
        <v>522</v>
      </c>
    </row>
    <row r="945" customFormat="false" ht="15" hidden="false" customHeight="true" outlineLevel="0" collapsed="false">
      <c r="A945" s="1" t="s">
        <v>639</v>
      </c>
      <c r="B945" s="1" t="s">
        <v>512</v>
      </c>
      <c r="C945" s="1" t="s">
        <v>544</v>
      </c>
      <c r="D945" s="1" t="s">
        <v>267</v>
      </c>
      <c r="E945" s="73" t="n">
        <v>0</v>
      </c>
      <c r="F945" s="41" t="n">
        <v>0</v>
      </c>
      <c r="G945" s="41" t="n">
        <v>0</v>
      </c>
      <c r="H945" s="1" t="s">
        <v>537</v>
      </c>
    </row>
    <row r="946" customFormat="false" ht="15" hidden="false" customHeight="true" outlineLevel="0" collapsed="false">
      <c r="A946" s="1" t="s">
        <v>639</v>
      </c>
      <c r="B946" s="1" t="s">
        <v>512</v>
      </c>
      <c r="C946" s="1" t="s">
        <v>542</v>
      </c>
      <c r="D946" s="1" t="s">
        <v>267</v>
      </c>
      <c r="E946" s="73" t="n">
        <v>0</v>
      </c>
      <c r="F946" s="41" t="n">
        <v>0</v>
      </c>
      <c r="G946" s="41" t="n">
        <v>0</v>
      </c>
      <c r="H946" s="1" t="s">
        <v>545</v>
      </c>
    </row>
    <row r="947" customFormat="false" ht="15" hidden="false" customHeight="true" outlineLevel="0" collapsed="false">
      <c r="A947" s="1" t="s">
        <v>639</v>
      </c>
      <c r="B947" s="1" t="s">
        <v>512</v>
      </c>
      <c r="C947" s="1" t="s">
        <v>546</v>
      </c>
      <c r="D947" s="1" t="s">
        <v>264</v>
      </c>
      <c r="E947" s="73" t="n">
        <v>4806</v>
      </c>
      <c r="F947" s="41" t="n">
        <v>0.62</v>
      </c>
      <c r="G947" s="41" t="n">
        <v>2979.72</v>
      </c>
      <c r="H947" s="1" t="s">
        <v>402</v>
      </c>
    </row>
    <row r="948" customFormat="false" ht="15" hidden="false" customHeight="true" outlineLevel="0" collapsed="false">
      <c r="A948" s="1" t="s">
        <v>639</v>
      </c>
      <c r="B948" s="1" t="s">
        <v>512</v>
      </c>
      <c r="C948" s="1" t="s">
        <v>547</v>
      </c>
      <c r="D948" s="1" t="s">
        <v>264</v>
      </c>
      <c r="E948" s="73" t="n">
        <v>1</v>
      </c>
      <c r="F948" s="41" t="n">
        <v>561.64</v>
      </c>
      <c r="G948" s="41" t="n">
        <v>561.64</v>
      </c>
      <c r="H948" s="1" t="s">
        <v>522</v>
      </c>
    </row>
    <row r="949" customFormat="false" ht="15" hidden="false" customHeight="true" outlineLevel="0" collapsed="false">
      <c r="A949" s="1" t="s">
        <v>639</v>
      </c>
      <c r="B949" s="1" t="s">
        <v>512</v>
      </c>
      <c r="C949" s="1" t="s">
        <v>548</v>
      </c>
      <c r="D949" s="1" t="s">
        <v>264</v>
      </c>
      <c r="E949" s="73" t="n">
        <v>0</v>
      </c>
      <c r="F949" s="41" t="n">
        <v>0</v>
      </c>
      <c r="G949" s="41" t="n">
        <v>0</v>
      </c>
      <c r="H949" s="1" t="s">
        <v>522</v>
      </c>
    </row>
    <row r="950" customFormat="false" ht="15" hidden="false" customHeight="true" outlineLevel="0" collapsed="false">
      <c r="A950" s="1" t="s">
        <v>639</v>
      </c>
      <c r="B950" s="1" t="s">
        <v>512</v>
      </c>
      <c r="C950" s="1" t="s">
        <v>647</v>
      </c>
      <c r="D950" s="1" t="s">
        <v>264</v>
      </c>
      <c r="E950" s="73" t="n">
        <v>1</v>
      </c>
      <c r="F950" s="41" t="n">
        <v>2033.5</v>
      </c>
      <c r="G950" s="41" t="n">
        <v>2033.5</v>
      </c>
      <c r="H950" s="1" t="s">
        <v>545</v>
      </c>
    </row>
    <row r="951" customFormat="false" ht="15" hidden="false" customHeight="true" outlineLevel="0" collapsed="false">
      <c r="A951" s="1" t="s">
        <v>639</v>
      </c>
      <c r="B951" s="1" t="s">
        <v>512</v>
      </c>
      <c r="C951" s="1" t="s">
        <v>550</v>
      </c>
      <c r="D951" s="1" t="s">
        <v>264</v>
      </c>
      <c r="E951" s="73" t="n">
        <v>0</v>
      </c>
      <c r="F951" s="41" t="n">
        <v>0</v>
      </c>
      <c r="G951" s="41" t="n">
        <v>0</v>
      </c>
      <c r="H951" s="1" t="s">
        <v>537</v>
      </c>
    </row>
    <row r="952" customFormat="false" ht="15" hidden="false" customHeight="true" outlineLevel="0" collapsed="false">
      <c r="A952" s="1" t="s">
        <v>639</v>
      </c>
      <c r="B952" s="1" t="s">
        <v>551</v>
      </c>
      <c r="C952" s="1" t="s">
        <v>552</v>
      </c>
      <c r="D952" s="1" t="s">
        <v>271</v>
      </c>
      <c r="E952" s="73" t="n">
        <v>1</v>
      </c>
      <c r="F952" s="41" t="n">
        <v>238.88</v>
      </c>
      <c r="G952" s="41" t="n">
        <v>238.88</v>
      </c>
      <c r="H952" s="1" t="s">
        <v>648</v>
      </c>
    </row>
    <row r="953" customFormat="false" ht="15" hidden="false" customHeight="true" outlineLevel="0" collapsed="false">
      <c r="A953" s="1" t="s">
        <v>639</v>
      </c>
      <c r="B953" s="1" t="s">
        <v>551</v>
      </c>
      <c r="C953" s="1" t="s">
        <v>554</v>
      </c>
      <c r="D953" s="1" t="s">
        <v>271</v>
      </c>
      <c r="E953" s="73" t="n">
        <v>1</v>
      </c>
      <c r="F953" s="41" t="n">
        <v>624.79</v>
      </c>
      <c r="G953" s="41" t="n">
        <v>624.79</v>
      </c>
      <c r="H953" s="1" t="s">
        <v>648</v>
      </c>
    </row>
    <row r="954" customFormat="false" ht="15" hidden="false" customHeight="true" outlineLevel="0" collapsed="false">
      <c r="A954" s="1" t="s">
        <v>639</v>
      </c>
      <c r="B954" s="1" t="s">
        <v>551</v>
      </c>
      <c r="C954" s="1" t="s">
        <v>555</v>
      </c>
      <c r="D954" s="1" t="s">
        <v>271</v>
      </c>
      <c r="E954" s="73" t="n">
        <v>1</v>
      </c>
      <c r="F954" s="41" t="n">
        <v>510</v>
      </c>
      <c r="G954" s="41" t="n">
        <v>510</v>
      </c>
      <c r="H954" s="1" t="s">
        <v>648</v>
      </c>
    </row>
    <row r="955" customFormat="false" ht="15" hidden="false" customHeight="true" outlineLevel="0" collapsed="false">
      <c r="A955" s="1" t="s">
        <v>639</v>
      </c>
      <c r="B955" s="1" t="s">
        <v>551</v>
      </c>
      <c r="C955" s="1" t="s">
        <v>556</v>
      </c>
      <c r="D955" s="1" t="s">
        <v>271</v>
      </c>
      <c r="E955" s="73" t="n">
        <v>1</v>
      </c>
      <c r="F955" s="41" t="n">
        <v>333.1</v>
      </c>
      <c r="G955" s="41" t="n">
        <v>333.1</v>
      </c>
      <c r="H955" s="1" t="s">
        <v>648</v>
      </c>
    </row>
    <row r="956" customFormat="false" ht="15" hidden="false" customHeight="true" outlineLevel="0" collapsed="false">
      <c r="A956" s="1" t="s">
        <v>639</v>
      </c>
      <c r="B956" s="1" t="s">
        <v>551</v>
      </c>
      <c r="C956" s="1" t="s">
        <v>559</v>
      </c>
      <c r="D956" s="1" t="s">
        <v>271</v>
      </c>
      <c r="E956" s="73" t="n">
        <v>1</v>
      </c>
      <c r="F956" s="41" t="n">
        <v>2973.2</v>
      </c>
      <c r="G956" s="41" t="n">
        <v>2973.2</v>
      </c>
      <c r="H956" s="1" t="s">
        <v>648</v>
      </c>
    </row>
    <row r="957" customFormat="false" ht="15" hidden="false" customHeight="true" outlineLevel="0" collapsed="false">
      <c r="A957" s="1" t="s">
        <v>639</v>
      </c>
      <c r="B957" s="1" t="s">
        <v>551</v>
      </c>
      <c r="C957" s="1" t="s">
        <v>633</v>
      </c>
      <c r="D957" s="1" t="s">
        <v>271</v>
      </c>
      <c r="E957" s="73" t="n">
        <v>1</v>
      </c>
      <c r="F957" s="41" t="n">
        <v>1833.24</v>
      </c>
      <c r="G957" s="41" t="n">
        <v>1833.24</v>
      </c>
      <c r="H957" s="1" t="s">
        <v>648</v>
      </c>
    </row>
    <row r="958" customFormat="false" ht="15" hidden="false" customHeight="true" outlineLevel="0" collapsed="false">
      <c r="A958" s="1" t="s">
        <v>639</v>
      </c>
      <c r="B958" s="1" t="s">
        <v>551</v>
      </c>
      <c r="C958" s="1" t="s">
        <v>560</v>
      </c>
      <c r="D958" s="1" t="s">
        <v>271</v>
      </c>
      <c r="E958" s="73" t="n">
        <v>1</v>
      </c>
      <c r="F958" s="41" t="n">
        <v>7615.46</v>
      </c>
      <c r="G958" s="41" t="n">
        <v>7615.46</v>
      </c>
      <c r="H958" s="1" t="s">
        <v>648</v>
      </c>
    </row>
    <row r="959" customFormat="false" ht="15" hidden="false" customHeight="true" outlineLevel="0" collapsed="false">
      <c r="A959" s="1" t="s">
        <v>639</v>
      </c>
      <c r="B959" s="1" t="s">
        <v>551</v>
      </c>
      <c r="C959" s="1" t="s">
        <v>634</v>
      </c>
      <c r="D959" s="1" t="s">
        <v>272</v>
      </c>
      <c r="E959" s="73" t="n">
        <v>-1</v>
      </c>
      <c r="F959" s="41" t="n">
        <v>1046.56</v>
      </c>
      <c r="G959" s="41" t="n">
        <v>-1046.56</v>
      </c>
      <c r="H959" s="1" t="s">
        <v>635</v>
      </c>
    </row>
    <row r="960" customFormat="false" ht="15" hidden="false" customHeight="true" outlineLevel="0" collapsed="false">
      <c r="A960" s="1" t="s">
        <v>639</v>
      </c>
      <c r="B960" s="1" t="s">
        <v>551</v>
      </c>
      <c r="C960" s="1" t="s">
        <v>552</v>
      </c>
      <c r="D960" s="1" t="s">
        <v>272</v>
      </c>
      <c r="E960" s="73" t="n">
        <v>0</v>
      </c>
      <c r="F960" s="41" t="n">
        <v>0</v>
      </c>
      <c r="G960" s="41" t="n">
        <v>0</v>
      </c>
      <c r="H960" s="1" t="s">
        <v>563</v>
      </c>
    </row>
    <row r="961" customFormat="false" ht="15" hidden="false" customHeight="true" outlineLevel="0" collapsed="false">
      <c r="A961" s="1" t="s">
        <v>639</v>
      </c>
      <c r="B961" s="1" t="s">
        <v>551</v>
      </c>
      <c r="C961" s="1" t="s">
        <v>552</v>
      </c>
      <c r="D961" s="1" t="s">
        <v>272</v>
      </c>
      <c r="E961" s="73" t="n">
        <v>-1</v>
      </c>
      <c r="F961" s="41" t="n">
        <v>238.88</v>
      </c>
      <c r="G961" s="41" t="n">
        <v>-238.88</v>
      </c>
      <c r="H961" s="1" t="s">
        <v>606</v>
      </c>
    </row>
    <row r="962" customFormat="false" ht="15" hidden="false" customHeight="true" outlineLevel="0" collapsed="false">
      <c r="A962" s="1" t="s">
        <v>639</v>
      </c>
      <c r="B962" s="1" t="s">
        <v>551</v>
      </c>
      <c r="C962" s="1" t="s">
        <v>555</v>
      </c>
      <c r="D962" s="1" t="s">
        <v>264</v>
      </c>
      <c r="E962" s="73" t="n">
        <v>1</v>
      </c>
      <c r="F962" s="41" t="n">
        <v>67.33</v>
      </c>
      <c r="G962" s="41" t="n">
        <v>67.33</v>
      </c>
      <c r="H962" s="1" t="s">
        <v>565</v>
      </c>
    </row>
    <row r="963" customFormat="false" ht="15" hidden="false" customHeight="true" outlineLevel="0" collapsed="false">
      <c r="A963" s="1" t="s">
        <v>639</v>
      </c>
      <c r="B963" s="1" t="s">
        <v>551</v>
      </c>
      <c r="C963" s="1" t="s">
        <v>555</v>
      </c>
      <c r="D963" s="1" t="s">
        <v>264</v>
      </c>
      <c r="E963" s="73" t="n">
        <v>-1</v>
      </c>
      <c r="F963" s="41" t="n">
        <v>510</v>
      </c>
      <c r="G963" s="41" t="n">
        <v>-510</v>
      </c>
      <c r="H963" s="1" t="s">
        <v>606</v>
      </c>
    </row>
    <row r="964" customFormat="false" ht="15" hidden="false" customHeight="true" outlineLevel="0" collapsed="false">
      <c r="A964" s="1" t="s">
        <v>639</v>
      </c>
      <c r="B964" s="1" t="s">
        <v>47</v>
      </c>
      <c r="C964" s="1" t="s">
        <v>566</v>
      </c>
      <c r="D964" s="1" t="s">
        <v>269</v>
      </c>
      <c r="E964" s="73" t="n">
        <v>1</v>
      </c>
      <c r="F964" s="41" t="n">
        <v>1027.18</v>
      </c>
      <c r="G964" s="41" t="n">
        <v>1027.18</v>
      </c>
      <c r="H964" s="1" t="s">
        <v>649</v>
      </c>
    </row>
    <row r="965" customFormat="false" ht="15" hidden="false" customHeight="true" outlineLevel="0" collapsed="false">
      <c r="A965" s="1" t="s">
        <v>639</v>
      </c>
      <c r="B965" s="1" t="s">
        <v>47</v>
      </c>
      <c r="C965" s="1" t="s">
        <v>566</v>
      </c>
      <c r="D965" s="1" t="s">
        <v>271</v>
      </c>
      <c r="E965" s="73" t="n">
        <v>0</v>
      </c>
      <c r="F965" s="41" t="n">
        <v>0</v>
      </c>
      <c r="G965" s="41" t="n">
        <v>0</v>
      </c>
      <c r="H965" s="1" t="s">
        <v>568</v>
      </c>
    </row>
    <row r="966" customFormat="false" ht="15" hidden="false" customHeight="true" outlineLevel="0" collapsed="false">
      <c r="A966" s="1" t="s">
        <v>639</v>
      </c>
      <c r="B966" s="1" t="s">
        <v>47</v>
      </c>
      <c r="C966" s="1" t="s">
        <v>566</v>
      </c>
      <c r="D966" s="1" t="s">
        <v>275</v>
      </c>
      <c r="E966" s="73" t="n">
        <v>0</v>
      </c>
      <c r="F966" s="41" t="n">
        <v>0</v>
      </c>
      <c r="G966" s="41" t="n">
        <v>0</v>
      </c>
      <c r="H966" s="1" t="s">
        <v>569</v>
      </c>
    </row>
    <row r="967" customFormat="false" ht="15" hidden="false" customHeight="true" outlineLevel="0" collapsed="false">
      <c r="A967" s="1" t="s">
        <v>639</v>
      </c>
      <c r="B967" s="1" t="s">
        <v>47</v>
      </c>
      <c r="C967" s="1" t="s">
        <v>566</v>
      </c>
      <c r="D967" s="1" t="s">
        <v>272</v>
      </c>
      <c r="E967" s="73" t="n">
        <v>1</v>
      </c>
      <c r="F967" s="41" t="n">
        <v>9586.03</v>
      </c>
      <c r="G967" s="41" t="n">
        <v>9586.03</v>
      </c>
      <c r="H967" s="1" t="s">
        <v>650</v>
      </c>
    </row>
    <row r="968" customFormat="false" ht="15" hidden="false" customHeight="true" outlineLevel="0" collapsed="false">
      <c r="A968" s="1" t="s">
        <v>639</v>
      </c>
      <c r="B968" s="1" t="s">
        <v>47</v>
      </c>
      <c r="C968" s="1" t="s">
        <v>566</v>
      </c>
      <c r="D968" s="1" t="s">
        <v>266</v>
      </c>
      <c r="E968" s="73" t="n">
        <v>0</v>
      </c>
      <c r="F968" s="41" t="n">
        <v>0</v>
      </c>
      <c r="G968" s="41" t="n">
        <v>0</v>
      </c>
      <c r="H968" s="1" t="s">
        <v>571</v>
      </c>
    </row>
    <row r="969" customFormat="false" ht="15" hidden="false" customHeight="true" outlineLevel="0" collapsed="false">
      <c r="A969" s="1" t="s">
        <v>639</v>
      </c>
      <c r="B969" s="1" t="s">
        <v>47</v>
      </c>
      <c r="C969" s="1" t="s">
        <v>566</v>
      </c>
      <c r="D969" s="1" t="s">
        <v>267</v>
      </c>
      <c r="E969" s="73" t="n">
        <v>0</v>
      </c>
      <c r="F969" s="41" t="n">
        <v>0</v>
      </c>
      <c r="G969" s="41" t="n">
        <v>0</v>
      </c>
      <c r="H969" s="1" t="s">
        <v>569</v>
      </c>
    </row>
    <row r="970" customFormat="false" ht="15" hidden="false" customHeight="true" outlineLevel="0" collapsed="false">
      <c r="A970" s="1" t="s">
        <v>639</v>
      </c>
      <c r="B970" s="1" t="s">
        <v>47</v>
      </c>
      <c r="C970" s="1" t="s">
        <v>566</v>
      </c>
      <c r="D970" s="1" t="s">
        <v>264</v>
      </c>
      <c r="E970" s="73" t="n">
        <v>1</v>
      </c>
      <c r="F970" s="41" t="n">
        <v>371.45</v>
      </c>
      <c r="G970" s="41" t="n">
        <v>371.45</v>
      </c>
      <c r="H970" s="1" t="s">
        <v>651</v>
      </c>
    </row>
    <row r="971" customFormat="false" ht="15" hidden="false" customHeight="true" outlineLevel="0" collapsed="false">
      <c r="A971" s="1" t="s">
        <v>639</v>
      </c>
      <c r="B971" s="1" t="s">
        <v>85</v>
      </c>
      <c r="C971" s="1" t="s">
        <v>573</v>
      </c>
      <c r="D971" s="1" t="s">
        <v>257</v>
      </c>
      <c r="E971" s="73" t="n">
        <v>149</v>
      </c>
      <c r="F971" s="41" t="n">
        <v>125.29</v>
      </c>
      <c r="G971" s="41" t="n">
        <v>18668.21</v>
      </c>
      <c r="H971" s="1" t="s">
        <v>652</v>
      </c>
    </row>
    <row r="972" customFormat="false" ht="15" hidden="false" customHeight="true" outlineLevel="0" collapsed="false">
      <c r="A972" s="1" t="s">
        <v>639</v>
      </c>
      <c r="B972" s="1" t="s">
        <v>85</v>
      </c>
      <c r="C972" s="1" t="s">
        <v>573</v>
      </c>
      <c r="D972" s="1" t="s">
        <v>269</v>
      </c>
      <c r="E972" s="73" t="n">
        <v>2</v>
      </c>
      <c r="F972" s="41" t="n">
        <v>161.82</v>
      </c>
      <c r="G972" s="41" t="n">
        <v>323.64</v>
      </c>
      <c r="H972" s="1" t="s">
        <v>652</v>
      </c>
    </row>
    <row r="973" customFormat="false" ht="15" hidden="false" customHeight="true" outlineLevel="0" collapsed="false">
      <c r="A973" s="1" t="s">
        <v>639</v>
      </c>
      <c r="B973" s="1" t="s">
        <v>85</v>
      </c>
      <c r="C973" s="1" t="s">
        <v>573</v>
      </c>
      <c r="D973" s="1" t="s">
        <v>271</v>
      </c>
      <c r="E973" s="73" t="n">
        <v>22</v>
      </c>
      <c r="F973" s="41" t="n">
        <v>156.91</v>
      </c>
      <c r="G973" s="41" t="n">
        <v>3452.02</v>
      </c>
      <c r="H973" s="1" t="s">
        <v>575</v>
      </c>
    </row>
    <row r="974" customFormat="false" ht="15" hidden="false" customHeight="true" outlineLevel="0" collapsed="false">
      <c r="A974" s="1" t="s">
        <v>639</v>
      </c>
      <c r="B974" s="1" t="s">
        <v>85</v>
      </c>
      <c r="C974" s="1" t="s">
        <v>573</v>
      </c>
      <c r="D974" s="1" t="s">
        <v>275</v>
      </c>
      <c r="E974" s="73" t="n">
        <v>11</v>
      </c>
      <c r="F974" s="41" t="n">
        <v>164.27</v>
      </c>
      <c r="G974" s="41" t="n">
        <v>1806.97</v>
      </c>
      <c r="H974" s="1" t="s">
        <v>575</v>
      </c>
    </row>
    <row r="975" customFormat="false" ht="15" hidden="false" customHeight="true" outlineLevel="0" collapsed="false">
      <c r="A975" s="1" t="s">
        <v>639</v>
      </c>
      <c r="B975" s="1" t="s">
        <v>85</v>
      </c>
      <c r="C975" s="1" t="s">
        <v>573</v>
      </c>
      <c r="D975" s="1" t="s">
        <v>272</v>
      </c>
      <c r="E975" s="73" t="n">
        <v>24</v>
      </c>
      <c r="F975" s="41" t="n">
        <v>152.82</v>
      </c>
      <c r="G975" s="41" t="n">
        <v>3667.68</v>
      </c>
      <c r="H975" s="1" t="s">
        <v>575</v>
      </c>
    </row>
    <row r="976" customFormat="false" ht="15" hidden="false" customHeight="true" outlineLevel="0" collapsed="false">
      <c r="A976" s="1" t="s">
        <v>639</v>
      </c>
      <c r="B976" s="1" t="s">
        <v>85</v>
      </c>
      <c r="C976" s="1" t="s">
        <v>573</v>
      </c>
      <c r="D976" s="1" t="s">
        <v>266</v>
      </c>
      <c r="E976" s="73" t="n">
        <v>10</v>
      </c>
      <c r="F976" s="41" t="n">
        <v>151.02</v>
      </c>
      <c r="G976" s="41" t="n">
        <v>1510.2</v>
      </c>
      <c r="H976" s="1" t="s">
        <v>575</v>
      </c>
    </row>
    <row r="977" customFormat="false" ht="15" hidden="false" customHeight="true" outlineLevel="0" collapsed="false">
      <c r="A977" s="1" t="s">
        <v>639</v>
      </c>
      <c r="B977" s="1" t="s">
        <v>85</v>
      </c>
      <c r="C977" s="1" t="s">
        <v>573</v>
      </c>
      <c r="D977" s="1" t="s">
        <v>267</v>
      </c>
      <c r="E977" s="73" t="n">
        <v>0</v>
      </c>
      <c r="F977" s="41" t="n">
        <v>0</v>
      </c>
      <c r="G977" s="41" t="n">
        <v>0</v>
      </c>
      <c r="H977" s="1" t="s">
        <v>575</v>
      </c>
    </row>
    <row r="978" customFormat="false" ht="15" hidden="false" customHeight="true" outlineLevel="0" collapsed="false">
      <c r="A978" s="1" t="s">
        <v>639</v>
      </c>
      <c r="B978" s="1" t="s">
        <v>85</v>
      </c>
      <c r="C978" s="1" t="s">
        <v>573</v>
      </c>
      <c r="D978" s="1" t="s">
        <v>264</v>
      </c>
      <c r="E978" s="73" t="n">
        <v>12</v>
      </c>
      <c r="F978" s="41" t="n">
        <v>157.32</v>
      </c>
      <c r="G978" s="41" t="n">
        <v>1887.84</v>
      </c>
      <c r="H978" s="1" t="s">
        <v>575</v>
      </c>
    </row>
    <row r="979" customFormat="false" ht="15" hidden="false" customHeight="true" outlineLevel="0" collapsed="false">
      <c r="A979" s="1" t="s">
        <v>639</v>
      </c>
      <c r="B979" s="1" t="s">
        <v>32</v>
      </c>
      <c r="C979" s="1" t="s">
        <v>576</v>
      </c>
      <c r="D979" s="1" t="s">
        <v>269</v>
      </c>
      <c r="E979" s="73" t="n">
        <v>1</v>
      </c>
      <c r="F979" s="41" t="n">
        <v>91.2</v>
      </c>
      <c r="G979" s="41" t="n">
        <v>91.2</v>
      </c>
      <c r="H979" s="1" t="s">
        <v>577</v>
      </c>
    </row>
    <row r="980" customFormat="false" ht="15" hidden="false" customHeight="true" outlineLevel="0" collapsed="false">
      <c r="A980" s="1" t="s">
        <v>639</v>
      </c>
      <c r="B980" s="1" t="s">
        <v>32</v>
      </c>
      <c r="C980" s="1" t="s">
        <v>578</v>
      </c>
      <c r="D980" s="1" t="s">
        <v>269</v>
      </c>
      <c r="E980" s="73" t="n">
        <v>0</v>
      </c>
      <c r="F980" s="41" t="n">
        <v>0</v>
      </c>
      <c r="G980" s="41" t="n">
        <v>0</v>
      </c>
      <c r="H980" s="1" t="s">
        <v>579</v>
      </c>
    </row>
    <row r="981" customFormat="false" ht="15" hidden="false" customHeight="true" outlineLevel="0" collapsed="false">
      <c r="A981" s="1" t="s">
        <v>639</v>
      </c>
      <c r="B981" s="1" t="s">
        <v>32</v>
      </c>
      <c r="C981" s="1" t="s">
        <v>576</v>
      </c>
      <c r="D981" s="1" t="s">
        <v>271</v>
      </c>
      <c r="E981" s="73" t="n">
        <v>0</v>
      </c>
      <c r="F981" s="41" t="n">
        <v>0</v>
      </c>
      <c r="G981" s="41" t="n">
        <v>0</v>
      </c>
      <c r="H981" s="1" t="s">
        <v>577</v>
      </c>
    </row>
    <row r="982" customFormat="false" ht="15" hidden="false" customHeight="true" outlineLevel="0" collapsed="false">
      <c r="A982" s="1" t="s">
        <v>639</v>
      </c>
      <c r="B982" s="1" t="s">
        <v>32</v>
      </c>
      <c r="C982" s="1" t="s">
        <v>576</v>
      </c>
      <c r="D982" s="1" t="s">
        <v>271</v>
      </c>
      <c r="E982" s="73" t="n">
        <v>0</v>
      </c>
      <c r="F982" s="41" t="n">
        <v>0</v>
      </c>
      <c r="G982" s="41" t="n">
        <v>0</v>
      </c>
      <c r="H982" s="1" t="s">
        <v>577</v>
      </c>
    </row>
    <row r="983" customFormat="false" ht="15" hidden="false" customHeight="true" outlineLevel="0" collapsed="false">
      <c r="A983" s="1" t="s">
        <v>639</v>
      </c>
      <c r="B983" s="1" t="s">
        <v>32</v>
      </c>
      <c r="C983" s="1" t="s">
        <v>578</v>
      </c>
      <c r="D983" s="1" t="s">
        <v>271</v>
      </c>
      <c r="E983" s="73" t="n">
        <v>0</v>
      </c>
      <c r="F983" s="41" t="n">
        <v>0</v>
      </c>
      <c r="G983" s="41" t="n">
        <v>0</v>
      </c>
      <c r="H983" s="1" t="s">
        <v>579</v>
      </c>
    </row>
    <row r="984" customFormat="false" ht="15" hidden="false" customHeight="true" outlineLevel="0" collapsed="false">
      <c r="A984" s="1" t="s">
        <v>639</v>
      </c>
      <c r="B984" s="1" t="s">
        <v>32</v>
      </c>
      <c r="C984" s="1" t="s">
        <v>576</v>
      </c>
      <c r="D984" s="1" t="s">
        <v>275</v>
      </c>
      <c r="E984" s="73" t="n">
        <v>0</v>
      </c>
      <c r="F984" s="41" t="n">
        <v>0</v>
      </c>
      <c r="G984" s="41" t="n">
        <v>0</v>
      </c>
      <c r="H984" s="1" t="s">
        <v>577</v>
      </c>
    </row>
    <row r="985" customFormat="false" ht="15" hidden="false" customHeight="true" outlineLevel="0" collapsed="false">
      <c r="A985" s="1" t="s">
        <v>639</v>
      </c>
      <c r="B985" s="1" t="s">
        <v>32</v>
      </c>
      <c r="C985" s="1" t="s">
        <v>578</v>
      </c>
      <c r="D985" s="1" t="s">
        <v>275</v>
      </c>
      <c r="E985" s="73" t="n">
        <v>0</v>
      </c>
      <c r="F985" s="41" t="n">
        <v>0</v>
      </c>
      <c r="G985" s="41" t="n">
        <v>0</v>
      </c>
      <c r="H985" s="1" t="s">
        <v>580</v>
      </c>
    </row>
    <row r="986" customFormat="false" ht="15" hidden="false" customHeight="true" outlineLevel="0" collapsed="false">
      <c r="A986" s="1" t="s">
        <v>639</v>
      </c>
      <c r="B986" s="1" t="s">
        <v>32</v>
      </c>
      <c r="C986" s="1" t="s">
        <v>576</v>
      </c>
      <c r="D986" s="1" t="s">
        <v>272</v>
      </c>
      <c r="E986" s="73" t="n">
        <v>1</v>
      </c>
      <c r="F986" s="41" t="n">
        <v>696</v>
      </c>
      <c r="G986" s="41" t="n">
        <v>696</v>
      </c>
      <c r="H986" s="1" t="s">
        <v>577</v>
      </c>
    </row>
    <row r="987" customFormat="false" ht="15" hidden="false" customHeight="true" outlineLevel="0" collapsed="false">
      <c r="A987" s="1" t="s">
        <v>639</v>
      </c>
      <c r="B987" s="1" t="s">
        <v>32</v>
      </c>
      <c r="C987" s="1" t="s">
        <v>576</v>
      </c>
      <c r="D987" s="1" t="s">
        <v>272</v>
      </c>
      <c r="E987" s="73" t="n">
        <v>0</v>
      </c>
      <c r="F987" s="41" t="n">
        <v>0</v>
      </c>
      <c r="G987" s="41" t="n">
        <v>0</v>
      </c>
      <c r="H987" s="1" t="s">
        <v>577</v>
      </c>
    </row>
    <row r="988" customFormat="false" ht="15" hidden="false" customHeight="true" outlineLevel="0" collapsed="false">
      <c r="A988" s="1" t="s">
        <v>639</v>
      </c>
      <c r="B988" s="1" t="s">
        <v>32</v>
      </c>
      <c r="C988" s="1" t="s">
        <v>576</v>
      </c>
      <c r="D988" s="1" t="s">
        <v>266</v>
      </c>
      <c r="E988" s="73" t="n">
        <v>1</v>
      </c>
      <c r="F988" s="41" t="n">
        <v>980.4</v>
      </c>
      <c r="G988" s="41" t="n">
        <v>980.4</v>
      </c>
      <c r="H988" s="1" t="s">
        <v>577</v>
      </c>
    </row>
    <row r="989" customFormat="false" ht="15" hidden="false" customHeight="true" outlineLevel="0" collapsed="false">
      <c r="A989" s="1" t="s">
        <v>639</v>
      </c>
      <c r="B989" s="1" t="s">
        <v>32</v>
      </c>
      <c r="C989" s="1" t="s">
        <v>578</v>
      </c>
      <c r="D989" s="1" t="s">
        <v>266</v>
      </c>
      <c r="E989" s="73" t="n">
        <v>0</v>
      </c>
      <c r="F989" s="41" t="n">
        <v>0</v>
      </c>
      <c r="G989" s="41" t="n">
        <v>0</v>
      </c>
      <c r="H989" s="1" t="s">
        <v>579</v>
      </c>
    </row>
    <row r="990" customFormat="false" ht="15" hidden="false" customHeight="true" outlineLevel="0" collapsed="false">
      <c r="A990" s="1" t="s">
        <v>639</v>
      </c>
      <c r="B990" s="1" t="s">
        <v>32</v>
      </c>
      <c r="C990" s="1" t="s">
        <v>576</v>
      </c>
      <c r="D990" s="1" t="s">
        <v>267</v>
      </c>
      <c r="E990" s="73" t="n">
        <v>0</v>
      </c>
      <c r="F990" s="41" t="n">
        <v>0</v>
      </c>
      <c r="G990" s="41" t="n">
        <v>0</v>
      </c>
      <c r="H990" s="1" t="s">
        <v>577</v>
      </c>
    </row>
    <row r="991" customFormat="false" ht="15" hidden="false" customHeight="true" outlineLevel="0" collapsed="false">
      <c r="A991" s="1" t="s">
        <v>639</v>
      </c>
      <c r="B991" s="1" t="s">
        <v>32</v>
      </c>
      <c r="C991" s="1" t="s">
        <v>576</v>
      </c>
      <c r="D991" s="1" t="s">
        <v>264</v>
      </c>
      <c r="E991" s="73" t="n">
        <v>1</v>
      </c>
      <c r="F991" s="41" t="n">
        <v>314.6</v>
      </c>
      <c r="G991" s="41" t="n">
        <v>314.6</v>
      </c>
      <c r="H991" s="1" t="s">
        <v>577</v>
      </c>
    </row>
    <row r="992" customFormat="false" ht="15" hidden="false" customHeight="true" outlineLevel="0" collapsed="false">
      <c r="A992" s="1" t="s">
        <v>639</v>
      </c>
      <c r="B992" s="1" t="s">
        <v>32</v>
      </c>
      <c r="C992" s="1" t="s">
        <v>578</v>
      </c>
      <c r="D992" s="1" t="s">
        <v>264</v>
      </c>
      <c r="E992" s="73" t="n">
        <v>0</v>
      </c>
      <c r="F992" s="41" t="n">
        <v>0</v>
      </c>
      <c r="G992" s="41" t="n">
        <v>0</v>
      </c>
      <c r="H992" s="1" t="s">
        <v>581</v>
      </c>
    </row>
    <row r="993" customFormat="false" ht="15" hidden="false" customHeight="true" outlineLevel="0" collapsed="false">
      <c r="A993" s="1" t="s">
        <v>639</v>
      </c>
      <c r="B993" s="1" t="s">
        <v>582</v>
      </c>
      <c r="C993" s="1" t="s">
        <v>583</v>
      </c>
      <c r="D993" s="1" t="s">
        <v>271</v>
      </c>
      <c r="E993" s="73" t="n">
        <v>13530</v>
      </c>
      <c r="F993" s="41" t="n">
        <v>2.48</v>
      </c>
      <c r="G993" s="41" t="n">
        <v>33554.4</v>
      </c>
      <c r="H993" s="1" t="s">
        <v>402</v>
      </c>
    </row>
    <row r="994" customFormat="false" ht="15" hidden="false" customHeight="true" outlineLevel="0" collapsed="false">
      <c r="A994" s="1" t="s">
        <v>639</v>
      </c>
      <c r="B994" s="1" t="s">
        <v>44</v>
      </c>
      <c r="C994" s="1" t="s">
        <v>584</v>
      </c>
      <c r="D994" s="1" t="s">
        <v>269</v>
      </c>
      <c r="E994" s="73" t="n">
        <v>-1</v>
      </c>
      <c r="F994" s="41" t="n">
        <v>847.7</v>
      </c>
      <c r="G994" s="41" t="n">
        <v>-847.7</v>
      </c>
      <c r="H994" s="1" t="s">
        <v>585</v>
      </c>
    </row>
    <row r="995" customFormat="false" ht="15" hidden="false" customHeight="true" outlineLevel="0" collapsed="false">
      <c r="A995" s="1" t="s">
        <v>639</v>
      </c>
      <c r="B995" s="1" t="s">
        <v>44</v>
      </c>
      <c r="C995" s="1" t="s">
        <v>584</v>
      </c>
      <c r="D995" s="1" t="s">
        <v>269</v>
      </c>
      <c r="E995" s="73" t="n">
        <v>1</v>
      </c>
      <c r="F995" s="41" t="n">
        <v>2959.45</v>
      </c>
      <c r="G995" s="41" t="n">
        <v>2959.45</v>
      </c>
      <c r="H995" s="1" t="s">
        <v>653</v>
      </c>
    </row>
    <row r="996" customFormat="false" ht="15" hidden="false" customHeight="true" outlineLevel="0" collapsed="false">
      <c r="A996" s="1" t="s">
        <v>639</v>
      </c>
      <c r="B996" s="1" t="s">
        <v>44</v>
      </c>
      <c r="C996" s="1" t="s">
        <v>584</v>
      </c>
      <c r="D996" s="1" t="s">
        <v>271</v>
      </c>
      <c r="E996" s="73" t="n">
        <v>1</v>
      </c>
      <c r="F996" s="41" t="n">
        <v>863</v>
      </c>
      <c r="G996" s="41" t="n">
        <v>863</v>
      </c>
      <c r="H996" s="1" t="s">
        <v>637</v>
      </c>
    </row>
    <row r="997" customFormat="false" ht="15" hidden="false" customHeight="true" outlineLevel="0" collapsed="false">
      <c r="A997" s="1" t="s">
        <v>639</v>
      </c>
      <c r="B997" s="1" t="s">
        <v>44</v>
      </c>
      <c r="C997" s="1" t="s">
        <v>587</v>
      </c>
      <c r="D997" s="1" t="s">
        <v>271</v>
      </c>
      <c r="E997" s="73" t="n">
        <v>0</v>
      </c>
      <c r="F997" s="41" t="n">
        <v>0</v>
      </c>
      <c r="G997" s="41" t="n">
        <v>0</v>
      </c>
      <c r="H997" s="1" t="s">
        <v>588</v>
      </c>
    </row>
    <row r="998" customFormat="false" ht="15" hidden="false" customHeight="true" outlineLevel="0" collapsed="false">
      <c r="A998" s="1" t="s">
        <v>639</v>
      </c>
      <c r="B998" s="1" t="s">
        <v>44</v>
      </c>
      <c r="C998" s="1" t="s">
        <v>589</v>
      </c>
      <c r="D998" s="1" t="s">
        <v>271</v>
      </c>
      <c r="E998" s="73" t="n">
        <v>0</v>
      </c>
      <c r="F998" s="41" t="n">
        <v>0</v>
      </c>
      <c r="G998" s="41" t="n">
        <v>0</v>
      </c>
      <c r="H998" s="1" t="s">
        <v>590</v>
      </c>
    </row>
    <row r="999" customFormat="false" ht="15" hidden="false" customHeight="true" outlineLevel="0" collapsed="false">
      <c r="A999" s="1" t="s">
        <v>639</v>
      </c>
      <c r="B999" s="1" t="s">
        <v>44</v>
      </c>
      <c r="C999" s="1" t="s">
        <v>591</v>
      </c>
      <c r="D999" s="1" t="s">
        <v>271</v>
      </c>
      <c r="E999" s="73" t="n">
        <v>1</v>
      </c>
      <c r="F999" s="41" t="n">
        <v>6471.5</v>
      </c>
      <c r="G999" s="41" t="n">
        <v>6471.5</v>
      </c>
      <c r="H999" s="1" t="s">
        <v>592</v>
      </c>
    </row>
    <row r="1000" customFormat="false" ht="15" hidden="false" customHeight="true" outlineLevel="0" collapsed="false">
      <c r="A1000" s="1" t="s">
        <v>639</v>
      </c>
      <c r="B1000" s="1" t="s">
        <v>44</v>
      </c>
      <c r="C1000" s="1" t="s">
        <v>584</v>
      </c>
      <c r="D1000" s="1" t="s">
        <v>275</v>
      </c>
      <c r="E1000" s="73" t="n">
        <v>1</v>
      </c>
      <c r="F1000" s="41" t="n">
        <v>1119.06</v>
      </c>
      <c r="G1000" s="41" t="n">
        <v>1119.06</v>
      </c>
      <c r="H1000" s="1" t="s">
        <v>637</v>
      </c>
    </row>
    <row r="1001" customFormat="false" ht="15" hidden="false" customHeight="true" outlineLevel="0" collapsed="false">
      <c r="A1001" s="1" t="s">
        <v>639</v>
      </c>
      <c r="B1001" s="1" t="s">
        <v>44</v>
      </c>
      <c r="C1001" s="1" t="s">
        <v>584</v>
      </c>
      <c r="D1001" s="1" t="s">
        <v>275</v>
      </c>
      <c r="E1001" s="73" t="n">
        <v>-1</v>
      </c>
      <c r="F1001" s="41" t="n">
        <v>155.9</v>
      </c>
      <c r="G1001" s="41" t="n">
        <v>-155.9</v>
      </c>
      <c r="H1001" s="1" t="s">
        <v>585</v>
      </c>
    </row>
    <row r="1002" customFormat="false" ht="15" hidden="false" customHeight="true" outlineLevel="0" collapsed="false">
      <c r="A1002" s="1" t="s">
        <v>639</v>
      </c>
      <c r="B1002" s="1" t="s">
        <v>44</v>
      </c>
      <c r="C1002" s="1" t="s">
        <v>593</v>
      </c>
      <c r="D1002" s="1" t="s">
        <v>275</v>
      </c>
      <c r="E1002" s="73" t="n">
        <v>0</v>
      </c>
      <c r="F1002" s="41" t="n">
        <v>0</v>
      </c>
      <c r="G1002" s="41" t="n">
        <v>0</v>
      </c>
      <c r="H1002" s="1" t="s">
        <v>588</v>
      </c>
    </row>
    <row r="1003" customFormat="false" ht="15" hidden="false" customHeight="true" outlineLevel="0" collapsed="false">
      <c r="A1003" s="1" t="s">
        <v>639</v>
      </c>
      <c r="B1003" s="1" t="s">
        <v>44</v>
      </c>
      <c r="C1003" s="1" t="s">
        <v>594</v>
      </c>
      <c r="D1003" s="1" t="s">
        <v>275</v>
      </c>
      <c r="E1003" s="73" t="n">
        <v>0</v>
      </c>
      <c r="F1003" s="41" t="n">
        <v>0</v>
      </c>
      <c r="G1003" s="41" t="n">
        <v>0</v>
      </c>
      <c r="H1003" s="1" t="s">
        <v>592</v>
      </c>
    </row>
    <row r="1004" customFormat="false" ht="15" hidden="false" customHeight="true" outlineLevel="0" collapsed="false">
      <c r="A1004" s="1" t="s">
        <v>639</v>
      </c>
      <c r="B1004" s="1" t="s">
        <v>44</v>
      </c>
      <c r="C1004" s="1" t="s">
        <v>584</v>
      </c>
      <c r="D1004" s="1" t="s">
        <v>272</v>
      </c>
      <c r="E1004" s="73" t="n">
        <v>1</v>
      </c>
      <c r="F1004" s="41" t="n">
        <v>8439.17</v>
      </c>
      <c r="G1004" s="41" t="n">
        <v>8439.17</v>
      </c>
      <c r="H1004" s="1" t="s">
        <v>637</v>
      </c>
    </row>
    <row r="1005" customFormat="false" ht="15" hidden="false" customHeight="true" outlineLevel="0" collapsed="false">
      <c r="A1005" s="1" t="s">
        <v>639</v>
      </c>
      <c r="B1005" s="1" t="s">
        <v>44</v>
      </c>
      <c r="C1005" s="1" t="s">
        <v>595</v>
      </c>
      <c r="D1005" s="1" t="s">
        <v>272</v>
      </c>
      <c r="E1005" s="73" t="n">
        <v>0</v>
      </c>
      <c r="F1005" s="41" t="n">
        <v>0</v>
      </c>
      <c r="G1005" s="41" t="n">
        <v>0</v>
      </c>
      <c r="H1005" s="1" t="s">
        <v>588</v>
      </c>
    </row>
    <row r="1006" customFormat="false" ht="15" hidden="false" customHeight="true" outlineLevel="0" collapsed="false">
      <c r="A1006" s="1" t="s">
        <v>639</v>
      </c>
      <c r="B1006" s="1" t="s">
        <v>44</v>
      </c>
      <c r="C1006" s="1" t="s">
        <v>596</v>
      </c>
      <c r="D1006" s="1" t="s">
        <v>272</v>
      </c>
      <c r="E1006" s="73" t="n">
        <v>0</v>
      </c>
      <c r="F1006" s="41" t="n">
        <v>0</v>
      </c>
      <c r="G1006" s="41" t="n">
        <v>0</v>
      </c>
      <c r="H1006" s="1" t="s">
        <v>588</v>
      </c>
    </row>
    <row r="1007" customFormat="false" ht="15" hidden="false" customHeight="true" outlineLevel="0" collapsed="false">
      <c r="A1007" s="1" t="s">
        <v>639</v>
      </c>
      <c r="B1007" s="1" t="s">
        <v>44</v>
      </c>
      <c r="C1007" s="1" t="s">
        <v>654</v>
      </c>
      <c r="D1007" s="1" t="s">
        <v>272</v>
      </c>
      <c r="E1007" s="73" t="n">
        <v>-1</v>
      </c>
      <c r="F1007" s="41" t="n">
        <v>358.78</v>
      </c>
      <c r="G1007" s="41" t="n">
        <v>-358.78</v>
      </c>
      <c r="H1007" s="1" t="s">
        <v>585</v>
      </c>
    </row>
    <row r="1008" customFormat="false" ht="15" hidden="false" customHeight="true" outlineLevel="0" collapsed="false">
      <c r="A1008" s="1" t="s">
        <v>639</v>
      </c>
      <c r="B1008" s="1" t="s">
        <v>44</v>
      </c>
      <c r="C1008" s="1" t="s">
        <v>598</v>
      </c>
      <c r="D1008" s="1" t="s">
        <v>272</v>
      </c>
      <c r="E1008" s="73" t="n">
        <v>0</v>
      </c>
      <c r="F1008" s="41" t="n">
        <v>0</v>
      </c>
      <c r="G1008" s="41" t="n">
        <v>0</v>
      </c>
      <c r="H1008" s="1" t="s">
        <v>592</v>
      </c>
    </row>
    <row r="1009" customFormat="false" ht="15" hidden="false" customHeight="true" outlineLevel="0" collapsed="false">
      <c r="A1009" s="1" t="s">
        <v>639</v>
      </c>
      <c r="B1009" s="1" t="s">
        <v>44</v>
      </c>
      <c r="C1009" s="1" t="s">
        <v>638</v>
      </c>
      <c r="D1009" s="1" t="s">
        <v>272</v>
      </c>
      <c r="E1009" s="73" t="n">
        <v>0</v>
      </c>
      <c r="F1009" s="41" t="n">
        <v>0</v>
      </c>
      <c r="G1009" s="41" t="n">
        <v>0</v>
      </c>
      <c r="H1009" s="1" t="s">
        <v>592</v>
      </c>
    </row>
    <row r="1010" customFormat="false" ht="15" hidden="false" customHeight="true" outlineLevel="0" collapsed="false">
      <c r="A1010" s="1" t="s">
        <v>639</v>
      </c>
      <c r="B1010" s="1" t="s">
        <v>44</v>
      </c>
      <c r="C1010" s="1" t="s">
        <v>584</v>
      </c>
      <c r="D1010" s="1" t="s">
        <v>266</v>
      </c>
      <c r="E1010" s="73" t="n">
        <v>1</v>
      </c>
      <c r="F1010" s="41" t="n">
        <v>3957</v>
      </c>
      <c r="G1010" s="41" t="n">
        <v>3957</v>
      </c>
      <c r="H1010" s="1" t="s">
        <v>586</v>
      </c>
    </row>
    <row r="1011" customFormat="false" ht="15" hidden="false" customHeight="true" outlineLevel="0" collapsed="false">
      <c r="A1011" s="1" t="s">
        <v>639</v>
      </c>
      <c r="B1011" s="1" t="s">
        <v>44</v>
      </c>
      <c r="C1011" s="1" t="s">
        <v>584</v>
      </c>
      <c r="D1011" s="1" t="s">
        <v>266</v>
      </c>
      <c r="E1011" s="73" t="n">
        <v>0</v>
      </c>
      <c r="F1011" s="41" t="n">
        <v>0</v>
      </c>
      <c r="G1011" s="41" t="n">
        <v>0</v>
      </c>
      <c r="H1011" s="1" t="s">
        <v>586</v>
      </c>
    </row>
    <row r="1012" customFormat="false" ht="15" hidden="false" customHeight="true" outlineLevel="0" collapsed="false">
      <c r="A1012" s="1" t="s">
        <v>639</v>
      </c>
      <c r="B1012" s="1" t="s">
        <v>44</v>
      </c>
      <c r="C1012" s="1" t="s">
        <v>596</v>
      </c>
      <c r="D1012" s="1" t="s">
        <v>266</v>
      </c>
      <c r="E1012" s="73" t="n">
        <v>0</v>
      </c>
      <c r="F1012" s="41" t="n">
        <v>0</v>
      </c>
      <c r="G1012" s="41" t="n">
        <v>0</v>
      </c>
      <c r="H1012" s="1" t="s">
        <v>592</v>
      </c>
    </row>
    <row r="1013" customFormat="false" ht="15" hidden="false" customHeight="true" outlineLevel="0" collapsed="false">
      <c r="A1013" s="1" t="s">
        <v>639</v>
      </c>
      <c r="B1013" s="1" t="s">
        <v>44</v>
      </c>
      <c r="C1013" s="1" t="s">
        <v>597</v>
      </c>
      <c r="D1013" s="1" t="s">
        <v>266</v>
      </c>
      <c r="E1013" s="73" t="n">
        <v>0</v>
      </c>
      <c r="F1013" s="41" t="n">
        <v>0</v>
      </c>
      <c r="G1013" s="41" t="n">
        <v>0</v>
      </c>
      <c r="H1013" s="1" t="s">
        <v>592</v>
      </c>
    </row>
    <row r="1014" customFormat="false" ht="15" hidden="false" customHeight="true" outlineLevel="0" collapsed="false">
      <c r="A1014" s="1" t="s">
        <v>639</v>
      </c>
      <c r="B1014" s="1" t="s">
        <v>44</v>
      </c>
      <c r="C1014" s="1" t="s">
        <v>584</v>
      </c>
      <c r="D1014" s="1" t="s">
        <v>267</v>
      </c>
      <c r="E1014" s="73" t="n">
        <v>1</v>
      </c>
      <c r="F1014" s="41" t="n">
        <v>1010.04</v>
      </c>
      <c r="G1014" s="41" t="n">
        <v>1010.04</v>
      </c>
      <c r="H1014" s="1" t="s">
        <v>637</v>
      </c>
    </row>
    <row r="1015" customFormat="false" ht="15" hidden="false" customHeight="true" outlineLevel="0" collapsed="false">
      <c r="A1015" s="1" t="s">
        <v>639</v>
      </c>
      <c r="B1015" s="1" t="s">
        <v>44</v>
      </c>
      <c r="C1015" s="1" t="s">
        <v>584</v>
      </c>
      <c r="D1015" s="1" t="s">
        <v>267</v>
      </c>
      <c r="E1015" s="73" t="n">
        <v>0</v>
      </c>
      <c r="F1015" s="41" t="n">
        <v>0</v>
      </c>
      <c r="G1015" s="41" t="n">
        <v>0</v>
      </c>
      <c r="H1015" s="1" t="s">
        <v>585</v>
      </c>
    </row>
    <row r="1016" customFormat="false" ht="15" hidden="false" customHeight="true" outlineLevel="0" collapsed="false">
      <c r="A1016" s="1" t="s">
        <v>639</v>
      </c>
      <c r="B1016" s="1" t="s">
        <v>44</v>
      </c>
      <c r="C1016" s="1" t="s">
        <v>584</v>
      </c>
      <c r="D1016" s="1" t="s">
        <v>264</v>
      </c>
      <c r="E1016" s="73" t="n">
        <v>1</v>
      </c>
      <c r="F1016" s="41" t="n">
        <v>6035.94</v>
      </c>
      <c r="G1016" s="41" t="n">
        <v>6035.94</v>
      </c>
      <c r="H1016" s="1" t="s">
        <v>637</v>
      </c>
    </row>
    <row r="1017" customFormat="false" ht="15" hidden="false" customHeight="true" outlineLevel="0" collapsed="false">
      <c r="A1017" s="1" t="s">
        <v>639</v>
      </c>
      <c r="B1017" s="1" t="s">
        <v>44</v>
      </c>
      <c r="C1017" s="1" t="s">
        <v>584</v>
      </c>
      <c r="D1017" s="1" t="s">
        <v>264</v>
      </c>
      <c r="E1017" s="73" t="n">
        <v>-1</v>
      </c>
      <c r="F1017" s="41" t="n">
        <v>1333.53</v>
      </c>
      <c r="G1017" s="41" t="n">
        <v>-1333.53</v>
      </c>
      <c r="H1017" s="1" t="s">
        <v>585</v>
      </c>
    </row>
    <row r="1018" customFormat="false" ht="15" hidden="false" customHeight="true" outlineLevel="0" collapsed="false">
      <c r="A1018" s="1" t="s">
        <v>639</v>
      </c>
      <c r="B1018" s="1" t="s">
        <v>44</v>
      </c>
      <c r="C1018" s="1" t="s">
        <v>599</v>
      </c>
      <c r="D1018" s="1" t="s">
        <v>264</v>
      </c>
      <c r="E1018" s="73" t="n">
        <v>0</v>
      </c>
      <c r="F1018" s="41" t="n">
        <v>0</v>
      </c>
      <c r="G1018" s="41" t="n">
        <v>0</v>
      </c>
      <c r="H1018" s="1" t="s">
        <v>588</v>
      </c>
    </row>
    <row r="1019" customFormat="false" ht="15" hidden="false" customHeight="true" outlineLevel="0" collapsed="false">
      <c r="A1019" s="1" t="s">
        <v>639</v>
      </c>
      <c r="B1019" s="1" t="s">
        <v>44</v>
      </c>
      <c r="C1019" s="1" t="s">
        <v>594</v>
      </c>
      <c r="D1019" s="1" t="s">
        <v>264</v>
      </c>
      <c r="E1019" s="73" t="n">
        <v>0</v>
      </c>
      <c r="F1019" s="41" t="n">
        <v>0</v>
      </c>
      <c r="G1019" s="41" t="n">
        <v>0</v>
      </c>
      <c r="H1019" s="1" t="s">
        <v>592</v>
      </c>
    </row>
    <row r="1020" customFormat="false" ht="15" hidden="false" customHeight="true" outlineLevel="0" collapsed="false">
      <c r="A1020" s="1" t="s">
        <v>639</v>
      </c>
      <c r="B1020" s="1" t="s">
        <v>87</v>
      </c>
      <c r="C1020" s="1" t="s">
        <v>600</v>
      </c>
      <c r="D1020" s="1" t="s">
        <v>269</v>
      </c>
      <c r="E1020" s="73" t="n">
        <v>2</v>
      </c>
      <c r="F1020" s="41" t="n">
        <v>50</v>
      </c>
      <c r="G1020" s="41" t="n">
        <v>100</v>
      </c>
      <c r="H1020" s="1" t="s">
        <v>601</v>
      </c>
    </row>
    <row r="1021" customFormat="false" ht="15" hidden="false" customHeight="true" outlineLevel="0" collapsed="false">
      <c r="A1021" s="1" t="s">
        <v>639</v>
      </c>
      <c r="B1021" s="1" t="s">
        <v>87</v>
      </c>
      <c r="C1021" s="1" t="s">
        <v>600</v>
      </c>
      <c r="D1021" s="1" t="s">
        <v>271</v>
      </c>
      <c r="E1021" s="73" t="n">
        <v>2</v>
      </c>
      <c r="F1021" s="41" t="n">
        <v>50</v>
      </c>
      <c r="G1021" s="41" t="n">
        <v>100</v>
      </c>
      <c r="H1021" s="1" t="s">
        <v>601</v>
      </c>
    </row>
    <row r="1022" customFormat="false" ht="15" hidden="false" customHeight="true" outlineLevel="0" collapsed="false">
      <c r="A1022" s="1" t="s">
        <v>639</v>
      </c>
      <c r="B1022" s="1" t="s">
        <v>87</v>
      </c>
      <c r="C1022" s="1" t="s">
        <v>600</v>
      </c>
      <c r="D1022" s="1" t="s">
        <v>275</v>
      </c>
      <c r="E1022" s="73" t="n">
        <v>1</v>
      </c>
      <c r="F1022" s="41" t="n">
        <v>10</v>
      </c>
      <c r="G1022" s="41" t="n">
        <v>10</v>
      </c>
      <c r="H1022" s="1" t="s">
        <v>601</v>
      </c>
    </row>
    <row r="1023" customFormat="false" ht="15" hidden="false" customHeight="true" outlineLevel="0" collapsed="false">
      <c r="A1023" s="1" t="s">
        <v>639</v>
      </c>
      <c r="B1023" s="1" t="s">
        <v>87</v>
      </c>
      <c r="C1023" s="1" t="s">
        <v>600</v>
      </c>
      <c r="D1023" s="1" t="s">
        <v>272</v>
      </c>
      <c r="E1023" s="73" t="n">
        <v>1</v>
      </c>
      <c r="F1023" s="41" t="n">
        <v>10</v>
      </c>
      <c r="G1023" s="41" t="n">
        <v>10</v>
      </c>
      <c r="H1023" s="1" t="s">
        <v>601</v>
      </c>
    </row>
    <row r="1024" customFormat="false" ht="15" hidden="false" customHeight="true" outlineLevel="0" collapsed="false">
      <c r="A1024" s="1" t="s">
        <v>639</v>
      </c>
      <c r="B1024" s="1" t="s">
        <v>87</v>
      </c>
      <c r="C1024" s="1" t="s">
        <v>600</v>
      </c>
      <c r="D1024" s="1" t="s">
        <v>272</v>
      </c>
      <c r="E1024" s="73" t="n">
        <v>5</v>
      </c>
      <c r="F1024" s="41" t="n">
        <v>50</v>
      </c>
      <c r="G1024" s="41" t="n">
        <v>250</v>
      </c>
      <c r="H1024" s="1" t="s">
        <v>601</v>
      </c>
    </row>
    <row r="1025" customFormat="false" ht="15" hidden="false" customHeight="true" outlineLevel="0" collapsed="false">
      <c r="A1025" s="1" t="s">
        <v>639</v>
      </c>
      <c r="B1025" s="1" t="s">
        <v>87</v>
      </c>
      <c r="C1025" s="1" t="s">
        <v>600</v>
      </c>
      <c r="D1025" s="1" t="s">
        <v>266</v>
      </c>
      <c r="E1025" s="73" t="n">
        <v>1</v>
      </c>
      <c r="F1025" s="41" t="n">
        <v>10</v>
      </c>
      <c r="G1025" s="41" t="n">
        <v>10</v>
      </c>
      <c r="H1025" s="1" t="s">
        <v>601</v>
      </c>
    </row>
    <row r="1026" customFormat="false" ht="15" hidden="false" customHeight="true" outlineLevel="0" collapsed="false">
      <c r="A1026" s="1" t="s">
        <v>639</v>
      </c>
      <c r="B1026" s="1" t="s">
        <v>87</v>
      </c>
      <c r="C1026" s="1" t="s">
        <v>600</v>
      </c>
      <c r="D1026" s="1" t="s">
        <v>266</v>
      </c>
      <c r="E1026" s="73" t="n">
        <v>2</v>
      </c>
      <c r="F1026" s="41" t="n">
        <v>50</v>
      </c>
      <c r="G1026" s="41" t="n">
        <v>100</v>
      </c>
      <c r="H1026" s="1" t="s">
        <v>601</v>
      </c>
    </row>
    <row r="1027" customFormat="false" ht="15" hidden="false" customHeight="true" outlineLevel="0" collapsed="false">
      <c r="A1027" s="1" t="s">
        <v>639</v>
      </c>
      <c r="B1027" s="1" t="s">
        <v>87</v>
      </c>
      <c r="C1027" s="1" t="s">
        <v>600</v>
      </c>
      <c r="D1027" s="1" t="s">
        <v>267</v>
      </c>
      <c r="E1027" s="73" t="n">
        <v>1</v>
      </c>
      <c r="F1027" s="41" t="n">
        <v>50</v>
      </c>
      <c r="G1027" s="41" t="n">
        <v>50</v>
      </c>
      <c r="H1027" s="1" t="s">
        <v>601</v>
      </c>
    </row>
    <row r="1028" customFormat="false" ht="15" hidden="false" customHeight="true" outlineLevel="0" collapsed="false">
      <c r="A1028" s="1" t="s">
        <v>639</v>
      </c>
      <c r="B1028" s="1" t="s">
        <v>87</v>
      </c>
      <c r="C1028" s="1" t="s">
        <v>600</v>
      </c>
      <c r="D1028" s="1" t="s">
        <v>264</v>
      </c>
      <c r="E1028" s="73" t="n">
        <v>1</v>
      </c>
      <c r="F1028" s="41" t="n">
        <v>90</v>
      </c>
      <c r="G1028" s="41" t="n">
        <v>90</v>
      </c>
      <c r="H1028" s="1" t="s">
        <v>601</v>
      </c>
    </row>
    <row r="1029" customFormat="false" ht="15" hidden="false" customHeight="true" outlineLevel="0" collapsed="false">
      <c r="A1029" s="1" t="s">
        <v>639</v>
      </c>
      <c r="B1029" s="1" t="s">
        <v>87</v>
      </c>
      <c r="C1029" s="1" t="s">
        <v>600</v>
      </c>
      <c r="D1029" s="1" t="s">
        <v>264</v>
      </c>
      <c r="E1029" s="73" t="n">
        <v>2</v>
      </c>
      <c r="F1029" s="41" t="n">
        <v>10</v>
      </c>
      <c r="G1029" s="41" t="n">
        <v>20</v>
      </c>
      <c r="H1029" s="1" t="s">
        <v>601</v>
      </c>
    </row>
    <row r="1030" customFormat="false" ht="15" hidden="false" customHeight="true" outlineLevel="0" collapsed="false">
      <c r="A1030" s="1" t="s">
        <v>639</v>
      </c>
      <c r="B1030" s="1" t="s">
        <v>87</v>
      </c>
      <c r="C1030" s="1" t="s">
        <v>600</v>
      </c>
      <c r="D1030" s="1" t="s">
        <v>264</v>
      </c>
      <c r="E1030" s="73" t="n">
        <v>3</v>
      </c>
      <c r="F1030" s="41" t="n">
        <v>50</v>
      </c>
      <c r="G1030" s="41" t="n">
        <v>150</v>
      </c>
      <c r="H1030" s="1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2026-08-28T17:48:48Z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