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8" pivotButton="0" quotePrefix="0" xfId="0"/>
    <xf numFmtId="0" fontId="0" fillId="0" borderId="9" pivotButton="0" quotePrefix="0" xfId="0"/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8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74" min="1" max="1"/>
    <col width="20.33" customWidth="1" style="74" min="2" max="2"/>
    <col width="33.88" customWidth="1" style="74" min="3" max="3"/>
    <col width="13.11" customWidth="1" style="74" min="4" max="4"/>
    <col width="20.78" customWidth="1" style="74" min="5" max="5"/>
    <col width="18.56" customWidth="1" style="74" min="6" max="6"/>
    <col width="10.56" customWidth="1" style="74" min="7" max="7"/>
    <col width="17.11" customWidth="1" style="74" min="8" max="8"/>
    <col width="16.67" customWidth="1" style="74" min="9" max="9"/>
    <col width="10.56" customWidth="1" style="74" min="10" max="10"/>
  </cols>
  <sheetData>
    <row r="1" ht="25.5" customHeight="1" s="75">
      <c r="A1" s="76" t="inlineStr">
        <is>
          <t>PARÂMETROS DE RATEIO — EMPRESAS PARCEIRAS/LICENCIADAS</t>
        </is>
      </c>
    </row>
    <row r="3" ht="15" customHeight="1" s="75">
      <c r="A3" s="77" t="inlineStr">
        <is>
          <t>Mês de referência:</t>
        </is>
      </c>
      <c r="B3" s="78" t="n"/>
    </row>
    <row r="5" ht="15" customHeight="1" s="75">
      <c r="A5" s="79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5">
      <c r="A7" s="80" t="inlineStr">
        <is>
          <t>Empresa</t>
        </is>
      </c>
      <c r="B7" s="80" t="inlineStr">
        <is>
          <t>Nº de Clientes Atendidos</t>
        </is>
      </c>
      <c r="C7" s="80" t="inlineStr">
        <is>
          <t>Nº de Funcionários Dtel Alocados</t>
        </is>
      </c>
      <c r="D7" s="80" t="inlineStr">
        <is>
          <t>% de Clientes</t>
        </is>
      </c>
      <c r="E7" s="80" t="inlineStr">
        <is>
          <t>% de Funcionários</t>
        </is>
      </c>
      <c r="F7" s="80" t="inlineStr">
        <is>
          <t>% Royalty</t>
        </is>
      </c>
      <c r="G7" s="80" t="inlineStr">
        <is>
          <t>Mês</t>
        </is>
      </c>
    </row>
    <row r="8" ht="15" customHeight="1" s="75">
      <c r="A8" s="81" t="inlineStr">
        <is>
          <t>Empresa Licenciada DX2</t>
        </is>
      </c>
      <c r="B8" s="82" t="n">
        <v>6445</v>
      </c>
      <c r="C8" s="82" t="n">
        <v>34</v>
      </c>
      <c r="D8" s="83">
        <f>IFERROR(B8/SUMIFS($B$8:$B$33,$G$8:$G$33,G8),0)</f>
        <v/>
      </c>
      <c r="E8" s="83">
        <f>IFERROR(C8/SUMIFS($C$8:$C$33,$G$8:$G$33,G8),0)</f>
        <v/>
      </c>
      <c r="F8" s="84" t="n">
        <v>0</v>
      </c>
      <c r="G8" s="105" t="inlineStr">
        <is>
          <t>Junho/2026</t>
        </is>
      </c>
    </row>
    <row r="9" ht="15" customHeight="1" s="75">
      <c r="A9" s="86" t="inlineStr">
        <is>
          <t>Empresa Licenciada H&amp;A</t>
        </is>
      </c>
      <c r="B9" s="87" t="n">
        <v>13418</v>
      </c>
      <c r="C9" s="87" t="n">
        <v>32</v>
      </c>
      <c r="D9" s="88">
        <f>IFERROR(B9/SUMIFS($B$8:$B$33,$G$8:$G$33,G9),0)</f>
        <v/>
      </c>
      <c r="E9" s="88">
        <f>IFERROR(C9/SUMIFS($C$8:$C$33,$G$8:$G$33,G9),0)</f>
        <v/>
      </c>
      <c r="F9" s="89" t="n">
        <v>0</v>
      </c>
      <c r="G9" s="90" t="inlineStr">
        <is>
          <t>Junho/2026</t>
        </is>
      </c>
    </row>
    <row r="10" ht="15" customHeight="1" s="75">
      <c r="A10" s="81" t="inlineStr">
        <is>
          <t>Empresa Licenciada SOLON ARAUJO</t>
        </is>
      </c>
      <c r="B10" s="82" t="n">
        <v>14441</v>
      </c>
      <c r="C10" s="82" t="n">
        <v>42</v>
      </c>
      <c r="D10" s="83">
        <f>IFERROR(B10/SUMIFS($B$8:$B$33,$G$8:$G$33,G10),0)</f>
        <v/>
      </c>
      <c r="E10" s="83">
        <f>IFERROR(C10/SUMIFS($C$8:$C$33,$G$8:$G$33,G10),0)</f>
        <v/>
      </c>
      <c r="F10" s="84" t="n">
        <v>0</v>
      </c>
      <c r="G10" s="105" t="inlineStr">
        <is>
          <t>Junho/2026</t>
        </is>
      </c>
    </row>
    <row r="11" ht="15" customHeight="1" s="75">
      <c r="A11" s="86" t="inlineStr">
        <is>
          <t>Empresa Licenciada SOARES E LINS</t>
        </is>
      </c>
      <c r="B11" s="87" t="n">
        <v>3704</v>
      </c>
      <c r="C11" s="87" t="n">
        <v>11</v>
      </c>
      <c r="D11" s="88">
        <f>IFERROR(B11/SUMIFS($B$8:$B$33,$G$8:$G$33,G11),0)</f>
        <v/>
      </c>
      <c r="E11" s="88">
        <f>IFERROR(C11/SUMIFS($C$8:$C$33,$G$8:$G$33,G11),0)</f>
        <v/>
      </c>
      <c r="F11" s="89" t="n">
        <v>0</v>
      </c>
      <c r="G11" s="90" t="inlineStr">
        <is>
          <t>Junho/2026</t>
        </is>
      </c>
    </row>
    <row r="12" ht="15" customHeight="1" s="75">
      <c r="A12" s="81" t="inlineStr">
        <is>
          <t>Empresa Licenciada SOARES E SILVA</t>
        </is>
      </c>
      <c r="B12" s="82" t="n">
        <v>6434</v>
      </c>
      <c r="C12" s="82" t="n">
        <v>42</v>
      </c>
      <c r="D12" s="83">
        <f>IFERROR(B12/SUMIFS($B$8:$B$33,$G$8:$G$33,G12),0)</f>
        <v/>
      </c>
      <c r="E12" s="83">
        <f>IFERROR(C12/SUMIFS($C$8:$C$33,$G$8:$G$33,G12),0)</f>
        <v/>
      </c>
      <c r="F12" s="84" t="n">
        <v>0</v>
      </c>
      <c r="G12" s="105" t="inlineStr">
        <is>
          <t>Junho/2026</t>
        </is>
      </c>
    </row>
    <row r="13" ht="15" customHeight="1" s="75">
      <c r="A13" s="86" t="inlineStr">
        <is>
          <t>Empresa Licenciada SOUZA E SILVA</t>
        </is>
      </c>
      <c r="B13" s="87" t="n">
        <v>4749</v>
      </c>
      <c r="C13" s="87" t="n">
        <v>18</v>
      </c>
      <c r="D13" s="88">
        <f>IFERROR(B13/SUMIFS($B$8:$B$33,$G$8:$G$33,G13),0)</f>
        <v/>
      </c>
      <c r="E13" s="88">
        <f>IFERROR(C13/SUMIFS($C$8:$C$33,$G$8:$G$33,G13),0)</f>
        <v/>
      </c>
      <c r="F13" s="89" t="n">
        <v>0</v>
      </c>
      <c r="G13" s="90" t="inlineStr">
        <is>
          <t>Junho/2026</t>
        </is>
      </c>
    </row>
    <row r="14" ht="15" customHeight="1" s="75">
      <c r="A14" s="81" t="inlineStr">
        <is>
          <t>Empresa Licenciada VOICENET</t>
        </is>
      </c>
      <c r="B14" s="82" t="n">
        <v>4795</v>
      </c>
      <c r="C14" s="82" t="n">
        <v>17</v>
      </c>
      <c r="D14" s="83">
        <f>IFERROR(B14/SUMIFS($B$8:$B$33,$G$8:$G$33,G14),0)</f>
        <v/>
      </c>
      <c r="E14" s="83">
        <f>IFERROR(C14/SUMIFS($C$8:$C$33,$G$8:$G$33,G14),0)</f>
        <v/>
      </c>
      <c r="F14" s="84" t="n">
        <v>0</v>
      </c>
      <c r="G14" s="105" t="inlineStr">
        <is>
          <t>Junho/2026</t>
        </is>
      </c>
    </row>
    <row r="15" ht="15" customHeight="1" s="75">
      <c r="A15" s="86" t="inlineStr">
        <is>
          <t>DTEL (uso próprio)</t>
        </is>
      </c>
      <c r="B15" s="87" t="n">
        <v>140857</v>
      </c>
      <c r="C15" s="87" t="n">
        <v>853</v>
      </c>
      <c r="D15" s="88">
        <f>IFERROR(B15/SUMIFS($B$8:$B$33,$G$8:$G$33,G15),0)</f>
        <v/>
      </c>
      <c r="E15" s="88">
        <f>IFERROR(C15/SUMIFS($C$8:$C$33,$G$8:$G$33,G15),0)</f>
        <v/>
      </c>
      <c r="F15" s="89" t="n">
        <v>0</v>
      </c>
      <c r="G15" s="90" t="inlineStr">
        <is>
          <t>Junho/2026</t>
        </is>
      </c>
    </row>
    <row r="16" ht="15" customHeight="1" s="75">
      <c r="A16" s="108" t="inlineStr">
        <is>
          <t>TOTAL</t>
        </is>
      </c>
      <c r="B16" s="92">
        <f>SUM(B8:B15)</f>
        <v/>
      </c>
      <c r="C16" s="92">
        <f>SUM(C8:C15)</f>
        <v/>
      </c>
      <c r="D16" s="93" t="n"/>
      <c r="E16" s="93" t="n"/>
      <c r="F16" s="93" t="n"/>
      <c r="G16" s="93" t="n"/>
    </row>
    <row r="17" ht="14.25" customHeight="1" s="75">
      <c r="A17" s="81" t="inlineStr">
        <is>
          <t>Empresa Licenciada DX2</t>
        </is>
      </c>
      <c r="B17" s="82" t="n">
        <v>6280</v>
      </c>
      <c r="C17" s="82" t="n">
        <v>35</v>
      </c>
      <c r="D17" s="83">
        <f>IFERROR(B17/SUMIFS($B$8:$B$33,$G$8:$G$33,G17),0)</f>
        <v/>
      </c>
      <c r="E17" s="83">
        <f>IFERROR(C17/SUMIFS($C$8:$C$33,$G$8:$G$33,G17),0)</f>
        <v/>
      </c>
      <c r="F17" s="84" t="n">
        <v>0</v>
      </c>
      <c r="G17" s="105" t="inlineStr">
        <is>
          <t>Maio/2026</t>
        </is>
      </c>
    </row>
    <row r="18" ht="15" customHeight="1" s="75">
      <c r="A18" s="86" t="inlineStr">
        <is>
          <t>Empresa Licenciada H&amp;A</t>
        </is>
      </c>
      <c r="B18" s="87" t="n">
        <v>13402</v>
      </c>
      <c r="C18" s="87" t="n">
        <v>35</v>
      </c>
      <c r="D18" s="88">
        <f>IFERROR(B18/SUMIFS($B$8:$B$33,$G$8:$G$33,G18),0)</f>
        <v/>
      </c>
      <c r="E18" s="88">
        <f>IFERROR(C18/SUMIFS($C$8:$C$33,$G$8:$G$33,G18),0)</f>
        <v/>
      </c>
      <c r="F18" s="89" t="n">
        <v>0</v>
      </c>
      <c r="G18" s="90" t="inlineStr">
        <is>
          <t>Maio/2026</t>
        </is>
      </c>
    </row>
    <row r="19" ht="15" customHeight="1" s="75">
      <c r="A19" s="81" t="inlineStr">
        <is>
          <t>Empresa Licenciada SOLON ARAUJO</t>
        </is>
      </c>
      <c r="B19" s="82" t="n">
        <v>14331</v>
      </c>
      <c r="C19" s="82" t="n">
        <v>42</v>
      </c>
      <c r="D19" s="83">
        <f>IFERROR(B19/SUMIFS($B$8:$B$33,$G$8:$G$33,G19),0)</f>
        <v/>
      </c>
      <c r="E19" s="83">
        <f>IFERROR(C19/SUMIFS($C$8:$C$33,$G$8:$G$33,G19),0)</f>
        <v/>
      </c>
      <c r="F19" s="84" t="n">
        <v>0</v>
      </c>
      <c r="G19" s="105" t="inlineStr">
        <is>
          <t>Maio/2026</t>
        </is>
      </c>
    </row>
    <row r="20" ht="15" customHeight="1" s="75">
      <c r="A20" s="86" t="inlineStr">
        <is>
          <t>Empresa Licenciada SOARES E LINS</t>
        </is>
      </c>
      <c r="B20" s="87" t="n">
        <v>3650</v>
      </c>
      <c r="C20" s="87" t="n">
        <v>11</v>
      </c>
      <c r="D20" s="88">
        <f>IFERROR(B20/SUMIFS($B$8:$B$33,$G$8:$G$33,G20),0)</f>
        <v/>
      </c>
      <c r="E20" s="88">
        <f>IFERROR(C20/SUMIFS($C$8:$C$33,$G$8:$G$33,G20),0)</f>
        <v/>
      </c>
      <c r="F20" s="89" t="n">
        <v>0</v>
      </c>
      <c r="G20" s="90" t="inlineStr">
        <is>
          <t>Maio/2026</t>
        </is>
      </c>
    </row>
    <row r="21" ht="15" customHeight="1" s="75">
      <c r="A21" s="81" t="inlineStr">
        <is>
          <t>Empresa Licenciada SOARES E SILVA</t>
        </is>
      </c>
      <c r="B21" s="82" t="n">
        <v>6396</v>
      </c>
      <c r="C21" s="82" t="n">
        <v>42</v>
      </c>
      <c r="D21" s="83">
        <f>IFERROR(B21/SUMIFS($B$8:$B$33,$G$8:$G$33,G21),0)</f>
        <v/>
      </c>
      <c r="E21" s="83">
        <f>IFERROR(C21/SUMIFS($C$8:$C$33,$G$8:$G$33,G21),0)</f>
        <v/>
      </c>
      <c r="F21" s="84" t="n">
        <v>0</v>
      </c>
      <c r="G21" s="105" t="inlineStr">
        <is>
          <t>Maio/2026</t>
        </is>
      </c>
    </row>
    <row r="22" ht="15" customHeight="1" s="75">
      <c r="A22" s="86" t="inlineStr">
        <is>
          <t>Empresa Licenciada SOUZA E SILVA</t>
        </is>
      </c>
      <c r="B22" s="87" t="n">
        <v>4730</v>
      </c>
      <c r="C22" s="87" t="n">
        <v>18</v>
      </c>
      <c r="D22" s="88">
        <f>IFERROR(B22/SUMIFS($B$8:$B$33,$G$8:$G$33,G22),0)</f>
        <v/>
      </c>
      <c r="E22" s="88">
        <f>IFERROR(C22/SUMIFS($C$8:$C$33,$G$8:$G$33,G22),0)</f>
        <v/>
      </c>
      <c r="F22" s="89" t="n">
        <v>0</v>
      </c>
      <c r="G22" s="90" t="inlineStr">
        <is>
          <t>Maio/2026</t>
        </is>
      </c>
    </row>
    <row r="23" ht="14.25" customHeight="1" s="75">
      <c r="A23" s="81" t="inlineStr">
        <is>
          <t>Empresa Licenciada VOICENET</t>
        </is>
      </c>
      <c r="B23" s="82" t="n">
        <v>4782</v>
      </c>
      <c r="C23" s="82" t="n">
        <v>20</v>
      </c>
      <c r="D23" s="83">
        <f>IFERROR(B23/SUMIFS($B$8:$B$33,$G$8:$G$33,G23),0)</f>
        <v/>
      </c>
      <c r="E23" s="83">
        <f>IFERROR(C23/SUMIFS($C$8:$C$33,$G$8:$G$33,G23),0)</f>
        <v/>
      </c>
      <c r="F23" s="84" t="n">
        <v>0</v>
      </c>
      <c r="G23" s="105" t="inlineStr">
        <is>
          <t>Maio/2026</t>
        </is>
      </c>
    </row>
    <row r="24" ht="15" customHeight="1" s="75">
      <c r="A24" s="86" t="inlineStr">
        <is>
          <t>DTEL (uso próprio)</t>
        </is>
      </c>
      <c r="B24" s="87" t="n">
        <v>137756</v>
      </c>
      <c r="C24" s="87" t="n">
        <v>850</v>
      </c>
      <c r="D24" s="88">
        <f>IFERROR(B24/SUMIFS($B$8:$B$33,$G$8:$G$33,G24),0)</f>
        <v/>
      </c>
      <c r="E24" s="88">
        <f>IFERROR(C24/SUMIFS($C$8:$C$33,$G$8:$G$33,G24),0)</f>
        <v/>
      </c>
      <c r="F24" s="89" t="n">
        <v>0</v>
      </c>
      <c r="G24" s="90" t="inlineStr">
        <is>
          <t>Maio/2026</t>
        </is>
      </c>
    </row>
    <row r="25" ht="15" customHeight="1" s="75">
      <c r="A25" s="108" t="inlineStr">
        <is>
          <t>TOTAL</t>
        </is>
      </c>
      <c r="B25" s="92">
        <f>SUM(B17:B24)</f>
        <v/>
      </c>
      <c r="C25" s="92">
        <f>SUM(C17:C24)</f>
        <v/>
      </c>
      <c r="D25" s="93" t="n"/>
      <c r="E25" s="93" t="n"/>
      <c r="F25" s="93" t="n"/>
      <c r="G25" s="93" t="n"/>
    </row>
    <row r="26" ht="15" customHeight="1" s="75">
      <c r="A26" s="81" t="inlineStr">
        <is>
          <t>Empresa Licenciada DX2</t>
        </is>
      </c>
      <c r="B26" s="82" t="n">
        <v>6588</v>
      </c>
      <c r="C26" s="82" t="n">
        <v>34</v>
      </c>
      <c r="D26" s="83">
        <f>IFERROR(B26/SUMIFS($B$8:$B$33,$G$8:$G$33,G26),0)</f>
        <v/>
      </c>
      <c r="E26" s="83">
        <f>IFERROR(C26/SUMIFS($C$8:$C$33,$G$8:$G$33,G26),0)</f>
        <v/>
      </c>
      <c r="F26" s="84" t="n">
        <v>0</v>
      </c>
      <c r="G26" s="105" t="inlineStr">
        <is>
          <t>Julho/2026</t>
        </is>
      </c>
    </row>
    <row r="27" ht="15" customHeight="1" s="75">
      <c r="A27" s="86" t="inlineStr">
        <is>
          <t>Empresa Licenciada H&amp;A</t>
        </is>
      </c>
      <c r="B27" s="87" t="n">
        <v>13530</v>
      </c>
      <c r="C27" s="87" t="n">
        <v>0</v>
      </c>
      <c r="D27" s="88">
        <f>IFERROR(B27/SUMIFS($B$8:$B$33,$G$8:$G$33,G27),0)</f>
        <v/>
      </c>
      <c r="E27" s="88">
        <f>IFERROR(C27/SUMIFS($C$8:$C$33,$G$8:$G$33,G27),0)</f>
        <v/>
      </c>
      <c r="F27" s="89" t="n">
        <v>0</v>
      </c>
      <c r="G27" s="90" t="inlineStr">
        <is>
          <t>Julho/2026</t>
        </is>
      </c>
    </row>
    <row r="28" ht="15" customHeight="1" s="75">
      <c r="A28" s="81" t="inlineStr">
        <is>
          <t>Empresa Licenciada SOLON ARAUJO</t>
        </is>
      </c>
      <c r="B28" s="82" t="n">
        <v>14689</v>
      </c>
      <c r="C28" s="82" t="n">
        <v>47</v>
      </c>
      <c r="D28" s="83">
        <f>IFERROR(B28/SUMIFS($B$8:$B$33,$G$8:$G$33,G28),0)</f>
        <v/>
      </c>
      <c r="E28" s="83">
        <f>IFERROR(C28/SUMIFS($C$8:$C$33,$G$8:$G$33,G28),0)</f>
        <v/>
      </c>
      <c r="F28" s="84" t="n">
        <v>0</v>
      </c>
      <c r="G28" s="105" t="inlineStr">
        <is>
          <t>Julho/2026</t>
        </is>
      </c>
    </row>
    <row r="29" ht="24.75" customHeight="1" s="75">
      <c r="A29" s="86" t="inlineStr">
        <is>
          <t>Empresa Licenciada SOARES E LINS</t>
        </is>
      </c>
      <c r="B29" s="87" t="n">
        <v>3765</v>
      </c>
      <c r="C29" s="87" t="n">
        <v>11</v>
      </c>
      <c r="D29" s="88">
        <f>IFERROR(B29/SUMIFS($B$8:$B$33,$G$8:$G$33,G29),0)</f>
        <v/>
      </c>
      <c r="E29" s="88">
        <f>IFERROR(C29/SUMIFS($C$8:$C$33,$G$8:$G$33,G29),0)</f>
        <v/>
      </c>
      <c r="F29" s="89" t="n">
        <v>0</v>
      </c>
      <c r="G29" s="90" t="inlineStr">
        <is>
          <t>Julho/2026</t>
        </is>
      </c>
    </row>
    <row r="30" ht="15" customHeight="1" s="75">
      <c r="A30" s="81" t="inlineStr">
        <is>
          <t>Empresa Licenciada SOARES E SILVA</t>
        </is>
      </c>
      <c r="B30" s="82" t="n">
        <v>6568</v>
      </c>
      <c r="C30" s="82" t="n">
        <v>50</v>
      </c>
      <c r="D30" s="83">
        <f>IFERROR(B30/SUMIFS($B$8:$B$33,$G$8:$G$33,G30),0)</f>
        <v/>
      </c>
      <c r="E30" s="83">
        <f>IFERROR(C30/SUMIFS($C$8:$C$33,$G$8:$G$33,G30),0)</f>
        <v/>
      </c>
      <c r="F30" s="84" t="n">
        <v>0</v>
      </c>
      <c r="G30" s="105" t="inlineStr">
        <is>
          <t>Julho/2026</t>
        </is>
      </c>
    </row>
    <row r="31" ht="15" customHeight="1" s="75">
      <c r="A31" s="86" t="inlineStr">
        <is>
          <t>Empresa Licenciada SOUZA E SILVA</t>
        </is>
      </c>
      <c r="B31" s="87" t="n">
        <v>4805</v>
      </c>
      <c r="C31" s="87" t="n">
        <v>18</v>
      </c>
      <c r="D31" s="88">
        <f>IFERROR(B31/SUMIFS($B$8:$B$33,$G$8:$G$33,G31),0)</f>
        <v/>
      </c>
      <c r="E31" s="88">
        <f>IFERROR(C31/SUMIFS($C$8:$C$33,$G$8:$G$33,G31),0)</f>
        <v/>
      </c>
      <c r="F31" s="89" t="n">
        <v>0</v>
      </c>
      <c r="G31" s="90" t="inlineStr">
        <is>
          <t>Julho/2026</t>
        </is>
      </c>
    </row>
    <row r="32" ht="15" customHeight="1" s="75">
      <c r="A32" s="81" t="inlineStr">
        <is>
          <t>Empresa Licenciada VOICENET</t>
        </is>
      </c>
      <c r="B32" s="82" t="n">
        <v>4806</v>
      </c>
      <c r="C32" s="82" t="n">
        <v>24</v>
      </c>
      <c r="D32" s="83">
        <f>IFERROR(B32/SUMIFS($B$8:$B$33,$G$8:$G$33,G32),0)</f>
        <v/>
      </c>
      <c r="E32" s="83">
        <f>IFERROR(C32/SUMIFS($C$8:$C$33,$G$8:$G$33,G32),0)</f>
        <v/>
      </c>
      <c r="F32" s="84" t="n">
        <v>0</v>
      </c>
      <c r="G32" s="105" t="inlineStr">
        <is>
          <t>Julho/2026</t>
        </is>
      </c>
    </row>
    <row r="33" ht="15" customHeight="1" s="75">
      <c r="A33" s="86" t="inlineStr">
        <is>
          <t>DTEL (uso próprio)</t>
        </is>
      </c>
      <c r="B33" s="87" t="n">
        <v>146740</v>
      </c>
      <c r="C33" s="87" t="n">
        <v>906</v>
      </c>
      <c r="D33" s="88">
        <f>IFERROR(B33/SUMIFS($B$8:$B$33,$G$8:$G$33,G33),0)</f>
        <v/>
      </c>
      <c r="E33" s="88">
        <f>IFERROR(C33/SUMIFS($C$8:$C$33,$G$8:$G$33,G33),0)</f>
        <v/>
      </c>
      <c r="F33" s="89" t="n">
        <v>0</v>
      </c>
      <c r="G33" s="90" t="inlineStr">
        <is>
          <t>Julho/2026</t>
        </is>
      </c>
    </row>
    <row r="34" ht="15" customHeight="1" s="75">
      <c r="A34" s="108" t="inlineStr">
        <is>
          <t>TOTAL</t>
        </is>
      </c>
      <c r="B34" s="92">
        <f>SUM(B26:B33)</f>
        <v/>
      </c>
      <c r="C34" s="92">
        <f>SUM(C26:C33)</f>
        <v/>
      </c>
      <c r="D34" s="93" t="n"/>
      <c r="E34" s="93" t="n"/>
      <c r="F34" s="93" t="n"/>
      <c r="G34" s="93" t="n"/>
    </row>
    <row r="35" ht="15" customHeight="1" s="75">
      <c r="A35" s="76" t="inlineStr">
        <is>
          <t>RATEIO POR EMPRESA</t>
        </is>
      </c>
    </row>
    <row r="36" ht="14.25" customHeight="1" s="75">
      <c r="A36" s="79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5"/>
    <row r="38" ht="14.25" customHeight="1" s="75">
      <c r="A38" s="80" t="inlineStr">
        <is>
          <t>Setor</t>
        </is>
      </c>
      <c r="B38" s="80" t="inlineStr">
        <is>
          <t>Critério</t>
        </is>
      </c>
      <c r="C38" s="80" t="inlineStr">
        <is>
          <t>Empresa</t>
        </is>
      </c>
      <c r="D38" s="80" t="inlineStr">
        <is>
          <t>% Aplicado</t>
        </is>
      </c>
      <c r="E38" s="80" t="inlineStr">
        <is>
          <t>Custo Total do Setor</t>
        </is>
      </c>
      <c r="F38" s="80" t="inlineStr">
        <is>
          <t>Valor de Custo Rateado</t>
        </is>
      </c>
      <c r="G38" s="80" t="inlineStr">
        <is>
          <t>% Royalty</t>
        </is>
      </c>
      <c r="H38" s="80" t="inlineStr">
        <is>
          <t xml:space="preserve">Valor de Royalty </t>
        </is>
      </c>
      <c r="I38" s="80" t="inlineStr">
        <is>
          <t xml:space="preserve">Valor Total a Cobrar </t>
        </is>
      </c>
      <c r="J38" s="80" t="inlineStr">
        <is>
          <t>Mês</t>
        </is>
      </c>
    </row>
    <row r="39" hidden="1" ht="14.25" customHeight="1" s="75">
      <c r="A39" s="105" t="inlineStr">
        <is>
          <t>NOC</t>
        </is>
      </c>
      <c r="B39" s="94">
        <f>INDEX(SETORES!$B:$B,MATCH(A39,SETORES!$A:$A,0))</f>
        <v/>
      </c>
      <c r="C39" s="105" t="inlineStr">
        <is>
          <t>Empresa Licenciada DX2</t>
        </is>
      </c>
      <c r="D39" s="83">
        <f>IF(B39="Clientes",SUMIFS(PARÂMETROS!$D$8:$D$33,PARÂMETROS!$A$8:$A$33,C39,PARÂMETROS!$G$8:$G$33,J39),SUMIFS(PARÂMETROS!$E$8:$E$33,PARÂMETROS!$A$8:$A$33,C39,PARÂMETROS!$G$8:$G$33,J39))</f>
        <v/>
      </c>
      <c r="E39" s="107">
        <f>SUMIFS(SETORES!$D:$D,SETORES!$A:$A,A39,SETORES!$F:$F,J39)</f>
        <v/>
      </c>
      <c r="F39" s="107">
        <f>IFERROR(D39*E39,0)</f>
        <v/>
      </c>
      <c r="G39" s="83">
        <f>SUMIFS(PARÂMETROS!$F$8:$F$33,PARÂMETROS!$A$8:$A$33,C39,PARÂMETROS!$G$8:$G$33,J39)</f>
        <v/>
      </c>
      <c r="H39" s="107">
        <f>IFERROR(F39*G39,0)</f>
        <v/>
      </c>
      <c r="I39" s="107">
        <f>F39+H39</f>
        <v/>
      </c>
      <c r="J39" s="105" t="inlineStr">
        <is>
          <t>Junho/2026</t>
        </is>
      </c>
    </row>
    <row r="40" hidden="1" ht="14.25" customHeight="1" s="75">
      <c r="A40" s="90" t="inlineStr">
        <is>
          <t>NOC</t>
        </is>
      </c>
      <c r="B40" s="90">
        <f>INDEX(SETORES!$B:$B,MATCH(A40,SETORES!$A:$A,0))</f>
        <v/>
      </c>
      <c r="C40" s="90" t="inlineStr">
        <is>
          <t>Empresa Licenciada H&amp;A</t>
        </is>
      </c>
      <c r="D40" s="88">
        <f>IF(B40="Clientes",SUMIFS(PARÂMETROS!$D$8:$D$33,PARÂMETROS!$A$8:$A$33,C40,PARÂMETROS!$G$8:$G$33,J40),SUMIFS(PARÂMETROS!$E$8:$E$33,PARÂMETROS!$A$8:$A$33,C40,PARÂMETROS!$G$8:$G$33,J40))</f>
        <v/>
      </c>
      <c r="E40" s="96">
        <f>SUMIFS(SETORES!$D:$D,SETORES!$A:$A,A40,SETORES!$F:$F,J40)</f>
        <v/>
      </c>
      <c r="F40" s="96">
        <f>IFERROR(D40*E40,0)</f>
        <v/>
      </c>
      <c r="G40" s="88">
        <f>SUMIFS(PARÂMETROS!$F$8:$F$33,PARÂMETROS!$A$8:$A$33,C40,PARÂMETROS!$G$8:$G$33,J40)</f>
        <v/>
      </c>
      <c r="H40" s="96">
        <f>IFERROR(F40*G40,0)</f>
        <v/>
      </c>
      <c r="I40" s="96">
        <f>F40+H40</f>
        <v/>
      </c>
      <c r="J40" s="90" t="inlineStr">
        <is>
          <t>Junho/2026</t>
        </is>
      </c>
    </row>
    <row r="41" hidden="1" ht="14.25" customHeight="1" s="75">
      <c r="A41" s="105" t="inlineStr">
        <is>
          <t>NOC</t>
        </is>
      </c>
      <c r="B41" s="94">
        <f>INDEX(SETORES!$B:$B,MATCH(A41,SETORES!$A:$A,0))</f>
        <v/>
      </c>
      <c r="C41" s="105" t="inlineStr">
        <is>
          <t>Empresa Licenciada SOLON ARAUJO</t>
        </is>
      </c>
      <c r="D41" s="83">
        <f>IF(B41="Clientes",SUMIFS(PARÂMETROS!$D$8:$D$33,PARÂMETROS!$A$8:$A$33,C41,PARÂMETROS!$G$8:$G$33,J41),SUMIFS(PARÂMETROS!$E$8:$E$33,PARÂMETROS!$A$8:$A$33,C41,PARÂMETROS!$G$8:$G$33,J41))</f>
        <v/>
      </c>
      <c r="E41" s="107">
        <f>SUMIFS(SETORES!$D:$D,SETORES!$A:$A,A41,SETORES!$F:$F,J41)</f>
        <v/>
      </c>
      <c r="F41" s="107">
        <f>IFERROR(D41*E41,0)</f>
        <v/>
      </c>
      <c r="G41" s="83">
        <f>SUMIFS(PARÂMETROS!$F$8:$F$33,PARÂMETROS!$A$8:$A$33,C41,PARÂMETROS!$G$8:$G$33,J41)</f>
        <v/>
      </c>
      <c r="H41" s="107">
        <f>IFERROR(F41*G41,0)</f>
        <v/>
      </c>
      <c r="I41" s="107">
        <f>F41+H41</f>
        <v/>
      </c>
      <c r="J41" s="105" t="inlineStr">
        <is>
          <t>Junho/2026</t>
        </is>
      </c>
    </row>
    <row r="42" ht="14.25" customHeight="1" s="75">
      <c r="A42" s="90" t="inlineStr">
        <is>
          <t>NOC</t>
        </is>
      </c>
      <c r="B42" s="90">
        <f>INDEX(SETORES!$B:$B,MATCH(A42,SETORES!$A:$A,0))</f>
        <v/>
      </c>
      <c r="C42" s="90" t="inlineStr">
        <is>
          <t>Empresa Licenciada SOARES E LINS</t>
        </is>
      </c>
      <c r="D42" s="88">
        <f>IF(B42="Clientes",SUMIFS(PARÂMETROS!$D$8:$D$33,PARÂMETROS!$A$8:$A$33,C42,PARÂMETROS!$G$8:$G$33,J42),SUMIFS(PARÂMETROS!$E$8:$E$33,PARÂMETROS!$A$8:$A$33,C42,PARÂMETROS!$G$8:$G$33,J42))</f>
        <v/>
      </c>
      <c r="E42" s="96">
        <f>SUMIFS(SETORES!$D:$D,SETORES!$A:$A,A42,SETORES!$F:$F,J42)</f>
        <v/>
      </c>
      <c r="F42" s="96">
        <f>IFERROR(D42*E42,0)</f>
        <v/>
      </c>
      <c r="G42" s="88">
        <f>SUMIFS(PARÂMETROS!$F$8:$F$33,PARÂMETROS!$A$8:$A$33,C42,PARÂMETROS!$G$8:$G$33,J42)</f>
        <v/>
      </c>
      <c r="H42" s="96">
        <f>IFERROR(F42*G42,0)</f>
        <v/>
      </c>
      <c r="I42" s="96">
        <f>F42+H42</f>
        <v/>
      </c>
      <c r="J42" s="90" t="inlineStr">
        <is>
          <t>Junho/2026</t>
        </is>
      </c>
    </row>
    <row r="43" hidden="1" ht="14.25" customHeight="1" s="75">
      <c r="A43" s="105" t="inlineStr">
        <is>
          <t>NOC</t>
        </is>
      </c>
      <c r="B43" s="94">
        <f>INDEX(SETORES!$B:$B,MATCH(A43,SETORES!$A:$A,0))</f>
        <v/>
      </c>
      <c r="C43" s="105" t="inlineStr">
        <is>
          <t>Empresa Licenciada SOARES E SILVA</t>
        </is>
      </c>
      <c r="D43" s="83">
        <f>IF(B43="Clientes",SUMIFS(PARÂMETROS!$D$8:$D$33,PARÂMETROS!$A$8:$A$33,C43,PARÂMETROS!$G$8:$G$33,J43),SUMIFS(PARÂMETROS!$E$8:$E$33,PARÂMETROS!$A$8:$A$33,C43,PARÂMETROS!$G$8:$G$33,J43))</f>
        <v/>
      </c>
      <c r="E43" s="107">
        <f>SUMIFS(SETORES!$D:$D,SETORES!$A:$A,A43,SETORES!$F:$F,J43)</f>
        <v/>
      </c>
      <c r="F43" s="107">
        <f>IFERROR(D43*E43,0)</f>
        <v/>
      </c>
      <c r="G43" s="83">
        <f>SUMIFS(PARÂMETROS!$F$8:$F$33,PARÂMETROS!$A$8:$A$33,C43,PARÂMETROS!$G$8:$G$33,J43)</f>
        <v/>
      </c>
      <c r="H43" s="107">
        <f>IFERROR(F43*G43,0)</f>
        <v/>
      </c>
      <c r="I43" s="107">
        <f>F43+H43</f>
        <v/>
      </c>
      <c r="J43" s="105" t="inlineStr">
        <is>
          <t>Junho/2026</t>
        </is>
      </c>
    </row>
    <row r="44" hidden="1" ht="14.25" customHeight="1" s="75">
      <c r="A44" s="90" t="inlineStr">
        <is>
          <t>NOC</t>
        </is>
      </c>
      <c r="B44" s="90">
        <f>INDEX(SETORES!$B:$B,MATCH(A44,SETORES!$A:$A,0))</f>
        <v/>
      </c>
      <c r="C44" s="90" t="inlineStr">
        <is>
          <t>Empresa Licenciada SOUZA E SILVA</t>
        </is>
      </c>
      <c r="D44" s="88">
        <f>IF(B44="Clientes",SUMIFS(PARÂMETROS!$D$8:$D$33,PARÂMETROS!$A$8:$A$33,C44,PARÂMETROS!$G$8:$G$33,J44),SUMIFS(PARÂMETROS!$E$8:$E$33,PARÂMETROS!$A$8:$A$33,C44,PARÂMETROS!$G$8:$G$33,J44))</f>
        <v/>
      </c>
      <c r="E44" s="96">
        <f>SUMIFS(SETORES!$D:$D,SETORES!$A:$A,A44,SETORES!$F:$F,J44)</f>
        <v/>
      </c>
      <c r="F44" s="96">
        <f>IFERROR(D44*E44,0)</f>
        <v/>
      </c>
      <c r="G44" s="88">
        <f>SUMIFS(PARÂMETROS!$F$8:$F$33,PARÂMETROS!$A$8:$A$33,C44,PARÂMETROS!$G$8:$G$33,J44)</f>
        <v/>
      </c>
      <c r="H44" s="96">
        <f>IFERROR(F44*G44,0)</f>
        <v/>
      </c>
      <c r="I44" s="96">
        <f>F44+H44</f>
        <v/>
      </c>
      <c r="J44" s="90" t="inlineStr">
        <is>
          <t>Junho/2026</t>
        </is>
      </c>
    </row>
    <row r="45" hidden="1" ht="14.25" customHeight="1" s="75">
      <c r="A45" s="105" t="inlineStr">
        <is>
          <t>NOC</t>
        </is>
      </c>
      <c r="B45" s="94">
        <f>INDEX(SETORES!$B:$B,MATCH(A45,SETORES!$A:$A,0))</f>
        <v/>
      </c>
      <c r="C45" s="105" t="inlineStr">
        <is>
          <t>Empresa Licenciada VOICENET</t>
        </is>
      </c>
      <c r="D45" s="83">
        <f>IF(B45="Clientes",SUMIFS(PARÂMETROS!$D$8:$D$33,PARÂMETROS!$A$8:$A$33,C45,PARÂMETROS!$G$8:$G$33,J45),SUMIFS(PARÂMETROS!$E$8:$E$33,PARÂMETROS!$A$8:$A$33,C45,PARÂMETROS!$G$8:$G$33,J45))</f>
        <v/>
      </c>
      <c r="E45" s="107">
        <f>SUMIFS(SETORES!$D:$D,SETORES!$A:$A,A45,SETORES!$F:$F,J45)</f>
        <v/>
      </c>
      <c r="F45" s="107">
        <f>IFERROR(D45*E45,0)</f>
        <v/>
      </c>
      <c r="G45" s="83">
        <f>SUMIFS(PARÂMETROS!$F$8:$F$33,PARÂMETROS!$A$8:$A$33,C45,PARÂMETROS!$G$8:$G$33,J45)</f>
        <v/>
      </c>
      <c r="H45" s="107">
        <f>IFERROR(F45*G45,0)</f>
        <v/>
      </c>
      <c r="I45" s="107">
        <f>F45+H45</f>
        <v/>
      </c>
      <c r="J45" s="105" t="inlineStr">
        <is>
          <t>Junho/2026</t>
        </is>
      </c>
    </row>
    <row r="46" hidden="1" ht="14.25" customHeight="1" s="75">
      <c r="A46" s="90" t="inlineStr">
        <is>
          <t>NOC</t>
        </is>
      </c>
      <c r="B46" s="90">
        <f>INDEX(SETORES!$B:$B,MATCH(A46,SETORES!$A:$A,0))</f>
        <v/>
      </c>
      <c r="C46" s="90" t="inlineStr">
        <is>
          <t>DTEL (uso próprio)</t>
        </is>
      </c>
      <c r="D46" s="88">
        <f>IF(B46="Clientes",SUMIFS(PARÂMETROS!$D$8:$D$33,PARÂMETROS!$A$8:$A$33,C46,PARÂMETROS!$G$8:$G$33,J46),SUMIFS(PARÂMETROS!$E$8:$E$33,PARÂMETROS!$A$8:$A$33,C46,PARÂMETROS!$G$8:$G$33,J46))</f>
        <v/>
      </c>
      <c r="E46" s="96">
        <f>SUMIFS(SETORES!$D:$D,SETORES!$A:$A,A46,SETORES!$F:$F,J46)</f>
        <v/>
      </c>
      <c r="F46" s="96">
        <f>IFERROR(D46*E46,0)</f>
        <v/>
      </c>
      <c r="G46" s="88">
        <f>SUMIFS(PARÂMETROS!$F$8:$F$33,PARÂMETROS!$A$8:$A$33,C46,PARÂMETROS!$G$8:$G$33,J46)</f>
        <v/>
      </c>
      <c r="H46" s="96">
        <f>IFERROR(F46*G46,0)</f>
        <v/>
      </c>
      <c r="I46" s="96">
        <f>F46+H46</f>
        <v/>
      </c>
      <c r="J46" s="90" t="inlineStr">
        <is>
          <t>Junho/2026</t>
        </is>
      </c>
    </row>
    <row r="47" hidden="1" ht="14.25" customHeight="1" s="75">
      <c r="A47" s="105" t="inlineStr">
        <is>
          <t>RH</t>
        </is>
      </c>
      <c r="B47" s="94">
        <f>INDEX(SETORES!$B:$B,MATCH(A47,SETORES!$A:$A,0))</f>
        <v/>
      </c>
      <c r="C47" s="105" t="inlineStr">
        <is>
          <t>Empresa Licenciada DX2</t>
        </is>
      </c>
      <c r="D47" s="83">
        <f>IF(B47="Clientes",SUMIFS(PARÂMETROS!$D$8:$D$33,PARÂMETROS!$A$8:$A$33,C47,PARÂMETROS!$G$8:$G$33,J47),SUMIFS(PARÂMETROS!$E$8:$E$33,PARÂMETROS!$A$8:$A$33,C47,PARÂMETROS!$G$8:$G$33,J47))</f>
        <v/>
      </c>
      <c r="E47" s="107">
        <f>SUMIFS(SETORES!$D:$D,SETORES!$A:$A,A47,SETORES!$F:$F,J47)</f>
        <v/>
      </c>
      <c r="F47" s="107">
        <f>IFERROR(D47*E47,0)</f>
        <v/>
      </c>
      <c r="G47" s="83">
        <f>SUMIFS(PARÂMETROS!$F$8:$F$33,PARÂMETROS!$A$8:$A$33,C47,PARÂMETROS!$G$8:$G$33,J47)</f>
        <v/>
      </c>
      <c r="H47" s="107">
        <f>IFERROR(F47*G47,0)</f>
        <v/>
      </c>
      <c r="I47" s="107">
        <f>F47+H47</f>
        <v/>
      </c>
      <c r="J47" s="105" t="inlineStr">
        <is>
          <t>Junho/2026</t>
        </is>
      </c>
    </row>
    <row r="48" hidden="1" ht="14.25" customHeight="1" s="75">
      <c r="A48" s="90" t="inlineStr">
        <is>
          <t>RH</t>
        </is>
      </c>
      <c r="B48" s="90">
        <f>INDEX(SETORES!$B:$B,MATCH(A48,SETORES!$A:$A,0))</f>
        <v/>
      </c>
      <c r="C48" s="90" t="inlineStr">
        <is>
          <t>Empresa Licenciada H&amp;A</t>
        </is>
      </c>
      <c r="D48" s="88">
        <f>IF(B48="Clientes",SUMIFS(PARÂMETROS!$D$8:$D$33,PARÂMETROS!$A$8:$A$33,C48,PARÂMETROS!$G$8:$G$33,J48),SUMIFS(PARÂMETROS!$E$8:$E$33,PARÂMETROS!$A$8:$A$33,C48,PARÂMETROS!$G$8:$G$33,J48))</f>
        <v/>
      </c>
      <c r="E48" s="96">
        <f>SUMIFS(SETORES!$D:$D,SETORES!$A:$A,A48,SETORES!$F:$F,J48)</f>
        <v/>
      </c>
      <c r="F48" s="96">
        <f>IFERROR(D48*E48,0)</f>
        <v/>
      </c>
      <c r="G48" s="88">
        <f>SUMIFS(PARÂMETROS!$F$8:$F$33,PARÂMETROS!$A$8:$A$33,C48,PARÂMETROS!$G$8:$G$33,J48)</f>
        <v/>
      </c>
      <c r="H48" s="96">
        <f>IFERROR(F48*G48,0)</f>
        <v/>
      </c>
      <c r="I48" s="96">
        <f>F48+H48</f>
        <v/>
      </c>
      <c r="J48" s="90" t="inlineStr">
        <is>
          <t>Junho/2026</t>
        </is>
      </c>
    </row>
    <row r="49" hidden="1" ht="14.25" customHeight="1" s="75">
      <c r="A49" s="105" t="inlineStr">
        <is>
          <t>RH</t>
        </is>
      </c>
      <c r="B49" s="94">
        <f>INDEX(SETORES!$B:$B,MATCH(A49,SETORES!$A:$A,0))</f>
        <v/>
      </c>
      <c r="C49" s="105" t="inlineStr">
        <is>
          <t>Empresa Licenciada SOLON ARAUJO</t>
        </is>
      </c>
      <c r="D49" s="83">
        <f>IF(B49="Clientes",SUMIFS(PARÂMETROS!$D$8:$D$33,PARÂMETROS!$A$8:$A$33,C49,PARÂMETROS!$G$8:$G$33,J49),SUMIFS(PARÂMETROS!$E$8:$E$33,PARÂMETROS!$A$8:$A$33,C49,PARÂMETROS!$G$8:$G$33,J49))</f>
        <v/>
      </c>
      <c r="E49" s="107">
        <f>SUMIFS(SETORES!$D:$D,SETORES!$A:$A,A49,SETORES!$F:$F,J49)</f>
        <v/>
      </c>
      <c r="F49" s="107">
        <f>IFERROR(D49*E49,0)</f>
        <v/>
      </c>
      <c r="G49" s="83">
        <f>SUMIFS(PARÂMETROS!$F$8:$F$33,PARÂMETROS!$A$8:$A$33,C49,PARÂMETROS!$G$8:$G$33,J49)</f>
        <v/>
      </c>
      <c r="H49" s="107">
        <f>IFERROR(F49*G49,0)</f>
        <v/>
      </c>
      <c r="I49" s="107">
        <f>F49+H49</f>
        <v/>
      </c>
      <c r="J49" s="105" t="inlineStr">
        <is>
          <t>Junho/2026</t>
        </is>
      </c>
    </row>
    <row r="50" ht="14.25" customHeight="1" s="75">
      <c r="A50" s="90" t="inlineStr">
        <is>
          <t>RH</t>
        </is>
      </c>
      <c r="B50" s="90">
        <f>INDEX(SETORES!$B:$B,MATCH(A50,SETORES!$A:$A,0))</f>
        <v/>
      </c>
      <c r="C50" s="90" t="inlineStr">
        <is>
          <t>Empresa Licenciada SOARES E LINS</t>
        </is>
      </c>
      <c r="D50" s="88">
        <f>IF(B50="Clientes",SUMIFS(PARÂMETROS!$D$8:$D$33,PARÂMETROS!$A$8:$A$33,C50,PARÂMETROS!$G$8:$G$33,J50),SUMIFS(PARÂMETROS!$E$8:$E$33,PARÂMETROS!$A$8:$A$33,C50,PARÂMETROS!$G$8:$G$33,J50))</f>
        <v/>
      </c>
      <c r="E50" s="96">
        <f>SUMIFS(SETORES!$D:$D,SETORES!$A:$A,A50,SETORES!$F:$F,J50)</f>
        <v/>
      </c>
      <c r="F50" s="96">
        <f>IFERROR(D50*E50,0)</f>
        <v/>
      </c>
      <c r="G50" s="88">
        <f>SUMIFS(PARÂMETROS!$F$8:$F$33,PARÂMETROS!$A$8:$A$33,C50,PARÂMETROS!$G$8:$G$33,J50)</f>
        <v/>
      </c>
      <c r="H50" s="96">
        <f>IFERROR(F50*G50,0)</f>
        <v/>
      </c>
      <c r="I50" s="96">
        <f>F50+H50</f>
        <v/>
      </c>
      <c r="J50" s="90" t="inlineStr">
        <is>
          <t>Junho/2026</t>
        </is>
      </c>
    </row>
    <row r="51" hidden="1" ht="14.25" customHeight="1" s="75">
      <c r="A51" s="105" t="inlineStr">
        <is>
          <t>RH</t>
        </is>
      </c>
      <c r="B51" s="94">
        <f>INDEX(SETORES!$B:$B,MATCH(A51,SETORES!$A:$A,0))</f>
        <v/>
      </c>
      <c r="C51" s="105" t="inlineStr">
        <is>
          <t>Empresa Licenciada SOARES E SILVA</t>
        </is>
      </c>
      <c r="D51" s="83">
        <f>IF(B51="Clientes",SUMIFS(PARÂMETROS!$D$8:$D$33,PARÂMETROS!$A$8:$A$33,C51,PARÂMETROS!$G$8:$G$33,J51),SUMIFS(PARÂMETROS!$E$8:$E$33,PARÂMETROS!$A$8:$A$33,C51,PARÂMETROS!$G$8:$G$33,J51))</f>
        <v/>
      </c>
      <c r="E51" s="107">
        <f>SUMIFS(SETORES!$D:$D,SETORES!$A:$A,A51,SETORES!$F:$F,J51)</f>
        <v/>
      </c>
      <c r="F51" s="107">
        <f>IFERROR(D51*E51,0)</f>
        <v/>
      </c>
      <c r="G51" s="83">
        <f>SUMIFS(PARÂMETROS!$F$8:$F$33,PARÂMETROS!$A$8:$A$33,C51,PARÂMETROS!$G$8:$G$33,J51)</f>
        <v/>
      </c>
      <c r="H51" s="107">
        <f>IFERROR(F51*G51,0)</f>
        <v/>
      </c>
      <c r="I51" s="107">
        <f>F51+H51</f>
        <v/>
      </c>
      <c r="J51" s="105" t="inlineStr">
        <is>
          <t>Junho/2026</t>
        </is>
      </c>
    </row>
    <row r="52" hidden="1" ht="14.25" customHeight="1" s="75">
      <c r="A52" s="90" t="inlineStr">
        <is>
          <t>RH</t>
        </is>
      </c>
      <c r="B52" s="90">
        <f>INDEX(SETORES!$B:$B,MATCH(A52,SETORES!$A:$A,0))</f>
        <v/>
      </c>
      <c r="C52" s="90" t="inlineStr">
        <is>
          <t>Empresa Licenciada SOUZA E SILVA</t>
        </is>
      </c>
      <c r="D52" s="88">
        <f>IF(B52="Clientes",SUMIFS(PARÂMETROS!$D$8:$D$33,PARÂMETROS!$A$8:$A$33,C52,PARÂMETROS!$G$8:$G$33,J52),SUMIFS(PARÂMETROS!$E$8:$E$33,PARÂMETROS!$A$8:$A$33,C52,PARÂMETROS!$G$8:$G$33,J52))</f>
        <v/>
      </c>
      <c r="E52" s="96">
        <f>SUMIFS(SETORES!$D:$D,SETORES!$A:$A,A52,SETORES!$F:$F,J52)</f>
        <v/>
      </c>
      <c r="F52" s="96">
        <f>IFERROR(D52*E52,0)</f>
        <v/>
      </c>
      <c r="G52" s="88">
        <f>SUMIFS(PARÂMETROS!$F$8:$F$33,PARÂMETROS!$A$8:$A$33,C52,PARÂMETROS!$G$8:$G$33,J52)</f>
        <v/>
      </c>
      <c r="H52" s="96">
        <f>IFERROR(F52*G52,0)</f>
        <v/>
      </c>
      <c r="I52" s="96">
        <f>F52+H52</f>
        <v/>
      </c>
      <c r="J52" s="90" t="inlineStr">
        <is>
          <t>Junho/2026</t>
        </is>
      </c>
    </row>
    <row r="53" hidden="1" ht="14.25" customHeight="1" s="75">
      <c r="A53" s="105" t="inlineStr">
        <is>
          <t>RH</t>
        </is>
      </c>
      <c r="B53" s="94">
        <f>INDEX(SETORES!$B:$B,MATCH(A53,SETORES!$A:$A,0))</f>
        <v/>
      </c>
      <c r="C53" s="105" t="inlineStr">
        <is>
          <t>Empresa Licenciada VOICENET</t>
        </is>
      </c>
      <c r="D53" s="83">
        <f>IF(B53="Clientes",SUMIFS(PARÂMETROS!$D$8:$D$33,PARÂMETROS!$A$8:$A$33,C53,PARÂMETROS!$G$8:$G$33,J53),SUMIFS(PARÂMETROS!$E$8:$E$33,PARÂMETROS!$A$8:$A$33,C53,PARÂMETROS!$G$8:$G$33,J53))</f>
        <v/>
      </c>
      <c r="E53" s="107">
        <f>SUMIFS(SETORES!$D:$D,SETORES!$A:$A,A53,SETORES!$F:$F,J53)</f>
        <v/>
      </c>
      <c r="F53" s="107">
        <f>IFERROR(D53*E53,0)</f>
        <v/>
      </c>
      <c r="G53" s="83">
        <f>SUMIFS(PARÂMETROS!$F$8:$F$33,PARÂMETROS!$A$8:$A$33,C53,PARÂMETROS!$G$8:$G$33,J53)</f>
        <v/>
      </c>
      <c r="H53" s="107">
        <f>IFERROR(F53*G53,0)</f>
        <v/>
      </c>
      <c r="I53" s="107">
        <f>F53+H53</f>
        <v/>
      </c>
      <c r="J53" s="105" t="inlineStr">
        <is>
          <t>Junho/2026</t>
        </is>
      </c>
    </row>
    <row r="54" hidden="1" ht="14.25" customHeight="1" s="75">
      <c r="A54" s="90" t="inlineStr">
        <is>
          <t>RH</t>
        </is>
      </c>
      <c r="B54" s="90">
        <f>INDEX(SETORES!$B:$B,MATCH(A54,SETORES!$A:$A,0))</f>
        <v/>
      </c>
      <c r="C54" s="90" t="inlineStr">
        <is>
          <t>DTEL (uso próprio)</t>
        </is>
      </c>
      <c r="D54" s="88">
        <f>IF(B54="Clientes",SUMIFS(PARÂMETROS!$D$8:$D$33,PARÂMETROS!$A$8:$A$33,C54,PARÂMETROS!$G$8:$G$33,J54),SUMIFS(PARÂMETROS!$E$8:$E$33,PARÂMETROS!$A$8:$A$33,C54,PARÂMETROS!$G$8:$G$33,J54))</f>
        <v/>
      </c>
      <c r="E54" s="96">
        <f>SUMIFS(SETORES!$D:$D,SETORES!$A:$A,A54,SETORES!$F:$F,J54)</f>
        <v/>
      </c>
      <c r="F54" s="96">
        <f>IFERROR(D54*E54,0)</f>
        <v/>
      </c>
      <c r="G54" s="88">
        <f>SUMIFS(PARÂMETROS!$F$8:$F$33,PARÂMETROS!$A$8:$A$33,C54,PARÂMETROS!$G$8:$G$33,J54)</f>
        <v/>
      </c>
      <c r="H54" s="96">
        <f>IFERROR(F54*G54,0)</f>
        <v/>
      </c>
      <c r="I54" s="96">
        <f>F54+H54</f>
        <v/>
      </c>
      <c r="J54" s="90" t="inlineStr">
        <is>
          <t>Junho/2026</t>
        </is>
      </c>
    </row>
    <row r="55" hidden="1" ht="14.25" customHeight="1" s="75">
      <c r="A55" s="105" t="inlineStr">
        <is>
          <t>DP</t>
        </is>
      </c>
      <c r="B55" s="94">
        <f>INDEX(SETORES!$B:$B,MATCH(A55,SETORES!$A:$A,0))</f>
        <v/>
      </c>
      <c r="C55" s="105" t="inlineStr">
        <is>
          <t>Empresa Licenciada DX2</t>
        </is>
      </c>
      <c r="D55" s="83">
        <f>IF(B55="Clientes",SUMIFS(PARÂMETROS!$D$8:$D$33,PARÂMETROS!$A$8:$A$33,C55,PARÂMETROS!$G$8:$G$33,J55),SUMIFS(PARÂMETROS!$E$8:$E$33,PARÂMETROS!$A$8:$A$33,C55,PARÂMETROS!$G$8:$G$33,J55))</f>
        <v/>
      </c>
      <c r="E55" s="107">
        <f>SUMIFS(SETORES!$D:$D,SETORES!$A:$A,A55,SETORES!$F:$F,J55)</f>
        <v/>
      </c>
      <c r="F55" s="107">
        <f>IFERROR(D55*E55,0)</f>
        <v/>
      </c>
      <c r="G55" s="83">
        <f>SUMIFS(PARÂMETROS!$F$8:$F$33,PARÂMETROS!$A$8:$A$33,C55,PARÂMETROS!$G$8:$G$33,J55)</f>
        <v/>
      </c>
      <c r="H55" s="107">
        <f>IFERROR(F55*G55,0)</f>
        <v/>
      </c>
      <c r="I55" s="107">
        <f>F55+H55</f>
        <v/>
      </c>
      <c r="J55" s="105" t="inlineStr">
        <is>
          <t>Junho/2026</t>
        </is>
      </c>
    </row>
    <row r="56" hidden="1" ht="14.25" customHeight="1" s="75">
      <c r="A56" s="90" t="inlineStr">
        <is>
          <t>DP</t>
        </is>
      </c>
      <c r="B56" s="90">
        <f>INDEX(SETORES!$B:$B,MATCH(A56,SETORES!$A:$A,0))</f>
        <v/>
      </c>
      <c r="C56" s="90" t="inlineStr">
        <is>
          <t>Empresa Licenciada H&amp;A</t>
        </is>
      </c>
      <c r="D56" s="88">
        <f>IF(B56="Clientes",SUMIFS(PARÂMETROS!$D$8:$D$33,PARÂMETROS!$A$8:$A$33,C56,PARÂMETROS!$G$8:$G$33,J56),SUMIFS(PARÂMETROS!$E$8:$E$33,PARÂMETROS!$A$8:$A$33,C56,PARÂMETROS!$G$8:$G$33,J56))</f>
        <v/>
      </c>
      <c r="E56" s="96">
        <f>SUMIFS(SETORES!$D:$D,SETORES!$A:$A,A56,SETORES!$F:$F,J56)</f>
        <v/>
      </c>
      <c r="F56" s="96">
        <f>IFERROR(D56*E56,0)</f>
        <v/>
      </c>
      <c r="G56" s="88">
        <f>SUMIFS(PARÂMETROS!$F$8:$F$33,PARÂMETROS!$A$8:$A$33,C56,PARÂMETROS!$G$8:$G$33,J56)</f>
        <v/>
      </c>
      <c r="H56" s="96">
        <f>IFERROR(F56*G56,0)</f>
        <v/>
      </c>
      <c r="I56" s="96">
        <f>F56+H56</f>
        <v/>
      </c>
      <c r="J56" s="90" t="inlineStr">
        <is>
          <t>Junho/2026</t>
        </is>
      </c>
    </row>
    <row r="57" hidden="1" ht="14.25" customHeight="1" s="75">
      <c r="A57" s="105" t="inlineStr">
        <is>
          <t>DP</t>
        </is>
      </c>
      <c r="B57" s="94">
        <f>INDEX(SETORES!$B:$B,MATCH(A57,SETORES!$A:$A,0))</f>
        <v/>
      </c>
      <c r="C57" s="105" t="inlineStr">
        <is>
          <t>Empresa Licenciada SOLON ARAUJO</t>
        </is>
      </c>
      <c r="D57" s="83">
        <f>IF(B57="Clientes",SUMIFS(PARÂMETROS!$D$8:$D$33,PARÂMETROS!$A$8:$A$33,C57,PARÂMETROS!$G$8:$G$33,J57),SUMIFS(PARÂMETROS!$E$8:$E$33,PARÂMETROS!$A$8:$A$33,C57,PARÂMETROS!$G$8:$G$33,J57))</f>
        <v/>
      </c>
      <c r="E57" s="107">
        <f>SUMIFS(SETORES!$D:$D,SETORES!$A:$A,A57,SETORES!$F:$F,J57)</f>
        <v/>
      </c>
      <c r="F57" s="107">
        <f>IFERROR(D57*E57,0)</f>
        <v/>
      </c>
      <c r="G57" s="83">
        <f>SUMIFS(PARÂMETROS!$F$8:$F$33,PARÂMETROS!$A$8:$A$33,C57,PARÂMETROS!$G$8:$G$33,J57)</f>
        <v/>
      </c>
      <c r="H57" s="107">
        <f>IFERROR(F57*G57,0)</f>
        <v/>
      </c>
      <c r="I57" s="107">
        <f>F57+H57</f>
        <v/>
      </c>
      <c r="J57" s="105" t="inlineStr">
        <is>
          <t>Junho/2026</t>
        </is>
      </c>
    </row>
    <row r="58" ht="14.25" customHeight="1" s="75">
      <c r="A58" s="90" t="inlineStr">
        <is>
          <t>DP</t>
        </is>
      </c>
      <c r="B58" s="90">
        <f>INDEX(SETORES!$B:$B,MATCH(A58,SETORES!$A:$A,0))</f>
        <v/>
      </c>
      <c r="C58" s="90" t="inlineStr">
        <is>
          <t>Empresa Licenciada SOARES E LINS</t>
        </is>
      </c>
      <c r="D58" s="88">
        <f>IF(B58="Clientes",SUMIFS(PARÂMETROS!$D$8:$D$33,PARÂMETROS!$A$8:$A$33,C58,PARÂMETROS!$G$8:$G$33,J58),SUMIFS(PARÂMETROS!$E$8:$E$33,PARÂMETROS!$A$8:$A$33,C58,PARÂMETROS!$G$8:$G$33,J58))</f>
        <v/>
      </c>
      <c r="E58" s="96">
        <f>SUMIFS(SETORES!$D:$D,SETORES!$A:$A,A58,SETORES!$F:$F,J58)</f>
        <v/>
      </c>
      <c r="F58" s="96">
        <f>IFERROR(D58*E58,0)</f>
        <v/>
      </c>
      <c r="G58" s="88">
        <f>SUMIFS(PARÂMETROS!$F$8:$F$33,PARÂMETROS!$A$8:$A$33,C58,PARÂMETROS!$G$8:$G$33,J58)</f>
        <v/>
      </c>
      <c r="H58" s="96">
        <f>IFERROR(F58*G58,0)</f>
        <v/>
      </c>
      <c r="I58" s="96">
        <f>F58+H58</f>
        <v/>
      </c>
      <c r="J58" s="90" t="inlineStr">
        <is>
          <t>Junho/2026</t>
        </is>
      </c>
    </row>
    <row r="59" hidden="1" ht="14.25" customHeight="1" s="75">
      <c r="A59" s="105" t="inlineStr">
        <is>
          <t>DP</t>
        </is>
      </c>
      <c r="B59" s="94">
        <f>INDEX(SETORES!$B:$B,MATCH(A59,SETORES!$A:$A,0))</f>
        <v/>
      </c>
      <c r="C59" s="105" t="inlineStr">
        <is>
          <t>Empresa Licenciada SOARES E SILVA</t>
        </is>
      </c>
      <c r="D59" s="83">
        <f>IF(B59="Clientes",SUMIFS(PARÂMETROS!$D$8:$D$33,PARÂMETROS!$A$8:$A$33,C59,PARÂMETROS!$G$8:$G$33,J59),SUMIFS(PARÂMETROS!$E$8:$E$33,PARÂMETROS!$A$8:$A$33,C59,PARÂMETROS!$G$8:$G$33,J59))</f>
        <v/>
      </c>
      <c r="E59" s="107">
        <f>SUMIFS(SETORES!$D:$D,SETORES!$A:$A,A59,SETORES!$F:$F,J59)</f>
        <v/>
      </c>
      <c r="F59" s="107">
        <f>IFERROR(D59*E59,0)</f>
        <v/>
      </c>
      <c r="G59" s="83">
        <f>SUMIFS(PARÂMETROS!$F$8:$F$33,PARÂMETROS!$A$8:$A$33,C59,PARÂMETROS!$G$8:$G$33,J59)</f>
        <v/>
      </c>
      <c r="H59" s="107">
        <f>IFERROR(F59*G59,0)</f>
        <v/>
      </c>
      <c r="I59" s="107">
        <f>F59+H59</f>
        <v/>
      </c>
      <c r="J59" s="105" t="inlineStr">
        <is>
          <t>Junho/2026</t>
        </is>
      </c>
    </row>
    <row r="60" hidden="1" ht="14.25" customHeight="1" s="75">
      <c r="A60" s="90" t="inlineStr">
        <is>
          <t>DP</t>
        </is>
      </c>
      <c r="B60" s="90">
        <f>INDEX(SETORES!$B:$B,MATCH(A60,SETORES!$A:$A,0))</f>
        <v/>
      </c>
      <c r="C60" s="90" t="inlineStr">
        <is>
          <t>Empresa Licenciada SOUZA E SILVA</t>
        </is>
      </c>
      <c r="D60" s="88">
        <f>IF(B60="Clientes",SUMIFS(PARÂMETROS!$D$8:$D$33,PARÂMETROS!$A$8:$A$33,C60,PARÂMETROS!$G$8:$G$33,J60),SUMIFS(PARÂMETROS!$E$8:$E$33,PARÂMETROS!$A$8:$A$33,C60,PARÂMETROS!$G$8:$G$33,J60))</f>
        <v/>
      </c>
      <c r="E60" s="96">
        <f>SUMIFS(SETORES!$D:$D,SETORES!$A:$A,A60,SETORES!$F:$F,J60)</f>
        <v/>
      </c>
      <c r="F60" s="96">
        <f>IFERROR(D60*E60,0)</f>
        <v/>
      </c>
      <c r="G60" s="88">
        <f>SUMIFS(PARÂMETROS!$F$8:$F$33,PARÂMETROS!$A$8:$A$33,C60,PARÂMETROS!$G$8:$G$33,J60)</f>
        <v/>
      </c>
      <c r="H60" s="96">
        <f>IFERROR(F60*G60,0)</f>
        <v/>
      </c>
      <c r="I60" s="96">
        <f>F60+H60</f>
        <v/>
      </c>
      <c r="J60" s="90" t="inlineStr">
        <is>
          <t>Junho/2026</t>
        </is>
      </c>
    </row>
    <row r="61" hidden="1" ht="14.25" customHeight="1" s="75">
      <c r="A61" s="105" t="inlineStr">
        <is>
          <t>DP</t>
        </is>
      </c>
      <c r="B61" s="94">
        <f>INDEX(SETORES!$B:$B,MATCH(A61,SETORES!$A:$A,0))</f>
        <v/>
      </c>
      <c r="C61" s="105" t="inlineStr">
        <is>
          <t>Empresa Licenciada VOICENET</t>
        </is>
      </c>
      <c r="D61" s="83">
        <f>IF(B61="Clientes",SUMIFS(PARÂMETROS!$D$8:$D$33,PARÂMETROS!$A$8:$A$33,C61,PARÂMETROS!$G$8:$G$33,J61),SUMIFS(PARÂMETROS!$E$8:$E$33,PARÂMETROS!$A$8:$A$33,C61,PARÂMETROS!$G$8:$G$33,J61))</f>
        <v/>
      </c>
      <c r="E61" s="107">
        <f>SUMIFS(SETORES!$D:$D,SETORES!$A:$A,A61,SETORES!$F:$F,J61)</f>
        <v/>
      </c>
      <c r="F61" s="107">
        <f>IFERROR(D61*E61,0)</f>
        <v/>
      </c>
      <c r="G61" s="83">
        <f>SUMIFS(PARÂMETROS!$F$8:$F$33,PARÂMETROS!$A$8:$A$33,C61,PARÂMETROS!$G$8:$G$33,J61)</f>
        <v/>
      </c>
      <c r="H61" s="107">
        <f>IFERROR(F61*G61,0)</f>
        <v/>
      </c>
      <c r="I61" s="107">
        <f>F61+H61</f>
        <v/>
      </c>
      <c r="J61" s="105" t="inlineStr">
        <is>
          <t>Junho/2026</t>
        </is>
      </c>
    </row>
    <row r="62" hidden="1" ht="14.25" customHeight="1" s="75">
      <c r="A62" s="90" t="inlineStr">
        <is>
          <t>DP</t>
        </is>
      </c>
      <c r="B62" s="90">
        <f>INDEX(SETORES!$B:$B,MATCH(A62,SETORES!$A:$A,0))</f>
        <v/>
      </c>
      <c r="C62" s="90" t="inlineStr">
        <is>
          <t>DTEL (uso próprio)</t>
        </is>
      </c>
      <c r="D62" s="88">
        <f>IF(B62="Clientes",SUMIFS(PARÂMETROS!$D$8:$D$33,PARÂMETROS!$A$8:$A$33,C62,PARÂMETROS!$G$8:$G$33,J62),SUMIFS(PARÂMETROS!$E$8:$E$33,PARÂMETROS!$A$8:$A$33,C62,PARÂMETROS!$G$8:$G$33,J62))</f>
        <v/>
      </c>
      <c r="E62" s="96">
        <f>SUMIFS(SETORES!$D:$D,SETORES!$A:$A,A62,SETORES!$F:$F,J62)</f>
        <v/>
      </c>
      <c r="F62" s="96">
        <f>IFERROR(D62*E62,0)</f>
        <v/>
      </c>
      <c r="G62" s="88">
        <f>SUMIFS(PARÂMETROS!$F$8:$F$33,PARÂMETROS!$A$8:$A$33,C62,PARÂMETROS!$G$8:$G$33,J62)</f>
        <v/>
      </c>
      <c r="H62" s="96">
        <f>IFERROR(F62*G62,0)</f>
        <v/>
      </c>
      <c r="I62" s="96">
        <f>F62+H62</f>
        <v/>
      </c>
      <c r="J62" s="90" t="inlineStr">
        <is>
          <t>Junho/2026</t>
        </is>
      </c>
    </row>
    <row r="63" hidden="1" ht="14.25" customHeight="1" s="75">
      <c r="A63" s="105" t="inlineStr">
        <is>
          <t>Gestão de Atendimento</t>
        </is>
      </c>
      <c r="B63" s="94">
        <f>INDEX(SETORES!$B:$B,MATCH(A63,SETORES!$A:$A,0))</f>
        <v/>
      </c>
      <c r="C63" s="105" t="inlineStr">
        <is>
          <t>Empresa Licenciada DX2</t>
        </is>
      </c>
      <c r="D63" s="83">
        <f>IF(B63="Clientes",SUMIFS(PARÂMETROS!$D$8:$D$33,PARÂMETROS!$A$8:$A$33,C63,PARÂMETROS!$G$8:$G$33,J63),SUMIFS(PARÂMETROS!$E$8:$E$33,PARÂMETROS!$A$8:$A$33,C63,PARÂMETROS!$G$8:$G$33,J63))</f>
        <v/>
      </c>
      <c r="E63" s="107">
        <f>SUMIFS(SETORES!$D:$D,SETORES!$A:$A,A63,SETORES!$F:$F,J63)</f>
        <v/>
      </c>
      <c r="F63" s="107">
        <f>IFERROR(D63*E63,0)</f>
        <v/>
      </c>
      <c r="G63" s="83">
        <f>SUMIFS(PARÂMETROS!$F$8:$F$33,PARÂMETROS!$A$8:$A$33,C63,PARÂMETROS!$G$8:$G$33,J63)</f>
        <v/>
      </c>
      <c r="H63" s="107">
        <f>IFERROR(F63*G63,0)</f>
        <v/>
      </c>
      <c r="I63" s="107">
        <f>F63+H63</f>
        <v/>
      </c>
      <c r="J63" s="105" t="inlineStr">
        <is>
          <t>Junho/2026</t>
        </is>
      </c>
    </row>
    <row r="64" hidden="1" ht="14.25" customHeight="1" s="75">
      <c r="A64" s="90" t="inlineStr">
        <is>
          <t>Gestão de Atendimento</t>
        </is>
      </c>
      <c r="B64" s="90">
        <f>INDEX(SETORES!$B:$B,MATCH(A64,SETORES!$A:$A,0))</f>
        <v/>
      </c>
      <c r="C64" s="90" t="inlineStr">
        <is>
          <t>Empresa Licenciada H&amp;A</t>
        </is>
      </c>
      <c r="D64" s="88">
        <f>IF(B64="Clientes",SUMIFS(PARÂMETROS!$D$8:$D$33,PARÂMETROS!$A$8:$A$33,C64,PARÂMETROS!$G$8:$G$33,J64),SUMIFS(PARÂMETROS!$E$8:$E$33,PARÂMETROS!$A$8:$A$33,C64,PARÂMETROS!$G$8:$G$33,J64))</f>
        <v/>
      </c>
      <c r="E64" s="96">
        <f>SUMIFS(SETORES!$D:$D,SETORES!$A:$A,A64,SETORES!$F:$F,J64)</f>
        <v/>
      </c>
      <c r="F64" s="96">
        <f>IFERROR(D64*E64,0)</f>
        <v/>
      </c>
      <c r="G64" s="88">
        <f>SUMIFS(PARÂMETROS!$F$8:$F$33,PARÂMETROS!$A$8:$A$33,C64,PARÂMETROS!$G$8:$G$33,J64)</f>
        <v/>
      </c>
      <c r="H64" s="96">
        <f>IFERROR(F64*G64,0)</f>
        <v/>
      </c>
      <c r="I64" s="96">
        <f>F64+H64</f>
        <v/>
      </c>
      <c r="J64" s="90" t="inlineStr">
        <is>
          <t>Junho/2026</t>
        </is>
      </c>
    </row>
    <row r="65" hidden="1" ht="14.25" customHeight="1" s="75">
      <c r="A65" s="105" t="inlineStr">
        <is>
          <t>Gestão de Atendimento</t>
        </is>
      </c>
      <c r="B65" s="94">
        <f>INDEX(SETORES!$B:$B,MATCH(A65,SETORES!$A:$A,0))</f>
        <v/>
      </c>
      <c r="C65" s="105" t="inlineStr">
        <is>
          <t>Empresa Licenciada SOLON ARAUJO</t>
        </is>
      </c>
      <c r="D65" s="83">
        <f>IF(B65="Clientes",SUMIFS(PARÂMETROS!$D$8:$D$33,PARÂMETROS!$A$8:$A$33,C65,PARÂMETROS!$G$8:$G$33,J65),SUMIFS(PARÂMETROS!$E$8:$E$33,PARÂMETROS!$A$8:$A$33,C65,PARÂMETROS!$G$8:$G$33,J65))</f>
        <v/>
      </c>
      <c r="E65" s="107">
        <f>SUMIFS(SETORES!$D:$D,SETORES!$A:$A,A65,SETORES!$F:$F,J65)</f>
        <v/>
      </c>
      <c r="F65" s="107">
        <f>IFERROR(D65*E65,0)</f>
        <v/>
      </c>
      <c r="G65" s="83">
        <f>SUMIFS(PARÂMETROS!$F$8:$F$33,PARÂMETROS!$A$8:$A$33,C65,PARÂMETROS!$G$8:$G$33,J65)</f>
        <v/>
      </c>
      <c r="H65" s="107">
        <f>IFERROR(F65*G65,0)</f>
        <v/>
      </c>
      <c r="I65" s="107">
        <f>F65+H65</f>
        <v/>
      </c>
      <c r="J65" s="105" t="inlineStr">
        <is>
          <t>Junho/2026</t>
        </is>
      </c>
    </row>
    <row r="66" ht="14.25" customHeight="1" s="75">
      <c r="A66" s="90" t="inlineStr">
        <is>
          <t>Gestão de Atendimento</t>
        </is>
      </c>
      <c r="B66" s="90">
        <f>INDEX(SETORES!$B:$B,MATCH(A66,SETORES!$A:$A,0))</f>
        <v/>
      </c>
      <c r="C66" s="90" t="inlineStr">
        <is>
          <t>Empresa Licenciada SOARES E LINS</t>
        </is>
      </c>
      <c r="D66" s="88">
        <f>IF(B66="Clientes",SUMIFS(PARÂMETROS!$D$8:$D$33,PARÂMETROS!$A$8:$A$33,C66,PARÂMETROS!$G$8:$G$33,J66),SUMIFS(PARÂMETROS!$E$8:$E$33,PARÂMETROS!$A$8:$A$33,C66,PARÂMETROS!$G$8:$G$33,J66))</f>
        <v/>
      </c>
      <c r="E66" s="96">
        <f>SUMIFS(SETORES!$D:$D,SETORES!$A:$A,A66,SETORES!$F:$F,J66)</f>
        <v/>
      </c>
      <c r="F66" s="96">
        <f>IFERROR(D66*E66,0)</f>
        <v/>
      </c>
      <c r="G66" s="88">
        <f>SUMIFS(PARÂMETROS!$F$8:$F$33,PARÂMETROS!$A$8:$A$33,C66,PARÂMETROS!$G$8:$G$33,J66)</f>
        <v/>
      </c>
      <c r="H66" s="96">
        <f>IFERROR(F66*G66,0)</f>
        <v/>
      </c>
      <c r="I66" s="96">
        <f>F66+H66</f>
        <v/>
      </c>
      <c r="J66" s="90" t="inlineStr">
        <is>
          <t>Junho/2026</t>
        </is>
      </c>
    </row>
    <row r="67" hidden="1" ht="14.25" customHeight="1" s="75">
      <c r="A67" s="105" t="inlineStr">
        <is>
          <t>Gestão de Atendimento</t>
        </is>
      </c>
      <c r="B67" s="94">
        <f>INDEX(SETORES!$B:$B,MATCH(A67,SETORES!$A:$A,0))</f>
        <v/>
      </c>
      <c r="C67" s="105" t="inlineStr">
        <is>
          <t>Empresa Licenciada SOARES E SILVA</t>
        </is>
      </c>
      <c r="D67" s="83">
        <f>IF(B67="Clientes",SUMIFS(PARÂMETROS!$D$8:$D$33,PARÂMETROS!$A$8:$A$33,C67,PARÂMETROS!$G$8:$G$33,J67),SUMIFS(PARÂMETROS!$E$8:$E$33,PARÂMETROS!$A$8:$A$33,C67,PARÂMETROS!$G$8:$G$33,J67))</f>
        <v/>
      </c>
      <c r="E67" s="107">
        <f>SUMIFS(SETORES!$D:$D,SETORES!$A:$A,A67,SETORES!$F:$F,J67)</f>
        <v/>
      </c>
      <c r="F67" s="107">
        <f>IFERROR(D67*E67,0)</f>
        <v/>
      </c>
      <c r="G67" s="83">
        <f>SUMIFS(PARÂMETROS!$F$8:$F$33,PARÂMETROS!$A$8:$A$33,C67,PARÂMETROS!$G$8:$G$33,J67)</f>
        <v/>
      </c>
      <c r="H67" s="107">
        <f>IFERROR(F67*G67,0)</f>
        <v/>
      </c>
      <c r="I67" s="107">
        <f>F67+H67</f>
        <v/>
      </c>
      <c r="J67" s="105" t="inlineStr">
        <is>
          <t>Junho/2026</t>
        </is>
      </c>
    </row>
    <row r="68" hidden="1" ht="14.25" customHeight="1" s="75">
      <c r="A68" s="90" t="inlineStr">
        <is>
          <t>Gestão de Atendimento</t>
        </is>
      </c>
      <c r="B68" s="90">
        <f>INDEX(SETORES!$B:$B,MATCH(A68,SETORES!$A:$A,0))</f>
        <v/>
      </c>
      <c r="C68" s="90" t="inlineStr">
        <is>
          <t>Empresa Licenciada SOUZA E SILVA</t>
        </is>
      </c>
      <c r="D68" s="88">
        <f>IF(B68="Clientes",SUMIFS(PARÂMETROS!$D$8:$D$33,PARÂMETROS!$A$8:$A$33,C68,PARÂMETROS!$G$8:$G$33,J68),SUMIFS(PARÂMETROS!$E$8:$E$33,PARÂMETROS!$A$8:$A$33,C68,PARÂMETROS!$G$8:$G$33,J68))</f>
        <v/>
      </c>
      <c r="E68" s="96">
        <f>SUMIFS(SETORES!$D:$D,SETORES!$A:$A,A68,SETORES!$F:$F,J68)</f>
        <v/>
      </c>
      <c r="F68" s="96">
        <f>IFERROR(D68*E68,0)</f>
        <v/>
      </c>
      <c r="G68" s="88">
        <f>SUMIFS(PARÂMETROS!$F$8:$F$33,PARÂMETROS!$A$8:$A$33,C68,PARÂMETROS!$G$8:$G$33,J68)</f>
        <v/>
      </c>
      <c r="H68" s="96">
        <f>IFERROR(F68*G68,0)</f>
        <v/>
      </c>
      <c r="I68" s="96">
        <f>F68+H68</f>
        <v/>
      </c>
      <c r="J68" s="90" t="inlineStr">
        <is>
          <t>Junho/2026</t>
        </is>
      </c>
    </row>
    <row r="69" hidden="1" ht="14.25" customHeight="1" s="75">
      <c r="A69" s="105" t="inlineStr">
        <is>
          <t>Gestão de Atendimento</t>
        </is>
      </c>
      <c r="B69" s="94">
        <f>INDEX(SETORES!$B:$B,MATCH(A69,SETORES!$A:$A,0))</f>
        <v/>
      </c>
      <c r="C69" s="105" t="inlineStr">
        <is>
          <t>Empresa Licenciada VOICENET</t>
        </is>
      </c>
      <c r="D69" s="83">
        <f>IF(B69="Clientes",SUMIFS(PARÂMETROS!$D$8:$D$33,PARÂMETROS!$A$8:$A$33,C69,PARÂMETROS!$G$8:$G$33,J69),SUMIFS(PARÂMETROS!$E$8:$E$33,PARÂMETROS!$A$8:$A$33,C69,PARÂMETROS!$G$8:$G$33,J69))</f>
        <v/>
      </c>
      <c r="E69" s="107">
        <f>SUMIFS(SETORES!$D:$D,SETORES!$A:$A,A69,SETORES!$F:$F,J69)</f>
        <v/>
      </c>
      <c r="F69" s="107">
        <f>IFERROR(D69*E69,0)</f>
        <v/>
      </c>
      <c r="G69" s="83">
        <f>SUMIFS(PARÂMETROS!$F$8:$F$33,PARÂMETROS!$A$8:$A$33,C69,PARÂMETROS!$G$8:$G$33,J69)</f>
        <v/>
      </c>
      <c r="H69" s="107">
        <f>IFERROR(F69*G69,0)</f>
        <v/>
      </c>
      <c r="I69" s="107">
        <f>F69+H69</f>
        <v/>
      </c>
      <c r="J69" s="105" t="inlineStr">
        <is>
          <t>Junho/2026</t>
        </is>
      </c>
    </row>
    <row r="70" hidden="1" ht="14.25" customHeight="1" s="75">
      <c r="A70" s="90" t="inlineStr">
        <is>
          <t>Gestão de Atendimento</t>
        </is>
      </c>
      <c r="B70" s="90">
        <f>INDEX(SETORES!$B:$B,MATCH(A70,SETORES!$A:$A,0))</f>
        <v/>
      </c>
      <c r="C70" s="90" t="inlineStr">
        <is>
          <t>DTEL (uso próprio)</t>
        </is>
      </c>
      <c r="D70" s="88">
        <f>IF(B70="Clientes",SUMIFS(PARÂMETROS!$D$8:$D$33,PARÂMETROS!$A$8:$A$33,C70,PARÂMETROS!$G$8:$G$33,J70),SUMIFS(PARÂMETROS!$E$8:$E$33,PARÂMETROS!$A$8:$A$33,C70,PARÂMETROS!$G$8:$G$33,J70))</f>
        <v/>
      </c>
      <c r="E70" s="96">
        <f>SUMIFS(SETORES!$D:$D,SETORES!$A:$A,A70,SETORES!$F:$F,J70)</f>
        <v/>
      </c>
      <c r="F70" s="96">
        <f>IFERROR(D70*E70,0)</f>
        <v/>
      </c>
      <c r="G70" s="88">
        <f>SUMIFS(PARÂMETROS!$F$8:$F$33,PARÂMETROS!$A$8:$A$33,C70,PARÂMETROS!$G$8:$G$33,J70)</f>
        <v/>
      </c>
      <c r="H70" s="96">
        <f>IFERROR(F70*G70,0)</f>
        <v/>
      </c>
      <c r="I70" s="96">
        <f>F70+H70</f>
        <v/>
      </c>
      <c r="J70" s="90" t="inlineStr">
        <is>
          <t>Junho/2026</t>
        </is>
      </c>
    </row>
    <row r="71" hidden="1" ht="14.25" customHeight="1" s="75">
      <c r="A71" s="105" t="inlineStr">
        <is>
          <t>CAC</t>
        </is>
      </c>
      <c r="B71" s="94">
        <f>INDEX(SETORES!$B:$B,MATCH(A71,SETORES!$A:$A,0))</f>
        <v/>
      </c>
      <c r="C71" s="105" t="inlineStr">
        <is>
          <t>Empresa Licenciada DX2</t>
        </is>
      </c>
      <c r="D71" s="83">
        <f>IF(B71="Clientes",SUMIFS(PARÂMETROS!$D$8:$D$33,PARÂMETROS!$A$8:$A$33,C71,PARÂMETROS!$G$8:$G$33,J71),SUMIFS(PARÂMETROS!$E$8:$E$33,PARÂMETROS!$A$8:$A$33,C71,PARÂMETROS!$G$8:$G$33,J71))</f>
        <v/>
      </c>
      <c r="E71" s="107">
        <f>SUMIFS(SETORES!$D:$D,SETORES!$A:$A,A71,SETORES!$F:$F,J71)</f>
        <v/>
      </c>
      <c r="F71" s="107">
        <f>IFERROR(D71*E71,0)</f>
        <v/>
      </c>
      <c r="G71" s="83">
        <f>SUMIFS(PARÂMETROS!$F$8:$F$33,PARÂMETROS!$A$8:$A$33,C71,PARÂMETROS!$G$8:$G$33,J71)</f>
        <v/>
      </c>
      <c r="H71" s="107">
        <f>IFERROR(F71*G71,0)</f>
        <v/>
      </c>
      <c r="I71" s="107">
        <f>F71+H71</f>
        <v/>
      </c>
      <c r="J71" s="105" t="inlineStr">
        <is>
          <t>Junho/2026</t>
        </is>
      </c>
    </row>
    <row r="72" hidden="1" ht="14.25" customHeight="1" s="75">
      <c r="A72" s="90" t="inlineStr">
        <is>
          <t>CAC</t>
        </is>
      </c>
      <c r="B72" s="90">
        <f>INDEX(SETORES!$B:$B,MATCH(A72,SETORES!$A:$A,0))</f>
        <v/>
      </c>
      <c r="C72" s="90" t="inlineStr">
        <is>
          <t>Empresa Licenciada H&amp;A</t>
        </is>
      </c>
      <c r="D72" s="88">
        <f>IF(B72="Clientes",SUMIFS(PARÂMETROS!$D$8:$D$33,PARÂMETROS!$A$8:$A$33,C72,PARÂMETROS!$G$8:$G$33,J72),SUMIFS(PARÂMETROS!$E$8:$E$33,PARÂMETROS!$A$8:$A$33,C72,PARÂMETROS!$G$8:$G$33,J72))</f>
        <v/>
      </c>
      <c r="E72" s="96">
        <f>SUMIFS(SETORES!$D:$D,SETORES!$A:$A,A72,SETORES!$F:$F,J72)</f>
        <v/>
      </c>
      <c r="F72" s="96">
        <f>IFERROR(D72*E72,0)</f>
        <v/>
      </c>
      <c r="G72" s="88">
        <f>SUMIFS(PARÂMETROS!$F$8:$F$33,PARÂMETROS!$A$8:$A$33,C72,PARÂMETROS!$G$8:$G$33,J72)</f>
        <v/>
      </c>
      <c r="H72" s="96">
        <f>IFERROR(F72*G72,0)</f>
        <v/>
      </c>
      <c r="I72" s="96">
        <f>F72+H72</f>
        <v/>
      </c>
      <c r="J72" s="90" t="inlineStr">
        <is>
          <t>Junho/2026</t>
        </is>
      </c>
    </row>
    <row r="73" hidden="1" ht="14.25" customHeight="1" s="75">
      <c r="A73" s="105" t="inlineStr">
        <is>
          <t>CAC</t>
        </is>
      </c>
      <c r="B73" s="94">
        <f>INDEX(SETORES!$B:$B,MATCH(A73,SETORES!$A:$A,0))</f>
        <v/>
      </c>
      <c r="C73" s="105" t="inlineStr">
        <is>
          <t>Empresa Licenciada SOLON ARAUJO</t>
        </is>
      </c>
      <c r="D73" s="83">
        <f>IF(B73="Clientes",SUMIFS(PARÂMETROS!$D$8:$D$33,PARÂMETROS!$A$8:$A$33,C73,PARÂMETROS!$G$8:$G$33,J73),SUMIFS(PARÂMETROS!$E$8:$E$33,PARÂMETROS!$A$8:$A$33,C73,PARÂMETROS!$G$8:$G$33,J73))</f>
        <v/>
      </c>
      <c r="E73" s="107">
        <f>SUMIFS(SETORES!$D:$D,SETORES!$A:$A,A73,SETORES!$F:$F,J73)</f>
        <v/>
      </c>
      <c r="F73" s="107">
        <f>IFERROR(D73*E73,0)</f>
        <v/>
      </c>
      <c r="G73" s="83">
        <f>SUMIFS(PARÂMETROS!$F$8:$F$33,PARÂMETROS!$A$8:$A$33,C73,PARÂMETROS!$G$8:$G$33,J73)</f>
        <v/>
      </c>
      <c r="H73" s="107">
        <f>IFERROR(F73*G73,0)</f>
        <v/>
      </c>
      <c r="I73" s="107">
        <f>F73+H73</f>
        <v/>
      </c>
      <c r="J73" s="105" t="inlineStr">
        <is>
          <t>Junho/2026</t>
        </is>
      </c>
    </row>
    <row r="74" ht="14.25" customHeight="1" s="75">
      <c r="A74" s="90" t="inlineStr">
        <is>
          <t>CAC</t>
        </is>
      </c>
      <c r="B74" s="90">
        <f>INDEX(SETORES!$B:$B,MATCH(A74,SETORES!$A:$A,0))</f>
        <v/>
      </c>
      <c r="C74" s="90" t="inlineStr">
        <is>
          <t>Empresa Licenciada SOARES E LINS</t>
        </is>
      </c>
      <c r="D74" s="88">
        <f>IF(B74="Clientes",SUMIFS(PARÂMETROS!$D$8:$D$33,PARÂMETROS!$A$8:$A$33,C74,PARÂMETROS!$G$8:$G$33,J74),SUMIFS(PARÂMETROS!$E$8:$E$33,PARÂMETROS!$A$8:$A$33,C74,PARÂMETROS!$G$8:$G$33,J74))</f>
        <v/>
      </c>
      <c r="E74" s="96">
        <f>SUMIFS(SETORES!$D:$D,SETORES!$A:$A,A74,SETORES!$F:$F,J74)</f>
        <v/>
      </c>
      <c r="F74" s="96">
        <f>IFERROR(D74*E74,0)</f>
        <v/>
      </c>
      <c r="G74" s="88">
        <f>SUMIFS(PARÂMETROS!$F$8:$F$33,PARÂMETROS!$A$8:$A$33,C74,PARÂMETROS!$G$8:$G$33,J74)</f>
        <v/>
      </c>
      <c r="H74" s="96">
        <f>IFERROR(F74*G74,0)</f>
        <v/>
      </c>
      <c r="I74" s="96">
        <f>F74+H74</f>
        <v/>
      </c>
      <c r="J74" s="90" t="inlineStr">
        <is>
          <t>Junho/2026</t>
        </is>
      </c>
    </row>
    <row r="75" hidden="1" ht="14.25" customHeight="1" s="75">
      <c r="A75" s="105" t="inlineStr">
        <is>
          <t>CAC</t>
        </is>
      </c>
      <c r="B75" s="94">
        <f>INDEX(SETORES!$B:$B,MATCH(A75,SETORES!$A:$A,0))</f>
        <v/>
      </c>
      <c r="C75" s="105" t="inlineStr">
        <is>
          <t>Empresa Licenciada SOARES E SILVA</t>
        </is>
      </c>
      <c r="D75" s="83">
        <f>IF(B75="Clientes",SUMIFS(PARÂMETROS!$D$8:$D$33,PARÂMETROS!$A$8:$A$33,C75,PARÂMETROS!$G$8:$G$33,J75),SUMIFS(PARÂMETROS!$E$8:$E$33,PARÂMETROS!$A$8:$A$33,C75,PARÂMETROS!$G$8:$G$33,J75))</f>
        <v/>
      </c>
      <c r="E75" s="107">
        <f>SUMIFS(SETORES!$D:$D,SETORES!$A:$A,A75,SETORES!$F:$F,J75)</f>
        <v/>
      </c>
      <c r="F75" s="107">
        <f>IFERROR(D75*E75,0)</f>
        <v/>
      </c>
      <c r="G75" s="83">
        <f>SUMIFS(PARÂMETROS!$F$8:$F$33,PARÂMETROS!$A$8:$A$33,C75,PARÂMETROS!$G$8:$G$33,J75)</f>
        <v/>
      </c>
      <c r="H75" s="107">
        <f>IFERROR(F75*G75,0)</f>
        <v/>
      </c>
      <c r="I75" s="107">
        <f>F75+H75</f>
        <v/>
      </c>
      <c r="J75" s="105" t="inlineStr">
        <is>
          <t>Junho/2026</t>
        </is>
      </c>
    </row>
    <row r="76" hidden="1" ht="14.25" customHeight="1" s="75">
      <c r="A76" s="90" t="inlineStr">
        <is>
          <t>CAC</t>
        </is>
      </c>
      <c r="B76" s="90">
        <f>INDEX(SETORES!$B:$B,MATCH(A76,SETORES!$A:$A,0))</f>
        <v/>
      </c>
      <c r="C76" s="90" t="inlineStr">
        <is>
          <t>Empresa Licenciada SOUZA E SILVA</t>
        </is>
      </c>
      <c r="D76" s="88">
        <f>IF(B76="Clientes",SUMIFS(PARÂMETROS!$D$8:$D$33,PARÂMETROS!$A$8:$A$33,C76,PARÂMETROS!$G$8:$G$33,J76),SUMIFS(PARÂMETROS!$E$8:$E$33,PARÂMETROS!$A$8:$A$33,C76,PARÂMETROS!$G$8:$G$33,J76))</f>
        <v/>
      </c>
      <c r="E76" s="96">
        <f>SUMIFS(SETORES!$D:$D,SETORES!$A:$A,A76,SETORES!$F:$F,J76)</f>
        <v/>
      </c>
      <c r="F76" s="96">
        <f>IFERROR(D76*E76,0)</f>
        <v/>
      </c>
      <c r="G76" s="88">
        <f>SUMIFS(PARÂMETROS!$F$8:$F$33,PARÂMETROS!$A$8:$A$33,C76,PARÂMETROS!$G$8:$G$33,J76)</f>
        <v/>
      </c>
      <c r="H76" s="96">
        <f>IFERROR(F76*G76,0)</f>
        <v/>
      </c>
      <c r="I76" s="96">
        <f>F76+H76</f>
        <v/>
      </c>
      <c r="J76" s="90" t="inlineStr">
        <is>
          <t>Junho/2026</t>
        </is>
      </c>
    </row>
    <row r="77" hidden="1" ht="14.25" customHeight="1" s="75">
      <c r="A77" s="105" t="inlineStr">
        <is>
          <t>CAC</t>
        </is>
      </c>
      <c r="B77" s="94">
        <f>INDEX(SETORES!$B:$B,MATCH(A77,SETORES!$A:$A,0))</f>
        <v/>
      </c>
      <c r="C77" s="105" t="inlineStr">
        <is>
          <t>Empresa Licenciada VOICENET</t>
        </is>
      </c>
      <c r="D77" s="83">
        <f>IF(B77="Clientes",SUMIFS(PARÂMETROS!$D$8:$D$33,PARÂMETROS!$A$8:$A$33,C77,PARÂMETROS!$G$8:$G$33,J77),SUMIFS(PARÂMETROS!$E$8:$E$33,PARÂMETROS!$A$8:$A$33,C77,PARÂMETROS!$G$8:$G$33,J77))</f>
        <v/>
      </c>
      <c r="E77" s="107">
        <f>SUMIFS(SETORES!$D:$D,SETORES!$A:$A,A77,SETORES!$F:$F,J77)</f>
        <v/>
      </c>
      <c r="F77" s="107">
        <f>IFERROR(D77*E77,0)</f>
        <v/>
      </c>
      <c r="G77" s="83">
        <f>SUMIFS(PARÂMETROS!$F$8:$F$33,PARÂMETROS!$A$8:$A$33,C77,PARÂMETROS!$G$8:$G$33,J77)</f>
        <v/>
      </c>
      <c r="H77" s="107">
        <f>IFERROR(F77*G77,0)</f>
        <v/>
      </c>
      <c r="I77" s="107">
        <f>F77+H77</f>
        <v/>
      </c>
      <c r="J77" s="105" t="inlineStr">
        <is>
          <t>Junho/2026</t>
        </is>
      </c>
    </row>
    <row r="78" hidden="1" ht="14.25" customHeight="1" s="75">
      <c r="A78" s="90" t="inlineStr">
        <is>
          <t>CAC</t>
        </is>
      </c>
      <c r="B78" s="90">
        <f>INDEX(SETORES!$B:$B,MATCH(A78,SETORES!$A:$A,0))</f>
        <v/>
      </c>
      <c r="C78" s="90" t="inlineStr">
        <is>
          <t>DTEL (uso próprio)</t>
        </is>
      </c>
      <c r="D78" s="88">
        <f>IF(B78="Clientes",SUMIFS(PARÂMETROS!$D$8:$D$33,PARÂMETROS!$A$8:$A$33,C78,PARÂMETROS!$G$8:$G$33,J78),SUMIFS(PARÂMETROS!$E$8:$E$33,PARÂMETROS!$A$8:$A$33,C78,PARÂMETROS!$G$8:$G$33,J78))</f>
        <v/>
      </c>
      <c r="E78" s="96">
        <f>SUMIFS(SETORES!$D:$D,SETORES!$A:$A,A78,SETORES!$F:$F,J78)</f>
        <v/>
      </c>
      <c r="F78" s="96">
        <f>IFERROR(D78*E78,0)</f>
        <v/>
      </c>
      <c r="G78" s="88">
        <f>SUMIFS(PARÂMETROS!$F$8:$F$33,PARÂMETROS!$A$8:$A$33,C78,PARÂMETROS!$G$8:$G$33,J78)</f>
        <v/>
      </c>
      <c r="H78" s="96">
        <f>IFERROR(F78*G78,0)</f>
        <v/>
      </c>
      <c r="I78" s="96">
        <f>F78+H78</f>
        <v/>
      </c>
      <c r="J78" s="90" t="inlineStr">
        <is>
          <t>Junho/2026</t>
        </is>
      </c>
    </row>
    <row r="79" hidden="1" ht="14.25" customHeight="1" s="75">
      <c r="A79" s="105" t="inlineStr">
        <is>
          <t>Financeiro</t>
        </is>
      </c>
      <c r="B79" s="94">
        <f>INDEX(SETORES!$B:$B,MATCH(A79,SETORES!$A:$A,0))</f>
        <v/>
      </c>
      <c r="C79" s="105" t="inlineStr">
        <is>
          <t>Empresa Licenciada DX2</t>
        </is>
      </c>
      <c r="D79" s="83">
        <f>IF(B79="Clientes",SUMIFS(PARÂMETROS!$D$8:$D$33,PARÂMETROS!$A$8:$A$33,C79,PARÂMETROS!$G$8:$G$33,J79),SUMIFS(PARÂMETROS!$E$8:$E$33,PARÂMETROS!$A$8:$A$33,C79,PARÂMETROS!$G$8:$G$33,J79))</f>
        <v/>
      </c>
      <c r="E79" s="107">
        <f>SUMIFS(SETORES!$D:$D,SETORES!$A:$A,A79,SETORES!$F:$F,J79)</f>
        <v/>
      </c>
      <c r="F79" s="107">
        <f>IFERROR(D79*E79,0)</f>
        <v/>
      </c>
      <c r="G79" s="83">
        <f>SUMIFS(PARÂMETROS!$F$8:$F$33,PARÂMETROS!$A$8:$A$33,C79,PARÂMETROS!$G$8:$G$33,J79)</f>
        <v/>
      </c>
      <c r="H79" s="107">
        <f>IFERROR(F79*G79,0)</f>
        <v/>
      </c>
      <c r="I79" s="107">
        <f>F79+H79</f>
        <v/>
      </c>
      <c r="J79" s="105" t="inlineStr">
        <is>
          <t>Junho/2026</t>
        </is>
      </c>
    </row>
    <row r="80" hidden="1" ht="14.25" customHeight="1" s="75">
      <c r="A80" s="90" t="inlineStr">
        <is>
          <t>Financeiro</t>
        </is>
      </c>
      <c r="B80" s="90">
        <f>INDEX(SETORES!$B:$B,MATCH(A80,SETORES!$A:$A,0))</f>
        <v/>
      </c>
      <c r="C80" s="90" t="inlineStr">
        <is>
          <t>Empresa Licenciada H&amp;A</t>
        </is>
      </c>
      <c r="D80" s="88">
        <f>IF(B80="Clientes",SUMIFS(PARÂMETROS!$D$8:$D$33,PARÂMETROS!$A$8:$A$33,C80,PARÂMETROS!$G$8:$G$33,J80),SUMIFS(PARÂMETROS!$E$8:$E$33,PARÂMETROS!$A$8:$A$33,C80,PARÂMETROS!$G$8:$G$33,J80))</f>
        <v/>
      </c>
      <c r="E80" s="96">
        <f>SUMIFS(SETORES!$D:$D,SETORES!$A:$A,A80,SETORES!$F:$F,J80)</f>
        <v/>
      </c>
      <c r="F80" s="96">
        <f>IFERROR(D80*E80,0)</f>
        <v/>
      </c>
      <c r="G80" s="88">
        <f>SUMIFS(PARÂMETROS!$F$8:$F$33,PARÂMETROS!$A$8:$A$33,C80,PARÂMETROS!$G$8:$G$33,J80)</f>
        <v/>
      </c>
      <c r="H80" s="96">
        <f>IFERROR(F80*G80,0)</f>
        <v/>
      </c>
      <c r="I80" s="96">
        <f>F80+H80</f>
        <v/>
      </c>
      <c r="J80" s="90" t="inlineStr">
        <is>
          <t>Junho/2026</t>
        </is>
      </c>
    </row>
    <row r="81" hidden="1" ht="14.25" customHeight="1" s="75">
      <c r="A81" s="105" t="inlineStr">
        <is>
          <t>Financeiro</t>
        </is>
      </c>
      <c r="B81" s="94">
        <f>INDEX(SETORES!$B:$B,MATCH(A81,SETORES!$A:$A,0))</f>
        <v/>
      </c>
      <c r="C81" s="105" t="inlineStr">
        <is>
          <t>Empresa Licenciada SOLON ARAUJO</t>
        </is>
      </c>
      <c r="D81" s="83">
        <f>IF(B81="Clientes",SUMIFS(PARÂMETROS!$D$8:$D$33,PARÂMETROS!$A$8:$A$33,C81,PARÂMETROS!$G$8:$G$33,J81),SUMIFS(PARÂMETROS!$E$8:$E$33,PARÂMETROS!$A$8:$A$33,C81,PARÂMETROS!$G$8:$G$33,J81))</f>
        <v/>
      </c>
      <c r="E81" s="107">
        <f>SUMIFS(SETORES!$D:$D,SETORES!$A:$A,A81,SETORES!$F:$F,J81)</f>
        <v/>
      </c>
      <c r="F81" s="107">
        <f>IFERROR(D81*E81,0)</f>
        <v/>
      </c>
      <c r="G81" s="83">
        <f>SUMIFS(PARÂMETROS!$F$8:$F$33,PARÂMETROS!$A$8:$A$33,C81,PARÂMETROS!$G$8:$G$33,J81)</f>
        <v/>
      </c>
      <c r="H81" s="107">
        <f>IFERROR(F81*G81,0)</f>
        <v/>
      </c>
      <c r="I81" s="107">
        <f>F81+H81</f>
        <v/>
      </c>
      <c r="J81" s="105" t="inlineStr">
        <is>
          <t>Junho/2026</t>
        </is>
      </c>
    </row>
    <row r="82" ht="14.25" customHeight="1" s="75">
      <c r="A82" s="90" t="inlineStr">
        <is>
          <t>Financeiro</t>
        </is>
      </c>
      <c r="B82" s="90">
        <f>INDEX(SETORES!$B:$B,MATCH(A82,SETORES!$A:$A,0))</f>
        <v/>
      </c>
      <c r="C82" s="90" t="inlineStr">
        <is>
          <t>Empresa Licenciada SOARES E LINS</t>
        </is>
      </c>
      <c r="D82" s="88">
        <f>IF(B82="Clientes",SUMIFS(PARÂMETROS!$D$8:$D$33,PARÂMETROS!$A$8:$A$33,C82,PARÂMETROS!$G$8:$G$33,J82),SUMIFS(PARÂMETROS!$E$8:$E$33,PARÂMETROS!$A$8:$A$33,C82,PARÂMETROS!$G$8:$G$33,J82))</f>
        <v/>
      </c>
      <c r="E82" s="96">
        <f>SUMIFS(SETORES!$D:$D,SETORES!$A:$A,A82,SETORES!$F:$F,J82)</f>
        <v/>
      </c>
      <c r="F82" s="96">
        <f>IFERROR(D82*E82,0)</f>
        <v/>
      </c>
      <c r="G82" s="88">
        <f>SUMIFS(PARÂMETROS!$F$8:$F$33,PARÂMETROS!$A$8:$A$33,C82,PARÂMETROS!$G$8:$G$33,J82)</f>
        <v/>
      </c>
      <c r="H82" s="96">
        <f>IFERROR(F82*G82,0)</f>
        <v/>
      </c>
      <c r="I82" s="96">
        <f>F82+H82</f>
        <v/>
      </c>
      <c r="J82" s="90" t="inlineStr">
        <is>
          <t>Junho/2026</t>
        </is>
      </c>
    </row>
    <row r="83" hidden="1" ht="14.25" customHeight="1" s="75">
      <c r="A83" s="105" t="inlineStr">
        <is>
          <t>Financeiro</t>
        </is>
      </c>
      <c r="B83" s="94">
        <f>INDEX(SETORES!$B:$B,MATCH(A83,SETORES!$A:$A,0))</f>
        <v/>
      </c>
      <c r="C83" s="105" t="inlineStr">
        <is>
          <t>Empresa Licenciada SOARES E SILVA</t>
        </is>
      </c>
      <c r="D83" s="83">
        <f>IF(B83="Clientes",SUMIFS(PARÂMETROS!$D$8:$D$33,PARÂMETROS!$A$8:$A$33,C83,PARÂMETROS!$G$8:$G$33,J83),SUMIFS(PARÂMETROS!$E$8:$E$33,PARÂMETROS!$A$8:$A$33,C83,PARÂMETROS!$G$8:$G$33,J83))</f>
        <v/>
      </c>
      <c r="E83" s="107">
        <f>SUMIFS(SETORES!$D:$D,SETORES!$A:$A,A83,SETORES!$F:$F,J83)</f>
        <v/>
      </c>
      <c r="F83" s="107">
        <f>IFERROR(D83*E83,0)</f>
        <v/>
      </c>
      <c r="G83" s="83">
        <f>SUMIFS(PARÂMETROS!$F$8:$F$33,PARÂMETROS!$A$8:$A$33,C83,PARÂMETROS!$G$8:$G$33,J83)</f>
        <v/>
      </c>
      <c r="H83" s="107">
        <f>IFERROR(F83*G83,0)</f>
        <v/>
      </c>
      <c r="I83" s="107">
        <f>F83+H83</f>
        <v/>
      </c>
      <c r="J83" s="105" t="inlineStr">
        <is>
          <t>Junho/2026</t>
        </is>
      </c>
    </row>
    <row r="84" hidden="1" ht="14.25" customHeight="1" s="75">
      <c r="A84" s="90" t="inlineStr">
        <is>
          <t>Financeiro</t>
        </is>
      </c>
      <c r="B84" s="90">
        <f>INDEX(SETORES!$B:$B,MATCH(A84,SETORES!$A:$A,0))</f>
        <v/>
      </c>
      <c r="C84" s="90" t="inlineStr">
        <is>
          <t>Empresa Licenciada SOUZA E SILVA</t>
        </is>
      </c>
      <c r="D84" s="88">
        <f>IF(B84="Clientes",SUMIFS(PARÂMETROS!$D$8:$D$33,PARÂMETROS!$A$8:$A$33,C84,PARÂMETROS!$G$8:$G$33,J84),SUMIFS(PARÂMETROS!$E$8:$E$33,PARÂMETROS!$A$8:$A$33,C84,PARÂMETROS!$G$8:$G$33,J84))</f>
        <v/>
      </c>
      <c r="E84" s="96">
        <f>SUMIFS(SETORES!$D:$D,SETORES!$A:$A,A84,SETORES!$F:$F,J84)</f>
        <v/>
      </c>
      <c r="F84" s="96">
        <f>IFERROR(D84*E84,0)</f>
        <v/>
      </c>
      <c r="G84" s="88">
        <f>SUMIFS(PARÂMETROS!$F$8:$F$33,PARÂMETROS!$A$8:$A$33,C84,PARÂMETROS!$G$8:$G$33,J84)</f>
        <v/>
      </c>
      <c r="H84" s="96">
        <f>IFERROR(F84*G84,0)</f>
        <v/>
      </c>
      <c r="I84" s="96">
        <f>F84+H84</f>
        <v/>
      </c>
      <c r="J84" s="90" t="inlineStr">
        <is>
          <t>Junho/2026</t>
        </is>
      </c>
    </row>
    <row r="85" hidden="1" ht="14.25" customHeight="1" s="75">
      <c r="A85" s="105" t="inlineStr">
        <is>
          <t>Financeiro</t>
        </is>
      </c>
      <c r="B85" s="94">
        <f>INDEX(SETORES!$B:$B,MATCH(A85,SETORES!$A:$A,0))</f>
        <v/>
      </c>
      <c r="C85" s="105" t="inlineStr">
        <is>
          <t>Empresa Licenciada VOICENET</t>
        </is>
      </c>
      <c r="D85" s="83">
        <f>IF(B85="Clientes",SUMIFS(PARÂMETROS!$D$8:$D$33,PARÂMETROS!$A$8:$A$33,C85,PARÂMETROS!$G$8:$G$33,J85),SUMIFS(PARÂMETROS!$E$8:$E$33,PARÂMETROS!$A$8:$A$33,C85,PARÂMETROS!$G$8:$G$33,J85))</f>
        <v/>
      </c>
      <c r="E85" s="107">
        <f>SUMIFS(SETORES!$D:$D,SETORES!$A:$A,A85,SETORES!$F:$F,J85)</f>
        <v/>
      </c>
      <c r="F85" s="107">
        <f>IFERROR(D85*E85,0)</f>
        <v/>
      </c>
      <c r="G85" s="83">
        <f>SUMIFS(PARÂMETROS!$F$8:$F$33,PARÂMETROS!$A$8:$A$33,C85,PARÂMETROS!$G$8:$G$33,J85)</f>
        <v/>
      </c>
      <c r="H85" s="107">
        <f>IFERROR(F85*G85,0)</f>
        <v/>
      </c>
      <c r="I85" s="107">
        <f>F85+H85</f>
        <v/>
      </c>
      <c r="J85" s="105" t="inlineStr">
        <is>
          <t>Junho/2026</t>
        </is>
      </c>
    </row>
    <row r="86" hidden="1" ht="14.25" customHeight="1" s="75">
      <c r="A86" s="90" t="inlineStr">
        <is>
          <t>Financeiro</t>
        </is>
      </c>
      <c r="B86" s="90">
        <f>INDEX(SETORES!$B:$B,MATCH(A86,SETORES!$A:$A,0))</f>
        <v/>
      </c>
      <c r="C86" s="90" t="inlineStr">
        <is>
          <t>DTEL (uso próprio)</t>
        </is>
      </c>
      <c r="D86" s="88">
        <f>IF(B86="Clientes",SUMIFS(PARÂMETROS!$D$8:$D$33,PARÂMETROS!$A$8:$A$33,C86,PARÂMETROS!$G$8:$G$33,J86),SUMIFS(PARÂMETROS!$E$8:$E$33,PARÂMETROS!$A$8:$A$33,C86,PARÂMETROS!$G$8:$G$33,J86))</f>
        <v/>
      </c>
      <c r="E86" s="96">
        <f>SUMIFS(SETORES!$D:$D,SETORES!$A:$A,A86,SETORES!$F:$F,J86)</f>
        <v/>
      </c>
      <c r="F86" s="96">
        <f>IFERROR(D86*E86,0)</f>
        <v/>
      </c>
      <c r="G86" s="88">
        <f>SUMIFS(PARÂMETROS!$F$8:$F$33,PARÂMETROS!$A$8:$A$33,C86,PARÂMETROS!$G$8:$G$33,J86)</f>
        <v/>
      </c>
      <c r="H86" s="96">
        <f>IFERROR(F86*G86,0)</f>
        <v/>
      </c>
      <c r="I86" s="96">
        <f>F86+H86</f>
        <v/>
      </c>
      <c r="J86" s="90" t="inlineStr">
        <is>
          <t>Junho/2026</t>
        </is>
      </c>
    </row>
    <row r="87" hidden="1" ht="14.25" customHeight="1" s="75">
      <c r="A87" s="105" t="inlineStr">
        <is>
          <t>NRC</t>
        </is>
      </c>
      <c r="B87" s="94">
        <f>INDEX(SETORES!$B:$B,MATCH(A87,SETORES!$A:$A,0))</f>
        <v/>
      </c>
      <c r="C87" s="105" t="inlineStr">
        <is>
          <t>Empresa Licenciada DX2</t>
        </is>
      </c>
      <c r="D87" s="83">
        <f>IF(B87="Clientes",SUMIFS(PARÂMETROS!$D$8:$D$33,PARÂMETROS!$A$8:$A$33,C87,PARÂMETROS!$G$8:$G$33,J87),SUMIFS(PARÂMETROS!$E$8:$E$33,PARÂMETROS!$A$8:$A$33,C87,PARÂMETROS!$G$8:$G$33,J87))</f>
        <v/>
      </c>
      <c r="E87" s="107">
        <f>SUMIFS(SETORES!$D:$D,SETORES!$A:$A,A87,SETORES!$F:$F,J87)</f>
        <v/>
      </c>
      <c r="F87" s="107">
        <f>IFERROR(D87*E87,0)</f>
        <v/>
      </c>
      <c r="G87" s="83">
        <f>SUMIFS(PARÂMETROS!$F$8:$F$33,PARÂMETROS!$A$8:$A$33,C87,PARÂMETROS!$G$8:$G$33,J87)</f>
        <v/>
      </c>
      <c r="H87" s="107">
        <f>IFERROR(F87*G87,0)</f>
        <v/>
      </c>
      <c r="I87" s="107">
        <f>F87+H87</f>
        <v/>
      </c>
      <c r="J87" s="105" t="inlineStr">
        <is>
          <t>Junho/2026</t>
        </is>
      </c>
    </row>
    <row r="88" hidden="1" ht="14.25" customHeight="1" s="75">
      <c r="A88" s="90" t="inlineStr">
        <is>
          <t>NRC</t>
        </is>
      </c>
      <c r="B88" s="90">
        <f>INDEX(SETORES!$B:$B,MATCH(A88,SETORES!$A:$A,0))</f>
        <v/>
      </c>
      <c r="C88" s="90" t="inlineStr">
        <is>
          <t>Empresa Licenciada H&amp;A</t>
        </is>
      </c>
      <c r="D88" s="88">
        <f>IF(B88="Clientes",SUMIFS(PARÂMETROS!$D$8:$D$33,PARÂMETROS!$A$8:$A$33,C88,PARÂMETROS!$G$8:$G$33,J88),SUMIFS(PARÂMETROS!$E$8:$E$33,PARÂMETROS!$A$8:$A$33,C88,PARÂMETROS!$G$8:$G$33,J88))</f>
        <v/>
      </c>
      <c r="E88" s="96">
        <f>SUMIFS(SETORES!$D:$D,SETORES!$A:$A,A88,SETORES!$F:$F,J88)</f>
        <v/>
      </c>
      <c r="F88" s="96">
        <f>IFERROR(D88*E88,0)</f>
        <v/>
      </c>
      <c r="G88" s="88">
        <f>SUMIFS(PARÂMETROS!$F$8:$F$33,PARÂMETROS!$A$8:$A$33,C88,PARÂMETROS!$G$8:$G$33,J88)</f>
        <v/>
      </c>
      <c r="H88" s="96">
        <f>IFERROR(F88*G88,0)</f>
        <v/>
      </c>
      <c r="I88" s="96">
        <f>F88+H88</f>
        <v/>
      </c>
      <c r="J88" s="90" t="inlineStr">
        <is>
          <t>Junho/2026</t>
        </is>
      </c>
    </row>
    <row r="89" hidden="1" ht="14.25" customHeight="1" s="75">
      <c r="A89" s="105" t="inlineStr">
        <is>
          <t>NRC</t>
        </is>
      </c>
      <c r="B89" s="94">
        <f>INDEX(SETORES!$B:$B,MATCH(A89,SETORES!$A:$A,0))</f>
        <v/>
      </c>
      <c r="C89" s="105" t="inlineStr">
        <is>
          <t>Empresa Licenciada SOLON ARAUJO</t>
        </is>
      </c>
      <c r="D89" s="83">
        <f>IF(B89="Clientes",SUMIFS(PARÂMETROS!$D$8:$D$33,PARÂMETROS!$A$8:$A$33,C89,PARÂMETROS!$G$8:$G$33,J89),SUMIFS(PARÂMETROS!$E$8:$E$33,PARÂMETROS!$A$8:$A$33,C89,PARÂMETROS!$G$8:$G$33,J89))</f>
        <v/>
      </c>
      <c r="E89" s="107">
        <f>SUMIFS(SETORES!$D:$D,SETORES!$A:$A,A89,SETORES!$F:$F,J89)</f>
        <v/>
      </c>
      <c r="F89" s="107">
        <f>IFERROR(D89*E89,0)</f>
        <v/>
      </c>
      <c r="G89" s="83">
        <f>SUMIFS(PARÂMETROS!$F$8:$F$33,PARÂMETROS!$A$8:$A$33,C89,PARÂMETROS!$G$8:$G$33,J89)</f>
        <v/>
      </c>
      <c r="H89" s="107">
        <f>IFERROR(F89*G89,0)</f>
        <v/>
      </c>
      <c r="I89" s="107">
        <f>F89+H89</f>
        <v/>
      </c>
      <c r="J89" s="105" t="inlineStr">
        <is>
          <t>Junho/2026</t>
        </is>
      </c>
    </row>
    <row r="90" ht="14.25" customHeight="1" s="75">
      <c r="A90" s="90" t="inlineStr">
        <is>
          <t>NRC</t>
        </is>
      </c>
      <c r="B90" s="90">
        <f>INDEX(SETORES!$B:$B,MATCH(A90,SETORES!$A:$A,0))</f>
        <v/>
      </c>
      <c r="C90" s="90" t="inlineStr">
        <is>
          <t>Empresa Licenciada SOARES E LINS</t>
        </is>
      </c>
      <c r="D90" s="88">
        <f>IF(B90="Clientes",SUMIFS(PARÂMETROS!$D$8:$D$33,PARÂMETROS!$A$8:$A$33,C90,PARÂMETROS!$G$8:$G$33,J90),SUMIFS(PARÂMETROS!$E$8:$E$33,PARÂMETROS!$A$8:$A$33,C90,PARÂMETROS!$G$8:$G$33,J90))</f>
        <v/>
      </c>
      <c r="E90" s="96">
        <f>SUMIFS(SETORES!$D:$D,SETORES!$A:$A,A90,SETORES!$F:$F,J90)</f>
        <v/>
      </c>
      <c r="F90" s="96">
        <f>IFERROR(D90*E90,0)</f>
        <v/>
      </c>
      <c r="G90" s="88">
        <f>SUMIFS(PARÂMETROS!$F$8:$F$33,PARÂMETROS!$A$8:$A$33,C90,PARÂMETROS!$G$8:$G$33,J90)</f>
        <v/>
      </c>
      <c r="H90" s="96">
        <f>IFERROR(F90*G90,0)</f>
        <v/>
      </c>
      <c r="I90" s="96">
        <f>F90+H90</f>
        <v/>
      </c>
      <c r="J90" s="90" t="inlineStr">
        <is>
          <t>Junho/2026</t>
        </is>
      </c>
    </row>
    <row r="91" hidden="1" ht="14.25" customHeight="1" s="75">
      <c r="A91" s="105" t="inlineStr">
        <is>
          <t>NRC</t>
        </is>
      </c>
      <c r="B91" s="94">
        <f>INDEX(SETORES!$B:$B,MATCH(A91,SETORES!$A:$A,0))</f>
        <v/>
      </c>
      <c r="C91" s="105" t="inlineStr">
        <is>
          <t>Empresa Licenciada SOARES E SILVA</t>
        </is>
      </c>
      <c r="D91" s="83">
        <f>IF(B91="Clientes",SUMIFS(PARÂMETROS!$D$8:$D$33,PARÂMETROS!$A$8:$A$33,C91,PARÂMETROS!$G$8:$G$33,J91),SUMIFS(PARÂMETROS!$E$8:$E$33,PARÂMETROS!$A$8:$A$33,C91,PARÂMETROS!$G$8:$G$33,J91))</f>
        <v/>
      </c>
      <c r="E91" s="107">
        <f>SUMIFS(SETORES!$D:$D,SETORES!$A:$A,A91,SETORES!$F:$F,J91)</f>
        <v/>
      </c>
      <c r="F91" s="107">
        <f>IFERROR(D91*E91,0)</f>
        <v/>
      </c>
      <c r="G91" s="83">
        <f>SUMIFS(PARÂMETROS!$F$8:$F$33,PARÂMETROS!$A$8:$A$33,C91,PARÂMETROS!$G$8:$G$33,J91)</f>
        <v/>
      </c>
      <c r="H91" s="107">
        <f>IFERROR(F91*G91,0)</f>
        <v/>
      </c>
      <c r="I91" s="107">
        <f>F91+H91</f>
        <v/>
      </c>
      <c r="J91" s="105" t="inlineStr">
        <is>
          <t>Junho/2026</t>
        </is>
      </c>
    </row>
    <row r="92" hidden="1" ht="14.25" customHeight="1" s="75">
      <c r="A92" s="90" t="inlineStr">
        <is>
          <t>NRC</t>
        </is>
      </c>
      <c r="B92" s="90">
        <f>INDEX(SETORES!$B:$B,MATCH(A92,SETORES!$A:$A,0))</f>
        <v/>
      </c>
      <c r="C92" s="90" t="inlineStr">
        <is>
          <t>Empresa Licenciada SOUZA E SILVA</t>
        </is>
      </c>
      <c r="D92" s="88">
        <f>IF(B92="Clientes",SUMIFS(PARÂMETROS!$D$8:$D$33,PARÂMETROS!$A$8:$A$33,C92,PARÂMETROS!$G$8:$G$33,J92),SUMIFS(PARÂMETROS!$E$8:$E$33,PARÂMETROS!$A$8:$A$33,C92,PARÂMETROS!$G$8:$G$33,J92))</f>
        <v/>
      </c>
      <c r="E92" s="96">
        <f>SUMIFS(SETORES!$D:$D,SETORES!$A:$A,A92,SETORES!$F:$F,J92)</f>
        <v/>
      </c>
      <c r="F92" s="96">
        <f>IFERROR(D92*E92,0)</f>
        <v/>
      </c>
      <c r="G92" s="88">
        <f>SUMIFS(PARÂMETROS!$F$8:$F$33,PARÂMETROS!$A$8:$A$33,C92,PARÂMETROS!$G$8:$G$33,J92)</f>
        <v/>
      </c>
      <c r="H92" s="96">
        <f>IFERROR(F92*G92,0)</f>
        <v/>
      </c>
      <c r="I92" s="96">
        <f>F92+H92</f>
        <v/>
      </c>
      <c r="J92" s="90" t="inlineStr">
        <is>
          <t>Junho/2026</t>
        </is>
      </c>
    </row>
    <row r="93" hidden="1" ht="14.25" customHeight="1" s="75">
      <c r="A93" s="105" t="inlineStr">
        <is>
          <t>NRC</t>
        </is>
      </c>
      <c r="B93" s="94">
        <f>INDEX(SETORES!$B:$B,MATCH(A93,SETORES!$A:$A,0))</f>
        <v/>
      </c>
      <c r="C93" s="105" t="inlineStr">
        <is>
          <t>Empresa Licenciada VOICENET</t>
        </is>
      </c>
      <c r="D93" s="83">
        <f>IF(B93="Clientes",SUMIFS(PARÂMETROS!$D$8:$D$33,PARÂMETROS!$A$8:$A$33,C93,PARÂMETROS!$G$8:$G$33,J93),SUMIFS(PARÂMETROS!$E$8:$E$33,PARÂMETROS!$A$8:$A$33,C93,PARÂMETROS!$G$8:$G$33,J93))</f>
        <v/>
      </c>
      <c r="E93" s="107">
        <f>SUMIFS(SETORES!$D:$D,SETORES!$A:$A,A93,SETORES!$F:$F,J93)</f>
        <v/>
      </c>
      <c r="F93" s="107">
        <f>IFERROR(D93*E93,0)</f>
        <v/>
      </c>
      <c r="G93" s="83">
        <f>SUMIFS(PARÂMETROS!$F$8:$F$33,PARÂMETROS!$A$8:$A$33,C93,PARÂMETROS!$G$8:$G$33,J93)</f>
        <v/>
      </c>
      <c r="H93" s="107">
        <f>IFERROR(F93*G93,0)</f>
        <v/>
      </c>
      <c r="I93" s="107">
        <f>F93+H93</f>
        <v/>
      </c>
      <c r="J93" s="105" t="inlineStr">
        <is>
          <t>Junho/2026</t>
        </is>
      </c>
    </row>
    <row r="94" hidden="1" ht="14.25" customHeight="1" s="75">
      <c r="A94" s="90" t="inlineStr">
        <is>
          <t>NRC</t>
        </is>
      </c>
      <c r="B94" s="90">
        <f>INDEX(SETORES!$B:$B,MATCH(A94,SETORES!$A:$A,0))</f>
        <v/>
      </c>
      <c r="C94" s="90" t="inlineStr">
        <is>
          <t>DTEL (uso próprio)</t>
        </is>
      </c>
      <c r="D94" s="88">
        <f>IF(B94="Clientes",SUMIFS(PARÂMETROS!$D$8:$D$33,PARÂMETROS!$A$8:$A$33,C94,PARÂMETROS!$G$8:$G$33,J94),SUMIFS(PARÂMETROS!$E$8:$E$33,PARÂMETROS!$A$8:$A$33,C94,PARÂMETROS!$G$8:$G$33,J94))</f>
        <v/>
      </c>
      <c r="E94" s="96">
        <f>SUMIFS(SETORES!$D:$D,SETORES!$A:$A,A94,SETORES!$F:$F,J94)</f>
        <v/>
      </c>
      <c r="F94" s="96">
        <f>IFERROR(D94*E94,0)</f>
        <v/>
      </c>
      <c r="G94" s="88">
        <f>SUMIFS(PARÂMETROS!$F$8:$F$33,PARÂMETROS!$A$8:$A$33,C94,PARÂMETROS!$G$8:$G$33,J94)</f>
        <v/>
      </c>
      <c r="H94" s="96">
        <f>IFERROR(F94*G94,0)</f>
        <v/>
      </c>
      <c r="I94" s="96">
        <f>F94+H94</f>
        <v/>
      </c>
      <c r="J94" s="90" t="inlineStr">
        <is>
          <t>Junho/2026</t>
        </is>
      </c>
    </row>
    <row r="95" hidden="1" ht="14.25" customHeight="1" s="75">
      <c r="A95" s="105" t="inlineStr">
        <is>
          <t>Cobrança</t>
        </is>
      </c>
      <c r="B95" s="94">
        <f>INDEX(SETORES!$B:$B,MATCH(A95,SETORES!$A:$A,0))</f>
        <v/>
      </c>
      <c r="C95" s="105" t="inlineStr">
        <is>
          <t>Empresa Licenciada DX2</t>
        </is>
      </c>
      <c r="D95" s="83">
        <f>IF(B95="Clientes",SUMIFS(PARÂMETROS!$D$8:$D$33,PARÂMETROS!$A$8:$A$33,C95,PARÂMETROS!$G$8:$G$33,J95),SUMIFS(PARÂMETROS!$E$8:$E$33,PARÂMETROS!$A$8:$A$33,C95,PARÂMETROS!$G$8:$G$33,J95))</f>
        <v/>
      </c>
      <c r="E95" s="107">
        <f>SUMIFS(SETORES!$D:$D,SETORES!$A:$A,A95,SETORES!$F:$F,J95)</f>
        <v/>
      </c>
      <c r="F95" s="107">
        <f>IFERROR(D95*E95,0)</f>
        <v/>
      </c>
      <c r="G95" s="83">
        <f>SUMIFS(PARÂMETROS!$F$8:$F$33,PARÂMETROS!$A$8:$A$33,C95,PARÂMETROS!$G$8:$G$33,J95)</f>
        <v/>
      </c>
      <c r="H95" s="107">
        <f>IFERROR(F95*G95,0)</f>
        <v/>
      </c>
      <c r="I95" s="107">
        <f>F95+H95</f>
        <v/>
      </c>
      <c r="J95" s="105" t="inlineStr">
        <is>
          <t>Junho/2026</t>
        </is>
      </c>
    </row>
    <row r="96" hidden="1" ht="14.25" customHeight="1" s="75">
      <c r="A96" s="90" t="inlineStr">
        <is>
          <t>Cobrança</t>
        </is>
      </c>
      <c r="B96" s="90">
        <f>INDEX(SETORES!$B:$B,MATCH(A96,SETORES!$A:$A,0))</f>
        <v/>
      </c>
      <c r="C96" s="90" t="inlineStr">
        <is>
          <t>Empresa Licenciada H&amp;A</t>
        </is>
      </c>
      <c r="D96" s="88">
        <f>IF(B96="Clientes",SUMIFS(PARÂMETROS!$D$8:$D$33,PARÂMETROS!$A$8:$A$33,C96,PARÂMETROS!$G$8:$G$33,J96),SUMIFS(PARÂMETROS!$E$8:$E$33,PARÂMETROS!$A$8:$A$33,C96,PARÂMETROS!$G$8:$G$33,J96))</f>
        <v/>
      </c>
      <c r="E96" s="96">
        <f>SUMIFS(SETORES!$D:$D,SETORES!$A:$A,A96,SETORES!$F:$F,J96)</f>
        <v/>
      </c>
      <c r="F96" s="96">
        <f>IFERROR(D96*E96,0)</f>
        <v/>
      </c>
      <c r="G96" s="88">
        <f>SUMIFS(PARÂMETROS!$F$8:$F$33,PARÂMETROS!$A$8:$A$33,C96,PARÂMETROS!$G$8:$G$33,J96)</f>
        <v/>
      </c>
      <c r="H96" s="96">
        <f>IFERROR(F96*G96,0)</f>
        <v/>
      </c>
      <c r="I96" s="96">
        <f>F96+H96</f>
        <v/>
      </c>
      <c r="J96" s="90" t="inlineStr">
        <is>
          <t>Junho/2026</t>
        </is>
      </c>
    </row>
    <row r="97" hidden="1" ht="14.25" customHeight="1" s="75">
      <c r="A97" s="105" t="inlineStr">
        <is>
          <t>Cobrança</t>
        </is>
      </c>
      <c r="B97" s="94">
        <f>INDEX(SETORES!$B:$B,MATCH(A97,SETORES!$A:$A,0))</f>
        <v/>
      </c>
      <c r="C97" s="105" t="inlineStr">
        <is>
          <t>Empresa Licenciada SOLON ARAUJO</t>
        </is>
      </c>
      <c r="D97" s="83">
        <f>IF(B97="Clientes",SUMIFS(PARÂMETROS!$D$8:$D$33,PARÂMETROS!$A$8:$A$33,C97,PARÂMETROS!$G$8:$G$33,J97),SUMIFS(PARÂMETROS!$E$8:$E$33,PARÂMETROS!$A$8:$A$33,C97,PARÂMETROS!$G$8:$G$33,J97))</f>
        <v/>
      </c>
      <c r="E97" s="107">
        <f>SUMIFS(SETORES!$D:$D,SETORES!$A:$A,A97,SETORES!$F:$F,J97)</f>
        <v/>
      </c>
      <c r="F97" s="107">
        <f>IFERROR(D97*E97,0)</f>
        <v/>
      </c>
      <c r="G97" s="83">
        <f>SUMIFS(PARÂMETROS!$F$8:$F$33,PARÂMETROS!$A$8:$A$33,C97,PARÂMETROS!$G$8:$G$33,J97)</f>
        <v/>
      </c>
      <c r="H97" s="107">
        <f>IFERROR(F97*G97,0)</f>
        <v/>
      </c>
      <c r="I97" s="107">
        <f>F97+H97</f>
        <v/>
      </c>
      <c r="J97" s="105" t="inlineStr">
        <is>
          <t>Junho/2026</t>
        </is>
      </c>
    </row>
    <row r="98" ht="14.25" customHeight="1" s="75">
      <c r="A98" s="90" t="inlineStr">
        <is>
          <t>Cobrança</t>
        </is>
      </c>
      <c r="B98" s="90">
        <f>INDEX(SETORES!$B:$B,MATCH(A98,SETORES!$A:$A,0))</f>
        <v/>
      </c>
      <c r="C98" s="90" t="inlineStr">
        <is>
          <t>Empresa Licenciada SOARES E LINS</t>
        </is>
      </c>
      <c r="D98" s="88">
        <f>IF(B98="Clientes",SUMIFS(PARÂMETROS!$D$8:$D$33,PARÂMETROS!$A$8:$A$33,C98,PARÂMETROS!$G$8:$G$33,J98),SUMIFS(PARÂMETROS!$E$8:$E$33,PARÂMETROS!$A$8:$A$33,C98,PARÂMETROS!$G$8:$G$33,J98))</f>
        <v/>
      </c>
      <c r="E98" s="96">
        <f>SUMIFS(SETORES!$D:$D,SETORES!$A:$A,A98,SETORES!$F:$F,J98)</f>
        <v/>
      </c>
      <c r="F98" s="96">
        <f>IFERROR(D98*E98,0)</f>
        <v/>
      </c>
      <c r="G98" s="88">
        <f>SUMIFS(PARÂMETROS!$F$8:$F$33,PARÂMETROS!$A$8:$A$33,C98,PARÂMETROS!$G$8:$G$33,J98)</f>
        <v/>
      </c>
      <c r="H98" s="96">
        <f>IFERROR(F98*G98,0)</f>
        <v/>
      </c>
      <c r="I98" s="96">
        <f>F98+H98</f>
        <v/>
      </c>
      <c r="J98" s="90" t="inlineStr">
        <is>
          <t>Junho/2026</t>
        </is>
      </c>
    </row>
    <row r="99" hidden="1" ht="14.25" customHeight="1" s="75">
      <c r="A99" s="105" t="inlineStr">
        <is>
          <t>Cobrança</t>
        </is>
      </c>
      <c r="B99" s="94">
        <f>INDEX(SETORES!$B:$B,MATCH(A99,SETORES!$A:$A,0))</f>
        <v/>
      </c>
      <c r="C99" s="105" t="inlineStr">
        <is>
          <t>Empresa Licenciada SOARES E SILVA</t>
        </is>
      </c>
      <c r="D99" s="83">
        <f>IF(B99="Clientes",SUMIFS(PARÂMETROS!$D$8:$D$33,PARÂMETROS!$A$8:$A$33,C99,PARÂMETROS!$G$8:$G$33,J99),SUMIFS(PARÂMETROS!$E$8:$E$33,PARÂMETROS!$A$8:$A$33,C99,PARÂMETROS!$G$8:$G$33,J99))</f>
        <v/>
      </c>
      <c r="E99" s="107">
        <f>SUMIFS(SETORES!$D:$D,SETORES!$A:$A,A99,SETORES!$F:$F,J99)</f>
        <v/>
      </c>
      <c r="F99" s="107">
        <f>IFERROR(D99*E99,0)</f>
        <v/>
      </c>
      <c r="G99" s="83">
        <f>SUMIFS(PARÂMETROS!$F$8:$F$33,PARÂMETROS!$A$8:$A$33,C99,PARÂMETROS!$G$8:$G$33,J99)</f>
        <v/>
      </c>
      <c r="H99" s="107">
        <f>IFERROR(F99*G99,0)</f>
        <v/>
      </c>
      <c r="I99" s="107">
        <f>F99+H99</f>
        <v/>
      </c>
      <c r="J99" s="105" t="inlineStr">
        <is>
          <t>Junho/2026</t>
        </is>
      </c>
    </row>
    <row r="100" hidden="1" ht="14.25" customHeight="1" s="75">
      <c r="A100" s="90" t="inlineStr">
        <is>
          <t>Cobrança</t>
        </is>
      </c>
      <c r="B100" s="90">
        <f>INDEX(SETORES!$B:$B,MATCH(A100,SETORES!$A:$A,0))</f>
        <v/>
      </c>
      <c r="C100" s="90" t="inlineStr">
        <is>
          <t>Empresa Licenciada SOUZA E SILVA</t>
        </is>
      </c>
      <c r="D100" s="88">
        <f>IF(B100="Clientes",SUMIFS(PARÂMETROS!$D$8:$D$33,PARÂMETROS!$A$8:$A$33,C100,PARÂMETROS!$G$8:$G$33,J100),SUMIFS(PARÂMETROS!$E$8:$E$33,PARÂMETROS!$A$8:$A$33,C100,PARÂMETROS!$G$8:$G$33,J100))</f>
        <v/>
      </c>
      <c r="E100" s="96">
        <f>SUMIFS(SETORES!$D:$D,SETORES!$A:$A,A100,SETORES!$F:$F,J100)</f>
        <v/>
      </c>
      <c r="F100" s="96">
        <f>IFERROR(D100*E100,0)</f>
        <v/>
      </c>
      <c r="G100" s="88">
        <f>SUMIFS(PARÂMETROS!$F$8:$F$33,PARÂMETROS!$A$8:$A$33,C100,PARÂMETROS!$G$8:$G$33,J100)</f>
        <v/>
      </c>
      <c r="H100" s="96">
        <f>IFERROR(F100*G100,0)</f>
        <v/>
      </c>
      <c r="I100" s="96">
        <f>F100+H100</f>
        <v/>
      </c>
      <c r="J100" s="90" t="inlineStr">
        <is>
          <t>Junho/2026</t>
        </is>
      </c>
    </row>
    <row r="101" hidden="1" ht="14.25" customHeight="1" s="75">
      <c r="A101" s="105" t="inlineStr">
        <is>
          <t>Cobrança</t>
        </is>
      </c>
      <c r="B101" s="94">
        <f>INDEX(SETORES!$B:$B,MATCH(A101,SETORES!$A:$A,0))</f>
        <v/>
      </c>
      <c r="C101" s="105" t="inlineStr">
        <is>
          <t>Empresa Licenciada VOICENET</t>
        </is>
      </c>
      <c r="D101" s="83">
        <f>IF(B101="Clientes",SUMIFS(PARÂMETROS!$D$8:$D$33,PARÂMETROS!$A$8:$A$33,C101,PARÂMETROS!$G$8:$G$33,J101),SUMIFS(PARÂMETROS!$E$8:$E$33,PARÂMETROS!$A$8:$A$33,C101,PARÂMETROS!$G$8:$G$33,J101))</f>
        <v/>
      </c>
      <c r="E101" s="107">
        <f>SUMIFS(SETORES!$D:$D,SETORES!$A:$A,A101,SETORES!$F:$F,J101)</f>
        <v/>
      </c>
      <c r="F101" s="107">
        <f>IFERROR(D101*E101,0)</f>
        <v/>
      </c>
      <c r="G101" s="83">
        <f>SUMIFS(PARÂMETROS!$F$8:$F$33,PARÂMETROS!$A$8:$A$33,C101,PARÂMETROS!$G$8:$G$33,J101)</f>
        <v/>
      </c>
      <c r="H101" s="107">
        <f>IFERROR(F101*G101,0)</f>
        <v/>
      </c>
      <c r="I101" s="107">
        <f>F101+H101</f>
        <v/>
      </c>
      <c r="J101" s="105" t="inlineStr">
        <is>
          <t>Junho/2026</t>
        </is>
      </c>
    </row>
    <row r="102" hidden="1" ht="14.25" customHeight="1" s="75">
      <c r="A102" s="90" t="inlineStr">
        <is>
          <t>Cobrança</t>
        </is>
      </c>
      <c r="B102" s="90">
        <f>INDEX(SETORES!$B:$B,MATCH(A102,SETORES!$A:$A,0))</f>
        <v/>
      </c>
      <c r="C102" s="90" t="inlineStr">
        <is>
          <t>DTEL (uso próprio)</t>
        </is>
      </c>
      <c r="D102" s="88">
        <f>IF(B102="Clientes",SUMIFS(PARÂMETROS!$D$8:$D$33,PARÂMETROS!$A$8:$A$33,C102,PARÂMETROS!$G$8:$G$33,J102),SUMIFS(PARÂMETROS!$E$8:$E$33,PARÂMETROS!$A$8:$A$33,C102,PARÂMETROS!$G$8:$G$33,J102))</f>
        <v/>
      </c>
      <c r="E102" s="96">
        <f>SUMIFS(SETORES!$D:$D,SETORES!$A:$A,A102,SETORES!$F:$F,J102)</f>
        <v/>
      </c>
      <c r="F102" s="96">
        <f>IFERROR(D102*E102,0)</f>
        <v/>
      </c>
      <c r="G102" s="88">
        <f>SUMIFS(PARÂMETROS!$F$8:$F$33,PARÂMETROS!$A$8:$A$33,C102,PARÂMETROS!$G$8:$G$33,J102)</f>
        <v/>
      </c>
      <c r="H102" s="96">
        <f>IFERROR(F102*G102,0)</f>
        <v/>
      </c>
      <c r="I102" s="96">
        <f>F102+H102</f>
        <v/>
      </c>
      <c r="J102" s="90" t="inlineStr">
        <is>
          <t>Junho/2026</t>
        </is>
      </c>
    </row>
    <row r="103" hidden="1" ht="14.25" customHeight="1" s="75">
      <c r="A103" s="105" t="inlineStr">
        <is>
          <t>Retenção</t>
        </is>
      </c>
      <c r="B103" s="94">
        <f>INDEX(SETORES!$B:$B,MATCH(A103,SETORES!$A:$A,0))</f>
        <v/>
      </c>
      <c r="C103" s="105" t="inlineStr">
        <is>
          <t>Empresa Licenciada DX2</t>
        </is>
      </c>
      <c r="D103" s="83">
        <f>IF(B103="Clientes",SUMIFS(PARÂMETROS!$D$8:$D$33,PARÂMETROS!$A$8:$A$33,C103,PARÂMETROS!$G$8:$G$33,J103),SUMIFS(PARÂMETROS!$E$8:$E$33,PARÂMETROS!$A$8:$A$33,C103,PARÂMETROS!$G$8:$G$33,J103))</f>
        <v/>
      </c>
      <c r="E103" s="107">
        <f>SUMIFS(SETORES!$D:$D,SETORES!$A:$A,A103,SETORES!$F:$F,J103)</f>
        <v/>
      </c>
      <c r="F103" s="107">
        <f>IFERROR(D103*E103,0)</f>
        <v/>
      </c>
      <c r="G103" s="83">
        <f>SUMIFS(PARÂMETROS!$F$8:$F$33,PARÂMETROS!$A$8:$A$33,C103,PARÂMETROS!$G$8:$G$33,J103)</f>
        <v/>
      </c>
      <c r="H103" s="107">
        <f>IFERROR(F103*G103,0)</f>
        <v/>
      </c>
      <c r="I103" s="107">
        <f>F103+H103</f>
        <v/>
      </c>
      <c r="J103" s="105" t="inlineStr">
        <is>
          <t>Junho/2026</t>
        </is>
      </c>
    </row>
    <row r="104" hidden="1" ht="14.25" customHeight="1" s="75">
      <c r="A104" s="90" t="inlineStr">
        <is>
          <t>Retenção</t>
        </is>
      </c>
      <c r="B104" s="90">
        <f>INDEX(SETORES!$B:$B,MATCH(A104,SETORES!$A:$A,0))</f>
        <v/>
      </c>
      <c r="C104" s="90" t="inlineStr">
        <is>
          <t>Empresa Licenciada H&amp;A</t>
        </is>
      </c>
      <c r="D104" s="88">
        <f>IF(B104="Clientes",SUMIFS(PARÂMETROS!$D$8:$D$33,PARÂMETROS!$A$8:$A$33,C104,PARÂMETROS!$G$8:$G$33,J104),SUMIFS(PARÂMETROS!$E$8:$E$33,PARÂMETROS!$A$8:$A$33,C104,PARÂMETROS!$G$8:$G$33,J104))</f>
        <v/>
      </c>
      <c r="E104" s="96">
        <f>SUMIFS(SETORES!$D:$D,SETORES!$A:$A,A104,SETORES!$F:$F,J104)</f>
        <v/>
      </c>
      <c r="F104" s="96">
        <f>IFERROR(D104*E104,0)</f>
        <v/>
      </c>
      <c r="G104" s="88">
        <f>SUMIFS(PARÂMETROS!$F$8:$F$33,PARÂMETROS!$A$8:$A$33,C104,PARÂMETROS!$G$8:$G$33,J104)</f>
        <v/>
      </c>
      <c r="H104" s="96">
        <f>IFERROR(F104*G104,0)</f>
        <v/>
      </c>
      <c r="I104" s="96">
        <f>F104+H104</f>
        <v/>
      </c>
      <c r="J104" s="90" t="inlineStr">
        <is>
          <t>Junho/2026</t>
        </is>
      </c>
    </row>
    <row r="105" hidden="1" ht="14.25" customHeight="1" s="75">
      <c r="A105" s="105" t="inlineStr">
        <is>
          <t>Retenção</t>
        </is>
      </c>
      <c r="B105" s="94">
        <f>INDEX(SETORES!$B:$B,MATCH(A105,SETORES!$A:$A,0))</f>
        <v/>
      </c>
      <c r="C105" s="105" t="inlineStr">
        <is>
          <t>Empresa Licenciada SOLON ARAUJO</t>
        </is>
      </c>
      <c r="D105" s="83">
        <f>IF(B105="Clientes",SUMIFS(PARÂMETROS!$D$8:$D$33,PARÂMETROS!$A$8:$A$33,C105,PARÂMETROS!$G$8:$G$33,J105),SUMIFS(PARÂMETROS!$E$8:$E$33,PARÂMETROS!$A$8:$A$33,C105,PARÂMETROS!$G$8:$G$33,J105))</f>
        <v/>
      </c>
      <c r="E105" s="107">
        <f>SUMIFS(SETORES!$D:$D,SETORES!$A:$A,A105,SETORES!$F:$F,J105)</f>
        <v/>
      </c>
      <c r="F105" s="107">
        <f>IFERROR(D105*E105,0)</f>
        <v/>
      </c>
      <c r="G105" s="83">
        <f>SUMIFS(PARÂMETROS!$F$8:$F$33,PARÂMETROS!$A$8:$A$33,C105,PARÂMETROS!$G$8:$G$33,J105)</f>
        <v/>
      </c>
      <c r="H105" s="107">
        <f>IFERROR(F105*G105,0)</f>
        <v/>
      </c>
      <c r="I105" s="107">
        <f>F105+H105</f>
        <v/>
      </c>
      <c r="J105" s="105" t="inlineStr">
        <is>
          <t>Junho/2026</t>
        </is>
      </c>
    </row>
    <row r="106" ht="14.25" customHeight="1" s="75">
      <c r="A106" s="90" t="inlineStr">
        <is>
          <t>Retenção</t>
        </is>
      </c>
      <c r="B106" s="90">
        <f>INDEX(SETORES!$B:$B,MATCH(A106,SETORES!$A:$A,0))</f>
        <v/>
      </c>
      <c r="C106" s="90" t="inlineStr">
        <is>
          <t>Empresa Licenciada SOARES E LINS</t>
        </is>
      </c>
      <c r="D106" s="88">
        <f>IF(B106="Clientes",SUMIFS(PARÂMETROS!$D$8:$D$33,PARÂMETROS!$A$8:$A$33,C106,PARÂMETROS!$G$8:$G$33,J106),SUMIFS(PARÂMETROS!$E$8:$E$33,PARÂMETROS!$A$8:$A$33,C106,PARÂMETROS!$G$8:$G$33,J106))</f>
        <v/>
      </c>
      <c r="E106" s="96">
        <f>SUMIFS(SETORES!$D:$D,SETORES!$A:$A,A106,SETORES!$F:$F,J106)</f>
        <v/>
      </c>
      <c r="F106" s="96">
        <f>IFERROR(D106*E106,0)</f>
        <v/>
      </c>
      <c r="G106" s="88">
        <f>SUMIFS(PARÂMETROS!$F$8:$F$33,PARÂMETROS!$A$8:$A$33,C106,PARÂMETROS!$G$8:$G$33,J106)</f>
        <v/>
      </c>
      <c r="H106" s="96">
        <f>IFERROR(F106*G106,0)</f>
        <v/>
      </c>
      <c r="I106" s="96">
        <f>F106+H106</f>
        <v/>
      </c>
      <c r="J106" s="90" t="inlineStr">
        <is>
          <t>Junho/2026</t>
        </is>
      </c>
    </row>
    <row r="107" hidden="1" ht="14.25" customHeight="1" s="75">
      <c r="A107" s="105" t="inlineStr">
        <is>
          <t>Retenção</t>
        </is>
      </c>
      <c r="B107" s="94">
        <f>INDEX(SETORES!$B:$B,MATCH(A107,SETORES!$A:$A,0))</f>
        <v/>
      </c>
      <c r="C107" s="105" t="inlineStr">
        <is>
          <t>Empresa Licenciada SOARES E SILVA</t>
        </is>
      </c>
      <c r="D107" s="83">
        <f>IF(B107="Clientes",SUMIFS(PARÂMETROS!$D$8:$D$33,PARÂMETROS!$A$8:$A$33,C107,PARÂMETROS!$G$8:$G$33,J107),SUMIFS(PARÂMETROS!$E$8:$E$33,PARÂMETROS!$A$8:$A$33,C107,PARÂMETROS!$G$8:$G$33,J107))</f>
        <v/>
      </c>
      <c r="E107" s="107">
        <f>SUMIFS(SETORES!$D:$D,SETORES!$A:$A,A107,SETORES!$F:$F,J107)</f>
        <v/>
      </c>
      <c r="F107" s="107">
        <f>IFERROR(D107*E107,0)</f>
        <v/>
      </c>
      <c r="G107" s="83">
        <f>SUMIFS(PARÂMETROS!$F$8:$F$33,PARÂMETROS!$A$8:$A$33,C107,PARÂMETROS!$G$8:$G$33,J107)</f>
        <v/>
      </c>
      <c r="H107" s="107">
        <f>IFERROR(F107*G107,0)</f>
        <v/>
      </c>
      <c r="I107" s="107">
        <f>F107+H107</f>
        <v/>
      </c>
      <c r="J107" s="105" t="inlineStr">
        <is>
          <t>Junho/2026</t>
        </is>
      </c>
    </row>
    <row r="108" hidden="1" ht="14.25" customHeight="1" s="75">
      <c r="A108" s="90" t="inlineStr">
        <is>
          <t>Retenção</t>
        </is>
      </c>
      <c r="B108" s="90">
        <f>INDEX(SETORES!$B:$B,MATCH(A108,SETORES!$A:$A,0))</f>
        <v/>
      </c>
      <c r="C108" s="90" t="inlineStr">
        <is>
          <t>Empresa Licenciada SOUZA E SILVA</t>
        </is>
      </c>
      <c r="D108" s="88">
        <f>IF(B108="Clientes",SUMIFS(PARÂMETROS!$D$8:$D$33,PARÂMETROS!$A$8:$A$33,C108,PARÂMETROS!$G$8:$G$33,J108),SUMIFS(PARÂMETROS!$E$8:$E$33,PARÂMETROS!$A$8:$A$33,C108,PARÂMETROS!$G$8:$G$33,J108))</f>
        <v/>
      </c>
      <c r="E108" s="96">
        <f>SUMIFS(SETORES!$D:$D,SETORES!$A:$A,A108,SETORES!$F:$F,J108)</f>
        <v/>
      </c>
      <c r="F108" s="96">
        <f>IFERROR(D108*E108,0)</f>
        <v/>
      </c>
      <c r="G108" s="88">
        <f>SUMIFS(PARÂMETROS!$F$8:$F$33,PARÂMETROS!$A$8:$A$33,C108,PARÂMETROS!$G$8:$G$33,J108)</f>
        <v/>
      </c>
      <c r="H108" s="96">
        <f>IFERROR(F108*G108,0)</f>
        <v/>
      </c>
      <c r="I108" s="96">
        <f>F108+H108</f>
        <v/>
      </c>
      <c r="J108" s="90" t="inlineStr">
        <is>
          <t>Junho/2026</t>
        </is>
      </c>
    </row>
    <row r="109" hidden="1" ht="14.25" customHeight="1" s="75">
      <c r="A109" s="105" t="inlineStr">
        <is>
          <t>Retenção</t>
        </is>
      </c>
      <c r="B109" s="94">
        <f>INDEX(SETORES!$B:$B,MATCH(A109,SETORES!$A:$A,0))</f>
        <v/>
      </c>
      <c r="C109" s="105" t="inlineStr">
        <is>
          <t>Empresa Licenciada VOICENET</t>
        </is>
      </c>
      <c r="D109" s="83">
        <f>IF(B109="Clientes",SUMIFS(PARÂMETROS!$D$8:$D$33,PARÂMETROS!$A$8:$A$33,C109,PARÂMETROS!$G$8:$G$33,J109),SUMIFS(PARÂMETROS!$E$8:$E$33,PARÂMETROS!$A$8:$A$33,C109,PARÂMETROS!$G$8:$G$33,J109))</f>
        <v/>
      </c>
      <c r="E109" s="107">
        <f>SUMIFS(SETORES!$D:$D,SETORES!$A:$A,A109,SETORES!$F:$F,J109)</f>
        <v/>
      </c>
      <c r="F109" s="107">
        <f>IFERROR(D109*E109,0)</f>
        <v/>
      </c>
      <c r="G109" s="83">
        <f>SUMIFS(PARÂMETROS!$F$8:$F$33,PARÂMETROS!$A$8:$A$33,C109,PARÂMETROS!$G$8:$G$33,J109)</f>
        <v/>
      </c>
      <c r="H109" s="107">
        <f>IFERROR(F109*G109,0)</f>
        <v/>
      </c>
      <c r="I109" s="107">
        <f>F109+H109</f>
        <v/>
      </c>
      <c r="J109" s="105" t="inlineStr">
        <is>
          <t>Junho/2026</t>
        </is>
      </c>
    </row>
    <row r="110" hidden="1" ht="14.25" customHeight="1" s="75">
      <c r="A110" s="90" t="inlineStr">
        <is>
          <t>Retenção</t>
        </is>
      </c>
      <c r="B110" s="90">
        <f>INDEX(SETORES!$B:$B,MATCH(A110,SETORES!$A:$A,0))</f>
        <v/>
      </c>
      <c r="C110" s="90" t="inlineStr">
        <is>
          <t>DTEL (uso próprio)</t>
        </is>
      </c>
      <c r="D110" s="88">
        <f>IF(B110="Clientes",SUMIFS(PARÂMETROS!$D$8:$D$33,PARÂMETROS!$A$8:$A$33,C110,PARÂMETROS!$G$8:$G$33,J110),SUMIFS(PARÂMETROS!$E$8:$E$33,PARÂMETROS!$A$8:$A$33,C110,PARÂMETROS!$G$8:$G$33,J110))</f>
        <v/>
      </c>
      <c r="E110" s="96">
        <f>SUMIFS(SETORES!$D:$D,SETORES!$A:$A,A110,SETORES!$F:$F,J110)</f>
        <v/>
      </c>
      <c r="F110" s="96">
        <f>IFERROR(D110*E110,0)</f>
        <v/>
      </c>
      <c r="G110" s="88">
        <f>SUMIFS(PARÂMETROS!$F$8:$F$33,PARÂMETROS!$A$8:$A$33,C110,PARÂMETROS!$G$8:$G$33,J110)</f>
        <v/>
      </c>
      <c r="H110" s="96">
        <f>IFERROR(F110*G110,0)</f>
        <v/>
      </c>
      <c r="I110" s="96">
        <f>F110+H110</f>
        <v/>
      </c>
      <c r="J110" s="90" t="inlineStr">
        <is>
          <t>Junho/2026</t>
        </is>
      </c>
    </row>
    <row r="111" hidden="1" ht="14.25" customHeight="1" s="75">
      <c r="A111" s="105" t="inlineStr">
        <is>
          <t>Contabilidade</t>
        </is>
      </c>
      <c r="B111" s="94">
        <f>INDEX(SETORES!$B:$B,MATCH(A111,SETORES!$A:$A,0))</f>
        <v/>
      </c>
      <c r="C111" s="105" t="inlineStr">
        <is>
          <t>Empresa Licenciada DX2</t>
        </is>
      </c>
      <c r="D111" s="83">
        <f>IF(B111="Clientes",SUMIFS(PARÂMETROS!$D$8:$D$33,PARÂMETROS!$A$8:$A$33,C111,PARÂMETROS!$G$8:$G$33,J111),SUMIFS(PARÂMETROS!$E$8:$E$33,PARÂMETROS!$A$8:$A$33,C111,PARÂMETROS!$G$8:$G$33,J111))</f>
        <v/>
      </c>
      <c r="E111" s="107">
        <f>SUMIFS(SETORES!$D:$D,SETORES!$A:$A,A111,SETORES!$F:$F,J111)</f>
        <v/>
      </c>
      <c r="F111" s="107">
        <f>IFERROR(D111*E111,0)</f>
        <v/>
      </c>
      <c r="G111" s="83">
        <f>SUMIFS(PARÂMETROS!$F$8:$F$33,PARÂMETROS!$A$8:$A$33,C111,PARÂMETROS!$G$8:$G$33,J111)</f>
        <v/>
      </c>
      <c r="H111" s="107">
        <f>IFERROR(F111*G111,0)</f>
        <v/>
      </c>
      <c r="I111" s="107">
        <f>F111+H111</f>
        <v/>
      </c>
      <c r="J111" s="105" t="inlineStr">
        <is>
          <t>Junho/2026</t>
        </is>
      </c>
    </row>
    <row r="112" hidden="1" ht="14.25" customHeight="1" s="75">
      <c r="A112" s="90" t="inlineStr">
        <is>
          <t>Contabilidade</t>
        </is>
      </c>
      <c r="B112" s="90">
        <f>INDEX(SETORES!$B:$B,MATCH(A112,SETORES!$A:$A,0))</f>
        <v/>
      </c>
      <c r="C112" s="90" t="inlineStr">
        <is>
          <t>Empresa Licenciada H&amp;A</t>
        </is>
      </c>
      <c r="D112" s="88">
        <f>IF(B112="Clientes",SUMIFS(PARÂMETROS!$D$8:$D$33,PARÂMETROS!$A$8:$A$33,C112,PARÂMETROS!$G$8:$G$33,J112),SUMIFS(PARÂMETROS!$E$8:$E$33,PARÂMETROS!$A$8:$A$33,C112,PARÂMETROS!$G$8:$G$33,J112))</f>
        <v/>
      </c>
      <c r="E112" s="96">
        <f>SUMIFS(SETORES!$D:$D,SETORES!$A:$A,A112,SETORES!$F:$F,J112)</f>
        <v/>
      </c>
      <c r="F112" s="96">
        <f>IFERROR(D112*E112,0)</f>
        <v/>
      </c>
      <c r="G112" s="88">
        <f>SUMIFS(PARÂMETROS!$F$8:$F$33,PARÂMETROS!$A$8:$A$33,C112,PARÂMETROS!$G$8:$G$33,J112)</f>
        <v/>
      </c>
      <c r="H112" s="96">
        <f>IFERROR(F112*G112,0)</f>
        <v/>
      </c>
      <c r="I112" s="96">
        <f>F112+H112</f>
        <v/>
      </c>
      <c r="J112" s="90" t="inlineStr">
        <is>
          <t>Junho/2026</t>
        </is>
      </c>
    </row>
    <row r="113" hidden="1" ht="14.25" customHeight="1" s="75">
      <c r="A113" s="105" t="inlineStr">
        <is>
          <t>Contabilidade</t>
        </is>
      </c>
      <c r="B113" s="94">
        <f>INDEX(SETORES!$B:$B,MATCH(A113,SETORES!$A:$A,0))</f>
        <v/>
      </c>
      <c r="C113" s="105" t="inlineStr">
        <is>
          <t>Empresa Licenciada SOLON ARAUJO</t>
        </is>
      </c>
      <c r="D113" s="83">
        <f>IF(B113="Clientes",SUMIFS(PARÂMETROS!$D$8:$D$33,PARÂMETROS!$A$8:$A$33,C113,PARÂMETROS!$G$8:$G$33,J113),SUMIFS(PARÂMETROS!$E$8:$E$33,PARÂMETROS!$A$8:$A$33,C113,PARÂMETROS!$G$8:$G$33,J113))</f>
        <v/>
      </c>
      <c r="E113" s="107">
        <f>SUMIFS(SETORES!$D:$D,SETORES!$A:$A,A113,SETORES!$F:$F,J113)</f>
        <v/>
      </c>
      <c r="F113" s="107">
        <f>IFERROR(D113*E113,0)</f>
        <v/>
      </c>
      <c r="G113" s="83">
        <f>SUMIFS(PARÂMETROS!$F$8:$F$33,PARÂMETROS!$A$8:$A$33,C113,PARÂMETROS!$G$8:$G$33,J113)</f>
        <v/>
      </c>
      <c r="H113" s="107">
        <f>IFERROR(F113*G113,0)</f>
        <v/>
      </c>
      <c r="I113" s="107">
        <f>F113+H113</f>
        <v/>
      </c>
      <c r="J113" s="105" t="inlineStr">
        <is>
          <t>Junho/2026</t>
        </is>
      </c>
    </row>
    <row r="114" ht="14.25" customHeight="1" s="75">
      <c r="A114" s="90" t="inlineStr">
        <is>
          <t>Contabilidade</t>
        </is>
      </c>
      <c r="B114" s="90">
        <f>INDEX(SETORES!$B:$B,MATCH(A114,SETORES!$A:$A,0))</f>
        <v/>
      </c>
      <c r="C114" s="90" t="inlineStr">
        <is>
          <t>Empresa Licenciada SOARES E LINS</t>
        </is>
      </c>
      <c r="D114" s="88">
        <f>IF(B114="Clientes",SUMIFS(PARÂMETROS!$D$8:$D$33,PARÂMETROS!$A$8:$A$33,C114,PARÂMETROS!$G$8:$G$33,J114),SUMIFS(PARÂMETROS!$E$8:$E$33,PARÂMETROS!$A$8:$A$33,C114,PARÂMETROS!$G$8:$G$33,J114))</f>
        <v/>
      </c>
      <c r="E114" s="96">
        <f>SUMIFS(SETORES!$D:$D,SETORES!$A:$A,A114,SETORES!$F:$F,J114)</f>
        <v/>
      </c>
      <c r="F114" s="96">
        <f>IFERROR(D114*E114,0)</f>
        <v/>
      </c>
      <c r="G114" s="88">
        <f>SUMIFS(PARÂMETROS!$F$8:$F$33,PARÂMETROS!$A$8:$A$33,C114,PARÂMETROS!$G$8:$G$33,J114)</f>
        <v/>
      </c>
      <c r="H114" s="96">
        <f>IFERROR(F114*G114,0)</f>
        <v/>
      </c>
      <c r="I114" s="96">
        <f>F114+H114</f>
        <v/>
      </c>
      <c r="J114" s="90" t="inlineStr">
        <is>
          <t>Junho/2026</t>
        </is>
      </c>
    </row>
    <row r="115" hidden="1" ht="14.25" customHeight="1" s="75">
      <c r="A115" s="105" t="inlineStr">
        <is>
          <t>Contabilidade</t>
        </is>
      </c>
      <c r="B115" s="94">
        <f>INDEX(SETORES!$B:$B,MATCH(A115,SETORES!$A:$A,0))</f>
        <v/>
      </c>
      <c r="C115" s="105" t="inlineStr">
        <is>
          <t>Empresa Licenciada SOARES E SILVA</t>
        </is>
      </c>
      <c r="D115" s="83">
        <f>IF(B115="Clientes",SUMIFS(PARÂMETROS!$D$8:$D$33,PARÂMETROS!$A$8:$A$33,C115,PARÂMETROS!$G$8:$G$33,J115),SUMIFS(PARÂMETROS!$E$8:$E$33,PARÂMETROS!$A$8:$A$33,C115,PARÂMETROS!$G$8:$G$33,J115))</f>
        <v/>
      </c>
      <c r="E115" s="107">
        <f>SUMIFS(SETORES!$D:$D,SETORES!$A:$A,A115,SETORES!$F:$F,J115)</f>
        <v/>
      </c>
      <c r="F115" s="107">
        <f>IFERROR(D115*E115,0)</f>
        <v/>
      </c>
      <c r="G115" s="83">
        <f>SUMIFS(PARÂMETROS!$F$8:$F$33,PARÂMETROS!$A$8:$A$33,C115,PARÂMETROS!$G$8:$G$33,J115)</f>
        <v/>
      </c>
      <c r="H115" s="107">
        <f>IFERROR(F115*G115,0)</f>
        <v/>
      </c>
      <c r="I115" s="107">
        <f>F115+H115</f>
        <v/>
      </c>
      <c r="J115" s="105" t="inlineStr">
        <is>
          <t>Junho/2026</t>
        </is>
      </c>
    </row>
    <row r="116" hidden="1" ht="14.25" customHeight="1" s="75">
      <c r="A116" s="90" t="inlineStr">
        <is>
          <t>Contabilidade</t>
        </is>
      </c>
      <c r="B116" s="90">
        <f>INDEX(SETORES!$B:$B,MATCH(A116,SETORES!$A:$A,0))</f>
        <v/>
      </c>
      <c r="C116" s="90" t="inlineStr">
        <is>
          <t>Empresa Licenciada SOUZA E SILVA</t>
        </is>
      </c>
      <c r="D116" s="88">
        <f>IF(B116="Clientes",SUMIFS(PARÂMETROS!$D$8:$D$33,PARÂMETROS!$A$8:$A$33,C116,PARÂMETROS!$G$8:$G$33,J116),SUMIFS(PARÂMETROS!$E$8:$E$33,PARÂMETROS!$A$8:$A$33,C116,PARÂMETROS!$G$8:$G$33,J116))</f>
        <v/>
      </c>
      <c r="E116" s="96">
        <f>SUMIFS(SETORES!$D:$D,SETORES!$A:$A,A116,SETORES!$F:$F,J116)</f>
        <v/>
      </c>
      <c r="F116" s="96">
        <f>IFERROR(D116*E116,0)</f>
        <v/>
      </c>
      <c r="G116" s="88">
        <f>SUMIFS(PARÂMETROS!$F$8:$F$33,PARÂMETROS!$A$8:$A$33,C116,PARÂMETROS!$G$8:$G$33,J116)</f>
        <v/>
      </c>
      <c r="H116" s="96">
        <f>IFERROR(F116*G116,0)</f>
        <v/>
      </c>
      <c r="I116" s="96">
        <f>F116+H116</f>
        <v/>
      </c>
      <c r="J116" s="90" t="inlineStr">
        <is>
          <t>Junho/2026</t>
        </is>
      </c>
    </row>
    <row r="117" hidden="1" ht="14.25" customHeight="1" s="75">
      <c r="A117" s="105" t="inlineStr">
        <is>
          <t>Contabilidade</t>
        </is>
      </c>
      <c r="B117" s="94">
        <f>INDEX(SETORES!$B:$B,MATCH(A117,SETORES!$A:$A,0))</f>
        <v/>
      </c>
      <c r="C117" s="105" t="inlineStr">
        <is>
          <t>Empresa Licenciada VOICENET</t>
        </is>
      </c>
      <c r="D117" s="83">
        <f>IF(B117="Clientes",SUMIFS(PARÂMETROS!$D$8:$D$33,PARÂMETROS!$A$8:$A$33,C117,PARÂMETROS!$G$8:$G$33,J117),SUMIFS(PARÂMETROS!$E$8:$E$33,PARÂMETROS!$A$8:$A$33,C117,PARÂMETROS!$G$8:$G$33,J117))</f>
        <v/>
      </c>
      <c r="E117" s="107">
        <f>SUMIFS(SETORES!$D:$D,SETORES!$A:$A,A117,SETORES!$F:$F,J117)</f>
        <v/>
      </c>
      <c r="F117" s="107">
        <f>IFERROR(D117*E117,0)</f>
        <v/>
      </c>
      <c r="G117" s="83">
        <f>SUMIFS(PARÂMETROS!$F$8:$F$33,PARÂMETROS!$A$8:$A$33,C117,PARÂMETROS!$G$8:$G$33,J117)</f>
        <v/>
      </c>
      <c r="H117" s="107">
        <f>IFERROR(F117*G117,0)</f>
        <v/>
      </c>
      <c r="I117" s="107">
        <f>F117+H117</f>
        <v/>
      </c>
      <c r="J117" s="105" t="inlineStr">
        <is>
          <t>Junho/2026</t>
        </is>
      </c>
    </row>
    <row r="118" hidden="1" ht="14.25" customHeight="1" s="75">
      <c r="A118" s="90" t="inlineStr">
        <is>
          <t>Contabilidade</t>
        </is>
      </c>
      <c r="B118" s="90">
        <f>INDEX(SETORES!$B:$B,MATCH(A118,SETORES!$A:$A,0))</f>
        <v/>
      </c>
      <c r="C118" s="90" t="inlineStr">
        <is>
          <t>DTEL (uso próprio)</t>
        </is>
      </c>
      <c r="D118" s="88">
        <f>IF(B118="Clientes",SUMIFS(PARÂMETROS!$D$8:$D$33,PARÂMETROS!$A$8:$A$33,C118,PARÂMETROS!$G$8:$G$33,J118),SUMIFS(PARÂMETROS!$E$8:$E$33,PARÂMETROS!$A$8:$A$33,C118,PARÂMETROS!$G$8:$G$33,J118))</f>
        <v/>
      </c>
      <c r="E118" s="96">
        <f>SUMIFS(SETORES!$D:$D,SETORES!$A:$A,A118,SETORES!$F:$F,J118)</f>
        <v/>
      </c>
      <c r="F118" s="96">
        <f>IFERROR(D118*E118,0)</f>
        <v/>
      </c>
      <c r="G118" s="88">
        <f>SUMIFS(PARÂMETROS!$F$8:$F$33,PARÂMETROS!$A$8:$A$33,C118,PARÂMETROS!$G$8:$G$33,J118)</f>
        <v/>
      </c>
      <c r="H118" s="96">
        <f>IFERROR(F118*G118,0)</f>
        <v/>
      </c>
      <c r="I118" s="96">
        <f>F118+H118</f>
        <v/>
      </c>
      <c r="J118" s="90" t="inlineStr">
        <is>
          <t>Junho/2026</t>
        </is>
      </c>
    </row>
    <row r="119" hidden="1" ht="14.25" customHeight="1" s="75">
      <c r="A119" s="105" t="inlineStr">
        <is>
          <t>Controladoria</t>
        </is>
      </c>
      <c r="B119" s="94">
        <f>INDEX(SETORES!$B:$B,MATCH(A119,SETORES!$A:$A,0))</f>
        <v/>
      </c>
      <c r="C119" s="105" t="inlineStr">
        <is>
          <t>Empresa Licenciada DX2</t>
        </is>
      </c>
      <c r="D119" s="83">
        <f>IF(B119="Clientes",SUMIFS(PARÂMETROS!$D$8:$D$33,PARÂMETROS!$A$8:$A$33,C119,PARÂMETROS!$G$8:$G$33,J119),SUMIFS(PARÂMETROS!$E$8:$E$33,PARÂMETROS!$A$8:$A$33,C119,PARÂMETROS!$G$8:$G$33,J119))</f>
        <v/>
      </c>
      <c r="E119" s="107">
        <f>SUMIFS(SETORES!$D:$D,SETORES!$A:$A,A119,SETORES!$F:$F,J119)</f>
        <v/>
      </c>
      <c r="F119" s="107">
        <f>IFERROR(D119*E119,0)</f>
        <v/>
      </c>
      <c r="G119" s="83">
        <f>SUMIFS(PARÂMETROS!$F$8:$F$33,PARÂMETROS!$A$8:$A$33,C119,PARÂMETROS!$G$8:$G$33,J119)</f>
        <v/>
      </c>
      <c r="H119" s="107">
        <f>IFERROR(F119*G119,0)</f>
        <v/>
      </c>
      <c r="I119" s="107">
        <f>F119+H119</f>
        <v/>
      </c>
      <c r="J119" s="105" t="inlineStr">
        <is>
          <t>Junho/2026</t>
        </is>
      </c>
    </row>
    <row r="120" hidden="1" ht="14.25" customHeight="1" s="75">
      <c r="A120" s="90" t="inlineStr">
        <is>
          <t>Controladoria</t>
        </is>
      </c>
      <c r="B120" s="90">
        <f>INDEX(SETORES!$B:$B,MATCH(A120,SETORES!$A:$A,0))</f>
        <v/>
      </c>
      <c r="C120" s="90" t="inlineStr">
        <is>
          <t>Empresa Licenciada H&amp;A</t>
        </is>
      </c>
      <c r="D120" s="88">
        <f>IF(B120="Clientes",SUMIFS(PARÂMETROS!$D$8:$D$33,PARÂMETROS!$A$8:$A$33,C120,PARÂMETROS!$G$8:$G$33,J120),SUMIFS(PARÂMETROS!$E$8:$E$33,PARÂMETROS!$A$8:$A$33,C120,PARÂMETROS!$G$8:$G$33,J120))</f>
        <v/>
      </c>
      <c r="E120" s="96">
        <f>SUMIFS(SETORES!$D:$D,SETORES!$A:$A,A120,SETORES!$F:$F,J120)</f>
        <v/>
      </c>
      <c r="F120" s="96">
        <f>IFERROR(D120*E120,0)</f>
        <v/>
      </c>
      <c r="G120" s="88">
        <f>SUMIFS(PARÂMETROS!$F$8:$F$33,PARÂMETROS!$A$8:$A$33,C120,PARÂMETROS!$G$8:$G$33,J120)</f>
        <v/>
      </c>
      <c r="H120" s="96">
        <f>IFERROR(F120*G120,0)</f>
        <v/>
      </c>
      <c r="I120" s="96">
        <f>F120+H120</f>
        <v/>
      </c>
      <c r="J120" s="90" t="inlineStr">
        <is>
          <t>Junho/2026</t>
        </is>
      </c>
    </row>
    <row r="121" hidden="1" ht="14.25" customHeight="1" s="75">
      <c r="A121" s="105" t="inlineStr">
        <is>
          <t>Controladoria</t>
        </is>
      </c>
      <c r="B121" s="94">
        <f>INDEX(SETORES!$B:$B,MATCH(A121,SETORES!$A:$A,0))</f>
        <v/>
      </c>
      <c r="C121" s="105" t="inlineStr">
        <is>
          <t>Empresa Licenciada SOLON ARAUJO</t>
        </is>
      </c>
      <c r="D121" s="83">
        <f>IF(B121="Clientes",SUMIFS(PARÂMETROS!$D$8:$D$33,PARÂMETROS!$A$8:$A$33,C121,PARÂMETROS!$G$8:$G$33,J121),SUMIFS(PARÂMETROS!$E$8:$E$33,PARÂMETROS!$A$8:$A$33,C121,PARÂMETROS!$G$8:$G$33,J121))</f>
        <v/>
      </c>
      <c r="E121" s="107">
        <f>SUMIFS(SETORES!$D:$D,SETORES!$A:$A,A121,SETORES!$F:$F,J121)</f>
        <v/>
      </c>
      <c r="F121" s="107">
        <f>IFERROR(D121*E121,0)</f>
        <v/>
      </c>
      <c r="G121" s="83">
        <f>SUMIFS(PARÂMETROS!$F$8:$F$33,PARÂMETROS!$A$8:$A$33,C121,PARÂMETROS!$G$8:$G$33,J121)</f>
        <v/>
      </c>
      <c r="H121" s="107">
        <f>IFERROR(F121*G121,0)</f>
        <v/>
      </c>
      <c r="I121" s="107">
        <f>F121+H121</f>
        <v/>
      </c>
      <c r="J121" s="105" t="inlineStr">
        <is>
          <t>Junho/2026</t>
        </is>
      </c>
    </row>
    <row r="122" ht="14.25" customHeight="1" s="75">
      <c r="A122" s="90" t="inlineStr">
        <is>
          <t>Controladoria</t>
        </is>
      </c>
      <c r="B122" s="90">
        <f>INDEX(SETORES!$B:$B,MATCH(A122,SETORES!$A:$A,0))</f>
        <v/>
      </c>
      <c r="C122" s="90" t="inlineStr">
        <is>
          <t>Empresa Licenciada SOARES E LINS</t>
        </is>
      </c>
      <c r="D122" s="88">
        <f>IF(B122="Clientes",SUMIFS(PARÂMETROS!$D$8:$D$33,PARÂMETROS!$A$8:$A$33,C122,PARÂMETROS!$G$8:$G$33,J122),SUMIFS(PARÂMETROS!$E$8:$E$33,PARÂMETROS!$A$8:$A$33,C122,PARÂMETROS!$G$8:$G$33,J122))</f>
        <v/>
      </c>
      <c r="E122" s="96">
        <f>SUMIFS(SETORES!$D:$D,SETORES!$A:$A,A122,SETORES!$F:$F,J122)</f>
        <v/>
      </c>
      <c r="F122" s="96">
        <f>IFERROR(D122*E122,0)</f>
        <v/>
      </c>
      <c r="G122" s="88">
        <f>SUMIFS(PARÂMETROS!$F$8:$F$33,PARÂMETROS!$A$8:$A$33,C122,PARÂMETROS!$G$8:$G$33,J122)</f>
        <v/>
      </c>
      <c r="H122" s="96">
        <f>IFERROR(F122*G122,0)</f>
        <v/>
      </c>
      <c r="I122" s="96">
        <f>F122+H122</f>
        <v/>
      </c>
      <c r="J122" s="90" t="inlineStr">
        <is>
          <t>Junho/2026</t>
        </is>
      </c>
    </row>
    <row r="123" hidden="1" ht="14.25" customHeight="1" s="75">
      <c r="A123" s="105" t="inlineStr">
        <is>
          <t>Controladoria</t>
        </is>
      </c>
      <c r="B123" s="94">
        <f>INDEX(SETORES!$B:$B,MATCH(A123,SETORES!$A:$A,0))</f>
        <v/>
      </c>
      <c r="C123" s="105" t="inlineStr">
        <is>
          <t>Empresa Licenciada SOARES E SILVA</t>
        </is>
      </c>
      <c r="D123" s="83">
        <f>IF(B123="Clientes",SUMIFS(PARÂMETROS!$D$8:$D$33,PARÂMETROS!$A$8:$A$33,C123,PARÂMETROS!$G$8:$G$33,J123),SUMIFS(PARÂMETROS!$E$8:$E$33,PARÂMETROS!$A$8:$A$33,C123,PARÂMETROS!$G$8:$G$33,J123))</f>
        <v/>
      </c>
      <c r="E123" s="107">
        <f>SUMIFS(SETORES!$D:$D,SETORES!$A:$A,A123,SETORES!$F:$F,J123)</f>
        <v/>
      </c>
      <c r="F123" s="107">
        <f>IFERROR(D123*E123,0)</f>
        <v/>
      </c>
      <c r="G123" s="83">
        <f>SUMIFS(PARÂMETROS!$F$8:$F$33,PARÂMETROS!$A$8:$A$33,C123,PARÂMETROS!$G$8:$G$33,J123)</f>
        <v/>
      </c>
      <c r="H123" s="107">
        <f>IFERROR(F123*G123,0)</f>
        <v/>
      </c>
      <c r="I123" s="107">
        <f>F123+H123</f>
        <v/>
      </c>
      <c r="J123" s="105" t="inlineStr">
        <is>
          <t>Junho/2026</t>
        </is>
      </c>
    </row>
    <row r="124" hidden="1" ht="14.25" customHeight="1" s="75">
      <c r="A124" s="90" t="inlineStr">
        <is>
          <t>Controladoria</t>
        </is>
      </c>
      <c r="B124" s="90">
        <f>INDEX(SETORES!$B:$B,MATCH(A124,SETORES!$A:$A,0))</f>
        <v/>
      </c>
      <c r="C124" s="90" t="inlineStr">
        <is>
          <t>Empresa Licenciada SOUZA E SILVA</t>
        </is>
      </c>
      <c r="D124" s="88">
        <f>IF(B124="Clientes",SUMIFS(PARÂMETROS!$D$8:$D$33,PARÂMETROS!$A$8:$A$33,C124,PARÂMETROS!$G$8:$G$33,J124),SUMIFS(PARÂMETROS!$E$8:$E$33,PARÂMETROS!$A$8:$A$33,C124,PARÂMETROS!$G$8:$G$33,J124))</f>
        <v/>
      </c>
      <c r="E124" s="96">
        <f>SUMIFS(SETORES!$D:$D,SETORES!$A:$A,A124,SETORES!$F:$F,J124)</f>
        <v/>
      </c>
      <c r="F124" s="96">
        <f>IFERROR(D124*E124,0)</f>
        <v/>
      </c>
      <c r="G124" s="88">
        <f>SUMIFS(PARÂMETROS!$F$8:$F$33,PARÂMETROS!$A$8:$A$33,C124,PARÂMETROS!$G$8:$G$33,J124)</f>
        <v/>
      </c>
      <c r="H124" s="96">
        <f>IFERROR(F124*G124,0)</f>
        <v/>
      </c>
      <c r="I124" s="96">
        <f>F124+H124</f>
        <v/>
      </c>
      <c r="J124" s="90" t="inlineStr">
        <is>
          <t>Junho/2026</t>
        </is>
      </c>
    </row>
    <row r="125" hidden="1" ht="14.25" customHeight="1" s="75">
      <c r="A125" s="105" t="inlineStr">
        <is>
          <t>Controladoria</t>
        </is>
      </c>
      <c r="B125" s="94">
        <f>INDEX(SETORES!$B:$B,MATCH(A125,SETORES!$A:$A,0))</f>
        <v/>
      </c>
      <c r="C125" s="105" t="inlineStr">
        <is>
          <t>Empresa Licenciada VOICENET</t>
        </is>
      </c>
      <c r="D125" s="83">
        <f>IF(B125="Clientes",SUMIFS(PARÂMETROS!$D$8:$D$33,PARÂMETROS!$A$8:$A$33,C125,PARÂMETROS!$G$8:$G$33,J125),SUMIFS(PARÂMETROS!$E$8:$E$33,PARÂMETROS!$A$8:$A$33,C125,PARÂMETROS!$G$8:$G$33,J125))</f>
        <v/>
      </c>
      <c r="E125" s="107">
        <f>SUMIFS(SETORES!$D:$D,SETORES!$A:$A,A125,SETORES!$F:$F,J125)</f>
        <v/>
      </c>
      <c r="F125" s="107">
        <f>IFERROR(D125*E125,0)</f>
        <v/>
      </c>
      <c r="G125" s="83">
        <f>SUMIFS(PARÂMETROS!$F$8:$F$33,PARÂMETROS!$A$8:$A$33,C125,PARÂMETROS!$G$8:$G$33,J125)</f>
        <v/>
      </c>
      <c r="H125" s="107">
        <f>IFERROR(F125*G125,0)</f>
        <v/>
      </c>
      <c r="I125" s="107">
        <f>F125+H125</f>
        <v/>
      </c>
      <c r="J125" s="105" t="inlineStr">
        <is>
          <t>Junho/2026</t>
        </is>
      </c>
    </row>
    <row r="126" hidden="1" ht="14.25" customHeight="1" s="75">
      <c r="A126" s="90" t="inlineStr">
        <is>
          <t>Controladoria</t>
        </is>
      </c>
      <c r="B126" s="90">
        <f>INDEX(SETORES!$B:$B,MATCH(A126,SETORES!$A:$A,0))</f>
        <v/>
      </c>
      <c r="C126" s="90" t="inlineStr">
        <is>
          <t>DTEL (uso próprio)</t>
        </is>
      </c>
      <c r="D126" s="88">
        <f>IF(B126="Clientes",SUMIFS(PARÂMETROS!$D$8:$D$33,PARÂMETROS!$A$8:$A$33,C126,PARÂMETROS!$G$8:$G$33,J126),SUMIFS(PARÂMETROS!$E$8:$E$33,PARÂMETROS!$A$8:$A$33,C126,PARÂMETROS!$G$8:$G$33,J126))</f>
        <v/>
      </c>
      <c r="E126" s="96">
        <f>SUMIFS(SETORES!$D:$D,SETORES!$A:$A,A126,SETORES!$F:$F,J126)</f>
        <v/>
      </c>
      <c r="F126" s="96">
        <f>IFERROR(D126*E126,0)</f>
        <v/>
      </c>
      <c r="G126" s="88">
        <f>SUMIFS(PARÂMETROS!$F$8:$F$33,PARÂMETROS!$A$8:$A$33,C126,PARÂMETROS!$G$8:$G$33,J126)</f>
        <v/>
      </c>
      <c r="H126" s="96">
        <f>IFERROR(F126*G126,0)</f>
        <v/>
      </c>
      <c r="I126" s="96">
        <f>F126+H126</f>
        <v/>
      </c>
      <c r="J126" s="90" t="inlineStr">
        <is>
          <t>Junho/2026</t>
        </is>
      </c>
    </row>
    <row r="127" hidden="1" ht="14.25" customHeight="1" s="75">
      <c r="A127" s="105" t="inlineStr">
        <is>
          <t>Diretoria Operacional</t>
        </is>
      </c>
      <c r="B127" s="94">
        <f>INDEX(SETORES!$B:$B,MATCH(A127,SETORES!$A:$A,0))</f>
        <v/>
      </c>
      <c r="C127" s="105" t="inlineStr">
        <is>
          <t>Empresa Licenciada DX2</t>
        </is>
      </c>
      <c r="D127" s="83">
        <f>IF(B127="Clientes",SUMIFS(PARÂMETROS!$D$8:$D$33,PARÂMETROS!$A$8:$A$33,C127,PARÂMETROS!$G$8:$G$33,J127),SUMIFS(PARÂMETROS!$E$8:$E$33,PARÂMETROS!$A$8:$A$33,C127,PARÂMETROS!$G$8:$G$33,J127))</f>
        <v/>
      </c>
      <c r="E127" s="107">
        <f>SUMIFS(SETORES!$D:$D,SETORES!$A:$A,A127,SETORES!$F:$F,J127)</f>
        <v/>
      </c>
      <c r="F127" s="107">
        <f>IFERROR(D127*E127,0)</f>
        <v/>
      </c>
      <c r="G127" s="83">
        <f>SUMIFS(PARÂMETROS!$F$8:$F$33,PARÂMETROS!$A$8:$A$33,C127,PARÂMETROS!$G$8:$G$33,J127)</f>
        <v/>
      </c>
      <c r="H127" s="107">
        <f>IFERROR(F127*G127,0)</f>
        <v/>
      </c>
      <c r="I127" s="107">
        <f>F127+H127</f>
        <v/>
      </c>
      <c r="J127" s="105" t="inlineStr">
        <is>
          <t>Junho/2026</t>
        </is>
      </c>
    </row>
    <row r="128" hidden="1" ht="14.25" customHeight="1" s="75">
      <c r="A128" s="90" t="inlineStr">
        <is>
          <t>Diretoria Operacional</t>
        </is>
      </c>
      <c r="B128" s="90">
        <f>INDEX(SETORES!$B:$B,MATCH(A128,SETORES!$A:$A,0))</f>
        <v/>
      </c>
      <c r="C128" s="90" t="inlineStr">
        <is>
          <t>Empresa Licenciada H&amp;A</t>
        </is>
      </c>
      <c r="D128" s="88">
        <f>IF(B128="Clientes",SUMIFS(PARÂMETROS!$D$8:$D$33,PARÂMETROS!$A$8:$A$33,C128,PARÂMETROS!$G$8:$G$33,J128),SUMIFS(PARÂMETROS!$E$8:$E$33,PARÂMETROS!$A$8:$A$33,C128,PARÂMETROS!$G$8:$G$33,J128))</f>
        <v/>
      </c>
      <c r="E128" s="96">
        <f>SUMIFS(SETORES!$D:$D,SETORES!$A:$A,A128,SETORES!$F:$F,J128)</f>
        <v/>
      </c>
      <c r="F128" s="96">
        <f>IFERROR(D128*E128,0)</f>
        <v/>
      </c>
      <c r="G128" s="88">
        <f>SUMIFS(PARÂMETROS!$F$8:$F$33,PARÂMETROS!$A$8:$A$33,C128,PARÂMETROS!$G$8:$G$33,J128)</f>
        <v/>
      </c>
      <c r="H128" s="96">
        <f>IFERROR(F128*G128,0)</f>
        <v/>
      </c>
      <c r="I128" s="96">
        <f>F128+H128</f>
        <v/>
      </c>
      <c r="J128" s="90" t="inlineStr">
        <is>
          <t>Junho/2026</t>
        </is>
      </c>
    </row>
    <row r="129" hidden="1" ht="14.25" customHeight="1" s="75">
      <c r="A129" s="105" t="inlineStr">
        <is>
          <t>Diretoria Operacional</t>
        </is>
      </c>
      <c r="B129" s="94">
        <f>INDEX(SETORES!$B:$B,MATCH(A129,SETORES!$A:$A,0))</f>
        <v/>
      </c>
      <c r="C129" s="105" t="inlineStr">
        <is>
          <t>Empresa Licenciada SOLON ARAUJO</t>
        </is>
      </c>
      <c r="D129" s="83">
        <f>IF(B129="Clientes",SUMIFS(PARÂMETROS!$D$8:$D$33,PARÂMETROS!$A$8:$A$33,C129,PARÂMETROS!$G$8:$G$33,J129),SUMIFS(PARÂMETROS!$E$8:$E$33,PARÂMETROS!$A$8:$A$33,C129,PARÂMETROS!$G$8:$G$33,J129))</f>
        <v/>
      </c>
      <c r="E129" s="107">
        <f>SUMIFS(SETORES!$D:$D,SETORES!$A:$A,A129,SETORES!$F:$F,J129)</f>
        <v/>
      </c>
      <c r="F129" s="107">
        <f>IFERROR(D129*E129,0)</f>
        <v/>
      </c>
      <c r="G129" s="83">
        <f>SUMIFS(PARÂMETROS!$F$8:$F$33,PARÂMETROS!$A$8:$A$33,C129,PARÂMETROS!$G$8:$G$33,J129)</f>
        <v/>
      </c>
      <c r="H129" s="107">
        <f>IFERROR(F129*G129,0)</f>
        <v/>
      </c>
      <c r="I129" s="107">
        <f>F129+H129</f>
        <v/>
      </c>
      <c r="J129" s="105" t="inlineStr">
        <is>
          <t>Junho/2026</t>
        </is>
      </c>
    </row>
    <row r="130" ht="14.25" customHeight="1" s="75">
      <c r="A130" s="90" t="inlineStr">
        <is>
          <t>Diretoria Operacional</t>
        </is>
      </c>
      <c r="B130" s="90">
        <f>INDEX(SETORES!$B:$B,MATCH(A130,SETORES!$A:$A,0))</f>
        <v/>
      </c>
      <c r="C130" s="90" t="inlineStr">
        <is>
          <t>Empresa Licenciada SOARES E LINS</t>
        </is>
      </c>
      <c r="D130" s="88">
        <f>IF(B130="Clientes",SUMIFS(PARÂMETROS!$D$8:$D$33,PARÂMETROS!$A$8:$A$33,C130,PARÂMETROS!$G$8:$G$33,J130),SUMIFS(PARÂMETROS!$E$8:$E$33,PARÂMETROS!$A$8:$A$33,C130,PARÂMETROS!$G$8:$G$33,J130))</f>
        <v/>
      </c>
      <c r="E130" s="96">
        <f>SUMIFS(SETORES!$D:$D,SETORES!$A:$A,A130,SETORES!$F:$F,J130)</f>
        <v/>
      </c>
      <c r="F130" s="96">
        <f>IFERROR(D130*E130,0)</f>
        <v/>
      </c>
      <c r="G130" s="88">
        <f>SUMIFS(PARÂMETROS!$F$8:$F$33,PARÂMETROS!$A$8:$A$33,C130,PARÂMETROS!$G$8:$G$33,J130)</f>
        <v/>
      </c>
      <c r="H130" s="96">
        <f>IFERROR(F130*G130,0)</f>
        <v/>
      </c>
      <c r="I130" s="96">
        <f>F130+H130</f>
        <v/>
      </c>
      <c r="J130" s="90" t="inlineStr">
        <is>
          <t>Junho/2026</t>
        </is>
      </c>
    </row>
    <row r="131" hidden="1" ht="14.25" customHeight="1" s="75">
      <c r="A131" s="105" t="inlineStr">
        <is>
          <t>Diretoria Operacional</t>
        </is>
      </c>
      <c r="B131" s="94">
        <f>INDEX(SETORES!$B:$B,MATCH(A131,SETORES!$A:$A,0))</f>
        <v/>
      </c>
      <c r="C131" s="105" t="inlineStr">
        <is>
          <t>Empresa Licenciada SOARES E SILVA</t>
        </is>
      </c>
      <c r="D131" s="83">
        <f>IF(B131="Clientes",SUMIFS(PARÂMETROS!$D$8:$D$33,PARÂMETROS!$A$8:$A$33,C131,PARÂMETROS!$G$8:$G$33,J131),SUMIFS(PARÂMETROS!$E$8:$E$33,PARÂMETROS!$A$8:$A$33,C131,PARÂMETROS!$G$8:$G$33,J131))</f>
        <v/>
      </c>
      <c r="E131" s="107">
        <f>SUMIFS(SETORES!$D:$D,SETORES!$A:$A,A131,SETORES!$F:$F,J131)</f>
        <v/>
      </c>
      <c r="F131" s="107">
        <f>IFERROR(D131*E131,0)</f>
        <v/>
      </c>
      <c r="G131" s="83">
        <f>SUMIFS(PARÂMETROS!$F$8:$F$33,PARÂMETROS!$A$8:$A$33,C131,PARÂMETROS!$G$8:$G$33,J131)</f>
        <v/>
      </c>
      <c r="H131" s="107">
        <f>IFERROR(F131*G131,0)</f>
        <v/>
      </c>
      <c r="I131" s="107">
        <f>F131+H131</f>
        <v/>
      </c>
      <c r="J131" s="105" t="inlineStr">
        <is>
          <t>Junho/2026</t>
        </is>
      </c>
    </row>
    <row r="132" hidden="1" ht="14.25" customHeight="1" s="75">
      <c r="A132" s="90" t="inlineStr">
        <is>
          <t>Diretoria Operacional</t>
        </is>
      </c>
      <c r="B132" s="90">
        <f>INDEX(SETORES!$B:$B,MATCH(A132,SETORES!$A:$A,0))</f>
        <v/>
      </c>
      <c r="C132" s="90" t="inlineStr">
        <is>
          <t>Empresa Licenciada SOUZA E SILVA</t>
        </is>
      </c>
      <c r="D132" s="88">
        <f>IF(B132="Clientes",SUMIFS(PARÂMETROS!$D$8:$D$33,PARÂMETROS!$A$8:$A$33,C132,PARÂMETROS!$G$8:$G$33,J132),SUMIFS(PARÂMETROS!$E$8:$E$33,PARÂMETROS!$A$8:$A$33,C132,PARÂMETROS!$G$8:$G$33,J132))</f>
        <v/>
      </c>
      <c r="E132" s="96">
        <f>SUMIFS(SETORES!$D:$D,SETORES!$A:$A,A132,SETORES!$F:$F,J132)</f>
        <v/>
      </c>
      <c r="F132" s="96">
        <f>IFERROR(D132*E132,0)</f>
        <v/>
      </c>
      <c r="G132" s="88">
        <f>SUMIFS(PARÂMETROS!$F$8:$F$33,PARÂMETROS!$A$8:$A$33,C132,PARÂMETROS!$G$8:$G$33,J132)</f>
        <v/>
      </c>
      <c r="H132" s="96">
        <f>IFERROR(F132*G132,0)</f>
        <v/>
      </c>
      <c r="I132" s="96">
        <f>F132+H132</f>
        <v/>
      </c>
      <c r="J132" s="90" t="inlineStr">
        <is>
          <t>Junho/2026</t>
        </is>
      </c>
    </row>
    <row r="133" hidden="1" ht="14.25" customHeight="1" s="75">
      <c r="A133" s="105" t="inlineStr">
        <is>
          <t>Diretoria Operacional</t>
        </is>
      </c>
      <c r="B133" s="94">
        <f>INDEX(SETORES!$B:$B,MATCH(A133,SETORES!$A:$A,0))</f>
        <v/>
      </c>
      <c r="C133" s="105" t="inlineStr">
        <is>
          <t>Empresa Licenciada VOICENET</t>
        </is>
      </c>
      <c r="D133" s="83">
        <f>IF(B133="Clientes",SUMIFS(PARÂMETROS!$D$8:$D$33,PARÂMETROS!$A$8:$A$33,C133,PARÂMETROS!$G$8:$G$33,J133),SUMIFS(PARÂMETROS!$E$8:$E$33,PARÂMETROS!$A$8:$A$33,C133,PARÂMETROS!$G$8:$G$33,J133))</f>
        <v/>
      </c>
      <c r="E133" s="107">
        <f>SUMIFS(SETORES!$D:$D,SETORES!$A:$A,A133,SETORES!$F:$F,J133)</f>
        <v/>
      </c>
      <c r="F133" s="107">
        <f>IFERROR(D133*E133,0)</f>
        <v/>
      </c>
      <c r="G133" s="83">
        <f>SUMIFS(PARÂMETROS!$F$8:$F$33,PARÂMETROS!$A$8:$A$33,C133,PARÂMETROS!$G$8:$G$33,J133)</f>
        <v/>
      </c>
      <c r="H133" s="107">
        <f>IFERROR(F133*G133,0)</f>
        <v/>
      </c>
      <c r="I133" s="107">
        <f>F133+H133</f>
        <v/>
      </c>
      <c r="J133" s="105" t="inlineStr">
        <is>
          <t>Junho/2026</t>
        </is>
      </c>
    </row>
    <row r="134" hidden="1" ht="14.25" customHeight="1" s="75">
      <c r="A134" s="90" t="inlineStr">
        <is>
          <t>Diretoria Operacional</t>
        </is>
      </c>
      <c r="B134" s="90">
        <f>INDEX(SETORES!$B:$B,MATCH(A134,SETORES!$A:$A,0))</f>
        <v/>
      </c>
      <c r="C134" s="90" t="inlineStr">
        <is>
          <t>DTEL (uso próprio)</t>
        </is>
      </c>
      <c r="D134" s="88">
        <f>IF(B134="Clientes",SUMIFS(PARÂMETROS!$D$8:$D$33,PARÂMETROS!$A$8:$A$33,C134,PARÂMETROS!$G$8:$G$33,J134),SUMIFS(PARÂMETROS!$E$8:$E$33,PARÂMETROS!$A$8:$A$33,C134,PARÂMETROS!$G$8:$G$33,J134))</f>
        <v/>
      </c>
      <c r="E134" s="96">
        <f>SUMIFS(SETORES!$D:$D,SETORES!$A:$A,A134,SETORES!$F:$F,J134)</f>
        <v/>
      </c>
      <c r="F134" s="96">
        <f>IFERROR(D134*E134,0)</f>
        <v/>
      </c>
      <c r="G134" s="88">
        <f>SUMIFS(PARÂMETROS!$F$8:$F$33,PARÂMETROS!$A$8:$A$33,C134,PARÂMETROS!$G$8:$G$33,J134)</f>
        <v/>
      </c>
      <c r="H134" s="96">
        <f>IFERROR(F134*G134,0)</f>
        <v/>
      </c>
      <c r="I134" s="96">
        <f>F134+H134</f>
        <v/>
      </c>
      <c r="J134" s="90" t="inlineStr">
        <is>
          <t>Junho/2026</t>
        </is>
      </c>
    </row>
    <row r="135" hidden="1" ht="14.25" customHeight="1" s="75">
      <c r="A135" s="105" t="inlineStr">
        <is>
          <t>Compras</t>
        </is>
      </c>
      <c r="B135" s="94">
        <f>INDEX(SETORES!$B:$B,MATCH(A135,SETORES!$A:$A,0))</f>
        <v/>
      </c>
      <c r="C135" s="105" t="inlineStr">
        <is>
          <t>Empresa Licenciada DX2</t>
        </is>
      </c>
      <c r="D135" s="83">
        <f>IF(B135="Clientes",SUMIFS(PARÂMETROS!$D$8:$D$33,PARÂMETROS!$A$8:$A$33,C135,PARÂMETROS!$G$8:$G$33,J135),SUMIFS(PARÂMETROS!$E$8:$E$33,PARÂMETROS!$A$8:$A$33,C135,PARÂMETROS!$G$8:$G$33,J135))</f>
        <v/>
      </c>
      <c r="E135" s="107">
        <f>SUMIFS(SETORES!$D:$D,SETORES!$A:$A,A135,SETORES!$F:$F,J135)</f>
        <v/>
      </c>
      <c r="F135" s="107">
        <f>IFERROR(D135*E135,0)</f>
        <v/>
      </c>
      <c r="G135" s="83">
        <f>SUMIFS(PARÂMETROS!$F$8:$F$33,PARÂMETROS!$A$8:$A$33,C135,PARÂMETROS!$G$8:$G$33,J135)</f>
        <v/>
      </c>
      <c r="H135" s="107">
        <f>IFERROR(F135*G135,0)</f>
        <v/>
      </c>
      <c r="I135" s="107">
        <f>F135+H135</f>
        <v/>
      </c>
      <c r="J135" s="105" t="inlineStr">
        <is>
          <t>Junho/2026</t>
        </is>
      </c>
    </row>
    <row r="136" hidden="1" ht="14.25" customHeight="1" s="75">
      <c r="A136" s="90" t="inlineStr">
        <is>
          <t>Compras</t>
        </is>
      </c>
      <c r="B136" s="90">
        <f>INDEX(SETORES!$B:$B,MATCH(A136,SETORES!$A:$A,0))</f>
        <v/>
      </c>
      <c r="C136" s="90" t="inlineStr">
        <is>
          <t>Empresa Licenciada H&amp;A</t>
        </is>
      </c>
      <c r="D136" s="88">
        <f>IF(B136="Clientes",SUMIFS(PARÂMETROS!$D$8:$D$33,PARÂMETROS!$A$8:$A$33,C136,PARÂMETROS!$G$8:$G$33,J136),SUMIFS(PARÂMETROS!$E$8:$E$33,PARÂMETROS!$A$8:$A$33,C136,PARÂMETROS!$G$8:$G$33,J136))</f>
        <v/>
      </c>
      <c r="E136" s="96">
        <f>SUMIFS(SETORES!$D:$D,SETORES!$A:$A,A136,SETORES!$F:$F,J136)</f>
        <v/>
      </c>
      <c r="F136" s="96">
        <f>IFERROR(D136*E136,0)</f>
        <v/>
      </c>
      <c r="G136" s="88">
        <f>SUMIFS(PARÂMETROS!$F$8:$F$33,PARÂMETROS!$A$8:$A$33,C136,PARÂMETROS!$G$8:$G$33,J136)</f>
        <v/>
      </c>
      <c r="H136" s="96">
        <f>IFERROR(F136*G136,0)</f>
        <v/>
      </c>
      <c r="I136" s="96">
        <f>F136+H136</f>
        <v/>
      </c>
      <c r="J136" s="90" t="inlineStr">
        <is>
          <t>Junho/2026</t>
        </is>
      </c>
    </row>
    <row r="137" hidden="1" ht="14.25" customHeight="1" s="75">
      <c r="A137" s="105" t="inlineStr">
        <is>
          <t>Compras</t>
        </is>
      </c>
      <c r="B137" s="94">
        <f>INDEX(SETORES!$B:$B,MATCH(A137,SETORES!$A:$A,0))</f>
        <v/>
      </c>
      <c r="C137" s="105" t="inlineStr">
        <is>
          <t>Empresa Licenciada SOLON ARAUJO</t>
        </is>
      </c>
      <c r="D137" s="83">
        <f>IF(B137="Clientes",SUMIFS(PARÂMETROS!$D$8:$D$33,PARÂMETROS!$A$8:$A$33,C137,PARÂMETROS!$G$8:$G$33,J137),SUMIFS(PARÂMETROS!$E$8:$E$33,PARÂMETROS!$A$8:$A$33,C137,PARÂMETROS!$G$8:$G$33,J137))</f>
        <v/>
      </c>
      <c r="E137" s="107">
        <f>SUMIFS(SETORES!$D:$D,SETORES!$A:$A,A137,SETORES!$F:$F,J137)</f>
        <v/>
      </c>
      <c r="F137" s="107">
        <f>IFERROR(D137*E137,0)</f>
        <v/>
      </c>
      <c r="G137" s="83">
        <f>SUMIFS(PARÂMETROS!$F$8:$F$33,PARÂMETROS!$A$8:$A$33,C137,PARÂMETROS!$G$8:$G$33,J137)</f>
        <v/>
      </c>
      <c r="H137" s="107">
        <f>IFERROR(F137*G137,0)</f>
        <v/>
      </c>
      <c r="I137" s="107">
        <f>F137+H137</f>
        <v/>
      </c>
      <c r="J137" s="105" t="inlineStr">
        <is>
          <t>Junho/2026</t>
        </is>
      </c>
    </row>
    <row r="138" ht="14.25" customHeight="1" s="75">
      <c r="A138" s="90" t="inlineStr">
        <is>
          <t>Compras</t>
        </is>
      </c>
      <c r="B138" s="90">
        <f>INDEX(SETORES!$B:$B,MATCH(A138,SETORES!$A:$A,0))</f>
        <v/>
      </c>
      <c r="C138" s="90" t="inlineStr">
        <is>
          <t>Empresa Licenciada SOARES E LINS</t>
        </is>
      </c>
      <c r="D138" s="88">
        <f>IF(B138="Clientes",SUMIFS(PARÂMETROS!$D$8:$D$33,PARÂMETROS!$A$8:$A$33,C138,PARÂMETROS!$G$8:$G$33,J138),SUMIFS(PARÂMETROS!$E$8:$E$33,PARÂMETROS!$A$8:$A$33,C138,PARÂMETROS!$G$8:$G$33,J138))</f>
        <v/>
      </c>
      <c r="E138" s="96">
        <f>SUMIFS(SETORES!$D:$D,SETORES!$A:$A,A138,SETORES!$F:$F,J138)</f>
        <v/>
      </c>
      <c r="F138" s="96">
        <f>IFERROR(D138*E138,0)</f>
        <v/>
      </c>
      <c r="G138" s="88">
        <f>SUMIFS(PARÂMETROS!$F$8:$F$33,PARÂMETROS!$A$8:$A$33,C138,PARÂMETROS!$G$8:$G$33,J138)</f>
        <v/>
      </c>
      <c r="H138" s="96">
        <f>IFERROR(F138*G138,0)</f>
        <v/>
      </c>
      <c r="I138" s="96">
        <f>F138+H138</f>
        <v/>
      </c>
      <c r="J138" s="90" t="inlineStr">
        <is>
          <t>Junho/2026</t>
        </is>
      </c>
    </row>
    <row r="139" hidden="1" ht="14.25" customHeight="1" s="75">
      <c r="A139" s="105" t="inlineStr">
        <is>
          <t>Compras</t>
        </is>
      </c>
      <c r="B139" s="94">
        <f>INDEX(SETORES!$B:$B,MATCH(A139,SETORES!$A:$A,0))</f>
        <v/>
      </c>
      <c r="C139" s="105" t="inlineStr">
        <is>
          <t>Empresa Licenciada SOARES E SILVA</t>
        </is>
      </c>
      <c r="D139" s="83">
        <f>IF(B139="Clientes",SUMIFS(PARÂMETROS!$D$8:$D$33,PARÂMETROS!$A$8:$A$33,C139,PARÂMETROS!$G$8:$G$33,J139),SUMIFS(PARÂMETROS!$E$8:$E$33,PARÂMETROS!$A$8:$A$33,C139,PARÂMETROS!$G$8:$G$33,J139))</f>
        <v/>
      </c>
      <c r="E139" s="107">
        <f>SUMIFS(SETORES!$D:$D,SETORES!$A:$A,A139,SETORES!$F:$F,J139)</f>
        <v/>
      </c>
      <c r="F139" s="107">
        <f>IFERROR(D139*E139,0)</f>
        <v/>
      </c>
      <c r="G139" s="83">
        <f>SUMIFS(PARÂMETROS!$F$8:$F$33,PARÂMETROS!$A$8:$A$33,C139,PARÂMETROS!$G$8:$G$33,J139)</f>
        <v/>
      </c>
      <c r="H139" s="107">
        <f>IFERROR(F139*G139,0)</f>
        <v/>
      </c>
      <c r="I139" s="107">
        <f>F139+H139</f>
        <v/>
      </c>
      <c r="J139" s="105" t="inlineStr">
        <is>
          <t>Junho/2026</t>
        </is>
      </c>
    </row>
    <row r="140" hidden="1" ht="14.25" customHeight="1" s="75">
      <c r="A140" s="90" t="inlineStr">
        <is>
          <t>Compras</t>
        </is>
      </c>
      <c r="B140" s="90">
        <f>INDEX(SETORES!$B:$B,MATCH(A140,SETORES!$A:$A,0))</f>
        <v/>
      </c>
      <c r="C140" s="90" t="inlineStr">
        <is>
          <t>Empresa Licenciada SOUZA E SILVA</t>
        </is>
      </c>
      <c r="D140" s="88">
        <f>IF(B140="Clientes",SUMIFS(PARÂMETROS!$D$8:$D$33,PARÂMETROS!$A$8:$A$33,C140,PARÂMETROS!$G$8:$G$33,J140),SUMIFS(PARÂMETROS!$E$8:$E$33,PARÂMETROS!$A$8:$A$33,C140,PARÂMETROS!$G$8:$G$33,J140))</f>
        <v/>
      </c>
      <c r="E140" s="96">
        <f>SUMIFS(SETORES!$D:$D,SETORES!$A:$A,A140,SETORES!$F:$F,J140)</f>
        <v/>
      </c>
      <c r="F140" s="96">
        <f>IFERROR(D140*E140,0)</f>
        <v/>
      </c>
      <c r="G140" s="88">
        <f>SUMIFS(PARÂMETROS!$F$8:$F$33,PARÂMETROS!$A$8:$A$33,C140,PARÂMETROS!$G$8:$G$33,J140)</f>
        <v/>
      </c>
      <c r="H140" s="96">
        <f>IFERROR(F140*G140,0)</f>
        <v/>
      </c>
      <c r="I140" s="96">
        <f>F140+H140</f>
        <v/>
      </c>
      <c r="J140" s="90" t="inlineStr">
        <is>
          <t>Junho/2026</t>
        </is>
      </c>
    </row>
    <row r="141" hidden="1" ht="14.25" customHeight="1" s="75">
      <c r="A141" s="105" t="inlineStr">
        <is>
          <t>Compras</t>
        </is>
      </c>
      <c r="B141" s="94">
        <f>INDEX(SETORES!$B:$B,MATCH(A141,SETORES!$A:$A,0))</f>
        <v/>
      </c>
      <c r="C141" s="105" t="inlineStr">
        <is>
          <t>Empresa Licenciada VOICENET</t>
        </is>
      </c>
      <c r="D141" s="83">
        <f>IF(B141="Clientes",SUMIFS(PARÂMETROS!$D$8:$D$33,PARÂMETROS!$A$8:$A$33,C141,PARÂMETROS!$G$8:$G$33,J141),SUMIFS(PARÂMETROS!$E$8:$E$33,PARÂMETROS!$A$8:$A$33,C141,PARÂMETROS!$G$8:$G$33,J141))</f>
        <v/>
      </c>
      <c r="E141" s="107">
        <f>SUMIFS(SETORES!$D:$D,SETORES!$A:$A,A141,SETORES!$F:$F,J141)</f>
        <v/>
      </c>
      <c r="F141" s="107">
        <f>IFERROR(D141*E141,0)</f>
        <v/>
      </c>
      <c r="G141" s="83">
        <f>SUMIFS(PARÂMETROS!$F$8:$F$33,PARÂMETROS!$A$8:$A$33,C141,PARÂMETROS!$G$8:$G$33,J141)</f>
        <v/>
      </c>
      <c r="H141" s="107">
        <f>IFERROR(F141*G141,0)</f>
        <v/>
      </c>
      <c r="I141" s="107">
        <f>F141+H141</f>
        <v/>
      </c>
      <c r="J141" s="105" t="inlineStr">
        <is>
          <t>Junho/2026</t>
        </is>
      </c>
    </row>
    <row r="142" hidden="1" ht="14.25" customHeight="1" s="75">
      <c r="A142" s="90" t="inlineStr">
        <is>
          <t>Compras</t>
        </is>
      </c>
      <c r="B142" s="90">
        <f>INDEX(SETORES!$B:$B,MATCH(A142,SETORES!$A:$A,0))</f>
        <v/>
      </c>
      <c r="C142" s="90" t="inlineStr">
        <is>
          <t>DTEL (uso próprio)</t>
        </is>
      </c>
      <c r="D142" s="88">
        <f>IF(B142="Clientes",SUMIFS(PARÂMETROS!$D$8:$D$33,PARÂMETROS!$A$8:$A$33,C142,PARÂMETROS!$G$8:$G$33,J142),SUMIFS(PARÂMETROS!$E$8:$E$33,PARÂMETROS!$A$8:$A$33,C142,PARÂMETROS!$G$8:$G$33,J142))</f>
        <v/>
      </c>
      <c r="E142" s="96">
        <f>SUMIFS(SETORES!$D:$D,SETORES!$A:$A,A142,SETORES!$F:$F,J142)</f>
        <v/>
      </c>
      <c r="F142" s="96">
        <f>IFERROR(D142*E142,0)</f>
        <v/>
      </c>
      <c r="G142" s="88">
        <f>SUMIFS(PARÂMETROS!$F$8:$F$33,PARÂMETROS!$A$8:$A$33,C142,PARÂMETROS!$G$8:$G$33,J142)</f>
        <v/>
      </c>
      <c r="H142" s="96">
        <f>IFERROR(F142*G142,0)</f>
        <v/>
      </c>
      <c r="I142" s="96">
        <f>F142+H142</f>
        <v/>
      </c>
      <c r="J142" s="90" t="inlineStr">
        <is>
          <t>Junho/2026</t>
        </is>
      </c>
    </row>
    <row r="143" hidden="1" ht="14.25" customHeight="1" s="75">
      <c r="A143" s="105" t="inlineStr">
        <is>
          <t>Segurança do Trabalho</t>
        </is>
      </c>
      <c r="B143" s="94">
        <f>INDEX(SETORES!$B:$B,MATCH(A143,SETORES!$A:$A,0))</f>
        <v/>
      </c>
      <c r="C143" s="105" t="inlineStr">
        <is>
          <t>Empresa Licenciada DX2</t>
        </is>
      </c>
      <c r="D143" s="83">
        <f>IF(B143="Clientes",SUMIFS(PARÂMETROS!$D$8:$D$33,PARÂMETROS!$A$8:$A$33,C143,PARÂMETROS!$G$8:$G$33,J143),SUMIFS(PARÂMETROS!$E$8:$E$33,PARÂMETROS!$A$8:$A$33,C143,PARÂMETROS!$G$8:$G$33,J143))</f>
        <v/>
      </c>
      <c r="E143" s="107">
        <f>SUMIFS(SETORES!$D:$D,SETORES!$A:$A,A143,SETORES!$F:$F,J143)</f>
        <v/>
      </c>
      <c r="F143" s="107">
        <f>IFERROR(D143*E143,0)</f>
        <v/>
      </c>
      <c r="G143" s="83">
        <f>SUMIFS(PARÂMETROS!$F$8:$F$33,PARÂMETROS!$A$8:$A$33,C143,PARÂMETROS!$G$8:$G$33,J143)</f>
        <v/>
      </c>
      <c r="H143" s="107">
        <f>IFERROR(F143*G143,0)</f>
        <v/>
      </c>
      <c r="I143" s="107">
        <f>F143+H143</f>
        <v/>
      </c>
      <c r="J143" s="105" t="inlineStr">
        <is>
          <t>Junho/2026</t>
        </is>
      </c>
    </row>
    <row r="144" hidden="1" ht="14.25" customHeight="1" s="75">
      <c r="A144" s="90" t="inlineStr">
        <is>
          <t>Segurança do Trabalho</t>
        </is>
      </c>
      <c r="B144" s="90">
        <f>INDEX(SETORES!$B:$B,MATCH(A144,SETORES!$A:$A,0))</f>
        <v/>
      </c>
      <c r="C144" s="90" t="inlineStr">
        <is>
          <t>Empresa Licenciada H&amp;A</t>
        </is>
      </c>
      <c r="D144" s="88">
        <f>IF(B144="Clientes",SUMIFS(PARÂMETROS!$D$8:$D$33,PARÂMETROS!$A$8:$A$33,C144,PARÂMETROS!$G$8:$G$33,J144),SUMIFS(PARÂMETROS!$E$8:$E$33,PARÂMETROS!$A$8:$A$33,C144,PARÂMETROS!$G$8:$G$33,J144))</f>
        <v/>
      </c>
      <c r="E144" s="96">
        <f>SUMIFS(SETORES!$D:$D,SETORES!$A:$A,A144,SETORES!$F:$F,J144)</f>
        <v/>
      </c>
      <c r="F144" s="96">
        <f>IFERROR(D144*E144,0)</f>
        <v/>
      </c>
      <c r="G144" s="88">
        <f>SUMIFS(PARÂMETROS!$F$8:$F$33,PARÂMETROS!$A$8:$A$33,C144,PARÂMETROS!$G$8:$G$33,J144)</f>
        <v/>
      </c>
      <c r="H144" s="96">
        <f>IFERROR(F144*G144,0)</f>
        <v/>
      </c>
      <c r="I144" s="96">
        <f>F144+H144</f>
        <v/>
      </c>
      <c r="J144" s="90" t="inlineStr">
        <is>
          <t>Junho/2026</t>
        </is>
      </c>
    </row>
    <row r="145" hidden="1" ht="14.25" customHeight="1" s="75">
      <c r="A145" s="105" t="inlineStr">
        <is>
          <t>Segurança do Trabalho</t>
        </is>
      </c>
      <c r="B145" s="94">
        <f>INDEX(SETORES!$B:$B,MATCH(A145,SETORES!$A:$A,0))</f>
        <v/>
      </c>
      <c r="C145" s="105" t="inlineStr">
        <is>
          <t>Empresa Licenciada SOLON ARAUJO</t>
        </is>
      </c>
      <c r="D145" s="83">
        <f>IF(B145="Clientes",SUMIFS(PARÂMETROS!$D$8:$D$33,PARÂMETROS!$A$8:$A$33,C145,PARÂMETROS!$G$8:$G$33,J145),SUMIFS(PARÂMETROS!$E$8:$E$33,PARÂMETROS!$A$8:$A$33,C145,PARÂMETROS!$G$8:$G$33,J145))</f>
        <v/>
      </c>
      <c r="E145" s="107">
        <f>SUMIFS(SETORES!$D:$D,SETORES!$A:$A,A145,SETORES!$F:$F,J145)</f>
        <v/>
      </c>
      <c r="F145" s="107">
        <f>IFERROR(D145*E145,0)</f>
        <v/>
      </c>
      <c r="G145" s="83">
        <f>SUMIFS(PARÂMETROS!$F$8:$F$33,PARÂMETROS!$A$8:$A$33,C145,PARÂMETROS!$G$8:$G$33,J145)</f>
        <v/>
      </c>
      <c r="H145" s="107">
        <f>IFERROR(F145*G145,0)</f>
        <v/>
      </c>
      <c r="I145" s="107">
        <f>F145+H145</f>
        <v/>
      </c>
      <c r="J145" s="105" t="inlineStr">
        <is>
          <t>Junho/2026</t>
        </is>
      </c>
    </row>
    <row r="146" ht="14.25" customHeight="1" s="75">
      <c r="A146" s="90" t="inlineStr">
        <is>
          <t>Segurança do Trabalho</t>
        </is>
      </c>
      <c r="B146" s="90">
        <f>INDEX(SETORES!$B:$B,MATCH(A146,SETORES!$A:$A,0))</f>
        <v/>
      </c>
      <c r="C146" s="90" t="inlineStr">
        <is>
          <t>Empresa Licenciada SOARES E LINS</t>
        </is>
      </c>
      <c r="D146" s="88">
        <f>IF(B146="Clientes",SUMIFS(PARÂMETROS!$D$8:$D$33,PARÂMETROS!$A$8:$A$33,C146,PARÂMETROS!$G$8:$G$33,J146),SUMIFS(PARÂMETROS!$E$8:$E$33,PARÂMETROS!$A$8:$A$33,C146,PARÂMETROS!$G$8:$G$33,J146))</f>
        <v/>
      </c>
      <c r="E146" s="96">
        <f>SUMIFS(SETORES!$D:$D,SETORES!$A:$A,A146,SETORES!$F:$F,J146)</f>
        <v/>
      </c>
      <c r="F146" s="96">
        <f>IFERROR(D146*E146,0)</f>
        <v/>
      </c>
      <c r="G146" s="88">
        <f>SUMIFS(PARÂMETROS!$F$8:$F$33,PARÂMETROS!$A$8:$A$33,C146,PARÂMETROS!$G$8:$G$33,J146)</f>
        <v/>
      </c>
      <c r="H146" s="96">
        <f>IFERROR(F146*G146,0)</f>
        <v/>
      </c>
      <c r="I146" s="96">
        <f>F146+H146</f>
        <v/>
      </c>
      <c r="J146" s="90" t="inlineStr">
        <is>
          <t>Junho/2026</t>
        </is>
      </c>
    </row>
    <row r="147" hidden="1" ht="14.25" customHeight="1" s="75">
      <c r="A147" s="105" t="inlineStr">
        <is>
          <t>Segurança do Trabalho</t>
        </is>
      </c>
      <c r="B147" s="94">
        <f>INDEX(SETORES!$B:$B,MATCH(A147,SETORES!$A:$A,0))</f>
        <v/>
      </c>
      <c r="C147" s="105" t="inlineStr">
        <is>
          <t>Empresa Licenciada SOARES E SILVA</t>
        </is>
      </c>
      <c r="D147" s="83">
        <f>IF(B147="Clientes",SUMIFS(PARÂMETROS!$D$8:$D$33,PARÂMETROS!$A$8:$A$33,C147,PARÂMETROS!$G$8:$G$33,J147),SUMIFS(PARÂMETROS!$E$8:$E$33,PARÂMETROS!$A$8:$A$33,C147,PARÂMETROS!$G$8:$G$33,J147))</f>
        <v/>
      </c>
      <c r="E147" s="107">
        <f>SUMIFS(SETORES!$D:$D,SETORES!$A:$A,A147,SETORES!$F:$F,J147)</f>
        <v/>
      </c>
      <c r="F147" s="107">
        <f>IFERROR(D147*E147,0)</f>
        <v/>
      </c>
      <c r="G147" s="83">
        <f>SUMIFS(PARÂMETROS!$F$8:$F$33,PARÂMETROS!$A$8:$A$33,C147,PARÂMETROS!$G$8:$G$33,J147)</f>
        <v/>
      </c>
      <c r="H147" s="107">
        <f>IFERROR(F147*G147,0)</f>
        <v/>
      </c>
      <c r="I147" s="107">
        <f>F147+H147</f>
        <v/>
      </c>
      <c r="J147" s="105" t="inlineStr">
        <is>
          <t>Junho/2026</t>
        </is>
      </c>
    </row>
    <row r="148" hidden="1" ht="14.25" customHeight="1" s="75">
      <c r="A148" s="90" t="inlineStr">
        <is>
          <t>Segurança do Trabalho</t>
        </is>
      </c>
      <c r="B148" s="90">
        <f>INDEX(SETORES!$B:$B,MATCH(A148,SETORES!$A:$A,0))</f>
        <v/>
      </c>
      <c r="C148" s="90" t="inlineStr">
        <is>
          <t>Empresa Licenciada SOUZA E SILVA</t>
        </is>
      </c>
      <c r="D148" s="88">
        <f>IF(B148="Clientes",SUMIFS(PARÂMETROS!$D$8:$D$33,PARÂMETROS!$A$8:$A$33,C148,PARÂMETROS!$G$8:$G$33,J148),SUMIFS(PARÂMETROS!$E$8:$E$33,PARÂMETROS!$A$8:$A$33,C148,PARÂMETROS!$G$8:$G$33,J148))</f>
        <v/>
      </c>
      <c r="E148" s="96">
        <f>SUMIFS(SETORES!$D:$D,SETORES!$A:$A,A148,SETORES!$F:$F,J148)</f>
        <v/>
      </c>
      <c r="F148" s="96">
        <f>IFERROR(D148*E148,0)</f>
        <v/>
      </c>
      <c r="G148" s="88">
        <f>SUMIFS(PARÂMETROS!$F$8:$F$33,PARÂMETROS!$A$8:$A$33,C148,PARÂMETROS!$G$8:$G$33,J148)</f>
        <v/>
      </c>
      <c r="H148" s="96">
        <f>IFERROR(F148*G148,0)</f>
        <v/>
      </c>
      <c r="I148" s="96">
        <f>F148+H148</f>
        <v/>
      </c>
      <c r="J148" s="90" t="inlineStr">
        <is>
          <t>Junho/2026</t>
        </is>
      </c>
    </row>
    <row r="149" hidden="1" ht="14.25" customHeight="1" s="75">
      <c r="A149" s="105" t="inlineStr">
        <is>
          <t>Segurança do Trabalho</t>
        </is>
      </c>
      <c r="B149" s="94">
        <f>INDEX(SETORES!$B:$B,MATCH(A149,SETORES!$A:$A,0))</f>
        <v/>
      </c>
      <c r="C149" s="105" t="inlineStr">
        <is>
          <t>Empresa Licenciada VOICENET</t>
        </is>
      </c>
      <c r="D149" s="83">
        <f>IF(B149="Clientes",SUMIFS(PARÂMETROS!$D$8:$D$33,PARÂMETROS!$A$8:$A$33,C149,PARÂMETROS!$G$8:$G$33,J149),SUMIFS(PARÂMETROS!$E$8:$E$33,PARÂMETROS!$A$8:$A$33,C149,PARÂMETROS!$G$8:$G$33,J149))</f>
        <v/>
      </c>
      <c r="E149" s="107">
        <f>SUMIFS(SETORES!$D:$D,SETORES!$A:$A,A149,SETORES!$F:$F,J149)</f>
        <v/>
      </c>
      <c r="F149" s="107">
        <f>IFERROR(D149*E149,0)</f>
        <v/>
      </c>
      <c r="G149" s="83">
        <f>SUMIFS(PARÂMETROS!$F$8:$F$33,PARÂMETROS!$A$8:$A$33,C149,PARÂMETROS!$G$8:$G$33,J149)</f>
        <v/>
      </c>
      <c r="H149" s="107">
        <f>IFERROR(F149*G149,0)</f>
        <v/>
      </c>
      <c r="I149" s="107">
        <f>F149+H149</f>
        <v/>
      </c>
      <c r="J149" s="105" t="inlineStr">
        <is>
          <t>Junho/2026</t>
        </is>
      </c>
    </row>
    <row r="150" hidden="1" ht="14.25" customHeight="1" s="75">
      <c r="A150" s="90" t="inlineStr">
        <is>
          <t>Segurança do Trabalho</t>
        </is>
      </c>
      <c r="B150" s="90">
        <f>INDEX(SETORES!$B:$B,MATCH(A150,SETORES!$A:$A,0))</f>
        <v/>
      </c>
      <c r="C150" s="90" t="inlineStr">
        <is>
          <t>DTEL (uso próprio)</t>
        </is>
      </c>
      <c r="D150" s="88">
        <f>IF(B150="Clientes",SUMIFS(PARÂMETROS!$D$8:$D$33,PARÂMETROS!$A$8:$A$33,C150,PARÂMETROS!$G$8:$G$33,J150),SUMIFS(PARÂMETROS!$E$8:$E$33,PARÂMETROS!$A$8:$A$33,C150,PARÂMETROS!$G$8:$G$33,J150))</f>
        <v/>
      </c>
      <c r="E150" s="96">
        <f>SUMIFS(SETORES!$D:$D,SETORES!$A:$A,A150,SETORES!$F:$F,J150)</f>
        <v/>
      </c>
      <c r="F150" s="96">
        <f>IFERROR(D150*E150,0)</f>
        <v/>
      </c>
      <c r="G150" s="88">
        <f>SUMIFS(PARÂMETROS!$F$8:$F$33,PARÂMETROS!$A$8:$A$33,C150,PARÂMETROS!$G$8:$G$33,J150)</f>
        <v/>
      </c>
      <c r="H150" s="96">
        <f>IFERROR(F150*G150,0)</f>
        <v/>
      </c>
      <c r="I150" s="96">
        <f>F150+H150</f>
        <v/>
      </c>
      <c r="J150" s="90" t="inlineStr">
        <is>
          <t>Junho/2026</t>
        </is>
      </c>
    </row>
    <row r="151" hidden="1" ht="14.25" customHeight="1" s="75">
      <c r="A151" s="105" t="inlineStr">
        <is>
          <t>Engenharia</t>
        </is>
      </c>
      <c r="B151" s="94">
        <f>INDEX(SETORES!$B:$B,MATCH(A151,SETORES!$A:$A,0))</f>
        <v/>
      </c>
      <c r="C151" s="105" t="inlineStr">
        <is>
          <t>Empresa Licenciada DX2</t>
        </is>
      </c>
      <c r="D151" s="83">
        <f>IF(B151="Clientes",SUMIFS(PARÂMETROS!$D$8:$D$33,PARÂMETROS!$A$8:$A$33,C151,PARÂMETROS!$G$8:$G$33,J151),SUMIFS(PARÂMETROS!$E$8:$E$33,PARÂMETROS!$A$8:$A$33,C151,PARÂMETROS!$G$8:$G$33,J151))</f>
        <v/>
      </c>
      <c r="E151" s="107">
        <f>SUMIFS(SETORES!$D:$D,SETORES!$A:$A,A151,SETORES!$F:$F,J151)</f>
        <v/>
      </c>
      <c r="F151" s="107">
        <f>IFERROR(D151*E151,0)</f>
        <v/>
      </c>
      <c r="G151" s="83">
        <f>SUMIFS(PARÂMETROS!$F$8:$F$33,PARÂMETROS!$A$8:$A$33,C151,PARÂMETROS!$G$8:$G$33,J151)</f>
        <v/>
      </c>
      <c r="H151" s="107">
        <f>IFERROR(F151*G151,0)</f>
        <v/>
      </c>
      <c r="I151" s="107">
        <f>F151+H151</f>
        <v/>
      </c>
      <c r="J151" s="105" t="inlineStr">
        <is>
          <t>Junho/2026</t>
        </is>
      </c>
    </row>
    <row r="152" hidden="1" ht="14.25" customHeight="1" s="75">
      <c r="A152" s="90" t="inlineStr">
        <is>
          <t>Engenharia</t>
        </is>
      </c>
      <c r="B152" s="90">
        <f>INDEX(SETORES!$B:$B,MATCH(A152,SETORES!$A:$A,0))</f>
        <v/>
      </c>
      <c r="C152" s="90" t="inlineStr">
        <is>
          <t>Empresa Licenciada H&amp;A</t>
        </is>
      </c>
      <c r="D152" s="88">
        <f>IF(B152="Clientes",SUMIFS(PARÂMETROS!$D$8:$D$33,PARÂMETROS!$A$8:$A$33,C152,PARÂMETROS!$G$8:$G$33,J152),SUMIFS(PARÂMETROS!$E$8:$E$33,PARÂMETROS!$A$8:$A$33,C152,PARÂMETROS!$G$8:$G$33,J152))</f>
        <v/>
      </c>
      <c r="E152" s="96">
        <f>SUMIFS(SETORES!$D:$D,SETORES!$A:$A,A152,SETORES!$F:$F,J152)</f>
        <v/>
      </c>
      <c r="F152" s="96">
        <f>IFERROR(D152*E152,0)</f>
        <v/>
      </c>
      <c r="G152" s="88">
        <f>SUMIFS(PARÂMETROS!$F$8:$F$33,PARÂMETROS!$A$8:$A$33,C152,PARÂMETROS!$G$8:$G$33,J152)</f>
        <v/>
      </c>
      <c r="H152" s="96">
        <f>IFERROR(F152*G152,0)</f>
        <v/>
      </c>
      <c r="I152" s="96">
        <f>F152+H152</f>
        <v/>
      </c>
      <c r="J152" s="90" t="inlineStr">
        <is>
          <t>Junho/2026</t>
        </is>
      </c>
    </row>
    <row r="153" hidden="1" ht="14.25" customHeight="1" s="75">
      <c r="A153" s="105" t="inlineStr">
        <is>
          <t>Engenharia</t>
        </is>
      </c>
      <c r="B153" s="94">
        <f>INDEX(SETORES!$B:$B,MATCH(A153,SETORES!$A:$A,0))</f>
        <v/>
      </c>
      <c r="C153" s="105" t="inlineStr">
        <is>
          <t>Empresa Licenciada SOLON ARAUJO</t>
        </is>
      </c>
      <c r="D153" s="83">
        <f>IF(B153="Clientes",SUMIFS(PARÂMETROS!$D$8:$D$33,PARÂMETROS!$A$8:$A$33,C153,PARÂMETROS!$G$8:$G$33,J153),SUMIFS(PARÂMETROS!$E$8:$E$33,PARÂMETROS!$A$8:$A$33,C153,PARÂMETROS!$G$8:$G$33,J153))</f>
        <v/>
      </c>
      <c r="E153" s="107">
        <f>SUMIFS(SETORES!$D:$D,SETORES!$A:$A,A153,SETORES!$F:$F,J153)</f>
        <v/>
      </c>
      <c r="F153" s="107">
        <f>IFERROR(D153*E153,0)</f>
        <v/>
      </c>
      <c r="G153" s="83">
        <f>SUMIFS(PARÂMETROS!$F$8:$F$33,PARÂMETROS!$A$8:$A$33,C153,PARÂMETROS!$G$8:$G$33,J153)</f>
        <v/>
      </c>
      <c r="H153" s="107">
        <f>IFERROR(F153*G153,0)</f>
        <v/>
      </c>
      <c r="I153" s="107">
        <f>F153+H153</f>
        <v/>
      </c>
      <c r="J153" s="105" t="inlineStr">
        <is>
          <t>Junho/2026</t>
        </is>
      </c>
    </row>
    <row r="154" ht="14.25" customHeight="1" s="75">
      <c r="A154" s="90" t="inlineStr">
        <is>
          <t>Engenharia</t>
        </is>
      </c>
      <c r="B154" s="90">
        <f>INDEX(SETORES!$B:$B,MATCH(A154,SETORES!$A:$A,0))</f>
        <v/>
      </c>
      <c r="C154" s="90" t="inlineStr">
        <is>
          <t>Empresa Licenciada SOARES E LINS</t>
        </is>
      </c>
      <c r="D154" s="88">
        <f>IF(B154="Clientes",SUMIFS(PARÂMETROS!$D$8:$D$33,PARÂMETROS!$A$8:$A$33,C154,PARÂMETROS!$G$8:$G$33,J154),SUMIFS(PARÂMETROS!$E$8:$E$33,PARÂMETROS!$A$8:$A$33,C154,PARÂMETROS!$G$8:$G$33,J154))</f>
        <v/>
      </c>
      <c r="E154" s="96">
        <f>SUMIFS(SETORES!$D:$D,SETORES!$A:$A,A154,SETORES!$F:$F,J154)</f>
        <v/>
      </c>
      <c r="F154" s="96">
        <f>IFERROR(D154*E154,0)</f>
        <v/>
      </c>
      <c r="G154" s="88">
        <f>SUMIFS(PARÂMETROS!$F$8:$F$33,PARÂMETROS!$A$8:$A$33,C154,PARÂMETROS!$G$8:$G$33,J154)</f>
        <v/>
      </c>
      <c r="H154" s="96">
        <f>IFERROR(F154*G154,0)</f>
        <v/>
      </c>
      <c r="I154" s="96">
        <f>F154+H154</f>
        <v/>
      </c>
      <c r="J154" s="90" t="inlineStr">
        <is>
          <t>Junho/2026</t>
        </is>
      </c>
    </row>
    <row r="155" hidden="1" ht="14.25" customHeight="1" s="75">
      <c r="A155" s="105" t="inlineStr">
        <is>
          <t>Engenharia</t>
        </is>
      </c>
      <c r="B155" s="94">
        <f>INDEX(SETORES!$B:$B,MATCH(A155,SETORES!$A:$A,0))</f>
        <v/>
      </c>
      <c r="C155" s="105" t="inlineStr">
        <is>
          <t>Empresa Licenciada SOARES E SILVA</t>
        </is>
      </c>
      <c r="D155" s="83">
        <f>IF(B155="Clientes",SUMIFS(PARÂMETROS!$D$8:$D$33,PARÂMETROS!$A$8:$A$33,C155,PARÂMETROS!$G$8:$G$33,J155),SUMIFS(PARÂMETROS!$E$8:$E$33,PARÂMETROS!$A$8:$A$33,C155,PARÂMETROS!$G$8:$G$33,J155))</f>
        <v/>
      </c>
      <c r="E155" s="107">
        <f>SUMIFS(SETORES!$D:$D,SETORES!$A:$A,A155,SETORES!$F:$F,J155)</f>
        <v/>
      </c>
      <c r="F155" s="107">
        <f>IFERROR(D155*E155,0)</f>
        <v/>
      </c>
      <c r="G155" s="83">
        <f>SUMIFS(PARÂMETROS!$F$8:$F$33,PARÂMETROS!$A$8:$A$33,C155,PARÂMETROS!$G$8:$G$33,J155)</f>
        <v/>
      </c>
      <c r="H155" s="107">
        <f>IFERROR(F155*G155,0)</f>
        <v/>
      </c>
      <c r="I155" s="107">
        <f>F155+H155</f>
        <v/>
      </c>
      <c r="J155" s="105" t="inlineStr">
        <is>
          <t>Junho/2026</t>
        </is>
      </c>
    </row>
    <row r="156" hidden="1" ht="14.25" customHeight="1" s="75">
      <c r="A156" s="90" t="inlineStr">
        <is>
          <t>Engenharia</t>
        </is>
      </c>
      <c r="B156" s="90">
        <f>INDEX(SETORES!$B:$B,MATCH(A156,SETORES!$A:$A,0))</f>
        <v/>
      </c>
      <c r="C156" s="90" t="inlineStr">
        <is>
          <t>Empresa Licenciada SOUZA E SILVA</t>
        </is>
      </c>
      <c r="D156" s="88">
        <f>IF(B156="Clientes",SUMIFS(PARÂMETROS!$D$8:$D$33,PARÂMETROS!$A$8:$A$33,C156,PARÂMETROS!$G$8:$G$33,J156),SUMIFS(PARÂMETROS!$E$8:$E$33,PARÂMETROS!$A$8:$A$33,C156,PARÂMETROS!$G$8:$G$33,J156))</f>
        <v/>
      </c>
      <c r="E156" s="96">
        <f>SUMIFS(SETORES!$D:$D,SETORES!$A:$A,A156,SETORES!$F:$F,J156)</f>
        <v/>
      </c>
      <c r="F156" s="96">
        <f>IFERROR(D156*E156,0)</f>
        <v/>
      </c>
      <c r="G156" s="88">
        <f>SUMIFS(PARÂMETROS!$F$8:$F$33,PARÂMETROS!$A$8:$A$33,C156,PARÂMETROS!$G$8:$G$33,J156)</f>
        <v/>
      </c>
      <c r="H156" s="96">
        <f>IFERROR(F156*G156,0)</f>
        <v/>
      </c>
      <c r="I156" s="96">
        <f>F156+H156</f>
        <v/>
      </c>
      <c r="J156" s="90" t="inlineStr">
        <is>
          <t>Junho/2026</t>
        </is>
      </c>
    </row>
    <row r="157" hidden="1" ht="14.25" customHeight="1" s="75">
      <c r="A157" s="105" t="inlineStr">
        <is>
          <t>Engenharia</t>
        </is>
      </c>
      <c r="B157" s="94">
        <f>INDEX(SETORES!$B:$B,MATCH(A157,SETORES!$A:$A,0))</f>
        <v/>
      </c>
      <c r="C157" s="105" t="inlineStr">
        <is>
          <t>Empresa Licenciada VOICENET</t>
        </is>
      </c>
      <c r="D157" s="83">
        <f>IF(B157="Clientes",SUMIFS(PARÂMETROS!$D$8:$D$33,PARÂMETROS!$A$8:$A$33,C157,PARÂMETROS!$G$8:$G$33,J157),SUMIFS(PARÂMETROS!$E$8:$E$33,PARÂMETROS!$A$8:$A$33,C157,PARÂMETROS!$G$8:$G$33,J157))</f>
        <v/>
      </c>
      <c r="E157" s="107">
        <f>SUMIFS(SETORES!$D:$D,SETORES!$A:$A,A157,SETORES!$F:$F,J157)</f>
        <v/>
      </c>
      <c r="F157" s="107">
        <f>IFERROR(D157*E157,0)</f>
        <v/>
      </c>
      <c r="G157" s="83">
        <f>SUMIFS(PARÂMETROS!$F$8:$F$33,PARÂMETROS!$A$8:$A$33,C157,PARÂMETROS!$G$8:$G$33,J157)</f>
        <v/>
      </c>
      <c r="H157" s="107">
        <f>IFERROR(F157*G157,0)</f>
        <v/>
      </c>
      <c r="I157" s="107">
        <f>F157+H157</f>
        <v/>
      </c>
      <c r="J157" s="105" t="inlineStr">
        <is>
          <t>Junho/2026</t>
        </is>
      </c>
    </row>
    <row r="158" hidden="1" ht="14.25" customHeight="1" s="75">
      <c r="A158" s="90" t="inlineStr">
        <is>
          <t>Engenharia</t>
        </is>
      </c>
      <c r="B158" s="90">
        <f>INDEX(SETORES!$B:$B,MATCH(A158,SETORES!$A:$A,0))</f>
        <v/>
      </c>
      <c r="C158" s="90" t="inlineStr">
        <is>
          <t>DTEL (uso próprio)</t>
        </is>
      </c>
      <c r="D158" s="88">
        <f>IF(B158="Clientes",SUMIFS(PARÂMETROS!$D$8:$D$33,PARÂMETROS!$A$8:$A$33,C158,PARÂMETROS!$G$8:$G$33,J158),SUMIFS(PARÂMETROS!$E$8:$E$33,PARÂMETROS!$A$8:$A$33,C158,PARÂMETROS!$G$8:$G$33,J158))</f>
        <v/>
      </c>
      <c r="E158" s="96">
        <f>SUMIFS(SETORES!$D:$D,SETORES!$A:$A,A158,SETORES!$F:$F,J158)</f>
        <v/>
      </c>
      <c r="F158" s="96">
        <f>IFERROR(D158*E158,0)</f>
        <v/>
      </c>
      <c r="G158" s="88">
        <f>SUMIFS(PARÂMETROS!$F$8:$F$33,PARÂMETROS!$A$8:$A$33,C158,PARÂMETROS!$G$8:$G$33,J158)</f>
        <v/>
      </c>
      <c r="H158" s="96">
        <f>IFERROR(F158*G158,0)</f>
        <v/>
      </c>
      <c r="I158" s="96">
        <f>F158+H158</f>
        <v/>
      </c>
      <c r="J158" s="90" t="inlineStr">
        <is>
          <t>Junho/2026</t>
        </is>
      </c>
    </row>
    <row r="159" hidden="1" ht="14.25" customHeight="1" s="75">
      <c r="A159" s="105" t="inlineStr">
        <is>
          <t>Obras</t>
        </is>
      </c>
      <c r="B159" s="94">
        <f>INDEX(SETORES!$B:$B,MATCH(A159,SETORES!$A:$A,0))</f>
        <v/>
      </c>
      <c r="C159" s="105" t="inlineStr">
        <is>
          <t>Empresa Licenciada DX2</t>
        </is>
      </c>
      <c r="D159" s="83">
        <f>IF(B159="Clientes",SUMIFS(PARÂMETROS!$D$8:$D$33,PARÂMETROS!$A$8:$A$33,C159,PARÂMETROS!$G$8:$G$33,J159),SUMIFS(PARÂMETROS!$E$8:$E$33,PARÂMETROS!$A$8:$A$33,C159,PARÂMETROS!$G$8:$G$33,J159))</f>
        <v/>
      </c>
      <c r="E159" s="107">
        <f>SUMIFS(SETORES!$D:$D,SETORES!$A:$A,A159,SETORES!$F:$F,J159)</f>
        <v/>
      </c>
      <c r="F159" s="107">
        <f>IFERROR(D159*E159,0)</f>
        <v/>
      </c>
      <c r="G159" s="83">
        <f>SUMIFS(PARÂMETROS!$F$8:$F$33,PARÂMETROS!$A$8:$A$33,C159,PARÂMETROS!$G$8:$G$33,J159)</f>
        <v/>
      </c>
      <c r="H159" s="107">
        <f>IFERROR(F159*G159,0)</f>
        <v/>
      </c>
      <c r="I159" s="107">
        <f>F159+H159</f>
        <v/>
      </c>
      <c r="J159" s="105" t="inlineStr">
        <is>
          <t>Junho/2026</t>
        </is>
      </c>
    </row>
    <row r="160" hidden="1" ht="14.25" customHeight="1" s="75">
      <c r="A160" s="90" t="inlineStr">
        <is>
          <t>Obras</t>
        </is>
      </c>
      <c r="B160" s="90">
        <f>INDEX(SETORES!$B:$B,MATCH(A160,SETORES!$A:$A,0))</f>
        <v/>
      </c>
      <c r="C160" s="90" t="inlineStr">
        <is>
          <t>Empresa Licenciada H&amp;A</t>
        </is>
      </c>
      <c r="D160" s="88">
        <f>IF(B160="Clientes",SUMIFS(PARÂMETROS!$D$8:$D$33,PARÂMETROS!$A$8:$A$33,C160,PARÂMETROS!$G$8:$G$33,J160),SUMIFS(PARÂMETROS!$E$8:$E$33,PARÂMETROS!$A$8:$A$33,C160,PARÂMETROS!$G$8:$G$33,J160))</f>
        <v/>
      </c>
      <c r="E160" s="96">
        <f>SUMIFS(SETORES!$D:$D,SETORES!$A:$A,A160,SETORES!$F:$F,J160)</f>
        <v/>
      </c>
      <c r="F160" s="96">
        <f>IFERROR(D160*E160,0)</f>
        <v/>
      </c>
      <c r="G160" s="88">
        <f>SUMIFS(PARÂMETROS!$F$8:$F$33,PARÂMETROS!$A$8:$A$33,C160,PARÂMETROS!$G$8:$G$33,J160)</f>
        <v/>
      </c>
      <c r="H160" s="96">
        <f>IFERROR(F160*G160,0)</f>
        <v/>
      </c>
      <c r="I160" s="96">
        <f>F160+H160</f>
        <v/>
      </c>
      <c r="J160" s="90" t="inlineStr">
        <is>
          <t>Junho/2026</t>
        </is>
      </c>
    </row>
    <row r="161" hidden="1" ht="14.25" customHeight="1" s="75">
      <c r="A161" s="105" t="inlineStr">
        <is>
          <t>Obras</t>
        </is>
      </c>
      <c r="B161" s="94">
        <f>INDEX(SETORES!$B:$B,MATCH(A161,SETORES!$A:$A,0))</f>
        <v/>
      </c>
      <c r="C161" s="105" t="inlineStr">
        <is>
          <t>Empresa Licenciada SOLON ARAUJO</t>
        </is>
      </c>
      <c r="D161" s="83">
        <f>IF(B161="Clientes",SUMIFS(PARÂMETROS!$D$8:$D$33,PARÂMETROS!$A$8:$A$33,C161,PARÂMETROS!$G$8:$G$33,J161),SUMIFS(PARÂMETROS!$E$8:$E$33,PARÂMETROS!$A$8:$A$33,C161,PARÂMETROS!$G$8:$G$33,J161))</f>
        <v/>
      </c>
      <c r="E161" s="107">
        <f>SUMIFS(SETORES!$D:$D,SETORES!$A:$A,A161,SETORES!$F:$F,J161)</f>
        <v/>
      </c>
      <c r="F161" s="107">
        <f>IFERROR(D161*E161,0)</f>
        <v/>
      </c>
      <c r="G161" s="83">
        <f>SUMIFS(PARÂMETROS!$F$8:$F$33,PARÂMETROS!$A$8:$A$33,C161,PARÂMETROS!$G$8:$G$33,J161)</f>
        <v/>
      </c>
      <c r="H161" s="107">
        <f>IFERROR(F161*G161,0)</f>
        <v/>
      </c>
      <c r="I161" s="107">
        <f>F161+H161</f>
        <v/>
      </c>
      <c r="J161" s="105" t="inlineStr">
        <is>
          <t>Junho/2026</t>
        </is>
      </c>
    </row>
    <row r="162" ht="14.25" customHeight="1" s="75">
      <c r="A162" s="90" t="inlineStr">
        <is>
          <t>Obras</t>
        </is>
      </c>
      <c r="B162" s="90">
        <f>INDEX(SETORES!$B:$B,MATCH(A162,SETORES!$A:$A,0))</f>
        <v/>
      </c>
      <c r="C162" s="90" t="inlineStr">
        <is>
          <t>Empresa Licenciada SOARES E LINS</t>
        </is>
      </c>
      <c r="D162" s="88">
        <f>IF(B162="Clientes",SUMIFS(PARÂMETROS!$D$8:$D$33,PARÂMETROS!$A$8:$A$33,C162,PARÂMETROS!$G$8:$G$33,J162),SUMIFS(PARÂMETROS!$E$8:$E$33,PARÂMETROS!$A$8:$A$33,C162,PARÂMETROS!$G$8:$G$33,J162))</f>
        <v/>
      </c>
      <c r="E162" s="96">
        <f>SUMIFS(SETORES!$D:$D,SETORES!$A:$A,A162,SETORES!$F:$F,J162)</f>
        <v/>
      </c>
      <c r="F162" s="96">
        <f>IFERROR(D162*E162,0)</f>
        <v/>
      </c>
      <c r="G162" s="88">
        <f>SUMIFS(PARÂMETROS!$F$8:$F$33,PARÂMETROS!$A$8:$A$33,C162,PARÂMETROS!$G$8:$G$33,J162)</f>
        <v/>
      </c>
      <c r="H162" s="96">
        <f>IFERROR(F162*G162,0)</f>
        <v/>
      </c>
      <c r="I162" s="96">
        <f>F162+H162</f>
        <v/>
      </c>
      <c r="J162" s="90" t="inlineStr">
        <is>
          <t>Junho/2026</t>
        </is>
      </c>
    </row>
    <row r="163" hidden="1" ht="14.25" customHeight="1" s="75">
      <c r="A163" s="105" t="inlineStr">
        <is>
          <t>Obras</t>
        </is>
      </c>
      <c r="B163" s="94">
        <f>INDEX(SETORES!$B:$B,MATCH(A163,SETORES!$A:$A,0))</f>
        <v/>
      </c>
      <c r="C163" s="105" t="inlineStr">
        <is>
          <t>Empresa Licenciada SOARES E SILVA</t>
        </is>
      </c>
      <c r="D163" s="83">
        <f>IF(B163="Clientes",SUMIFS(PARÂMETROS!$D$8:$D$33,PARÂMETROS!$A$8:$A$33,C163,PARÂMETROS!$G$8:$G$33,J163),SUMIFS(PARÂMETROS!$E$8:$E$33,PARÂMETROS!$A$8:$A$33,C163,PARÂMETROS!$G$8:$G$33,J163))</f>
        <v/>
      </c>
      <c r="E163" s="107">
        <f>SUMIFS(SETORES!$D:$D,SETORES!$A:$A,A163,SETORES!$F:$F,J163)</f>
        <v/>
      </c>
      <c r="F163" s="107">
        <f>IFERROR(D163*E163,0)</f>
        <v/>
      </c>
      <c r="G163" s="83">
        <f>SUMIFS(PARÂMETROS!$F$8:$F$33,PARÂMETROS!$A$8:$A$33,C163,PARÂMETROS!$G$8:$G$33,J163)</f>
        <v/>
      </c>
      <c r="H163" s="107">
        <f>IFERROR(F163*G163,0)</f>
        <v/>
      </c>
      <c r="I163" s="107">
        <f>F163+H163</f>
        <v/>
      </c>
      <c r="J163" s="105" t="inlineStr">
        <is>
          <t>Junho/2026</t>
        </is>
      </c>
    </row>
    <row r="164" hidden="1" ht="14.25" customHeight="1" s="75">
      <c r="A164" s="90" t="inlineStr">
        <is>
          <t>Obras</t>
        </is>
      </c>
      <c r="B164" s="90">
        <f>INDEX(SETORES!$B:$B,MATCH(A164,SETORES!$A:$A,0))</f>
        <v/>
      </c>
      <c r="C164" s="90" t="inlineStr">
        <is>
          <t>Empresa Licenciada SOUZA E SILVA</t>
        </is>
      </c>
      <c r="D164" s="88">
        <f>IF(B164="Clientes",SUMIFS(PARÂMETROS!$D$8:$D$33,PARÂMETROS!$A$8:$A$33,C164,PARÂMETROS!$G$8:$G$33,J164),SUMIFS(PARÂMETROS!$E$8:$E$33,PARÂMETROS!$A$8:$A$33,C164,PARÂMETROS!$G$8:$G$33,J164))</f>
        <v/>
      </c>
      <c r="E164" s="96">
        <f>SUMIFS(SETORES!$D:$D,SETORES!$A:$A,A164,SETORES!$F:$F,J164)</f>
        <v/>
      </c>
      <c r="F164" s="96">
        <f>IFERROR(D164*E164,0)</f>
        <v/>
      </c>
      <c r="G164" s="88">
        <f>SUMIFS(PARÂMETROS!$F$8:$F$33,PARÂMETROS!$A$8:$A$33,C164,PARÂMETROS!$G$8:$G$33,J164)</f>
        <v/>
      </c>
      <c r="H164" s="96">
        <f>IFERROR(F164*G164,0)</f>
        <v/>
      </c>
      <c r="I164" s="96">
        <f>F164+H164</f>
        <v/>
      </c>
      <c r="J164" s="90" t="inlineStr">
        <is>
          <t>Junho/2026</t>
        </is>
      </c>
    </row>
    <row r="165" hidden="1" ht="14.25" customHeight="1" s="75">
      <c r="A165" s="105" t="inlineStr">
        <is>
          <t>Obras</t>
        </is>
      </c>
      <c r="B165" s="94">
        <f>INDEX(SETORES!$B:$B,MATCH(A165,SETORES!$A:$A,0))</f>
        <v/>
      </c>
      <c r="C165" s="105" t="inlineStr">
        <is>
          <t>Empresa Licenciada VOICENET</t>
        </is>
      </c>
      <c r="D165" s="83">
        <f>IF(B165="Clientes",SUMIFS(PARÂMETROS!$D$8:$D$33,PARÂMETROS!$A$8:$A$33,C165,PARÂMETROS!$G$8:$G$33,J165),SUMIFS(PARÂMETROS!$E$8:$E$33,PARÂMETROS!$A$8:$A$33,C165,PARÂMETROS!$G$8:$G$33,J165))</f>
        <v/>
      </c>
      <c r="E165" s="107">
        <f>SUMIFS(SETORES!$D:$D,SETORES!$A:$A,A165,SETORES!$F:$F,J165)</f>
        <v/>
      </c>
      <c r="F165" s="107">
        <f>IFERROR(D165*E165,0)</f>
        <v/>
      </c>
      <c r="G165" s="83">
        <f>SUMIFS(PARÂMETROS!$F$8:$F$33,PARÂMETROS!$A$8:$A$33,C165,PARÂMETROS!$G$8:$G$33,J165)</f>
        <v/>
      </c>
      <c r="H165" s="107">
        <f>IFERROR(F165*G165,0)</f>
        <v/>
      </c>
      <c r="I165" s="107">
        <f>F165+H165</f>
        <v/>
      </c>
      <c r="J165" s="105" t="inlineStr">
        <is>
          <t>Junho/2026</t>
        </is>
      </c>
    </row>
    <row r="166" hidden="1" ht="14.25" customHeight="1" s="75">
      <c r="A166" s="90" t="inlineStr">
        <is>
          <t>Obras</t>
        </is>
      </c>
      <c r="B166" s="90">
        <f>INDEX(SETORES!$B:$B,MATCH(A166,SETORES!$A:$A,0))</f>
        <v/>
      </c>
      <c r="C166" s="90" t="inlineStr">
        <is>
          <t>DTEL (uso próprio)</t>
        </is>
      </c>
      <c r="D166" s="88">
        <f>IF(B166="Clientes",SUMIFS(PARÂMETROS!$D$8:$D$33,PARÂMETROS!$A$8:$A$33,C166,PARÂMETROS!$G$8:$G$33,J166),SUMIFS(PARÂMETROS!$E$8:$E$33,PARÂMETROS!$A$8:$A$33,C166,PARÂMETROS!$G$8:$G$33,J166))</f>
        <v/>
      </c>
      <c r="E166" s="96">
        <f>SUMIFS(SETORES!$D:$D,SETORES!$A:$A,A166,SETORES!$F:$F,J166)</f>
        <v/>
      </c>
      <c r="F166" s="96">
        <f>IFERROR(D166*E166,0)</f>
        <v/>
      </c>
      <c r="G166" s="88">
        <f>SUMIFS(PARÂMETROS!$F$8:$F$33,PARÂMETROS!$A$8:$A$33,C166,PARÂMETROS!$G$8:$G$33,J166)</f>
        <v/>
      </c>
      <c r="H166" s="96">
        <f>IFERROR(F166*G166,0)</f>
        <v/>
      </c>
      <c r="I166" s="96">
        <f>F166+H166</f>
        <v/>
      </c>
      <c r="J166" s="90" t="inlineStr">
        <is>
          <t>Junho/2026</t>
        </is>
      </c>
    </row>
    <row r="167" hidden="1" ht="14.25" customHeight="1" s="75">
      <c r="A167" s="105" t="inlineStr">
        <is>
          <t>Manutenção Predial</t>
        </is>
      </c>
      <c r="B167" s="94">
        <f>INDEX(SETORES!$B:$B,MATCH(A167,SETORES!$A:$A,0))</f>
        <v/>
      </c>
      <c r="C167" s="105" t="inlineStr">
        <is>
          <t>Empresa Licenciada DX2</t>
        </is>
      </c>
      <c r="D167" s="83">
        <f>IF(B167="Clientes",SUMIFS(PARÂMETROS!$D$8:$D$33,PARÂMETROS!$A$8:$A$33,C167,PARÂMETROS!$G$8:$G$33,J167),SUMIFS(PARÂMETROS!$E$8:$E$33,PARÂMETROS!$A$8:$A$33,C167,PARÂMETROS!$G$8:$G$33,J167))</f>
        <v/>
      </c>
      <c r="E167" s="107">
        <f>SUMIFS(SETORES!$D:$D,SETORES!$A:$A,A167,SETORES!$F:$F,J167)</f>
        <v/>
      </c>
      <c r="F167" s="107">
        <f>IFERROR(D167*E167,0)</f>
        <v/>
      </c>
      <c r="G167" s="83">
        <f>SUMIFS(PARÂMETROS!$F$8:$F$33,PARÂMETROS!$A$8:$A$33,C167,PARÂMETROS!$G$8:$G$33,J167)</f>
        <v/>
      </c>
      <c r="H167" s="107">
        <f>IFERROR(F167*G167,0)</f>
        <v/>
      </c>
      <c r="I167" s="107">
        <f>F167+H167</f>
        <v/>
      </c>
      <c r="J167" s="105" t="inlineStr">
        <is>
          <t>Junho/2026</t>
        </is>
      </c>
    </row>
    <row r="168" hidden="1" ht="14.25" customHeight="1" s="75">
      <c r="A168" s="90" t="inlineStr">
        <is>
          <t>Manutenção Predial</t>
        </is>
      </c>
      <c r="B168" s="90">
        <f>INDEX(SETORES!$B:$B,MATCH(A168,SETORES!$A:$A,0))</f>
        <v/>
      </c>
      <c r="C168" s="90" t="inlineStr">
        <is>
          <t>Empresa Licenciada H&amp;A</t>
        </is>
      </c>
      <c r="D168" s="88">
        <f>IF(B168="Clientes",SUMIFS(PARÂMETROS!$D$8:$D$33,PARÂMETROS!$A$8:$A$33,C168,PARÂMETROS!$G$8:$G$33,J168),SUMIFS(PARÂMETROS!$E$8:$E$33,PARÂMETROS!$A$8:$A$33,C168,PARÂMETROS!$G$8:$G$33,J168))</f>
        <v/>
      </c>
      <c r="E168" s="96">
        <f>SUMIFS(SETORES!$D:$D,SETORES!$A:$A,A168,SETORES!$F:$F,J168)</f>
        <v/>
      </c>
      <c r="F168" s="96">
        <f>IFERROR(D168*E168,0)</f>
        <v/>
      </c>
      <c r="G168" s="88">
        <f>SUMIFS(PARÂMETROS!$F$8:$F$33,PARÂMETROS!$A$8:$A$33,C168,PARÂMETROS!$G$8:$G$33,J168)</f>
        <v/>
      </c>
      <c r="H168" s="96">
        <f>IFERROR(F168*G168,0)</f>
        <v/>
      </c>
      <c r="I168" s="96">
        <f>F168+H168</f>
        <v/>
      </c>
      <c r="J168" s="90" t="inlineStr">
        <is>
          <t>Junho/2026</t>
        </is>
      </c>
    </row>
    <row r="169" hidden="1" ht="14.25" customHeight="1" s="75">
      <c r="A169" s="105" t="inlineStr">
        <is>
          <t>Manutenção Predial</t>
        </is>
      </c>
      <c r="B169" s="94">
        <f>INDEX(SETORES!$B:$B,MATCH(A169,SETORES!$A:$A,0))</f>
        <v/>
      </c>
      <c r="C169" s="105" t="inlineStr">
        <is>
          <t>Empresa Licenciada SOLON ARAUJO</t>
        </is>
      </c>
      <c r="D169" s="83">
        <f>IF(B169="Clientes",SUMIFS(PARÂMETROS!$D$8:$D$33,PARÂMETROS!$A$8:$A$33,C169,PARÂMETROS!$G$8:$G$33,J169),SUMIFS(PARÂMETROS!$E$8:$E$33,PARÂMETROS!$A$8:$A$33,C169,PARÂMETROS!$G$8:$G$33,J169))</f>
        <v/>
      </c>
      <c r="E169" s="107">
        <f>SUMIFS(SETORES!$D:$D,SETORES!$A:$A,A169,SETORES!$F:$F,J169)</f>
        <v/>
      </c>
      <c r="F169" s="107">
        <f>IFERROR(D169*E169,0)</f>
        <v/>
      </c>
      <c r="G169" s="83">
        <f>SUMIFS(PARÂMETROS!$F$8:$F$33,PARÂMETROS!$A$8:$A$33,C169,PARÂMETROS!$G$8:$G$33,J169)</f>
        <v/>
      </c>
      <c r="H169" s="107">
        <f>IFERROR(F169*G169,0)</f>
        <v/>
      </c>
      <c r="I169" s="107">
        <f>F169+H169</f>
        <v/>
      </c>
      <c r="J169" s="105" t="inlineStr">
        <is>
          <t>Junho/2026</t>
        </is>
      </c>
    </row>
    <row r="170" ht="14.25" customHeight="1" s="75">
      <c r="A170" s="90" t="inlineStr">
        <is>
          <t>Manutenção Predial</t>
        </is>
      </c>
      <c r="B170" s="90">
        <f>INDEX(SETORES!$B:$B,MATCH(A170,SETORES!$A:$A,0))</f>
        <v/>
      </c>
      <c r="C170" s="90" t="inlineStr">
        <is>
          <t>Empresa Licenciada SOARES E LINS</t>
        </is>
      </c>
      <c r="D170" s="88">
        <f>IF(B170="Clientes",SUMIFS(PARÂMETROS!$D$8:$D$33,PARÂMETROS!$A$8:$A$33,C170,PARÂMETROS!$G$8:$G$33,J170),SUMIFS(PARÂMETROS!$E$8:$E$33,PARÂMETROS!$A$8:$A$33,C170,PARÂMETROS!$G$8:$G$33,J170))</f>
        <v/>
      </c>
      <c r="E170" s="96">
        <f>SUMIFS(SETORES!$D:$D,SETORES!$A:$A,A170,SETORES!$F:$F,J170)</f>
        <v/>
      </c>
      <c r="F170" s="96">
        <f>IFERROR(D170*E170,0)</f>
        <v/>
      </c>
      <c r="G170" s="88">
        <f>SUMIFS(PARÂMETROS!$F$8:$F$33,PARÂMETROS!$A$8:$A$33,C170,PARÂMETROS!$G$8:$G$33,J170)</f>
        <v/>
      </c>
      <c r="H170" s="96">
        <f>IFERROR(F170*G170,0)</f>
        <v/>
      </c>
      <c r="I170" s="96">
        <f>F170+H170</f>
        <v/>
      </c>
      <c r="J170" s="90" t="inlineStr">
        <is>
          <t>Junho/2026</t>
        </is>
      </c>
    </row>
    <row r="171" hidden="1" ht="14.25" customHeight="1" s="75">
      <c r="A171" s="105" t="inlineStr">
        <is>
          <t>Manutenção Predial</t>
        </is>
      </c>
      <c r="B171" s="94">
        <f>INDEX(SETORES!$B:$B,MATCH(A171,SETORES!$A:$A,0))</f>
        <v/>
      </c>
      <c r="C171" s="105" t="inlineStr">
        <is>
          <t>Empresa Licenciada SOARES E SILVA</t>
        </is>
      </c>
      <c r="D171" s="83">
        <f>IF(B171="Clientes",SUMIFS(PARÂMETROS!$D$8:$D$33,PARÂMETROS!$A$8:$A$33,C171,PARÂMETROS!$G$8:$G$33,J171),SUMIFS(PARÂMETROS!$E$8:$E$33,PARÂMETROS!$A$8:$A$33,C171,PARÂMETROS!$G$8:$G$33,J171))</f>
        <v/>
      </c>
      <c r="E171" s="107">
        <f>SUMIFS(SETORES!$D:$D,SETORES!$A:$A,A171,SETORES!$F:$F,J171)</f>
        <v/>
      </c>
      <c r="F171" s="107">
        <f>IFERROR(D171*E171,0)</f>
        <v/>
      </c>
      <c r="G171" s="83">
        <f>SUMIFS(PARÂMETROS!$F$8:$F$33,PARÂMETROS!$A$8:$A$33,C171,PARÂMETROS!$G$8:$G$33,J171)</f>
        <v/>
      </c>
      <c r="H171" s="107">
        <f>IFERROR(F171*G171,0)</f>
        <v/>
      </c>
      <c r="I171" s="107">
        <f>F171+H171</f>
        <v/>
      </c>
      <c r="J171" s="105" t="inlineStr">
        <is>
          <t>Junho/2026</t>
        </is>
      </c>
    </row>
    <row r="172" hidden="1" ht="14.25" customHeight="1" s="75">
      <c r="A172" s="90" t="inlineStr">
        <is>
          <t>Manutenção Predial</t>
        </is>
      </c>
      <c r="B172" s="90">
        <f>INDEX(SETORES!$B:$B,MATCH(A172,SETORES!$A:$A,0))</f>
        <v/>
      </c>
      <c r="C172" s="90" t="inlineStr">
        <is>
          <t>Empresa Licenciada SOUZA E SILVA</t>
        </is>
      </c>
      <c r="D172" s="88">
        <f>IF(B172="Clientes",SUMIFS(PARÂMETROS!$D$8:$D$33,PARÂMETROS!$A$8:$A$33,C172,PARÂMETROS!$G$8:$G$33,J172),SUMIFS(PARÂMETROS!$E$8:$E$33,PARÂMETROS!$A$8:$A$33,C172,PARÂMETROS!$G$8:$G$33,J172))</f>
        <v/>
      </c>
      <c r="E172" s="96">
        <f>SUMIFS(SETORES!$D:$D,SETORES!$A:$A,A172,SETORES!$F:$F,J172)</f>
        <v/>
      </c>
      <c r="F172" s="96">
        <f>IFERROR(D172*E172,0)</f>
        <v/>
      </c>
      <c r="G172" s="88">
        <f>SUMIFS(PARÂMETROS!$F$8:$F$33,PARÂMETROS!$A$8:$A$33,C172,PARÂMETROS!$G$8:$G$33,J172)</f>
        <v/>
      </c>
      <c r="H172" s="96">
        <f>IFERROR(F172*G172,0)</f>
        <v/>
      </c>
      <c r="I172" s="96">
        <f>F172+H172</f>
        <v/>
      </c>
      <c r="J172" s="90" t="inlineStr">
        <is>
          <t>Junho/2026</t>
        </is>
      </c>
    </row>
    <row r="173" hidden="1" ht="14.25" customHeight="1" s="75">
      <c r="A173" s="105" t="inlineStr">
        <is>
          <t>Manutenção Predial</t>
        </is>
      </c>
      <c r="B173" s="94">
        <f>INDEX(SETORES!$B:$B,MATCH(A173,SETORES!$A:$A,0))</f>
        <v/>
      </c>
      <c r="C173" s="105" t="inlineStr">
        <is>
          <t>Empresa Licenciada VOICENET</t>
        </is>
      </c>
      <c r="D173" s="83">
        <f>IF(B173="Clientes",SUMIFS(PARÂMETROS!$D$8:$D$33,PARÂMETROS!$A$8:$A$33,C173,PARÂMETROS!$G$8:$G$33,J173),SUMIFS(PARÂMETROS!$E$8:$E$33,PARÂMETROS!$A$8:$A$33,C173,PARÂMETROS!$G$8:$G$33,J173))</f>
        <v/>
      </c>
      <c r="E173" s="107">
        <f>SUMIFS(SETORES!$D:$D,SETORES!$A:$A,A173,SETORES!$F:$F,J173)</f>
        <v/>
      </c>
      <c r="F173" s="107">
        <f>IFERROR(D173*E173,0)</f>
        <v/>
      </c>
      <c r="G173" s="83">
        <f>SUMIFS(PARÂMETROS!$F$8:$F$33,PARÂMETROS!$A$8:$A$33,C173,PARÂMETROS!$G$8:$G$33,J173)</f>
        <v/>
      </c>
      <c r="H173" s="107">
        <f>IFERROR(F173*G173,0)</f>
        <v/>
      </c>
      <c r="I173" s="107">
        <f>F173+H173</f>
        <v/>
      </c>
      <c r="J173" s="105" t="inlineStr">
        <is>
          <t>Junho/2026</t>
        </is>
      </c>
    </row>
    <row r="174" hidden="1" ht="14.25" customHeight="1" s="75">
      <c r="A174" s="90" t="inlineStr">
        <is>
          <t>Manutenção Predial</t>
        </is>
      </c>
      <c r="B174" s="90">
        <f>INDEX(SETORES!$B:$B,MATCH(A174,SETORES!$A:$A,0))</f>
        <v/>
      </c>
      <c r="C174" s="90" t="inlineStr">
        <is>
          <t>DTEL (uso próprio)</t>
        </is>
      </c>
      <c r="D174" s="88">
        <f>IF(B174="Clientes",SUMIFS(PARÂMETROS!$D$8:$D$33,PARÂMETROS!$A$8:$A$33,C174,PARÂMETROS!$G$8:$G$33,J174),SUMIFS(PARÂMETROS!$E$8:$E$33,PARÂMETROS!$A$8:$A$33,C174,PARÂMETROS!$G$8:$G$33,J174))</f>
        <v/>
      </c>
      <c r="E174" s="96">
        <f>SUMIFS(SETORES!$D:$D,SETORES!$A:$A,A174,SETORES!$F:$F,J174)</f>
        <v/>
      </c>
      <c r="F174" s="96">
        <f>IFERROR(D174*E174,0)</f>
        <v/>
      </c>
      <c r="G174" s="88">
        <f>SUMIFS(PARÂMETROS!$F$8:$F$33,PARÂMETROS!$A$8:$A$33,C174,PARÂMETROS!$G$8:$G$33,J174)</f>
        <v/>
      </c>
      <c r="H174" s="96">
        <f>IFERROR(F174*G174,0)</f>
        <v/>
      </c>
      <c r="I174" s="96">
        <f>F174+H174</f>
        <v/>
      </c>
      <c r="J174" s="90" t="inlineStr">
        <is>
          <t>Junho/2026</t>
        </is>
      </c>
    </row>
    <row r="175" hidden="1" ht="14.25" customHeight="1" s="75">
      <c r="A175" s="105" t="inlineStr">
        <is>
          <t>Logística</t>
        </is>
      </c>
      <c r="B175" s="94">
        <f>INDEX(SETORES!$B:$B,MATCH(A175,SETORES!$A:$A,0))</f>
        <v/>
      </c>
      <c r="C175" s="105" t="inlineStr">
        <is>
          <t>Empresa Licenciada DX2</t>
        </is>
      </c>
      <c r="D175" s="83">
        <f>IF(B175="Clientes",SUMIFS(PARÂMETROS!$D$8:$D$33,PARÂMETROS!$A$8:$A$33,C175,PARÂMETROS!$G$8:$G$33,J175),SUMIFS(PARÂMETROS!$E$8:$E$33,PARÂMETROS!$A$8:$A$33,C175,PARÂMETROS!$G$8:$G$33,J175))</f>
        <v/>
      </c>
      <c r="E175" s="107">
        <f>SUMIFS(SETORES!$D:$D,SETORES!$A:$A,A175,SETORES!$F:$F,J175)</f>
        <v/>
      </c>
      <c r="F175" s="107">
        <f>IFERROR(D175*E175,0)</f>
        <v/>
      </c>
      <c r="G175" s="83">
        <f>SUMIFS(PARÂMETROS!$F$8:$F$33,PARÂMETROS!$A$8:$A$33,C175,PARÂMETROS!$G$8:$G$33,J175)</f>
        <v/>
      </c>
      <c r="H175" s="107">
        <f>IFERROR(F175*G175,0)</f>
        <v/>
      </c>
      <c r="I175" s="107">
        <f>F175+H175</f>
        <v/>
      </c>
      <c r="J175" s="105" t="inlineStr">
        <is>
          <t>Junho/2026</t>
        </is>
      </c>
    </row>
    <row r="176" hidden="1" ht="14.25" customHeight="1" s="75">
      <c r="A176" s="90" t="inlineStr">
        <is>
          <t>Logística</t>
        </is>
      </c>
      <c r="B176" s="90">
        <f>INDEX(SETORES!$B:$B,MATCH(A176,SETORES!$A:$A,0))</f>
        <v/>
      </c>
      <c r="C176" s="90" t="inlineStr">
        <is>
          <t>Empresa Licenciada H&amp;A</t>
        </is>
      </c>
      <c r="D176" s="88">
        <f>IF(B176="Clientes",SUMIFS(PARÂMETROS!$D$8:$D$33,PARÂMETROS!$A$8:$A$33,C176,PARÂMETROS!$G$8:$G$33,J176),SUMIFS(PARÂMETROS!$E$8:$E$33,PARÂMETROS!$A$8:$A$33,C176,PARÂMETROS!$G$8:$G$33,J176))</f>
        <v/>
      </c>
      <c r="E176" s="96">
        <f>SUMIFS(SETORES!$D:$D,SETORES!$A:$A,A176,SETORES!$F:$F,J176)</f>
        <v/>
      </c>
      <c r="F176" s="96">
        <f>IFERROR(D176*E176,0)</f>
        <v/>
      </c>
      <c r="G176" s="88">
        <f>SUMIFS(PARÂMETROS!$F$8:$F$33,PARÂMETROS!$A$8:$A$33,C176,PARÂMETROS!$G$8:$G$33,J176)</f>
        <v/>
      </c>
      <c r="H176" s="96">
        <f>IFERROR(F176*G176,0)</f>
        <v/>
      </c>
      <c r="I176" s="96">
        <f>F176+H176</f>
        <v/>
      </c>
      <c r="J176" s="90" t="inlineStr">
        <is>
          <t>Junho/2026</t>
        </is>
      </c>
    </row>
    <row r="177" hidden="1" ht="14.25" customHeight="1" s="75">
      <c r="A177" s="105" t="inlineStr">
        <is>
          <t>Logística</t>
        </is>
      </c>
      <c r="B177" s="94">
        <f>INDEX(SETORES!$B:$B,MATCH(A177,SETORES!$A:$A,0))</f>
        <v/>
      </c>
      <c r="C177" s="105" t="inlineStr">
        <is>
          <t>Empresa Licenciada SOLON ARAUJO</t>
        </is>
      </c>
      <c r="D177" s="83">
        <f>IF(B177="Clientes",SUMIFS(PARÂMETROS!$D$8:$D$33,PARÂMETROS!$A$8:$A$33,C177,PARÂMETROS!$G$8:$G$33,J177),SUMIFS(PARÂMETROS!$E$8:$E$33,PARÂMETROS!$A$8:$A$33,C177,PARÂMETROS!$G$8:$G$33,J177))</f>
        <v/>
      </c>
      <c r="E177" s="107">
        <f>SUMIFS(SETORES!$D:$D,SETORES!$A:$A,A177,SETORES!$F:$F,J177)</f>
        <v/>
      </c>
      <c r="F177" s="107">
        <f>IFERROR(D177*E177,0)</f>
        <v/>
      </c>
      <c r="G177" s="83">
        <f>SUMIFS(PARÂMETROS!$F$8:$F$33,PARÂMETROS!$A$8:$A$33,C177,PARÂMETROS!$G$8:$G$33,J177)</f>
        <v/>
      </c>
      <c r="H177" s="107">
        <f>IFERROR(F177*G177,0)</f>
        <v/>
      </c>
      <c r="I177" s="107">
        <f>F177+H177</f>
        <v/>
      </c>
      <c r="J177" s="105" t="inlineStr">
        <is>
          <t>Junho/2026</t>
        </is>
      </c>
    </row>
    <row r="178" ht="14.25" customHeight="1" s="75">
      <c r="A178" s="90" t="inlineStr">
        <is>
          <t>Logística</t>
        </is>
      </c>
      <c r="B178" s="90">
        <f>INDEX(SETORES!$B:$B,MATCH(A178,SETORES!$A:$A,0))</f>
        <v/>
      </c>
      <c r="C178" s="90" t="inlineStr">
        <is>
          <t>Empresa Licenciada SOARES E LINS</t>
        </is>
      </c>
      <c r="D178" s="88">
        <f>IF(B178="Clientes",SUMIFS(PARÂMETROS!$D$8:$D$33,PARÂMETROS!$A$8:$A$33,C178,PARÂMETROS!$G$8:$G$33,J178),SUMIFS(PARÂMETROS!$E$8:$E$33,PARÂMETROS!$A$8:$A$33,C178,PARÂMETROS!$G$8:$G$33,J178))</f>
        <v/>
      </c>
      <c r="E178" s="96">
        <f>SUMIFS(SETORES!$D:$D,SETORES!$A:$A,A178,SETORES!$F:$F,J178)</f>
        <v/>
      </c>
      <c r="F178" s="96">
        <f>IFERROR(D178*E178,0)</f>
        <v/>
      </c>
      <c r="G178" s="88">
        <f>SUMIFS(PARÂMETROS!$F$8:$F$33,PARÂMETROS!$A$8:$A$33,C178,PARÂMETROS!$G$8:$G$33,J178)</f>
        <v/>
      </c>
      <c r="H178" s="96">
        <f>IFERROR(F178*G178,0)</f>
        <v/>
      </c>
      <c r="I178" s="96">
        <f>F178+H178</f>
        <v/>
      </c>
      <c r="J178" s="90" t="inlineStr">
        <is>
          <t>Junho/2026</t>
        </is>
      </c>
    </row>
    <row r="179" hidden="1" ht="14.25" customHeight="1" s="75">
      <c r="A179" s="105" t="inlineStr">
        <is>
          <t>Logística</t>
        </is>
      </c>
      <c r="B179" s="94">
        <f>INDEX(SETORES!$B:$B,MATCH(A179,SETORES!$A:$A,0))</f>
        <v/>
      </c>
      <c r="C179" s="105" t="inlineStr">
        <is>
          <t>Empresa Licenciada SOARES E SILVA</t>
        </is>
      </c>
      <c r="D179" s="83">
        <f>IF(B179="Clientes",SUMIFS(PARÂMETROS!$D$8:$D$33,PARÂMETROS!$A$8:$A$33,C179,PARÂMETROS!$G$8:$G$33,J179),SUMIFS(PARÂMETROS!$E$8:$E$33,PARÂMETROS!$A$8:$A$33,C179,PARÂMETROS!$G$8:$G$33,J179))</f>
        <v/>
      </c>
      <c r="E179" s="107">
        <f>SUMIFS(SETORES!$D:$D,SETORES!$A:$A,A179,SETORES!$F:$F,J179)</f>
        <v/>
      </c>
      <c r="F179" s="107">
        <f>IFERROR(D179*E179,0)</f>
        <v/>
      </c>
      <c r="G179" s="83">
        <f>SUMIFS(PARÂMETROS!$F$8:$F$33,PARÂMETROS!$A$8:$A$33,C179,PARÂMETROS!$G$8:$G$33,J179)</f>
        <v/>
      </c>
      <c r="H179" s="107">
        <f>IFERROR(F179*G179,0)</f>
        <v/>
      </c>
      <c r="I179" s="107">
        <f>F179+H179</f>
        <v/>
      </c>
      <c r="J179" s="105" t="inlineStr">
        <is>
          <t>Junho/2026</t>
        </is>
      </c>
    </row>
    <row r="180" hidden="1" ht="14.25" customHeight="1" s="75">
      <c r="A180" s="90" t="inlineStr">
        <is>
          <t>Logística</t>
        </is>
      </c>
      <c r="B180" s="90">
        <f>INDEX(SETORES!$B:$B,MATCH(A180,SETORES!$A:$A,0))</f>
        <v/>
      </c>
      <c r="C180" s="90" t="inlineStr">
        <is>
          <t>Empresa Licenciada SOUZA E SILVA</t>
        </is>
      </c>
      <c r="D180" s="88">
        <f>IF(B180="Clientes",SUMIFS(PARÂMETROS!$D$8:$D$33,PARÂMETROS!$A$8:$A$33,C180,PARÂMETROS!$G$8:$G$33,J180),SUMIFS(PARÂMETROS!$E$8:$E$33,PARÂMETROS!$A$8:$A$33,C180,PARÂMETROS!$G$8:$G$33,J180))</f>
        <v/>
      </c>
      <c r="E180" s="96">
        <f>SUMIFS(SETORES!$D:$D,SETORES!$A:$A,A180,SETORES!$F:$F,J180)</f>
        <v/>
      </c>
      <c r="F180" s="96">
        <f>IFERROR(D180*E180,0)</f>
        <v/>
      </c>
      <c r="G180" s="88">
        <f>SUMIFS(PARÂMETROS!$F$8:$F$33,PARÂMETROS!$A$8:$A$33,C180,PARÂMETROS!$G$8:$G$33,J180)</f>
        <v/>
      </c>
      <c r="H180" s="96">
        <f>IFERROR(F180*G180,0)</f>
        <v/>
      </c>
      <c r="I180" s="96">
        <f>F180+H180</f>
        <v/>
      </c>
      <c r="J180" s="90" t="inlineStr">
        <is>
          <t>Junho/2026</t>
        </is>
      </c>
    </row>
    <row r="181" hidden="1" ht="14.25" customHeight="1" s="75">
      <c r="A181" s="105" t="inlineStr">
        <is>
          <t>Logística</t>
        </is>
      </c>
      <c r="B181" s="94">
        <f>INDEX(SETORES!$B:$B,MATCH(A181,SETORES!$A:$A,0))</f>
        <v/>
      </c>
      <c r="C181" s="105" t="inlineStr">
        <is>
          <t>Empresa Licenciada VOICENET</t>
        </is>
      </c>
      <c r="D181" s="83">
        <f>IF(B181="Clientes",SUMIFS(PARÂMETROS!$D$8:$D$33,PARÂMETROS!$A$8:$A$33,C181,PARÂMETROS!$G$8:$G$33,J181),SUMIFS(PARÂMETROS!$E$8:$E$33,PARÂMETROS!$A$8:$A$33,C181,PARÂMETROS!$G$8:$G$33,J181))</f>
        <v/>
      </c>
      <c r="E181" s="107">
        <f>SUMIFS(SETORES!$D:$D,SETORES!$A:$A,A181,SETORES!$F:$F,J181)</f>
        <v/>
      </c>
      <c r="F181" s="107">
        <f>IFERROR(D181*E181,0)</f>
        <v/>
      </c>
      <c r="G181" s="83">
        <f>SUMIFS(PARÂMETROS!$F$8:$F$33,PARÂMETROS!$A$8:$A$33,C181,PARÂMETROS!$G$8:$G$33,J181)</f>
        <v/>
      </c>
      <c r="H181" s="107">
        <f>IFERROR(F181*G181,0)</f>
        <v/>
      </c>
      <c r="I181" s="107">
        <f>F181+H181</f>
        <v/>
      </c>
      <c r="J181" s="105" t="inlineStr">
        <is>
          <t>Junho/2026</t>
        </is>
      </c>
    </row>
    <row r="182" hidden="1" ht="14.25" customHeight="1" s="75">
      <c r="A182" s="90" t="inlineStr">
        <is>
          <t>Logística</t>
        </is>
      </c>
      <c r="B182" s="90">
        <f>INDEX(SETORES!$B:$B,MATCH(A182,SETORES!$A:$A,0))</f>
        <v/>
      </c>
      <c r="C182" s="90" t="inlineStr">
        <is>
          <t>DTEL (uso próprio)</t>
        </is>
      </c>
      <c r="D182" s="88">
        <f>IF(B182="Clientes",SUMIFS(PARÂMETROS!$D$8:$D$33,PARÂMETROS!$A$8:$A$33,C182,PARÂMETROS!$G$8:$G$33,J182),SUMIFS(PARÂMETROS!$E$8:$E$33,PARÂMETROS!$A$8:$A$33,C182,PARÂMETROS!$G$8:$G$33,J182))</f>
        <v/>
      </c>
      <c r="E182" s="96">
        <f>SUMIFS(SETORES!$D:$D,SETORES!$A:$A,A182,SETORES!$F:$F,J182)</f>
        <v/>
      </c>
      <c r="F182" s="96">
        <f>IFERROR(D182*E182,0)</f>
        <v/>
      </c>
      <c r="G182" s="88">
        <f>SUMIFS(PARÂMETROS!$F$8:$F$33,PARÂMETROS!$A$8:$A$33,C182,PARÂMETROS!$G$8:$G$33,J182)</f>
        <v/>
      </c>
      <c r="H182" s="96">
        <f>IFERROR(F182*G182,0)</f>
        <v/>
      </c>
      <c r="I182" s="96">
        <f>F182+H182</f>
        <v/>
      </c>
      <c r="J182" s="90" t="inlineStr">
        <is>
          <t>Junho/2026</t>
        </is>
      </c>
    </row>
    <row r="183" hidden="1" ht="14.25" customHeight="1" s="75">
      <c r="A183" s="105" t="inlineStr">
        <is>
          <t>Oficina</t>
        </is>
      </c>
      <c r="B183" s="94">
        <f>INDEX(SETORES!$B:$B,MATCH(A183,SETORES!$A:$A,0))</f>
        <v/>
      </c>
      <c r="C183" s="105" t="inlineStr">
        <is>
          <t>Empresa Licenciada DX2</t>
        </is>
      </c>
      <c r="D183" s="83">
        <f>IF(B183="Clientes",SUMIFS(PARÂMETROS!$D$8:$D$33,PARÂMETROS!$A$8:$A$33,C183,PARÂMETROS!$G$8:$G$33,J183),SUMIFS(PARÂMETROS!$E$8:$E$33,PARÂMETROS!$A$8:$A$33,C183,PARÂMETROS!$G$8:$G$33,J183))</f>
        <v/>
      </c>
      <c r="E183" s="107">
        <f>SUMIFS(SETORES!$D:$D,SETORES!$A:$A,A183,SETORES!$F:$F,J183)</f>
        <v/>
      </c>
      <c r="F183" s="107">
        <f>IFERROR(D183*E183,0)</f>
        <v/>
      </c>
      <c r="G183" s="83">
        <f>SUMIFS(PARÂMETROS!$F$8:$F$33,PARÂMETROS!$A$8:$A$33,C183,PARÂMETROS!$G$8:$G$33,J183)</f>
        <v/>
      </c>
      <c r="H183" s="107">
        <f>IFERROR(F183*G183,0)</f>
        <v/>
      </c>
      <c r="I183" s="107">
        <f>F183+H183</f>
        <v/>
      </c>
      <c r="J183" s="105" t="inlineStr">
        <is>
          <t>Junho/2026</t>
        </is>
      </c>
    </row>
    <row r="184" hidden="1" ht="14.25" customHeight="1" s="75">
      <c r="A184" s="90" t="inlineStr">
        <is>
          <t>Oficina</t>
        </is>
      </c>
      <c r="B184" s="90">
        <f>INDEX(SETORES!$B:$B,MATCH(A184,SETORES!$A:$A,0))</f>
        <v/>
      </c>
      <c r="C184" s="90" t="inlineStr">
        <is>
          <t>Empresa Licenciada H&amp;A</t>
        </is>
      </c>
      <c r="D184" s="88">
        <f>IF(B184="Clientes",SUMIFS(PARÂMETROS!$D$8:$D$33,PARÂMETROS!$A$8:$A$33,C184,PARÂMETROS!$G$8:$G$33,J184),SUMIFS(PARÂMETROS!$E$8:$E$33,PARÂMETROS!$A$8:$A$33,C184,PARÂMETROS!$G$8:$G$33,J184))</f>
        <v/>
      </c>
      <c r="E184" s="96">
        <f>SUMIFS(SETORES!$D:$D,SETORES!$A:$A,A184,SETORES!$F:$F,J184)</f>
        <v/>
      </c>
      <c r="F184" s="96">
        <f>IFERROR(D184*E184,0)</f>
        <v/>
      </c>
      <c r="G184" s="88">
        <f>SUMIFS(PARÂMETROS!$F$8:$F$33,PARÂMETROS!$A$8:$A$33,C184,PARÂMETROS!$G$8:$G$33,J184)</f>
        <v/>
      </c>
      <c r="H184" s="96">
        <f>IFERROR(F184*G184,0)</f>
        <v/>
      </c>
      <c r="I184" s="96">
        <f>F184+H184</f>
        <v/>
      </c>
      <c r="J184" s="90" t="inlineStr">
        <is>
          <t>Junho/2026</t>
        </is>
      </c>
    </row>
    <row r="185" hidden="1" ht="14.25" customHeight="1" s="75">
      <c r="A185" s="105" t="inlineStr">
        <is>
          <t>Oficina</t>
        </is>
      </c>
      <c r="B185" s="94">
        <f>INDEX(SETORES!$B:$B,MATCH(A185,SETORES!$A:$A,0))</f>
        <v/>
      </c>
      <c r="C185" s="105" t="inlineStr">
        <is>
          <t>Empresa Licenciada SOLON ARAUJO</t>
        </is>
      </c>
      <c r="D185" s="83">
        <f>IF(B185="Clientes",SUMIFS(PARÂMETROS!$D$8:$D$33,PARÂMETROS!$A$8:$A$33,C185,PARÂMETROS!$G$8:$G$33,J185),SUMIFS(PARÂMETROS!$E$8:$E$33,PARÂMETROS!$A$8:$A$33,C185,PARÂMETROS!$G$8:$G$33,J185))</f>
        <v/>
      </c>
      <c r="E185" s="107">
        <f>SUMIFS(SETORES!$D:$D,SETORES!$A:$A,A185,SETORES!$F:$F,J185)</f>
        <v/>
      </c>
      <c r="F185" s="107">
        <f>IFERROR(D185*E185,0)</f>
        <v/>
      </c>
      <c r="G185" s="83">
        <f>SUMIFS(PARÂMETROS!$F$8:$F$33,PARÂMETROS!$A$8:$A$33,C185,PARÂMETROS!$G$8:$G$33,J185)</f>
        <v/>
      </c>
      <c r="H185" s="107">
        <f>IFERROR(F185*G185,0)</f>
        <v/>
      </c>
      <c r="I185" s="107">
        <f>F185+H185</f>
        <v/>
      </c>
      <c r="J185" s="105" t="inlineStr">
        <is>
          <t>Junho/2026</t>
        </is>
      </c>
    </row>
    <row r="186" ht="14.25" customHeight="1" s="75">
      <c r="A186" s="90" t="inlineStr">
        <is>
          <t>Oficina</t>
        </is>
      </c>
      <c r="B186" s="90">
        <f>INDEX(SETORES!$B:$B,MATCH(A186,SETORES!$A:$A,0))</f>
        <v/>
      </c>
      <c r="C186" s="90" t="inlineStr">
        <is>
          <t>Empresa Licenciada SOARES E LINS</t>
        </is>
      </c>
      <c r="D186" s="88">
        <f>IF(B186="Clientes",SUMIFS(PARÂMETROS!$D$8:$D$33,PARÂMETROS!$A$8:$A$33,C186,PARÂMETROS!$G$8:$G$33,J186),SUMIFS(PARÂMETROS!$E$8:$E$33,PARÂMETROS!$A$8:$A$33,C186,PARÂMETROS!$G$8:$G$33,J186))</f>
        <v/>
      </c>
      <c r="E186" s="96">
        <f>SUMIFS(SETORES!$D:$D,SETORES!$A:$A,A186,SETORES!$F:$F,J186)</f>
        <v/>
      </c>
      <c r="F186" s="96">
        <f>IFERROR(D186*E186,0)</f>
        <v/>
      </c>
      <c r="G186" s="88">
        <f>SUMIFS(PARÂMETROS!$F$8:$F$33,PARÂMETROS!$A$8:$A$33,C186,PARÂMETROS!$G$8:$G$33,J186)</f>
        <v/>
      </c>
      <c r="H186" s="96">
        <f>IFERROR(F186*G186,0)</f>
        <v/>
      </c>
      <c r="I186" s="96">
        <f>F186+H186</f>
        <v/>
      </c>
      <c r="J186" s="90" t="inlineStr">
        <is>
          <t>Junho/2026</t>
        </is>
      </c>
    </row>
    <row r="187" hidden="1" ht="14.25" customHeight="1" s="75">
      <c r="A187" s="105" t="inlineStr">
        <is>
          <t>Oficina</t>
        </is>
      </c>
      <c r="B187" s="94">
        <f>INDEX(SETORES!$B:$B,MATCH(A187,SETORES!$A:$A,0))</f>
        <v/>
      </c>
      <c r="C187" s="105" t="inlineStr">
        <is>
          <t>Empresa Licenciada SOARES E SILVA</t>
        </is>
      </c>
      <c r="D187" s="83">
        <f>IF(B187="Clientes",SUMIFS(PARÂMETROS!$D$8:$D$33,PARÂMETROS!$A$8:$A$33,C187,PARÂMETROS!$G$8:$G$33,J187),SUMIFS(PARÂMETROS!$E$8:$E$33,PARÂMETROS!$A$8:$A$33,C187,PARÂMETROS!$G$8:$G$33,J187))</f>
        <v/>
      </c>
      <c r="E187" s="107">
        <f>SUMIFS(SETORES!$D:$D,SETORES!$A:$A,A187,SETORES!$F:$F,J187)</f>
        <v/>
      </c>
      <c r="F187" s="107">
        <f>IFERROR(D187*E187,0)</f>
        <v/>
      </c>
      <c r="G187" s="83">
        <f>SUMIFS(PARÂMETROS!$F$8:$F$33,PARÂMETROS!$A$8:$A$33,C187,PARÂMETROS!$G$8:$G$33,J187)</f>
        <v/>
      </c>
      <c r="H187" s="107">
        <f>IFERROR(F187*G187,0)</f>
        <v/>
      </c>
      <c r="I187" s="107">
        <f>F187+H187</f>
        <v/>
      </c>
      <c r="J187" s="105" t="inlineStr">
        <is>
          <t>Junho/2026</t>
        </is>
      </c>
    </row>
    <row r="188" hidden="1" ht="14.25" customHeight="1" s="75">
      <c r="A188" s="90" t="inlineStr">
        <is>
          <t>Oficina</t>
        </is>
      </c>
      <c r="B188" s="90">
        <f>INDEX(SETORES!$B:$B,MATCH(A188,SETORES!$A:$A,0))</f>
        <v/>
      </c>
      <c r="C188" s="90" t="inlineStr">
        <is>
          <t>Empresa Licenciada SOUZA E SILVA</t>
        </is>
      </c>
      <c r="D188" s="88">
        <f>IF(B188="Clientes",SUMIFS(PARÂMETROS!$D$8:$D$33,PARÂMETROS!$A$8:$A$33,C188,PARÂMETROS!$G$8:$G$33,J188),SUMIFS(PARÂMETROS!$E$8:$E$33,PARÂMETROS!$A$8:$A$33,C188,PARÂMETROS!$G$8:$G$33,J188))</f>
        <v/>
      </c>
      <c r="E188" s="96">
        <f>SUMIFS(SETORES!$D:$D,SETORES!$A:$A,A188,SETORES!$F:$F,J188)</f>
        <v/>
      </c>
      <c r="F188" s="96">
        <f>IFERROR(D188*E188,0)</f>
        <v/>
      </c>
      <c r="G188" s="88">
        <f>SUMIFS(PARÂMETROS!$F$8:$F$33,PARÂMETROS!$A$8:$A$33,C188,PARÂMETROS!$G$8:$G$33,J188)</f>
        <v/>
      </c>
      <c r="H188" s="96">
        <f>IFERROR(F188*G188,0)</f>
        <v/>
      </c>
      <c r="I188" s="96">
        <f>F188+H188</f>
        <v/>
      </c>
      <c r="J188" s="90" t="inlineStr">
        <is>
          <t>Junho/2026</t>
        </is>
      </c>
    </row>
    <row r="189" hidden="1" ht="14.25" customHeight="1" s="75">
      <c r="A189" s="105" t="inlineStr">
        <is>
          <t>Oficina</t>
        </is>
      </c>
      <c r="B189" s="94">
        <f>INDEX(SETORES!$B:$B,MATCH(A189,SETORES!$A:$A,0))</f>
        <v/>
      </c>
      <c r="C189" s="105" t="inlineStr">
        <is>
          <t>Empresa Licenciada VOICENET</t>
        </is>
      </c>
      <c r="D189" s="83">
        <f>IF(B189="Clientes",SUMIFS(PARÂMETROS!$D$8:$D$33,PARÂMETROS!$A$8:$A$33,C189,PARÂMETROS!$G$8:$G$33,J189),SUMIFS(PARÂMETROS!$E$8:$E$33,PARÂMETROS!$A$8:$A$33,C189,PARÂMETROS!$G$8:$G$33,J189))</f>
        <v/>
      </c>
      <c r="E189" s="107">
        <f>SUMIFS(SETORES!$D:$D,SETORES!$A:$A,A189,SETORES!$F:$F,J189)</f>
        <v/>
      </c>
      <c r="F189" s="107">
        <f>IFERROR(D189*E189,0)</f>
        <v/>
      </c>
      <c r="G189" s="83">
        <f>SUMIFS(PARÂMETROS!$F$8:$F$33,PARÂMETROS!$A$8:$A$33,C189,PARÂMETROS!$G$8:$G$33,J189)</f>
        <v/>
      </c>
      <c r="H189" s="107">
        <f>IFERROR(F189*G189,0)</f>
        <v/>
      </c>
      <c r="I189" s="107">
        <f>F189+H189</f>
        <v/>
      </c>
      <c r="J189" s="105" t="inlineStr">
        <is>
          <t>Junho/2026</t>
        </is>
      </c>
    </row>
    <row r="190" hidden="1" ht="14.25" customHeight="1" s="75">
      <c r="A190" s="90" t="inlineStr">
        <is>
          <t>Oficina</t>
        </is>
      </c>
      <c r="B190" s="90">
        <f>INDEX(SETORES!$B:$B,MATCH(A190,SETORES!$A:$A,0))</f>
        <v/>
      </c>
      <c r="C190" s="90" t="inlineStr">
        <is>
          <t>DTEL (uso próprio)</t>
        </is>
      </c>
      <c r="D190" s="88">
        <f>IF(B190="Clientes",SUMIFS(PARÂMETROS!$D$8:$D$33,PARÂMETROS!$A$8:$A$33,C190,PARÂMETROS!$G$8:$G$33,J190),SUMIFS(PARÂMETROS!$E$8:$E$33,PARÂMETROS!$A$8:$A$33,C190,PARÂMETROS!$G$8:$G$33,J190))</f>
        <v/>
      </c>
      <c r="E190" s="96">
        <f>SUMIFS(SETORES!$D:$D,SETORES!$A:$A,A190,SETORES!$F:$F,J190)</f>
        <v/>
      </c>
      <c r="F190" s="96">
        <f>IFERROR(D190*E190,0)</f>
        <v/>
      </c>
      <c r="G190" s="88">
        <f>SUMIFS(PARÂMETROS!$F$8:$F$33,PARÂMETROS!$A$8:$A$33,C190,PARÂMETROS!$G$8:$G$33,J190)</f>
        <v/>
      </c>
      <c r="H190" s="96">
        <f>IFERROR(F190*G190,0)</f>
        <v/>
      </c>
      <c r="I190" s="96">
        <f>F190+H190</f>
        <v/>
      </c>
      <c r="J190" s="90" t="inlineStr">
        <is>
          <t>Junho/2026</t>
        </is>
      </c>
    </row>
    <row r="191" hidden="1" ht="14.25" customHeight="1" s="75">
      <c r="A191" s="105" t="inlineStr">
        <is>
          <t>Estoque</t>
        </is>
      </c>
      <c r="B191" s="94">
        <f>INDEX(SETORES!$B:$B,MATCH(A191,SETORES!$A:$A,0))</f>
        <v/>
      </c>
      <c r="C191" s="105" t="inlineStr">
        <is>
          <t>Empresa Licenciada DX2</t>
        </is>
      </c>
      <c r="D191" s="83">
        <f>IF(B191="Clientes",SUMIFS(PARÂMETROS!$D$8:$D$33,PARÂMETROS!$A$8:$A$33,C191,PARÂMETROS!$G$8:$G$33,J191),SUMIFS(PARÂMETROS!$E$8:$E$33,PARÂMETROS!$A$8:$A$33,C191,PARÂMETROS!$G$8:$G$33,J191))</f>
        <v/>
      </c>
      <c r="E191" s="107">
        <f>SUMIFS(SETORES!$D:$D,SETORES!$A:$A,A191,SETORES!$F:$F,J191)</f>
        <v/>
      </c>
      <c r="F191" s="107">
        <f>IFERROR(D191*E191,0)</f>
        <v/>
      </c>
      <c r="G191" s="83">
        <f>SUMIFS(PARÂMETROS!$F$8:$F$33,PARÂMETROS!$A$8:$A$33,C191,PARÂMETROS!$G$8:$G$33,J191)</f>
        <v/>
      </c>
      <c r="H191" s="107">
        <f>IFERROR(F191*G191,0)</f>
        <v/>
      </c>
      <c r="I191" s="107">
        <f>F191+H191</f>
        <v/>
      </c>
      <c r="J191" s="105" t="inlineStr">
        <is>
          <t>Junho/2026</t>
        </is>
      </c>
    </row>
    <row r="192" hidden="1" ht="14.25" customHeight="1" s="75">
      <c r="A192" s="90" t="inlineStr">
        <is>
          <t>Estoque</t>
        </is>
      </c>
      <c r="B192" s="90">
        <f>INDEX(SETORES!$B:$B,MATCH(A192,SETORES!$A:$A,0))</f>
        <v/>
      </c>
      <c r="C192" s="90" t="inlineStr">
        <is>
          <t>Empresa Licenciada H&amp;A</t>
        </is>
      </c>
      <c r="D192" s="88">
        <f>IF(B192="Clientes",SUMIFS(PARÂMETROS!$D$8:$D$33,PARÂMETROS!$A$8:$A$33,C192,PARÂMETROS!$G$8:$G$33,J192),SUMIFS(PARÂMETROS!$E$8:$E$33,PARÂMETROS!$A$8:$A$33,C192,PARÂMETROS!$G$8:$G$33,J192))</f>
        <v/>
      </c>
      <c r="E192" s="96">
        <f>SUMIFS(SETORES!$D:$D,SETORES!$A:$A,A192,SETORES!$F:$F,J192)</f>
        <v/>
      </c>
      <c r="F192" s="96">
        <f>IFERROR(D192*E192,0)</f>
        <v/>
      </c>
      <c r="G192" s="88">
        <f>SUMIFS(PARÂMETROS!$F$8:$F$33,PARÂMETROS!$A$8:$A$33,C192,PARÂMETROS!$G$8:$G$33,J192)</f>
        <v/>
      </c>
      <c r="H192" s="96">
        <f>IFERROR(F192*G192,0)</f>
        <v/>
      </c>
      <c r="I192" s="96">
        <f>F192+H192</f>
        <v/>
      </c>
      <c r="J192" s="90" t="inlineStr">
        <is>
          <t>Junho/2026</t>
        </is>
      </c>
    </row>
    <row r="193" hidden="1" ht="14.25" customHeight="1" s="75">
      <c r="A193" s="105" t="inlineStr">
        <is>
          <t>Estoque</t>
        </is>
      </c>
      <c r="B193" s="94">
        <f>INDEX(SETORES!$B:$B,MATCH(A193,SETORES!$A:$A,0))</f>
        <v/>
      </c>
      <c r="C193" s="105" t="inlineStr">
        <is>
          <t>Empresa Licenciada SOLON ARAUJO</t>
        </is>
      </c>
      <c r="D193" s="83">
        <f>IF(B193="Clientes",SUMIFS(PARÂMETROS!$D$8:$D$33,PARÂMETROS!$A$8:$A$33,C193,PARÂMETROS!$G$8:$G$33,J193),SUMIFS(PARÂMETROS!$E$8:$E$33,PARÂMETROS!$A$8:$A$33,C193,PARÂMETROS!$G$8:$G$33,J193))</f>
        <v/>
      </c>
      <c r="E193" s="107">
        <f>SUMIFS(SETORES!$D:$D,SETORES!$A:$A,A193,SETORES!$F:$F,J193)</f>
        <v/>
      </c>
      <c r="F193" s="107">
        <f>IFERROR(D193*E193,0)</f>
        <v/>
      </c>
      <c r="G193" s="83">
        <f>SUMIFS(PARÂMETROS!$F$8:$F$33,PARÂMETROS!$A$8:$A$33,C193,PARÂMETROS!$G$8:$G$33,J193)</f>
        <v/>
      </c>
      <c r="H193" s="107">
        <f>IFERROR(F193*G193,0)</f>
        <v/>
      </c>
      <c r="I193" s="107">
        <f>F193+H193</f>
        <v/>
      </c>
      <c r="J193" s="105" t="inlineStr">
        <is>
          <t>Junho/2026</t>
        </is>
      </c>
    </row>
    <row r="194" ht="14.25" customHeight="1" s="75">
      <c r="A194" s="90" t="inlineStr">
        <is>
          <t>Estoque</t>
        </is>
      </c>
      <c r="B194" s="90">
        <f>INDEX(SETORES!$B:$B,MATCH(A194,SETORES!$A:$A,0))</f>
        <v/>
      </c>
      <c r="C194" s="90" t="inlineStr">
        <is>
          <t>Empresa Licenciada SOARES E LINS</t>
        </is>
      </c>
      <c r="D194" s="88">
        <f>IF(B194="Clientes",SUMIFS(PARÂMETROS!$D$8:$D$33,PARÂMETROS!$A$8:$A$33,C194,PARÂMETROS!$G$8:$G$33,J194),SUMIFS(PARÂMETROS!$E$8:$E$33,PARÂMETROS!$A$8:$A$33,C194,PARÂMETROS!$G$8:$G$33,J194))</f>
        <v/>
      </c>
      <c r="E194" s="96">
        <f>SUMIFS(SETORES!$D:$D,SETORES!$A:$A,A194,SETORES!$F:$F,J194)</f>
        <v/>
      </c>
      <c r="F194" s="96">
        <f>IFERROR(D194*E194,0)</f>
        <v/>
      </c>
      <c r="G194" s="88">
        <f>SUMIFS(PARÂMETROS!$F$8:$F$33,PARÂMETROS!$A$8:$A$33,C194,PARÂMETROS!$G$8:$G$33,J194)</f>
        <v/>
      </c>
      <c r="H194" s="96">
        <f>IFERROR(F194*G194,0)</f>
        <v/>
      </c>
      <c r="I194" s="96">
        <f>F194+H194</f>
        <v/>
      </c>
      <c r="J194" s="90" t="inlineStr">
        <is>
          <t>Junho/2026</t>
        </is>
      </c>
    </row>
    <row r="195" hidden="1" ht="14.25" customHeight="1" s="75">
      <c r="A195" s="105" t="inlineStr">
        <is>
          <t>Estoque</t>
        </is>
      </c>
      <c r="B195" s="94">
        <f>INDEX(SETORES!$B:$B,MATCH(A195,SETORES!$A:$A,0))</f>
        <v/>
      </c>
      <c r="C195" s="105" t="inlineStr">
        <is>
          <t>Empresa Licenciada SOARES E SILVA</t>
        </is>
      </c>
      <c r="D195" s="83">
        <f>IF(B195="Clientes",SUMIFS(PARÂMETROS!$D$8:$D$33,PARÂMETROS!$A$8:$A$33,C195,PARÂMETROS!$G$8:$G$33,J195),SUMIFS(PARÂMETROS!$E$8:$E$33,PARÂMETROS!$A$8:$A$33,C195,PARÂMETROS!$G$8:$G$33,J195))</f>
        <v/>
      </c>
      <c r="E195" s="107">
        <f>SUMIFS(SETORES!$D:$D,SETORES!$A:$A,A195,SETORES!$F:$F,J195)</f>
        <v/>
      </c>
      <c r="F195" s="107">
        <f>IFERROR(D195*E195,0)</f>
        <v/>
      </c>
      <c r="G195" s="83">
        <f>SUMIFS(PARÂMETROS!$F$8:$F$33,PARÂMETROS!$A$8:$A$33,C195,PARÂMETROS!$G$8:$G$33,J195)</f>
        <v/>
      </c>
      <c r="H195" s="107">
        <f>IFERROR(F195*G195,0)</f>
        <v/>
      </c>
      <c r="I195" s="107">
        <f>F195+H195</f>
        <v/>
      </c>
      <c r="J195" s="105" t="inlineStr">
        <is>
          <t>Junho/2026</t>
        </is>
      </c>
    </row>
    <row r="196" hidden="1" ht="14.25" customHeight="1" s="75">
      <c r="A196" s="90" t="inlineStr">
        <is>
          <t>Estoque</t>
        </is>
      </c>
      <c r="B196" s="90">
        <f>INDEX(SETORES!$B:$B,MATCH(A196,SETORES!$A:$A,0))</f>
        <v/>
      </c>
      <c r="C196" s="90" t="inlineStr">
        <is>
          <t>Empresa Licenciada SOUZA E SILVA</t>
        </is>
      </c>
      <c r="D196" s="88">
        <f>IF(B196="Clientes",SUMIFS(PARÂMETROS!$D$8:$D$33,PARÂMETROS!$A$8:$A$33,C196,PARÂMETROS!$G$8:$G$33,J196),SUMIFS(PARÂMETROS!$E$8:$E$33,PARÂMETROS!$A$8:$A$33,C196,PARÂMETROS!$G$8:$G$33,J196))</f>
        <v/>
      </c>
      <c r="E196" s="96">
        <f>SUMIFS(SETORES!$D:$D,SETORES!$A:$A,A196,SETORES!$F:$F,J196)</f>
        <v/>
      </c>
      <c r="F196" s="96">
        <f>IFERROR(D196*E196,0)</f>
        <v/>
      </c>
      <c r="G196" s="88">
        <f>SUMIFS(PARÂMETROS!$F$8:$F$33,PARÂMETROS!$A$8:$A$33,C196,PARÂMETROS!$G$8:$G$33,J196)</f>
        <v/>
      </c>
      <c r="H196" s="96">
        <f>IFERROR(F196*G196,0)</f>
        <v/>
      </c>
      <c r="I196" s="96">
        <f>F196+H196</f>
        <v/>
      </c>
      <c r="J196" s="90" t="inlineStr">
        <is>
          <t>Junho/2026</t>
        </is>
      </c>
    </row>
    <row r="197" hidden="1" ht="14.25" customHeight="1" s="75">
      <c r="A197" s="105" t="inlineStr">
        <is>
          <t>Estoque</t>
        </is>
      </c>
      <c r="B197" s="94">
        <f>INDEX(SETORES!$B:$B,MATCH(A197,SETORES!$A:$A,0))</f>
        <v/>
      </c>
      <c r="C197" s="105" t="inlineStr">
        <is>
          <t>Empresa Licenciada VOICENET</t>
        </is>
      </c>
      <c r="D197" s="83">
        <f>IF(B197="Clientes",SUMIFS(PARÂMETROS!$D$8:$D$33,PARÂMETROS!$A$8:$A$33,C197,PARÂMETROS!$G$8:$G$33,J197),SUMIFS(PARÂMETROS!$E$8:$E$33,PARÂMETROS!$A$8:$A$33,C197,PARÂMETROS!$G$8:$G$33,J197))</f>
        <v/>
      </c>
      <c r="E197" s="107">
        <f>SUMIFS(SETORES!$D:$D,SETORES!$A:$A,A197,SETORES!$F:$F,J197)</f>
        <v/>
      </c>
      <c r="F197" s="107">
        <f>IFERROR(D197*E197,0)</f>
        <v/>
      </c>
      <c r="G197" s="83">
        <f>SUMIFS(PARÂMETROS!$F$8:$F$33,PARÂMETROS!$A$8:$A$33,C197,PARÂMETROS!$G$8:$G$33,J197)</f>
        <v/>
      </c>
      <c r="H197" s="107">
        <f>IFERROR(F197*G197,0)</f>
        <v/>
      </c>
      <c r="I197" s="107">
        <f>F197+H197</f>
        <v/>
      </c>
      <c r="J197" s="105" t="inlineStr">
        <is>
          <t>Junho/2026</t>
        </is>
      </c>
    </row>
    <row r="198" hidden="1" ht="14.25" customHeight="1" s="75">
      <c r="A198" s="90" t="inlineStr">
        <is>
          <t>Estoque</t>
        </is>
      </c>
      <c r="B198" s="90">
        <f>INDEX(SETORES!$B:$B,MATCH(A198,SETORES!$A:$A,0))</f>
        <v/>
      </c>
      <c r="C198" s="90" t="inlineStr">
        <is>
          <t>DTEL (uso próprio)</t>
        </is>
      </c>
      <c r="D198" s="88">
        <f>IF(B198="Clientes",SUMIFS(PARÂMETROS!$D$8:$D$33,PARÂMETROS!$A$8:$A$33,C198,PARÂMETROS!$G$8:$G$33,J198),SUMIFS(PARÂMETROS!$E$8:$E$33,PARÂMETROS!$A$8:$A$33,C198,PARÂMETROS!$G$8:$G$33,J198))</f>
        <v/>
      </c>
      <c r="E198" s="96">
        <f>SUMIFS(SETORES!$D:$D,SETORES!$A:$A,A198,SETORES!$F:$F,J198)</f>
        <v/>
      </c>
      <c r="F198" s="96">
        <f>IFERROR(D198*E198,0)</f>
        <v/>
      </c>
      <c r="G198" s="88">
        <f>SUMIFS(PARÂMETROS!$F$8:$F$33,PARÂMETROS!$A$8:$A$33,C198,PARÂMETROS!$G$8:$G$33,J198)</f>
        <v/>
      </c>
      <c r="H198" s="96">
        <f>IFERROR(F198*G198,0)</f>
        <v/>
      </c>
      <c r="I198" s="96">
        <f>F198+H198</f>
        <v/>
      </c>
      <c r="J198" s="90" t="inlineStr">
        <is>
          <t>Junho/2026</t>
        </is>
      </c>
    </row>
    <row r="199" hidden="1" ht="14.25" customHeight="1" s="75">
      <c r="A199" s="105" t="inlineStr">
        <is>
          <t>Televendas</t>
        </is>
      </c>
      <c r="B199" s="94">
        <f>INDEX(SETORES!$B:$B,MATCH(A199,SETORES!$A:$A,0))</f>
        <v/>
      </c>
      <c r="C199" s="105" t="inlineStr">
        <is>
          <t>Empresa Licenciada DX2</t>
        </is>
      </c>
      <c r="D199" s="83">
        <f>IF(B199="Clientes",SUMIFS(PARÂMETROS!$D$8:$D$33,PARÂMETROS!$A$8:$A$33,C199,PARÂMETROS!$G$8:$G$33,J199),SUMIFS(PARÂMETROS!$E$8:$E$33,PARÂMETROS!$A$8:$A$33,C199,PARÂMETROS!$G$8:$G$33,J199))</f>
        <v/>
      </c>
      <c r="E199" s="107">
        <f>SUMIFS(SETORES!$D:$D,SETORES!$A:$A,A199,SETORES!$F:$F,J199)</f>
        <v/>
      </c>
      <c r="F199" s="107">
        <f>IFERROR(D199*E199,0)</f>
        <v/>
      </c>
      <c r="G199" s="83">
        <f>SUMIFS(PARÂMETROS!$F$8:$F$33,PARÂMETROS!$A$8:$A$33,C199,PARÂMETROS!$G$8:$G$33,J199)</f>
        <v/>
      </c>
      <c r="H199" s="107">
        <f>IFERROR(F199*G199,0)</f>
        <v/>
      </c>
      <c r="I199" s="107">
        <f>F199+H199</f>
        <v/>
      </c>
      <c r="J199" s="105" t="inlineStr">
        <is>
          <t>Junho/2026</t>
        </is>
      </c>
    </row>
    <row r="200" hidden="1" ht="14.25" customHeight="1" s="75">
      <c r="A200" s="90" t="inlineStr">
        <is>
          <t>Televendas</t>
        </is>
      </c>
      <c r="B200" s="90">
        <f>INDEX(SETORES!$B:$B,MATCH(A200,SETORES!$A:$A,0))</f>
        <v/>
      </c>
      <c r="C200" s="90" t="inlineStr">
        <is>
          <t>Empresa Licenciada H&amp;A</t>
        </is>
      </c>
      <c r="D200" s="88">
        <f>IF(B200="Clientes",SUMIFS(PARÂMETROS!$D$8:$D$33,PARÂMETROS!$A$8:$A$33,C200,PARÂMETROS!$G$8:$G$33,J200),SUMIFS(PARÂMETROS!$E$8:$E$33,PARÂMETROS!$A$8:$A$33,C200,PARÂMETROS!$G$8:$G$33,J200))</f>
        <v/>
      </c>
      <c r="E200" s="96">
        <f>SUMIFS(SETORES!$D:$D,SETORES!$A:$A,A200,SETORES!$F:$F,J200)</f>
        <v/>
      </c>
      <c r="F200" s="96">
        <f>IFERROR(D200*E200,0)</f>
        <v/>
      </c>
      <c r="G200" s="88">
        <f>SUMIFS(PARÂMETROS!$F$8:$F$33,PARÂMETROS!$A$8:$A$33,C200,PARÂMETROS!$G$8:$G$33,J200)</f>
        <v/>
      </c>
      <c r="H200" s="96">
        <f>IFERROR(F200*G200,0)</f>
        <v/>
      </c>
      <c r="I200" s="96">
        <f>F200+H200</f>
        <v/>
      </c>
      <c r="J200" s="90" t="inlineStr">
        <is>
          <t>Junho/2026</t>
        </is>
      </c>
    </row>
    <row r="201" hidden="1" ht="14.25" customHeight="1" s="75">
      <c r="A201" s="105" t="inlineStr">
        <is>
          <t>Televendas</t>
        </is>
      </c>
      <c r="B201" s="94">
        <f>INDEX(SETORES!$B:$B,MATCH(A201,SETORES!$A:$A,0))</f>
        <v/>
      </c>
      <c r="C201" s="105" t="inlineStr">
        <is>
          <t>Empresa Licenciada SOLON ARAUJO</t>
        </is>
      </c>
      <c r="D201" s="83">
        <f>IF(B201="Clientes",SUMIFS(PARÂMETROS!$D$8:$D$33,PARÂMETROS!$A$8:$A$33,C201,PARÂMETROS!$G$8:$G$33,J201),SUMIFS(PARÂMETROS!$E$8:$E$33,PARÂMETROS!$A$8:$A$33,C201,PARÂMETROS!$G$8:$G$33,J201))</f>
        <v/>
      </c>
      <c r="E201" s="107">
        <f>SUMIFS(SETORES!$D:$D,SETORES!$A:$A,A201,SETORES!$F:$F,J201)</f>
        <v/>
      </c>
      <c r="F201" s="107">
        <f>IFERROR(D201*E201,0)</f>
        <v/>
      </c>
      <c r="G201" s="83">
        <f>SUMIFS(PARÂMETROS!$F$8:$F$33,PARÂMETROS!$A$8:$A$33,C201,PARÂMETROS!$G$8:$G$33,J201)</f>
        <v/>
      </c>
      <c r="H201" s="107">
        <f>IFERROR(F201*G201,0)</f>
        <v/>
      </c>
      <c r="I201" s="107">
        <f>F201+H201</f>
        <v/>
      </c>
      <c r="J201" s="105" t="inlineStr">
        <is>
          <t>Junho/2026</t>
        </is>
      </c>
    </row>
    <row r="202" ht="14.25" customHeight="1" s="75">
      <c r="A202" s="90" t="inlineStr">
        <is>
          <t>Televendas</t>
        </is>
      </c>
      <c r="B202" s="90">
        <f>INDEX(SETORES!$B:$B,MATCH(A202,SETORES!$A:$A,0))</f>
        <v/>
      </c>
      <c r="C202" s="90" t="inlineStr">
        <is>
          <t>Empresa Licenciada SOARES E LINS</t>
        </is>
      </c>
      <c r="D202" s="88">
        <f>IF(B202="Clientes",SUMIFS(PARÂMETROS!$D$8:$D$33,PARÂMETROS!$A$8:$A$33,C202,PARÂMETROS!$G$8:$G$33,J202),SUMIFS(PARÂMETROS!$E$8:$E$33,PARÂMETROS!$A$8:$A$33,C202,PARÂMETROS!$G$8:$G$33,J202))</f>
        <v/>
      </c>
      <c r="E202" s="96">
        <f>SUMIFS(SETORES!$D:$D,SETORES!$A:$A,A202,SETORES!$F:$F,J202)</f>
        <v/>
      </c>
      <c r="F202" s="96">
        <f>IFERROR(D202*E202,0)</f>
        <v/>
      </c>
      <c r="G202" s="88">
        <f>SUMIFS(PARÂMETROS!$F$8:$F$33,PARÂMETROS!$A$8:$A$33,C202,PARÂMETROS!$G$8:$G$33,J202)</f>
        <v/>
      </c>
      <c r="H202" s="96">
        <f>IFERROR(F202*G202,0)</f>
        <v/>
      </c>
      <c r="I202" s="96">
        <f>F202+H202</f>
        <v/>
      </c>
      <c r="J202" s="90" t="inlineStr">
        <is>
          <t>Junho/2026</t>
        </is>
      </c>
    </row>
    <row r="203" hidden="1" ht="14.25" customHeight="1" s="75">
      <c r="A203" s="105" t="inlineStr">
        <is>
          <t>Televendas</t>
        </is>
      </c>
      <c r="B203" s="94">
        <f>INDEX(SETORES!$B:$B,MATCH(A203,SETORES!$A:$A,0))</f>
        <v/>
      </c>
      <c r="C203" s="105" t="inlineStr">
        <is>
          <t>Empresa Licenciada SOARES E SILVA</t>
        </is>
      </c>
      <c r="D203" s="83">
        <f>IF(B203="Clientes",SUMIFS(PARÂMETROS!$D$8:$D$33,PARÂMETROS!$A$8:$A$33,C203,PARÂMETROS!$G$8:$G$33,J203),SUMIFS(PARÂMETROS!$E$8:$E$33,PARÂMETROS!$A$8:$A$33,C203,PARÂMETROS!$G$8:$G$33,J203))</f>
        <v/>
      </c>
      <c r="E203" s="107">
        <f>SUMIFS(SETORES!$D:$D,SETORES!$A:$A,A203,SETORES!$F:$F,J203)</f>
        <v/>
      </c>
      <c r="F203" s="107">
        <f>IFERROR(D203*E203,0)</f>
        <v/>
      </c>
      <c r="G203" s="83">
        <f>SUMIFS(PARÂMETROS!$F$8:$F$33,PARÂMETROS!$A$8:$A$33,C203,PARÂMETROS!$G$8:$G$33,J203)</f>
        <v/>
      </c>
      <c r="H203" s="107">
        <f>IFERROR(F203*G203,0)</f>
        <v/>
      </c>
      <c r="I203" s="107">
        <f>F203+H203</f>
        <v/>
      </c>
      <c r="J203" s="105" t="inlineStr">
        <is>
          <t>Junho/2026</t>
        </is>
      </c>
    </row>
    <row r="204" hidden="1" ht="14.25" customHeight="1" s="75">
      <c r="A204" s="90" t="inlineStr">
        <is>
          <t>Televendas</t>
        </is>
      </c>
      <c r="B204" s="90">
        <f>INDEX(SETORES!$B:$B,MATCH(A204,SETORES!$A:$A,0))</f>
        <v/>
      </c>
      <c r="C204" s="90" t="inlineStr">
        <is>
          <t>Empresa Licenciada SOUZA E SILVA</t>
        </is>
      </c>
      <c r="D204" s="88">
        <f>IF(B204="Clientes",SUMIFS(PARÂMETROS!$D$8:$D$33,PARÂMETROS!$A$8:$A$33,C204,PARÂMETROS!$G$8:$G$33,J204),SUMIFS(PARÂMETROS!$E$8:$E$33,PARÂMETROS!$A$8:$A$33,C204,PARÂMETROS!$G$8:$G$33,J204))</f>
        <v/>
      </c>
      <c r="E204" s="96">
        <f>SUMIFS(SETORES!$D:$D,SETORES!$A:$A,A204,SETORES!$F:$F,J204)</f>
        <v/>
      </c>
      <c r="F204" s="96">
        <f>IFERROR(D204*E204,0)</f>
        <v/>
      </c>
      <c r="G204" s="88">
        <f>SUMIFS(PARÂMETROS!$F$8:$F$33,PARÂMETROS!$A$8:$A$33,C204,PARÂMETROS!$G$8:$G$33,J204)</f>
        <v/>
      </c>
      <c r="H204" s="96">
        <f>IFERROR(F204*G204,0)</f>
        <v/>
      </c>
      <c r="I204" s="96">
        <f>F204+H204</f>
        <v/>
      </c>
      <c r="J204" s="90" t="inlineStr">
        <is>
          <t>Junho/2026</t>
        </is>
      </c>
    </row>
    <row r="205" hidden="1" ht="14.25" customHeight="1" s="75">
      <c r="A205" s="105" t="inlineStr">
        <is>
          <t>Televendas</t>
        </is>
      </c>
      <c r="B205" s="94">
        <f>INDEX(SETORES!$B:$B,MATCH(A205,SETORES!$A:$A,0))</f>
        <v/>
      </c>
      <c r="C205" s="105" t="inlineStr">
        <is>
          <t>Empresa Licenciada VOICENET</t>
        </is>
      </c>
      <c r="D205" s="83">
        <f>IF(B205="Clientes",SUMIFS(PARÂMETROS!$D$8:$D$33,PARÂMETROS!$A$8:$A$33,C205,PARÂMETROS!$G$8:$G$33,J205),SUMIFS(PARÂMETROS!$E$8:$E$33,PARÂMETROS!$A$8:$A$33,C205,PARÂMETROS!$G$8:$G$33,J205))</f>
        <v/>
      </c>
      <c r="E205" s="107">
        <f>SUMIFS(SETORES!$D:$D,SETORES!$A:$A,A205,SETORES!$F:$F,J205)</f>
        <v/>
      </c>
      <c r="F205" s="107">
        <f>IFERROR(D205*E205,0)</f>
        <v/>
      </c>
      <c r="G205" s="83">
        <f>SUMIFS(PARÂMETROS!$F$8:$F$33,PARÂMETROS!$A$8:$A$33,C205,PARÂMETROS!$G$8:$G$33,J205)</f>
        <v/>
      </c>
      <c r="H205" s="107">
        <f>IFERROR(F205*G205,0)</f>
        <v/>
      </c>
      <c r="I205" s="107">
        <f>F205+H205</f>
        <v/>
      </c>
      <c r="J205" s="105" t="inlineStr">
        <is>
          <t>Junho/2026</t>
        </is>
      </c>
    </row>
    <row r="206" hidden="1" ht="14.25" customHeight="1" s="75">
      <c r="A206" s="90" t="inlineStr">
        <is>
          <t>Televendas</t>
        </is>
      </c>
      <c r="B206" s="90">
        <f>INDEX(SETORES!$B:$B,MATCH(A206,SETORES!$A:$A,0))</f>
        <v/>
      </c>
      <c r="C206" s="90" t="inlineStr">
        <is>
          <t>DTEL (uso próprio)</t>
        </is>
      </c>
      <c r="D206" s="88">
        <f>IF(B206="Clientes",SUMIFS(PARÂMETROS!$D$8:$D$33,PARÂMETROS!$A$8:$A$33,C206,PARÂMETROS!$G$8:$G$33,J206),SUMIFS(PARÂMETROS!$E$8:$E$33,PARÂMETROS!$A$8:$A$33,C206,PARÂMETROS!$G$8:$G$33,J206))</f>
        <v/>
      </c>
      <c r="E206" s="96">
        <f>SUMIFS(SETORES!$D:$D,SETORES!$A:$A,A206,SETORES!$F:$F,J206)</f>
        <v/>
      </c>
      <c r="F206" s="96">
        <f>IFERROR(D206*E206,0)</f>
        <v/>
      </c>
      <c r="G206" s="88">
        <f>SUMIFS(PARÂMETROS!$F$8:$F$33,PARÂMETROS!$A$8:$A$33,C206,PARÂMETROS!$G$8:$G$33,J206)</f>
        <v/>
      </c>
      <c r="H206" s="96">
        <f>IFERROR(F206*G206,0)</f>
        <v/>
      </c>
      <c r="I206" s="96">
        <f>F206+H206</f>
        <v/>
      </c>
      <c r="J206" s="90" t="inlineStr">
        <is>
          <t>Junho/2026</t>
        </is>
      </c>
    </row>
    <row r="207" hidden="1" ht="14.25" customHeight="1" s="75">
      <c r="A207" s="105" t="inlineStr">
        <is>
          <t>Suporte Orbix</t>
        </is>
      </c>
      <c r="B207" s="94">
        <f>INDEX(SETORES!$B:$B,MATCH(A207,SETORES!$A:$A,0))</f>
        <v/>
      </c>
      <c r="C207" s="105" t="inlineStr">
        <is>
          <t>Empresa Licenciada DX2</t>
        </is>
      </c>
      <c r="D207" s="83">
        <f>IF(B207="Clientes",SUMIFS(PARÂMETROS!$D$8:$D$33,PARÂMETROS!$A$8:$A$33,C207,PARÂMETROS!$G$8:$G$33,J207),SUMIFS(PARÂMETROS!$E$8:$E$33,PARÂMETROS!$A$8:$A$33,C207,PARÂMETROS!$G$8:$G$33,J207))</f>
        <v/>
      </c>
      <c r="E207" s="107">
        <f>SUMIFS(SETORES!$D:$D,SETORES!$A:$A,A207,SETORES!$F:$F,J207)</f>
        <v/>
      </c>
      <c r="F207" s="107">
        <f>IFERROR(D207*E207,0)</f>
        <v/>
      </c>
      <c r="G207" s="83">
        <f>SUMIFS(PARÂMETROS!$F$8:$F$33,PARÂMETROS!$A$8:$A$33,C207,PARÂMETROS!$G$8:$G$33,J207)</f>
        <v/>
      </c>
      <c r="H207" s="107">
        <f>IFERROR(F207*G207,0)</f>
        <v/>
      </c>
      <c r="I207" s="107">
        <f>F207+H207</f>
        <v/>
      </c>
      <c r="J207" s="105" t="inlineStr">
        <is>
          <t>Junho/2026</t>
        </is>
      </c>
    </row>
    <row r="208" hidden="1" ht="14.25" customHeight="1" s="75">
      <c r="A208" s="90" t="inlineStr">
        <is>
          <t>Suporte Orbix</t>
        </is>
      </c>
      <c r="B208" s="90">
        <f>INDEX(SETORES!$B:$B,MATCH(A208,SETORES!$A:$A,0))</f>
        <v/>
      </c>
      <c r="C208" s="90" t="inlineStr">
        <is>
          <t>Empresa Licenciada H&amp;A</t>
        </is>
      </c>
      <c r="D208" s="88">
        <f>IF(B208="Clientes",SUMIFS(PARÂMETROS!$D$8:$D$33,PARÂMETROS!$A$8:$A$33,C208,PARÂMETROS!$G$8:$G$33,J208),SUMIFS(PARÂMETROS!$E$8:$E$33,PARÂMETROS!$A$8:$A$33,C208,PARÂMETROS!$G$8:$G$33,J208))</f>
        <v/>
      </c>
      <c r="E208" s="96">
        <f>SUMIFS(SETORES!$D:$D,SETORES!$A:$A,A208,SETORES!$F:$F,J208)</f>
        <v/>
      </c>
      <c r="F208" s="96">
        <f>IFERROR(D208*E208,0)</f>
        <v/>
      </c>
      <c r="G208" s="88">
        <f>SUMIFS(PARÂMETROS!$F$8:$F$33,PARÂMETROS!$A$8:$A$33,C208,PARÂMETROS!$G$8:$G$33,J208)</f>
        <v/>
      </c>
      <c r="H208" s="96">
        <f>IFERROR(F208*G208,0)</f>
        <v/>
      </c>
      <c r="I208" s="96">
        <f>F208+H208</f>
        <v/>
      </c>
      <c r="J208" s="90" t="inlineStr">
        <is>
          <t>Junho/2026</t>
        </is>
      </c>
    </row>
    <row r="209" hidden="1" ht="14.25" customHeight="1" s="75">
      <c r="A209" s="105" t="inlineStr">
        <is>
          <t>Suporte Orbix</t>
        </is>
      </c>
      <c r="B209" s="94">
        <f>INDEX(SETORES!$B:$B,MATCH(A209,SETORES!$A:$A,0))</f>
        <v/>
      </c>
      <c r="C209" s="105" t="inlineStr">
        <is>
          <t>Empresa Licenciada SOLON ARAUJO</t>
        </is>
      </c>
      <c r="D209" s="83">
        <f>IF(B209="Clientes",SUMIFS(PARÂMETROS!$D$8:$D$33,PARÂMETROS!$A$8:$A$33,C209,PARÂMETROS!$G$8:$G$33,J209),SUMIFS(PARÂMETROS!$E$8:$E$33,PARÂMETROS!$A$8:$A$33,C209,PARÂMETROS!$G$8:$G$33,J209))</f>
        <v/>
      </c>
      <c r="E209" s="107">
        <f>SUMIFS(SETORES!$D:$D,SETORES!$A:$A,A209,SETORES!$F:$F,J209)</f>
        <v/>
      </c>
      <c r="F209" s="107">
        <f>IFERROR(D209*E209,0)</f>
        <v/>
      </c>
      <c r="G209" s="83">
        <f>SUMIFS(PARÂMETROS!$F$8:$F$33,PARÂMETROS!$A$8:$A$33,C209,PARÂMETROS!$G$8:$G$33,J209)</f>
        <v/>
      </c>
      <c r="H209" s="107">
        <f>IFERROR(F209*G209,0)</f>
        <v/>
      </c>
      <c r="I209" s="107">
        <f>F209+H209</f>
        <v/>
      </c>
      <c r="J209" s="105" t="inlineStr">
        <is>
          <t>Junho/2026</t>
        </is>
      </c>
    </row>
    <row r="210" ht="14.25" customHeight="1" s="75">
      <c r="A210" s="90" t="inlineStr">
        <is>
          <t>Suporte Orbix</t>
        </is>
      </c>
      <c r="B210" s="90">
        <f>INDEX(SETORES!$B:$B,MATCH(A210,SETORES!$A:$A,0))</f>
        <v/>
      </c>
      <c r="C210" s="90" t="inlineStr">
        <is>
          <t>Empresa Licenciada SOARES E LINS</t>
        </is>
      </c>
      <c r="D210" s="88">
        <f>IF(B210="Clientes",SUMIFS(PARÂMETROS!$D$8:$D$33,PARÂMETROS!$A$8:$A$33,C210,PARÂMETROS!$G$8:$G$33,J210),SUMIFS(PARÂMETROS!$E$8:$E$33,PARÂMETROS!$A$8:$A$33,C210,PARÂMETROS!$G$8:$G$33,J210))</f>
        <v/>
      </c>
      <c r="E210" s="96">
        <f>SUMIFS(SETORES!$D:$D,SETORES!$A:$A,A210,SETORES!$F:$F,J210)</f>
        <v/>
      </c>
      <c r="F210" s="96">
        <f>IFERROR(D210*E210,0)</f>
        <v/>
      </c>
      <c r="G210" s="88">
        <f>SUMIFS(PARÂMETROS!$F$8:$F$33,PARÂMETROS!$A$8:$A$33,C210,PARÂMETROS!$G$8:$G$33,J210)</f>
        <v/>
      </c>
      <c r="H210" s="96">
        <f>IFERROR(F210*G210,0)</f>
        <v/>
      </c>
      <c r="I210" s="96">
        <f>F210+H210</f>
        <v/>
      </c>
      <c r="J210" s="90" t="inlineStr">
        <is>
          <t>Junho/2026</t>
        </is>
      </c>
    </row>
    <row r="211" hidden="1" ht="14.25" customHeight="1" s="75">
      <c r="A211" s="105" t="inlineStr">
        <is>
          <t>Suporte Orbix</t>
        </is>
      </c>
      <c r="B211" s="94">
        <f>INDEX(SETORES!$B:$B,MATCH(A211,SETORES!$A:$A,0))</f>
        <v/>
      </c>
      <c r="C211" s="105" t="inlineStr">
        <is>
          <t>Empresa Licenciada SOARES E SILVA</t>
        </is>
      </c>
      <c r="D211" s="83">
        <f>IF(B211="Clientes",SUMIFS(PARÂMETROS!$D$8:$D$33,PARÂMETROS!$A$8:$A$33,C211,PARÂMETROS!$G$8:$G$33,J211),SUMIFS(PARÂMETROS!$E$8:$E$33,PARÂMETROS!$A$8:$A$33,C211,PARÂMETROS!$G$8:$G$33,J211))</f>
        <v/>
      </c>
      <c r="E211" s="107">
        <f>SUMIFS(SETORES!$D:$D,SETORES!$A:$A,A211,SETORES!$F:$F,J211)</f>
        <v/>
      </c>
      <c r="F211" s="107">
        <f>IFERROR(D211*E211,0)</f>
        <v/>
      </c>
      <c r="G211" s="83">
        <f>SUMIFS(PARÂMETROS!$F$8:$F$33,PARÂMETROS!$A$8:$A$33,C211,PARÂMETROS!$G$8:$G$33,J211)</f>
        <v/>
      </c>
      <c r="H211" s="107">
        <f>IFERROR(F211*G211,0)</f>
        <v/>
      </c>
      <c r="I211" s="107">
        <f>F211+H211</f>
        <v/>
      </c>
      <c r="J211" s="105" t="inlineStr">
        <is>
          <t>Junho/2026</t>
        </is>
      </c>
    </row>
    <row r="212" hidden="1" ht="14.25" customHeight="1" s="75">
      <c r="A212" s="90" t="inlineStr">
        <is>
          <t>Suporte Orbix</t>
        </is>
      </c>
      <c r="B212" s="90">
        <f>INDEX(SETORES!$B:$B,MATCH(A212,SETORES!$A:$A,0))</f>
        <v/>
      </c>
      <c r="C212" s="90" t="inlineStr">
        <is>
          <t>Empresa Licenciada SOUZA E SILVA</t>
        </is>
      </c>
      <c r="D212" s="88">
        <f>IF(B212="Clientes",SUMIFS(PARÂMETROS!$D$8:$D$33,PARÂMETROS!$A$8:$A$33,C212,PARÂMETROS!$G$8:$G$33,J212),SUMIFS(PARÂMETROS!$E$8:$E$33,PARÂMETROS!$A$8:$A$33,C212,PARÂMETROS!$G$8:$G$33,J212))</f>
        <v/>
      </c>
      <c r="E212" s="96">
        <f>SUMIFS(SETORES!$D:$D,SETORES!$A:$A,A212,SETORES!$F:$F,J212)</f>
        <v/>
      </c>
      <c r="F212" s="96">
        <f>IFERROR(D212*E212,0)</f>
        <v/>
      </c>
      <c r="G212" s="88">
        <f>SUMIFS(PARÂMETROS!$F$8:$F$33,PARÂMETROS!$A$8:$A$33,C212,PARÂMETROS!$G$8:$G$33,J212)</f>
        <v/>
      </c>
      <c r="H212" s="96">
        <f>IFERROR(F212*G212,0)</f>
        <v/>
      </c>
      <c r="I212" s="96">
        <f>F212+H212</f>
        <v/>
      </c>
      <c r="J212" s="90" t="inlineStr">
        <is>
          <t>Junho/2026</t>
        </is>
      </c>
    </row>
    <row r="213" hidden="1" ht="14.25" customHeight="1" s="75">
      <c r="A213" s="105" t="inlineStr">
        <is>
          <t>Suporte Orbix</t>
        </is>
      </c>
      <c r="B213" s="94">
        <f>INDEX(SETORES!$B:$B,MATCH(A213,SETORES!$A:$A,0))</f>
        <v/>
      </c>
      <c r="C213" s="105" t="inlineStr">
        <is>
          <t>Empresa Licenciada VOICENET</t>
        </is>
      </c>
      <c r="D213" s="83">
        <f>IF(B213="Clientes",SUMIFS(PARÂMETROS!$D$8:$D$33,PARÂMETROS!$A$8:$A$33,C213,PARÂMETROS!$G$8:$G$33,J213),SUMIFS(PARÂMETROS!$E$8:$E$33,PARÂMETROS!$A$8:$A$33,C213,PARÂMETROS!$G$8:$G$33,J213))</f>
        <v/>
      </c>
      <c r="E213" s="107">
        <f>SUMIFS(SETORES!$D:$D,SETORES!$A:$A,A213,SETORES!$F:$F,J213)</f>
        <v/>
      </c>
      <c r="F213" s="107">
        <f>IFERROR(D213*E213,0)</f>
        <v/>
      </c>
      <c r="G213" s="83">
        <f>SUMIFS(PARÂMETROS!$F$8:$F$33,PARÂMETROS!$A$8:$A$33,C213,PARÂMETROS!$G$8:$G$33,J213)</f>
        <v/>
      </c>
      <c r="H213" s="107">
        <f>IFERROR(F213*G213,0)</f>
        <v/>
      </c>
      <c r="I213" s="107">
        <f>F213+H213</f>
        <v/>
      </c>
      <c r="J213" s="105" t="inlineStr">
        <is>
          <t>Junho/2026</t>
        </is>
      </c>
    </row>
    <row r="214" hidden="1" ht="14.25" customHeight="1" s="75">
      <c r="A214" s="90" t="inlineStr">
        <is>
          <t>Suporte Orbix</t>
        </is>
      </c>
      <c r="B214" s="90">
        <f>INDEX(SETORES!$B:$B,MATCH(A214,SETORES!$A:$A,0))</f>
        <v/>
      </c>
      <c r="C214" s="90" t="inlineStr">
        <is>
          <t>DTEL (uso próprio)</t>
        </is>
      </c>
      <c r="D214" s="88">
        <f>IF(B214="Clientes",SUMIFS(PARÂMETROS!$D$8:$D$33,PARÂMETROS!$A$8:$A$33,C214,PARÂMETROS!$G$8:$G$33,J214),SUMIFS(PARÂMETROS!$E$8:$E$33,PARÂMETROS!$A$8:$A$33,C214,PARÂMETROS!$G$8:$G$33,J214))</f>
        <v/>
      </c>
      <c r="E214" s="96">
        <f>SUMIFS(SETORES!$D:$D,SETORES!$A:$A,A214,SETORES!$F:$F,J214)</f>
        <v/>
      </c>
      <c r="F214" s="96">
        <f>IFERROR(D214*E214,0)</f>
        <v/>
      </c>
      <c r="G214" s="88">
        <f>SUMIFS(PARÂMETROS!$F$8:$F$33,PARÂMETROS!$A$8:$A$33,C214,PARÂMETROS!$G$8:$G$33,J214)</f>
        <v/>
      </c>
      <c r="H214" s="96">
        <f>IFERROR(F214*G214,0)</f>
        <v/>
      </c>
      <c r="I214" s="96">
        <f>F214+H214</f>
        <v/>
      </c>
      <c r="J214" s="90" t="inlineStr">
        <is>
          <t>Junho/2026</t>
        </is>
      </c>
    </row>
    <row r="215" hidden="1" ht="14.25" customHeight="1" s="75">
      <c r="A215" s="105" t="inlineStr">
        <is>
          <t>Suporte da Central</t>
        </is>
      </c>
      <c r="B215" s="94">
        <f>INDEX(SETORES!$B:$B,MATCH(A215,SETORES!$A:$A,0))</f>
        <v/>
      </c>
      <c r="C215" s="105" t="inlineStr">
        <is>
          <t>Empresa Licenciada DX2</t>
        </is>
      </c>
      <c r="D215" s="83">
        <f>IF(B215="Clientes",SUMIFS(PARÂMETROS!$D$8:$D$33,PARÂMETROS!$A$8:$A$33,C215,PARÂMETROS!$G$8:$G$33,J215),SUMIFS(PARÂMETROS!$E$8:$E$33,PARÂMETROS!$A$8:$A$33,C215,PARÂMETROS!$G$8:$G$33,J215))</f>
        <v/>
      </c>
      <c r="E215" s="107">
        <f>SUMIFS(SETORES!$D:$D,SETORES!$A:$A,A215,SETORES!$F:$F,J215)</f>
        <v/>
      </c>
      <c r="F215" s="107">
        <f>IFERROR(D215*E215,0)</f>
        <v/>
      </c>
      <c r="G215" s="83">
        <f>SUMIFS(PARÂMETROS!$F$8:$F$33,PARÂMETROS!$A$8:$A$33,C215,PARÂMETROS!$G$8:$G$33,J215)</f>
        <v/>
      </c>
      <c r="H215" s="107">
        <f>IFERROR(F215*G215,0)</f>
        <v/>
      </c>
      <c r="I215" s="107">
        <f>F215+H215</f>
        <v/>
      </c>
      <c r="J215" s="105" t="inlineStr">
        <is>
          <t>Junho/2026</t>
        </is>
      </c>
    </row>
    <row r="216" hidden="1" ht="14.25" customHeight="1" s="75">
      <c r="A216" s="90" t="inlineStr">
        <is>
          <t>Suporte da Central</t>
        </is>
      </c>
      <c r="B216" s="90">
        <f>INDEX(SETORES!$B:$B,MATCH(A216,SETORES!$A:$A,0))</f>
        <v/>
      </c>
      <c r="C216" s="90" t="inlineStr">
        <is>
          <t>Empresa Licenciada H&amp;A</t>
        </is>
      </c>
      <c r="D216" s="88">
        <f>IF(B216="Clientes",SUMIFS(PARÂMETROS!$D$8:$D$33,PARÂMETROS!$A$8:$A$33,C216,PARÂMETROS!$G$8:$G$33,J216),SUMIFS(PARÂMETROS!$E$8:$E$33,PARÂMETROS!$A$8:$A$33,C216,PARÂMETROS!$G$8:$G$33,J216))</f>
        <v/>
      </c>
      <c r="E216" s="96">
        <f>SUMIFS(SETORES!$D:$D,SETORES!$A:$A,A216,SETORES!$F:$F,J216)</f>
        <v/>
      </c>
      <c r="F216" s="96">
        <f>IFERROR(D216*E216,0)</f>
        <v/>
      </c>
      <c r="G216" s="88">
        <f>SUMIFS(PARÂMETROS!$F$8:$F$33,PARÂMETROS!$A$8:$A$33,C216,PARÂMETROS!$G$8:$G$33,J216)</f>
        <v/>
      </c>
      <c r="H216" s="96">
        <f>IFERROR(F216*G216,0)</f>
        <v/>
      </c>
      <c r="I216" s="96">
        <f>F216+H216</f>
        <v/>
      </c>
      <c r="J216" s="90" t="inlineStr">
        <is>
          <t>Junho/2026</t>
        </is>
      </c>
    </row>
    <row r="217" hidden="1" ht="14.25" customHeight="1" s="75">
      <c r="A217" s="105" t="inlineStr">
        <is>
          <t>Suporte da Central</t>
        </is>
      </c>
      <c r="B217" s="94">
        <f>INDEX(SETORES!$B:$B,MATCH(A217,SETORES!$A:$A,0))</f>
        <v/>
      </c>
      <c r="C217" s="105" t="inlineStr">
        <is>
          <t>Empresa Licenciada SOLON ARAUJO</t>
        </is>
      </c>
      <c r="D217" s="83">
        <f>IF(B217="Clientes",SUMIFS(PARÂMETROS!$D$8:$D$33,PARÂMETROS!$A$8:$A$33,C217,PARÂMETROS!$G$8:$G$33,J217),SUMIFS(PARÂMETROS!$E$8:$E$33,PARÂMETROS!$A$8:$A$33,C217,PARÂMETROS!$G$8:$G$33,J217))</f>
        <v/>
      </c>
      <c r="E217" s="107">
        <f>SUMIFS(SETORES!$D:$D,SETORES!$A:$A,A217,SETORES!$F:$F,J217)</f>
        <v/>
      </c>
      <c r="F217" s="107">
        <f>IFERROR(D217*E217,0)</f>
        <v/>
      </c>
      <c r="G217" s="83">
        <f>SUMIFS(PARÂMETROS!$F$8:$F$33,PARÂMETROS!$A$8:$A$33,C217,PARÂMETROS!$G$8:$G$33,J217)</f>
        <v/>
      </c>
      <c r="H217" s="107">
        <f>IFERROR(F217*G217,0)</f>
        <v/>
      </c>
      <c r="I217" s="107">
        <f>F217+H217</f>
        <v/>
      </c>
      <c r="J217" s="105" t="inlineStr">
        <is>
          <t>Junho/2026</t>
        </is>
      </c>
    </row>
    <row r="218" ht="14.25" customHeight="1" s="75">
      <c r="A218" s="90" t="inlineStr">
        <is>
          <t>Suporte da Central</t>
        </is>
      </c>
      <c r="B218" s="90">
        <f>INDEX(SETORES!$B:$B,MATCH(A218,SETORES!$A:$A,0))</f>
        <v/>
      </c>
      <c r="C218" s="90" t="inlineStr">
        <is>
          <t>Empresa Licenciada SOARES E LINS</t>
        </is>
      </c>
      <c r="D218" s="88">
        <f>IF(B218="Clientes",SUMIFS(PARÂMETROS!$D$8:$D$33,PARÂMETROS!$A$8:$A$33,C218,PARÂMETROS!$G$8:$G$33,J218),SUMIFS(PARÂMETROS!$E$8:$E$33,PARÂMETROS!$A$8:$A$33,C218,PARÂMETROS!$G$8:$G$33,J218))</f>
        <v/>
      </c>
      <c r="E218" s="96">
        <f>SUMIFS(SETORES!$D:$D,SETORES!$A:$A,A218,SETORES!$F:$F,J218)</f>
        <v/>
      </c>
      <c r="F218" s="96">
        <f>IFERROR(D218*E218,0)</f>
        <v/>
      </c>
      <c r="G218" s="88">
        <f>SUMIFS(PARÂMETROS!$F$8:$F$33,PARÂMETROS!$A$8:$A$33,C218,PARÂMETROS!$G$8:$G$33,J218)</f>
        <v/>
      </c>
      <c r="H218" s="96">
        <f>IFERROR(F218*G218,0)</f>
        <v/>
      </c>
      <c r="I218" s="96">
        <f>F218+H218</f>
        <v/>
      </c>
      <c r="J218" s="90" t="inlineStr">
        <is>
          <t>Junho/2026</t>
        </is>
      </c>
    </row>
    <row r="219" hidden="1" ht="14.25" customHeight="1" s="75">
      <c r="A219" s="105" t="inlineStr">
        <is>
          <t>Suporte da Central</t>
        </is>
      </c>
      <c r="B219" s="94">
        <f>INDEX(SETORES!$B:$B,MATCH(A219,SETORES!$A:$A,0))</f>
        <v/>
      </c>
      <c r="C219" s="105" t="inlineStr">
        <is>
          <t>Empresa Licenciada SOARES E SILVA</t>
        </is>
      </c>
      <c r="D219" s="83">
        <f>IF(B219="Clientes",SUMIFS(PARÂMETROS!$D$8:$D$33,PARÂMETROS!$A$8:$A$33,C219,PARÂMETROS!$G$8:$G$33,J219),SUMIFS(PARÂMETROS!$E$8:$E$33,PARÂMETROS!$A$8:$A$33,C219,PARÂMETROS!$G$8:$G$33,J219))</f>
        <v/>
      </c>
      <c r="E219" s="107">
        <f>SUMIFS(SETORES!$D:$D,SETORES!$A:$A,A219,SETORES!$F:$F,J219)</f>
        <v/>
      </c>
      <c r="F219" s="107">
        <f>IFERROR(D219*E219,0)</f>
        <v/>
      </c>
      <c r="G219" s="83">
        <f>SUMIFS(PARÂMETROS!$F$8:$F$33,PARÂMETROS!$A$8:$A$33,C219,PARÂMETROS!$G$8:$G$33,J219)</f>
        <v/>
      </c>
      <c r="H219" s="107">
        <f>IFERROR(F219*G219,0)</f>
        <v/>
      </c>
      <c r="I219" s="107">
        <f>F219+H219</f>
        <v/>
      </c>
      <c r="J219" s="105" t="inlineStr">
        <is>
          <t>Junho/2026</t>
        </is>
      </c>
    </row>
    <row r="220" hidden="1" ht="14.25" customHeight="1" s="75">
      <c r="A220" s="90" t="inlineStr">
        <is>
          <t>Suporte da Central</t>
        </is>
      </c>
      <c r="B220" s="90">
        <f>INDEX(SETORES!$B:$B,MATCH(A220,SETORES!$A:$A,0))</f>
        <v/>
      </c>
      <c r="C220" s="90" t="inlineStr">
        <is>
          <t>Empresa Licenciada SOUZA E SILVA</t>
        </is>
      </c>
      <c r="D220" s="88">
        <f>IF(B220="Clientes",SUMIFS(PARÂMETROS!$D$8:$D$33,PARÂMETROS!$A$8:$A$33,C220,PARÂMETROS!$G$8:$G$33,J220),SUMIFS(PARÂMETROS!$E$8:$E$33,PARÂMETROS!$A$8:$A$33,C220,PARÂMETROS!$G$8:$G$33,J220))</f>
        <v/>
      </c>
      <c r="E220" s="96">
        <f>SUMIFS(SETORES!$D:$D,SETORES!$A:$A,A220,SETORES!$F:$F,J220)</f>
        <v/>
      </c>
      <c r="F220" s="96">
        <f>IFERROR(D220*E220,0)</f>
        <v/>
      </c>
      <c r="G220" s="88">
        <f>SUMIFS(PARÂMETROS!$F$8:$F$33,PARÂMETROS!$A$8:$A$33,C220,PARÂMETROS!$G$8:$G$33,J220)</f>
        <v/>
      </c>
      <c r="H220" s="96">
        <f>IFERROR(F220*G220,0)</f>
        <v/>
      </c>
      <c r="I220" s="96">
        <f>F220+H220</f>
        <v/>
      </c>
      <c r="J220" s="90" t="inlineStr">
        <is>
          <t>Junho/2026</t>
        </is>
      </c>
    </row>
    <row r="221" hidden="1" ht="14.25" customHeight="1" s="75">
      <c r="A221" s="105" t="inlineStr">
        <is>
          <t>Suporte da Central</t>
        </is>
      </c>
      <c r="B221" s="94">
        <f>INDEX(SETORES!$B:$B,MATCH(A221,SETORES!$A:$A,0))</f>
        <v/>
      </c>
      <c r="C221" s="105" t="inlineStr">
        <is>
          <t>Empresa Licenciada VOICENET</t>
        </is>
      </c>
      <c r="D221" s="83">
        <f>IF(B221="Clientes",SUMIFS(PARÂMETROS!$D$8:$D$33,PARÂMETROS!$A$8:$A$33,C221,PARÂMETROS!$G$8:$G$33,J221),SUMIFS(PARÂMETROS!$E$8:$E$33,PARÂMETROS!$A$8:$A$33,C221,PARÂMETROS!$G$8:$G$33,J221))</f>
        <v/>
      </c>
      <c r="E221" s="107">
        <f>SUMIFS(SETORES!$D:$D,SETORES!$A:$A,A221,SETORES!$F:$F,J221)</f>
        <v/>
      </c>
      <c r="F221" s="107">
        <f>IFERROR(D221*E221,0)</f>
        <v/>
      </c>
      <c r="G221" s="83">
        <f>SUMIFS(PARÂMETROS!$F$8:$F$33,PARÂMETROS!$A$8:$A$33,C221,PARÂMETROS!$G$8:$G$33,J221)</f>
        <v/>
      </c>
      <c r="H221" s="107">
        <f>IFERROR(F221*G221,0)</f>
        <v/>
      </c>
      <c r="I221" s="107">
        <f>F221+H221</f>
        <v/>
      </c>
      <c r="J221" s="105" t="inlineStr">
        <is>
          <t>Junho/2026</t>
        </is>
      </c>
    </row>
    <row r="222" hidden="1" ht="14.25" customHeight="1" s="75">
      <c r="A222" s="90" t="inlineStr">
        <is>
          <t>Suporte da Central</t>
        </is>
      </c>
      <c r="B222" s="90">
        <f>INDEX(SETORES!$B:$B,MATCH(A222,SETORES!$A:$A,0))</f>
        <v/>
      </c>
      <c r="C222" s="90" t="inlineStr">
        <is>
          <t>DTEL (uso próprio)</t>
        </is>
      </c>
      <c r="D222" s="88">
        <f>IF(B222="Clientes",SUMIFS(PARÂMETROS!$D$8:$D$33,PARÂMETROS!$A$8:$A$33,C222,PARÂMETROS!$G$8:$G$33,J222),SUMIFS(PARÂMETROS!$E$8:$E$33,PARÂMETROS!$A$8:$A$33,C222,PARÂMETROS!$G$8:$G$33,J222))</f>
        <v/>
      </c>
      <c r="E222" s="96">
        <f>SUMIFS(SETORES!$D:$D,SETORES!$A:$A,A222,SETORES!$F:$F,J222)</f>
        <v/>
      </c>
      <c r="F222" s="96">
        <f>IFERROR(D222*E222,0)</f>
        <v/>
      </c>
      <c r="G222" s="88">
        <f>SUMIFS(PARÂMETROS!$F$8:$F$33,PARÂMETROS!$A$8:$A$33,C222,PARÂMETROS!$G$8:$G$33,J222)</f>
        <v/>
      </c>
      <c r="H222" s="96">
        <f>IFERROR(F222*G222,0)</f>
        <v/>
      </c>
      <c r="I222" s="96">
        <f>F222+H222</f>
        <v/>
      </c>
      <c r="J222" s="90" t="inlineStr">
        <is>
          <t>Junho/2026</t>
        </is>
      </c>
    </row>
    <row r="223" hidden="1" ht="14.25" customHeight="1" s="75">
      <c r="A223" s="105" t="inlineStr">
        <is>
          <t>Comercial Corporativo</t>
        </is>
      </c>
      <c r="B223" s="94">
        <f>INDEX(SETORES!$B:$B,MATCH(A223,SETORES!$A:$A,0))</f>
        <v/>
      </c>
      <c r="C223" s="105" t="inlineStr">
        <is>
          <t>Empresa Licenciada DX2</t>
        </is>
      </c>
      <c r="D223" s="83">
        <f>IF(B223="Clientes",SUMIFS(PARÂMETROS!$D$8:$D$33,PARÂMETROS!$A$8:$A$33,C223,PARÂMETROS!$G$8:$G$33,J223),SUMIFS(PARÂMETROS!$E$8:$E$33,PARÂMETROS!$A$8:$A$33,C223,PARÂMETROS!$G$8:$G$33,J223))</f>
        <v/>
      </c>
      <c r="E223" s="107">
        <f>SUMIFS(SETORES!$D:$D,SETORES!$A:$A,A223,SETORES!$F:$F,J223)</f>
        <v/>
      </c>
      <c r="F223" s="107">
        <f>IFERROR(D223*E223,0)</f>
        <v/>
      </c>
      <c r="G223" s="83">
        <f>SUMIFS(PARÂMETROS!$F$8:$F$33,PARÂMETROS!$A$8:$A$33,C223,PARÂMETROS!$G$8:$G$33,J223)</f>
        <v/>
      </c>
      <c r="H223" s="107">
        <f>IFERROR(F223*G223,0)</f>
        <v/>
      </c>
      <c r="I223" s="107">
        <f>F223+H223</f>
        <v/>
      </c>
      <c r="J223" s="105" t="inlineStr">
        <is>
          <t>Junho/2026</t>
        </is>
      </c>
    </row>
    <row r="224" hidden="1" ht="14.25" customHeight="1" s="75">
      <c r="A224" s="90" t="inlineStr">
        <is>
          <t>Comercial Corporativo</t>
        </is>
      </c>
      <c r="B224" s="90">
        <f>INDEX(SETORES!$B:$B,MATCH(A224,SETORES!$A:$A,0))</f>
        <v/>
      </c>
      <c r="C224" s="90" t="inlineStr">
        <is>
          <t>Empresa Licenciada H&amp;A</t>
        </is>
      </c>
      <c r="D224" s="88">
        <f>IF(B224="Clientes",SUMIFS(PARÂMETROS!$D$8:$D$33,PARÂMETROS!$A$8:$A$33,C224,PARÂMETROS!$G$8:$G$33,J224),SUMIFS(PARÂMETROS!$E$8:$E$33,PARÂMETROS!$A$8:$A$33,C224,PARÂMETROS!$G$8:$G$33,J224))</f>
        <v/>
      </c>
      <c r="E224" s="96">
        <f>SUMIFS(SETORES!$D:$D,SETORES!$A:$A,A224,SETORES!$F:$F,J224)</f>
        <v/>
      </c>
      <c r="F224" s="96">
        <f>IFERROR(D224*E224,0)</f>
        <v/>
      </c>
      <c r="G224" s="88">
        <f>SUMIFS(PARÂMETROS!$F$8:$F$33,PARÂMETROS!$A$8:$A$33,C224,PARÂMETROS!$G$8:$G$33,J224)</f>
        <v/>
      </c>
      <c r="H224" s="96">
        <f>IFERROR(F224*G224,0)</f>
        <v/>
      </c>
      <c r="I224" s="96">
        <f>F224+H224</f>
        <v/>
      </c>
      <c r="J224" s="90" t="inlineStr">
        <is>
          <t>Junho/2026</t>
        </is>
      </c>
    </row>
    <row r="225" hidden="1" ht="14.25" customHeight="1" s="75">
      <c r="A225" s="105" t="inlineStr">
        <is>
          <t>Comercial Corporativo</t>
        </is>
      </c>
      <c r="B225" s="94">
        <f>INDEX(SETORES!$B:$B,MATCH(A225,SETORES!$A:$A,0))</f>
        <v/>
      </c>
      <c r="C225" s="105" t="inlineStr">
        <is>
          <t>Empresa Licenciada SOLON ARAUJO</t>
        </is>
      </c>
      <c r="D225" s="83">
        <f>IF(B225="Clientes",SUMIFS(PARÂMETROS!$D$8:$D$33,PARÂMETROS!$A$8:$A$33,C225,PARÂMETROS!$G$8:$G$33,J225),SUMIFS(PARÂMETROS!$E$8:$E$33,PARÂMETROS!$A$8:$A$33,C225,PARÂMETROS!$G$8:$G$33,J225))</f>
        <v/>
      </c>
      <c r="E225" s="107">
        <f>SUMIFS(SETORES!$D:$D,SETORES!$A:$A,A225,SETORES!$F:$F,J225)</f>
        <v/>
      </c>
      <c r="F225" s="107">
        <f>IFERROR(D225*E225,0)</f>
        <v/>
      </c>
      <c r="G225" s="83">
        <f>SUMIFS(PARÂMETROS!$F$8:$F$33,PARÂMETROS!$A$8:$A$33,C225,PARÂMETROS!$G$8:$G$33,J225)</f>
        <v/>
      </c>
      <c r="H225" s="107">
        <f>IFERROR(F225*G225,0)</f>
        <v/>
      </c>
      <c r="I225" s="107">
        <f>F225+H225</f>
        <v/>
      </c>
      <c r="J225" s="105" t="inlineStr">
        <is>
          <t>Junho/2026</t>
        </is>
      </c>
    </row>
    <row r="226" ht="14.25" customHeight="1" s="75">
      <c r="A226" s="90" t="inlineStr">
        <is>
          <t>Comercial Corporativo</t>
        </is>
      </c>
      <c r="B226" s="90">
        <f>INDEX(SETORES!$B:$B,MATCH(A226,SETORES!$A:$A,0))</f>
        <v/>
      </c>
      <c r="C226" s="90" t="inlineStr">
        <is>
          <t>Empresa Licenciada SOARES E LINS</t>
        </is>
      </c>
      <c r="D226" s="88">
        <f>IF(B226="Clientes",SUMIFS(PARÂMETROS!$D$8:$D$33,PARÂMETROS!$A$8:$A$33,C226,PARÂMETROS!$G$8:$G$33,J226),SUMIFS(PARÂMETROS!$E$8:$E$33,PARÂMETROS!$A$8:$A$33,C226,PARÂMETROS!$G$8:$G$33,J226))</f>
        <v/>
      </c>
      <c r="E226" s="96">
        <f>SUMIFS(SETORES!$D:$D,SETORES!$A:$A,A226,SETORES!$F:$F,J226)</f>
        <v/>
      </c>
      <c r="F226" s="96">
        <f>IFERROR(D226*E226,0)</f>
        <v/>
      </c>
      <c r="G226" s="88">
        <f>SUMIFS(PARÂMETROS!$F$8:$F$33,PARÂMETROS!$A$8:$A$33,C226,PARÂMETROS!$G$8:$G$33,J226)</f>
        <v/>
      </c>
      <c r="H226" s="96">
        <f>IFERROR(F226*G226,0)</f>
        <v/>
      </c>
      <c r="I226" s="96">
        <f>F226+H226</f>
        <v/>
      </c>
      <c r="J226" s="90" t="inlineStr">
        <is>
          <t>Junho/2026</t>
        </is>
      </c>
    </row>
    <row r="227" hidden="1" ht="14.25" customHeight="1" s="75">
      <c r="A227" s="105" t="inlineStr">
        <is>
          <t>Comercial Corporativo</t>
        </is>
      </c>
      <c r="B227" s="94">
        <f>INDEX(SETORES!$B:$B,MATCH(A227,SETORES!$A:$A,0))</f>
        <v/>
      </c>
      <c r="C227" s="105" t="inlineStr">
        <is>
          <t>Empresa Licenciada SOARES E SILVA</t>
        </is>
      </c>
      <c r="D227" s="83">
        <f>IF(B227="Clientes",SUMIFS(PARÂMETROS!$D$8:$D$33,PARÂMETROS!$A$8:$A$33,C227,PARÂMETROS!$G$8:$G$33,J227),SUMIFS(PARÂMETROS!$E$8:$E$33,PARÂMETROS!$A$8:$A$33,C227,PARÂMETROS!$G$8:$G$33,J227))</f>
        <v/>
      </c>
      <c r="E227" s="107">
        <f>SUMIFS(SETORES!$D:$D,SETORES!$A:$A,A227,SETORES!$F:$F,J227)</f>
        <v/>
      </c>
      <c r="F227" s="107">
        <f>IFERROR(D227*E227,0)</f>
        <v/>
      </c>
      <c r="G227" s="83">
        <f>SUMIFS(PARÂMETROS!$F$8:$F$33,PARÂMETROS!$A$8:$A$33,C227,PARÂMETROS!$G$8:$G$33,J227)</f>
        <v/>
      </c>
      <c r="H227" s="107">
        <f>IFERROR(F227*G227,0)</f>
        <v/>
      </c>
      <c r="I227" s="107">
        <f>F227+H227</f>
        <v/>
      </c>
      <c r="J227" s="105" t="inlineStr">
        <is>
          <t>Junho/2026</t>
        </is>
      </c>
    </row>
    <row r="228" hidden="1" ht="14.25" customHeight="1" s="75">
      <c r="A228" s="90" t="inlineStr">
        <is>
          <t>Comercial Corporativo</t>
        </is>
      </c>
      <c r="B228" s="90">
        <f>INDEX(SETORES!$B:$B,MATCH(A228,SETORES!$A:$A,0))</f>
        <v/>
      </c>
      <c r="C228" s="90" t="inlineStr">
        <is>
          <t>Empresa Licenciada SOUZA E SILVA</t>
        </is>
      </c>
      <c r="D228" s="88">
        <f>IF(B228="Clientes",SUMIFS(PARÂMETROS!$D$8:$D$33,PARÂMETROS!$A$8:$A$33,C228,PARÂMETROS!$G$8:$G$33,J228),SUMIFS(PARÂMETROS!$E$8:$E$33,PARÂMETROS!$A$8:$A$33,C228,PARÂMETROS!$G$8:$G$33,J228))</f>
        <v/>
      </c>
      <c r="E228" s="96">
        <f>SUMIFS(SETORES!$D:$D,SETORES!$A:$A,A228,SETORES!$F:$F,J228)</f>
        <v/>
      </c>
      <c r="F228" s="96">
        <f>IFERROR(D228*E228,0)</f>
        <v/>
      </c>
      <c r="G228" s="88">
        <f>SUMIFS(PARÂMETROS!$F$8:$F$33,PARÂMETROS!$A$8:$A$33,C228,PARÂMETROS!$G$8:$G$33,J228)</f>
        <v/>
      </c>
      <c r="H228" s="96">
        <f>IFERROR(F228*G228,0)</f>
        <v/>
      </c>
      <c r="I228" s="96">
        <f>F228+H228</f>
        <v/>
      </c>
      <c r="J228" s="90" t="inlineStr">
        <is>
          <t>Junho/2026</t>
        </is>
      </c>
    </row>
    <row r="229" hidden="1" ht="14.25" customHeight="1" s="75">
      <c r="A229" s="105" t="inlineStr">
        <is>
          <t>Comercial Corporativo</t>
        </is>
      </c>
      <c r="B229" s="94">
        <f>INDEX(SETORES!$B:$B,MATCH(A229,SETORES!$A:$A,0))</f>
        <v/>
      </c>
      <c r="C229" s="105" t="inlineStr">
        <is>
          <t>Empresa Licenciada VOICENET</t>
        </is>
      </c>
      <c r="D229" s="83">
        <f>IF(B229="Clientes",SUMIFS(PARÂMETROS!$D$8:$D$33,PARÂMETROS!$A$8:$A$33,C229,PARÂMETROS!$G$8:$G$33,J229),SUMIFS(PARÂMETROS!$E$8:$E$33,PARÂMETROS!$A$8:$A$33,C229,PARÂMETROS!$G$8:$G$33,J229))</f>
        <v/>
      </c>
      <c r="E229" s="107">
        <f>SUMIFS(SETORES!$D:$D,SETORES!$A:$A,A229,SETORES!$F:$F,J229)</f>
        <v/>
      </c>
      <c r="F229" s="107">
        <f>IFERROR(D229*E229,0)</f>
        <v/>
      </c>
      <c r="G229" s="83">
        <f>SUMIFS(PARÂMETROS!$F$8:$F$33,PARÂMETROS!$A$8:$A$33,C229,PARÂMETROS!$G$8:$G$33,J229)</f>
        <v/>
      </c>
      <c r="H229" s="107">
        <f>IFERROR(F229*G229,0)</f>
        <v/>
      </c>
      <c r="I229" s="107">
        <f>F229+H229</f>
        <v/>
      </c>
      <c r="J229" s="105" t="inlineStr">
        <is>
          <t>Junho/2026</t>
        </is>
      </c>
    </row>
    <row r="230" hidden="1" ht="14.25" customHeight="1" s="75">
      <c r="A230" s="90" t="inlineStr">
        <is>
          <t>Comercial Corporativo</t>
        </is>
      </c>
      <c r="B230" s="90">
        <f>INDEX(SETORES!$B:$B,MATCH(A230,SETORES!$A:$A,0))</f>
        <v/>
      </c>
      <c r="C230" s="90" t="inlineStr">
        <is>
          <t>DTEL (uso próprio)</t>
        </is>
      </c>
      <c r="D230" s="88">
        <f>IF(B230="Clientes",SUMIFS(PARÂMETROS!$D$8:$D$33,PARÂMETROS!$A$8:$A$33,C230,PARÂMETROS!$G$8:$G$33,J230),SUMIFS(PARÂMETROS!$E$8:$E$33,PARÂMETROS!$A$8:$A$33,C230,PARÂMETROS!$G$8:$G$33,J230))</f>
        <v/>
      </c>
      <c r="E230" s="96">
        <f>SUMIFS(SETORES!$D:$D,SETORES!$A:$A,A230,SETORES!$F:$F,J230)</f>
        <v/>
      </c>
      <c r="F230" s="96">
        <f>IFERROR(D230*E230,0)</f>
        <v/>
      </c>
      <c r="G230" s="88">
        <f>SUMIFS(PARÂMETROS!$F$8:$F$33,PARÂMETROS!$A$8:$A$33,C230,PARÂMETROS!$G$8:$G$33,J230)</f>
        <v/>
      </c>
      <c r="H230" s="96">
        <f>IFERROR(F230*G230,0)</f>
        <v/>
      </c>
      <c r="I230" s="96">
        <f>F230+H230</f>
        <v/>
      </c>
      <c r="J230" s="90" t="inlineStr">
        <is>
          <t>Junho/2026</t>
        </is>
      </c>
    </row>
    <row r="231" hidden="1" ht="14.25" customHeight="1" s="75">
      <c r="A231" s="105" t="inlineStr">
        <is>
          <t>Administrativo</t>
        </is>
      </c>
      <c r="B231" s="94">
        <f>INDEX(SETORES!$B:$B,MATCH(A231,SETORES!$A:$A,0))</f>
        <v/>
      </c>
      <c r="C231" s="105" t="inlineStr">
        <is>
          <t>Empresa Licenciada DX2</t>
        </is>
      </c>
      <c r="D231" s="83">
        <f>IF(B231="Clientes",SUMIFS(PARÂMETROS!$D$8:$D$33,PARÂMETROS!$A$8:$A$33,C231,PARÂMETROS!$G$8:$G$33,J231),SUMIFS(PARÂMETROS!$E$8:$E$33,PARÂMETROS!$A$8:$A$33,C231,PARÂMETROS!$G$8:$G$33,J231))</f>
        <v/>
      </c>
      <c r="E231" s="107">
        <f>SUMIFS(SETORES!$D:$D,SETORES!$A:$A,A231,SETORES!$F:$F,J231)</f>
        <v/>
      </c>
      <c r="F231" s="107">
        <f>IFERROR(D231*E231,0)</f>
        <v/>
      </c>
      <c r="G231" s="83">
        <f>SUMIFS(PARÂMETROS!$F$8:$F$33,PARÂMETROS!$A$8:$A$33,C231,PARÂMETROS!$G$8:$G$33,J231)</f>
        <v/>
      </c>
      <c r="H231" s="107">
        <f>IFERROR(F231*G231,0)</f>
        <v/>
      </c>
      <c r="I231" s="107">
        <f>F231+H231</f>
        <v/>
      </c>
      <c r="J231" s="105" t="inlineStr">
        <is>
          <t>Junho/2026</t>
        </is>
      </c>
    </row>
    <row r="232" hidden="1" ht="14.25" customHeight="1" s="75">
      <c r="A232" s="90" t="inlineStr">
        <is>
          <t>Administrativo</t>
        </is>
      </c>
      <c r="B232" s="90">
        <f>INDEX(SETORES!$B:$B,MATCH(A232,SETORES!$A:$A,0))</f>
        <v/>
      </c>
      <c r="C232" s="90" t="inlineStr">
        <is>
          <t>Empresa Licenciada H&amp;A</t>
        </is>
      </c>
      <c r="D232" s="88">
        <f>IF(B232="Clientes",SUMIFS(PARÂMETROS!$D$8:$D$33,PARÂMETROS!$A$8:$A$33,C232,PARÂMETROS!$G$8:$G$33,J232),SUMIFS(PARÂMETROS!$E$8:$E$33,PARÂMETROS!$A$8:$A$33,C232,PARÂMETROS!$G$8:$G$33,J232))</f>
        <v/>
      </c>
      <c r="E232" s="96">
        <f>SUMIFS(SETORES!$D:$D,SETORES!$A:$A,A232,SETORES!$F:$F,J232)</f>
        <v/>
      </c>
      <c r="F232" s="96">
        <f>IFERROR(D232*E232,0)</f>
        <v/>
      </c>
      <c r="G232" s="88">
        <f>SUMIFS(PARÂMETROS!$F$8:$F$33,PARÂMETROS!$A$8:$A$33,C232,PARÂMETROS!$G$8:$G$33,J232)</f>
        <v/>
      </c>
      <c r="H232" s="96">
        <f>IFERROR(F232*G232,0)</f>
        <v/>
      </c>
      <c r="I232" s="96">
        <f>F232+H232</f>
        <v/>
      </c>
      <c r="J232" s="90" t="inlineStr">
        <is>
          <t>Junho/2026</t>
        </is>
      </c>
    </row>
    <row r="233" hidden="1" ht="14.25" customHeight="1" s="75">
      <c r="A233" s="105" t="inlineStr">
        <is>
          <t>Administrativo</t>
        </is>
      </c>
      <c r="B233" s="94">
        <f>INDEX(SETORES!$B:$B,MATCH(A233,SETORES!$A:$A,0))</f>
        <v/>
      </c>
      <c r="C233" s="105" t="inlineStr">
        <is>
          <t>Empresa Licenciada SOLON ARAUJO</t>
        </is>
      </c>
      <c r="D233" s="83">
        <f>IF(B233="Clientes",SUMIFS(PARÂMETROS!$D$8:$D$33,PARÂMETROS!$A$8:$A$33,C233,PARÂMETROS!$G$8:$G$33,J233),SUMIFS(PARÂMETROS!$E$8:$E$33,PARÂMETROS!$A$8:$A$33,C233,PARÂMETROS!$G$8:$G$33,J233))</f>
        <v/>
      </c>
      <c r="E233" s="107">
        <f>SUMIFS(SETORES!$D:$D,SETORES!$A:$A,A233,SETORES!$F:$F,J233)</f>
        <v/>
      </c>
      <c r="F233" s="107">
        <f>IFERROR(D233*E233,0)</f>
        <v/>
      </c>
      <c r="G233" s="83">
        <f>SUMIFS(PARÂMETROS!$F$8:$F$33,PARÂMETROS!$A$8:$A$33,C233,PARÂMETROS!$G$8:$G$33,J233)</f>
        <v/>
      </c>
      <c r="H233" s="107">
        <f>IFERROR(F233*G233,0)</f>
        <v/>
      </c>
      <c r="I233" s="107">
        <f>F233+H233</f>
        <v/>
      </c>
      <c r="J233" s="105" t="inlineStr">
        <is>
          <t>Junho/2026</t>
        </is>
      </c>
    </row>
    <row r="234" ht="14.25" customHeight="1" s="75">
      <c r="A234" s="90" t="inlineStr">
        <is>
          <t>Administrativo</t>
        </is>
      </c>
      <c r="B234" s="90">
        <f>INDEX(SETORES!$B:$B,MATCH(A234,SETORES!$A:$A,0))</f>
        <v/>
      </c>
      <c r="C234" s="90" t="inlineStr">
        <is>
          <t>Empresa Licenciada SOARES E LINS</t>
        </is>
      </c>
      <c r="D234" s="88">
        <f>IF(B234="Clientes",SUMIFS(PARÂMETROS!$D$8:$D$33,PARÂMETROS!$A$8:$A$33,C234,PARÂMETROS!$G$8:$G$33,J234),SUMIFS(PARÂMETROS!$E$8:$E$33,PARÂMETROS!$A$8:$A$33,C234,PARÂMETROS!$G$8:$G$33,J234))</f>
        <v/>
      </c>
      <c r="E234" s="96">
        <f>SUMIFS(SETORES!$D:$D,SETORES!$A:$A,A234,SETORES!$F:$F,J234)</f>
        <v/>
      </c>
      <c r="F234" s="96">
        <f>IFERROR(D234*E234,0)</f>
        <v/>
      </c>
      <c r="G234" s="88">
        <f>SUMIFS(PARÂMETROS!$F$8:$F$33,PARÂMETROS!$A$8:$A$33,C234,PARÂMETROS!$G$8:$G$33,J234)</f>
        <v/>
      </c>
      <c r="H234" s="96">
        <f>IFERROR(F234*G234,0)</f>
        <v/>
      </c>
      <c r="I234" s="96">
        <f>F234+H234</f>
        <v/>
      </c>
      <c r="J234" s="90" t="inlineStr">
        <is>
          <t>Junho/2026</t>
        </is>
      </c>
    </row>
    <row r="235" hidden="1" ht="14.25" customHeight="1" s="75">
      <c r="A235" s="105" t="inlineStr">
        <is>
          <t>Administrativo</t>
        </is>
      </c>
      <c r="B235" s="94">
        <f>INDEX(SETORES!$B:$B,MATCH(A235,SETORES!$A:$A,0))</f>
        <v/>
      </c>
      <c r="C235" s="105" t="inlineStr">
        <is>
          <t>Empresa Licenciada SOARES E SILVA</t>
        </is>
      </c>
      <c r="D235" s="83">
        <f>IF(B235="Clientes",SUMIFS(PARÂMETROS!$D$8:$D$33,PARÂMETROS!$A$8:$A$33,C235,PARÂMETROS!$G$8:$G$33,J235),SUMIFS(PARÂMETROS!$E$8:$E$33,PARÂMETROS!$A$8:$A$33,C235,PARÂMETROS!$G$8:$G$33,J235))</f>
        <v/>
      </c>
      <c r="E235" s="107">
        <f>SUMIFS(SETORES!$D:$D,SETORES!$A:$A,A235,SETORES!$F:$F,J235)</f>
        <v/>
      </c>
      <c r="F235" s="107">
        <f>IFERROR(D235*E235,0)</f>
        <v/>
      </c>
      <c r="G235" s="83">
        <f>SUMIFS(PARÂMETROS!$F$8:$F$33,PARÂMETROS!$A$8:$A$33,C235,PARÂMETROS!$G$8:$G$33,J235)</f>
        <v/>
      </c>
      <c r="H235" s="107">
        <f>IFERROR(F235*G235,0)</f>
        <v/>
      </c>
      <c r="I235" s="107">
        <f>F235+H235</f>
        <v/>
      </c>
      <c r="J235" s="105" t="inlineStr">
        <is>
          <t>Junho/2026</t>
        </is>
      </c>
    </row>
    <row r="236" hidden="1" ht="14.25" customHeight="1" s="75">
      <c r="A236" s="90" t="inlineStr">
        <is>
          <t>Administrativo</t>
        </is>
      </c>
      <c r="B236" s="90">
        <f>INDEX(SETORES!$B:$B,MATCH(A236,SETORES!$A:$A,0))</f>
        <v/>
      </c>
      <c r="C236" s="90" t="inlineStr">
        <is>
          <t>Empresa Licenciada SOUZA E SILVA</t>
        </is>
      </c>
      <c r="D236" s="88">
        <f>IF(B236="Clientes",SUMIFS(PARÂMETROS!$D$8:$D$33,PARÂMETROS!$A$8:$A$33,C236,PARÂMETROS!$G$8:$G$33,J236),SUMIFS(PARÂMETROS!$E$8:$E$33,PARÂMETROS!$A$8:$A$33,C236,PARÂMETROS!$G$8:$G$33,J236))</f>
        <v/>
      </c>
      <c r="E236" s="96">
        <f>SUMIFS(SETORES!$D:$D,SETORES!$A:$A,A236,SETORES!$F:$F,J236)</f>
        <v/>
      </c>
      <c r="F236" s="96">
        <f>IFERROR(D236*E236,0)</f>
        <v/>
      </c>
      <c r="G236" s="88">
        <f>SUMIFS(PARÂMETROS!$F$8:$F$33,PARÂMETROS!$A$8:$A$33,C236,PARÂMETROS!$G$8:$G$33,J236)</f>
        <v/>
      </c>
      <c r="H236" s="96">
        <f>IFERROR(F236*G236,0)</f>
        <v/>
      </c>
      <c r="I236" s="96">
        <f>F236+H236</f>
        <v/>
      </c>
      <c r="J236" s="90" t="inlineStr">
        <is>
          <t>Junho/2026</t>
        </is>
      </c>
    </row>
    <row r="237" hidden="1" ht="14.25" customHeight="1" s="75">
      <c r="A237" s="105" t="inlineStr">
        <is>
          <t>Administrativo</t>
        </is>
      </c>
      <c r="B237" s="94">
        <f>INDEX(SETORES!$B:$B,MATCH(A237,SETORES!$A:$A,0))</f>
        <v/>
      </c>
      <c r="C237" s="105" t="inlineStr">
        <is>
          <t>Empresa Licenciada VOICENET</t>
        </is>
      </c>
      <c r="D237" s="83">
        <f>IF(B237="Clientes",SUMIFS(PARÂMETROS!$D$8:$D$33,PARÂMETROS!$A$8:$A$33,C237,PARÂMETROS!$G$8:$G$33,J237),SUMIFS(PARÂMETROS!$E$8:$E$33,PARÂMETROS!$A$8:$A$33,C237,PARÂMETROS!$G$8:$G$33,J237))</f>
        <v/>
      </c>
      <c r="E237" s="107">
        <f>SUMIFS(SETORES!$D:$D,SETORES!$A:$A,A237,SETORES!$F:$F,J237)</f>
        <v/>
      </c>
      <c r="F237" s="107">
        <f>IFERROR(D237*E237,0)</f>
        <v/>
      </c>
      <c r="G237" s="83">
        <f>SUMIFS(PARÂMETROS!$F$8:$F$33,PARÂMETROS!$A$8:$A$33,C237,PARÂMETROS!$G$8:$G$33,J237)</f>
        <v/>
      </c>
      <c r="H237" s="107">
        <f>IFERROR(F237*G237,0)</f>
        <v/>
      </c>
      <c r="I237" s="107">
        <f>F237+H237</f>
        <v/>
      </c>
      <c r="J237" s="105" t="inlineStr">
        <is>
          <t>Junho/2026</t>
        </is>
      </c>
    </row>
    <row r="238" hidden="1" ht="14.25" customHeight="1" s="75">
      <c r="A238" s="90" t="inlineStr">
        <is>
          <t>Administrativo</t>
        </is>
      </c>
      <c r="B238" s="90">
        <f>INDEX(SETORES!$B:$B,MATCH(A238,SETORES!$A:$A,0))</f>
        <v/>
      </c>
      <c r="C238" s="90" t="inlineStr">
        <is>
          <t>DTEL (uso próprio)</t>
        </is>
      </c>
      <c r="D238" s="88">
        <f>IF(B238="Clientes",SUMIFS(PARÂMETROS!$D$8:$D$33,PARÂMETROS!$A$8:$A$33,C238,PARÂMETROS!$G$8:$G$33,J238),SUMIFS(PARÂMETROS!$E$8:$E$33,PARÂMETROS!$A$8:$A$33,C238,PARÂMETROS!$G$8:$G$33,J238))</f>
        <v/>
      </c>
      <c r="E238" s="96">
        <f>SUMIFS(SETORES!$D:$D,SETORES!$A:$A,A238,SETORES!$F:$F,J238)</f>
        <v/>
      </c>
      <c r="F238" s="96">
        <f>IFERROR(D238*E238,0)</f>
        <v/>
      </c>
      <c r="G238" s="88">
        <f>SUMIFS(PARÂMETROS!$F$8:$F$33,PARÂMETROS!$A$8:$A$33,C238,PARÂMETROS!$G$8:$G$33,J238)</f>
        <v/>
      </c>
      <c r="H238" s="96">
        <f>IFERROR(F238*G238,0)</f>
        <v/>
      </c>
      <c r="I238" s="96">
        <f>F238+H238</f>
        <v/>
      </c>
      <c r="J238" s="90" t="inlineStr">
        <is>
          <t>Junho/2026</t>
        </is>
      </c>
    </row>
    <row r="239" hidden="1" ht="14.25" customHeight="1" s="75">
      <c r="A239" s="105" t="inlineStr">
        <is>
          <t>NOC</t>
        </is>
      </c>
      <c r="B239" s="94">
        <f>INDEX(SETORES!$B:$B,MATCH(A239,SETORES!$A:$A,0))</f>
        <v/>
      </c>
      <c r="C239" s="105" t="inlineStr">
        <is>
          <t>Empresa Licenciada DX2</t>
        </is>
      </c>
      <c r="D239" s="83">
        <f>IF(B239="Clientes",SUMIFS(PARÂMETROS!$D$8:$D$33,PARÂMETROS!$A$8:$A$33,C239,PARÂMETROS!$G$8:$G$33,J239),SUMIFS(PARÂMETROS!$E$8:$E$33,PARÂMETROS!$A$8:$A$33,C239,PARÂMETROS!$G$8:$G$33,J239))</f>
        <v/>
      </c>
      <c r="E239" s="107">
        <f>SUMIFS(SETORES!$D:$D,SETORES!$A:$A,A239,SETORES!$F:$F,J239)</f>
        <v/>
      </c>
      <c r="F239" s="107">
        <f>IFERROR(D239*E239,0)</f>
        <v/>
      </c>
      <c r="G239" s="83">
        <f>SUMIFS(PARÂMETROS!$F$8:$F$33,PARÂMETROS!$A$8:$A$33,C239,PARÂMETROS!$G$8:$G$33,J239)</f>
        <v/>
      </c>
      <c r="H239" s="107">
        <f>IFERROR(F239*G239,0)</f>
        <v/>
      </c>
      <c r="I239" s="107">
        <f>F239+H239</f>
        <v/>
      </c>
      <c r="J239" s="105" t="inlineStr">
        <is>
          <t>Maio/2026</t>
        </is>
      </c>
    </row>
    <row r="240" hidden="1" ht="14.25" customHeight="1" s="75">
      <c r="A240" s="90" t="inlineStr">
        <is>
          <t>NOC</t>
        </is>
      </c>
      <c r="B240" s="90">
        <f>INDEX(SETORES!$B:$B,MATCH(A240,SETORES!$A:$A,0))</f>
        <v/>
      </c>
      <c r="C240" s="90" t="inlineStr">
        <is>
          <t>Empresa Licenciada H&amp;A</t>
        </is>
      </c>
      <c r="D240" s="88">
        <f>IF(B240="Clientes",SUMIFS(PARÂMETROS!$D$8:$D$33,PARÂMETROS!$A$8:$A$33,C240,PARÂMETROS!$G$8:$G$33,J240),SUMIFS(PARÂMETROS!$E$8:$E$33,PARÂMETROS!$A$8:$A$33,C240,PARÂMETROS!$G$8:$G$33,J240))</f>
        <v/>
      </c>
      <c r="E240" s="96">
        <f>SUMIFS(SETORES!$D:$D,SETORES!$A:$A,A240,SETORES!$F:$F,J240)</f>
        <v/>
      </c>
      <c r="F240" s="96">
        <f>IFERROR(D240*E240,0)</f>
        <v/>
      </c>
      <c r="G240" s="88">
        <f>SUMIFS(PARÂMETROS!$F$8:$F$33,PARÂMETROS!$A$8:$A$33,C240,PARÂMETROS!$G$8:$G$33,J240)</f>
        <v/>
      </c>
      <c r="H240" s="96">
        <f>IFERROR(F240*G240,0)</f>
        <v/>
      </c>
      <c r="I240" s="96">
        <f>F240+H240</f>
        <v/>
      </c>
      <c r="J240" s="90" t="inlineStr">
        <is>
          <t>Maio/2026</t>
        </is>
      </c>
    </row>
    <row r="241" hidden="1" ht="14.25" customHeight="1" s="75">
      <c r="A241" s="105" t="inlineStr">
        <is>
          <t>NOC</t>
        </is>
      </c>
      <c r="B241" s="94">
        <f>INDEX(SETORES!$B:$B,MATCH(A241,SETORES!$A:$A,0))</f>
        <v/>
      </c>
      <c r="C241" s="105" t="inlineStr">
        <is>
          <t>Empresa Licenciada SOLON ARAUJO</t>
        </is>
      </c>
      <c r="D241" s="83">
        <f>IF(B241="Clientes",SUMIFS(PARÂMETROS!$D$8:$D$33,PARÂMETROS!$A$8:$A$33,C241,PARÂMETROS!$G$8:$G$33,J241),SUMIFS(PARÂMETROS!$E$8:$E$33,PARÂMETROS!$A$8:$A$33,C241,PARÂMETROS!$G$8:$G$33,J241))</f>
        <v/>
      </c>
      <c r="E241" s="107">
        <f>SUMIFS(SETORES!$D:$D,SETORES!$A:$A,A241,SETORES!$F:$F,J241)</f>
        <v/>
      </c>
      <c r="F241" s="107">
        <f>IFERROR(D241*E241,0)</f>
        <v/>
      </c>
      <c r="G241" s="83">
        <f>SUMIFS(PARÂMETROS!$F$8:$F$33,PARÂMETROS!$A$8:$A$33,C241,PARÂMETROS!$G$8:$G$33,J241)</f>
        <v/>
      </c>
      <c r="H241" s="107">
        <f>IFERROR(F241*G241,0)</f>
        <v/>
      </c>
      <c r="I241" s="107">
        <f>F241+H241</f>
        <v/>
      </c>
      <c r="J241" s="105" t="inlineStr">
        <is>
          <t>Maio/2026</t>
        </is>
      </c>
    </row>
    <row r="242" ht="14.25" customHeight="1" s="75">
      <c r="A242" s="90" t="inlineStr">
        <is>
          <t>NOC</t>
        </is>
      </c>
      <c r="B242" s="90">
        <f>INDEX(SETORES!$B:$B,MATCH(A242,SETORES!$A:$A,0))</f>
        <v/>
      </c>
      <c r="C242" s="90" t="inlineStr">
        <is>
          <t>Empresa Licenciada SOARES E LINS</t>
        </is>
      </c>
      <c r="D242" s="88">
        <f>IF(B242="Clientes",SUMIFS(PARÂMETROS!$D$8:$D$33,PARÂMETROS!$A$8:$A$33,C242,PARÂMETROS!$G$8:$G$33,J242),SUMIFS(PARÂMETROS!$E$8:$E$33,PARÂMETROS!$A$8:$A$33,C242,PARÂMETROS!$G$8:$G$33,J242))</f>
        <v/>
      </c>
      <c r="E242" s="96">
        <f>SUMIFS(SETORES!$D:$D,SETORES!$A:$A,A242,SETORES!$F:$F,J242)</f>
        <v/>
      </c>
      <c r="F242" s="96">
        <f>IFERROR(D242*E242,0)</f>
        <v/>
      </c>
      <c r="G242" s="88">
        <f>SUMIFS(PARÂMETROS!$F$8:$F$33,PARÂMETROS!$A$8:$A$33,C242,PARÂMETROS!$G$8:$G$33,J242)</f>
        <v/>
      </c>
      <c r="H242" s="96">
        <f>IFERROR(F242*G242,0)</f>
        <v/>
      </c>
      <c r="I242" s="96">
        <f>F242+H242</f>
        <v/>
      </c>
      <c r="J242" s="90" t="inlineStr">
        <is>
          <t>Maio/2026</t>
        </is>
      </c>
    </row>
    <row r="243" hidden="1" ht="14.25" customHeight="1" s="75">
      <c r="A243" s="105" t="inlineStr">
        <is>
          <t>NOC</t>
        </is>
      </c>
      <c r="B243" s="94">
        <f>INDEX(SETORES!$B:$B,MATCH(A243,SETORES!$A:$A,0))</f>
        <v/>
      </c>
      <c r="C243" s="105" t="inlineStr">
        <is>
          <t>Empresa Licenciada SOARES E SILVA</t>
        </is>
      </c>
      <c r="D243" s="83">
        <f>IF(B243="Clientes",SUMIFS(PARÂMETROS!$D$8:$D$33,PARÂMETROS!$A$8:$A$33,C243,PARÂMETROS!$G$8:$G$33,J243),SUMIFS(PARÂMETROS!$E$8:$E$33,PARÂMETROS!$A$8:$A$33,C243,PARÂMETROS!$G$8:$G$33,J243))</f>
        <v/>
      </c>
      <c r="E243" s="107">
        <f>SUMIFS(SETORES!$D:$D,SETORES!$A:$A,A243,SETORES!$F:$F,J243)</f>
        <v/>
      </c>
      <c r="F243" s="107">
        <f>IFERROR(D243*E243,0)</f>
        <v/>
      </c>
      <c r="G243" s="83">
        <f>SUMIFS(PARÂMETROS!$F$8:$F$33,PARÂMETROS!$A$8:$A$33,C243,PARÂMETROS!$G$8:$G$33,J243)</f>
        <v/>
      </c>
      <c r="H243" s="107">
        <f>IFERROR(F243*G243,0)</f>
        <v/>
      </c>
      <c r="I243" s="107">
        <f>F243+H243</f>
        <v/>
      </c>
      <c r="J243" s="105" t="inlineStr">
        <is>
          <t>Maio/2026</t>
        </is>
      </c>
    </row>
    <row r="244" hidden="1" ht="14.25" customHeight="1" s="75">
      <c r="A244" s="90" t="inlineStr">
        <is>
          <t>NOC</t>
        </is>
      </c>
      <c r="B244" s="90">
        <f>INDEX(SETORES!$B:$B,MATCH(A244,SETORES!$A:$A,0))</f>
        <v/>
      </c>
      <c r="C244" s="90" t="inlineStr">
        <is>
          <t>Empresa Licenciada SOUZA E SILVA</t>
        </is>
      </c>
      <c r="D244" s="88">
        <f>IF(B244="Clientes",SUMIFS(PARÂMETROS!$D$8:$D$33,PARÂMETROS!$A$8:$A$33,C244,PARÂMETROS!$G$8:$G$33,J244),SUMIFS(PARÂMETROS!$E$8:$E$33,PARÂMETROS!$A$8:$A$33,C244,PARÂMETROS!$G$8:$G$33,J244))</f>
        <v/>
      </c>
      <c r="E244" s="96">
        <f>SUMIFS(SETORES!$D:$D,SETORES!$A:$A,A244,SETORES!$F:$F,J244)</f>
        <v/>
      </c>
      <c r="F244" s="96">
        <f>IFERROR(D244*E244,0)</f>
        <v/>
      </c>
      <c r="G244" s="88">
        <f>SUMIFS(PARÂMETROS!$F$8:$F$33,PARÂMETROS!$A$8:$A$33,C244,PARÂMETROS!$G$8:$G$33,J244)</f>
        <v/>
      </c>
      <c r="H244" s="96">
        <f>IFERROR(F244*G244,0)</f>
        <v/>
      </c>
      <c r="I244" s="96">
        <f>F244+H244</f>
        <v/>
      </c>
      <c r="J244" s="90" t="inlineStr">
        <is>
          <t>Maio/2026</t>
        </is>
      </c>
    </row>
    <row r="245" hidden="1" ht="14.25" customHeight="1" s="75">
      <c r="A245" s="105" t="inlineStr">
        <is>
          <t>NOC</t>
        </is>
      </c>
      <c r="B245" s="94">
        <f>INDEX(SETORES!$B:$B,MATCH(A245,SETORES!$A:$A,0))</f>
        <v/>
      </c>
      <c r="C245" s="105" t="inlineStr">
        <is>
          <t>Empresa Licenciada VOICENET</t>
        </is>
      </c>
      <c r="D245" s="83">
        <f>IF(B245="Clientes",SUMIFS(PARÂMETROS!$D$8:$D$33,PARÂMETROS!$A$8:$A$33,C245,PARÂMETROS!$G$8:$G$33,J245),SUMIFS(PARÂMETROS!$E$8:$E$33,PARÂMETROS!$A$8:$A$33,C245,PARÂMETROS!$G$8:$G$33,J245))</f>
        <v/>
      </c>
      <c r="E245" s="107">
        <f>SUMIFS(SETORES!$D:$D,SETORES!$A:$A,A245,SETORES!$F:$F,J245)</f>
        <v/>
      </c>
      <c r="F245" s="107">
        <f>IFERROR(D245*E245,0)</f>
        <v/>
      </c>
      <c r="G245" s="83">
        <f>SUMIFS(PARÂMETROS!$F$8:$F$33,PARÂMETROS!$A$8:$A$33,C245,PARÂMETROS!$G$8:$G$33,J245)</f>
        <v/>
      </c>
      <c r="H245" s="107">
        <f>IFERROR(F245*G245,0)</f>
        <v/>
      </c>
      <c r="I245" s="107">
        <f>F245+H245</f>
        <v/>
      </c>
      <c r="J245" s="105" t="inlineStr">
        <is>
          <t>Maio/2026</t>
        </is>
      </c>
    </row>
    <row r="246" hidden="1" ht="14.25" customHeight="1" s="75">
      <c r="A246" s="90" t="inlineStr">
        <is>
          <t>NOC</t>
        </is>
      </c>
      <c r="B246" s="90">
        <f>INDEX(SETORES!$B:$B,MATCH(A246,SETORES!$A:$A,0))</f>
        <v/>
      </c>
      <c r="C246" s="90" t="inlineStr">
        <is>
          <t>DTEL (uso próprio)</t>
        </is>
      </c>
      <c r="D246" s="88">
        <f>IF(B246="Clientes",SUMIFS(PARÂMETROS!$D$8:$D$33,PARÂMETROS!$A$8:$A$33,C246,PARÂMETROS!$G$8:$G$33,J246),SUMIFS(PARÂMETROS!$E$8:$E$33,PARÂMETROS!$A$8:$A$33,C246,PARÂMETROS!$G$8:$G$33,J246))</f>
        <v/>
      </c>
      <c r="E246" s="96">
        <f>SUMIFS(SETORES!$D:$D,SETORES!$A:$A,A246,SETORES!$F:$F,J246)</f>
        <v/>
      </c>
      <c r="F246" s="96">
        <f>IFERROR(D246*E246,0)</f>
        <v/>
      </c>
      <c r="G246" s="88">
        <f>SUMIFS(PARÂMETROS!$F$8:$F$33,PARÂMETROS!$A$8:$A$33,C246,PARÂMETROS!$G$8:$G$33,J246)</f>
        <v/>
      </c>
      <c r="H246" s="96">
        <f>IFERROR(F246*G246,0)</f>
        <v/>
      </c>
      <c r="I246" s="96">
        <f>F246+H246</f>
        <v/>
      </c>
      <c r="J246" s="90" t="inlineStr">
        <is>
          <t>Maio/2026</t>
        </is>
      </c>
    </row>
    <row r="247" hidden="1" ht="14.25" customHeight="1" s="75">
      <c r="A247" s="105" t="inlineStr">
        <is>
          <t>RH</t>
        </is>
      </c>
      <c r="B247" s="94">
        <f>INDEX(SETORES!$B:$B,MATCH(A247,SETORES!$A:$A,0))</f>
        <v/>
      </c>
      <c r="C247" s="105" t="inlineStr">
        <is>
          <t>Empresa Licenciada DX2</t>
        </is>
      </c>
      <c r="D247" s="83">
        <f>IF(B247="Clientes",SUMIFS(PARÂMETROS!$D$8:$D$33,PARÂMETROS!$A$8:$A$33,C247,PARÂMETROS!$G$8:$G$33,J247),SUMIFS(PARÂMETROS!$E$8:$E$33,PARÂMETROS!$A$8:$A$33,C247,PARÂMETROS!$G$8:$G$33,J247))</f>
        <v/>
      </c>
      <c r="E247" s="107">
        <f>SUMIFS(SETORES!$D:$D,SETORES!$A:$A,A247,SETORES!$F:$F,J247)</f>
        <v/>
      </c>
      <c r="F247" s="107">
        <f>IFERROR(D247*E247,0)</f>
        <v/>
      </c>
      <c r="G247" s="83">
        <f>SUMIFS(PARÂMETROS!$F$8:$F$33,PARÂMETROS!$A$8:$A$33,C247,PARÂMETROS!$G$8:$G$33,J247)</f>
        <v/>
      </c>
      <c r="H247" s="107">
        <f>IFERROR(F247*G247,0)</f>
        <v/>
      </c>
      <c r="I247" s="107">
        <f>F247+H247</f>
        <v/>
      </c>
      <c r="J247" s="105" t="inlineStr">
        <is>
          <t>Maio/2026</t>
        </is>
      </c>
    </row>
    <row r="248" hidden="1" ht="14.25" customHeight="1" s="75">
      <c r="A248" s="90" t="inlineStr">
        <is>
          <t>RH</t>
        </is>
      </c>
      <c r="B248" s="90">
        <f>INDEX(SETORES!$B:$B,MATCH(A248,SETORES!$A:$A,0))</f>
        <v/>
      </c>
      <c r="C248" s="90" t="inlineStr">
        <is>
          <t>Empresa Licenciada H&amp;A</t>
        </is>
      </c>
      <c r="D248" s="88">
        <f>IF(B248="Clientes",SUMIFS(PARÂMETROS!$D$8:$D$33,PARÂMETROS!$A$8:$A$33,C248,PARÂMETROS!$G$8:$G$33,J248),SUMIFS(PARÂMETROS!$E$8:$E$33,PARÂMETROS!$A$8:$A$33,C248,PARÂMETROS!$G$8:$G$33,J248))</f>
        <v/>
      </c>
      <c r="E248" s="96">
        <f>SUMIFS(SETORES!$D:$D,SETORES!$A:$A,A248,SETORES!$F:$F,J248)</f>
        <v/>
      </c>
      <c r="F248" s="96">
        <f>IFERROR(D248*E248,0)</f>
        <v/>
      </c>
      <c r="G248" s="88">
        <f>SUMIFS(PARÂMETROS!$F$8:$F$33,PARÂMETROS!$A$8:$A$33,C248,PARÂMETROS!$G$8:$G$33,J248)</f>
        <v/>
      </c>
      <c r="H248" s="96">
        <f>IFERROR(F248*G248,0)</f>
        <v/>
      </c>
      <c r="I248" s="96">
        <f>F248+H248</f>
        <v/>
      </c>
      <c r="J248" s="90" t="inlineStr">
        <is>
          <t>Maio/2026</t>
        </is>
      </c>
    </row>
    <row r="249" hidden="1" ht="14.25" customHeight="1" s="75">
      <c r="A249" s="105" t="inlineStr">
        <is>
          <t>RH</t>
        </is>
      </c>
      <c r="B249" s="94">
        <f>INDEX(SETORES!$B:$B,MATCH(A249,SETORES!$A:$A,0))</f>
        <v/>
      </c>
      <c r="C249" s="105" t="inlineStr">
        <is>
          <t>Empresa Licenciada SOLON ARAUJO</t>
        </is>
      </c>
      <c r="D249" s="83">
        <f>IF(B249="Clientes",SUMIFS(PARÂMETROS!$D$8:$D$33,PARÂMETROS!$A$8:$A$33,C249,PARÂMETROS!$G$8:$G$33,J249),SUMIFS(PARÂMETROS!$E$8:$E$33,PARÂMETROS!$A$8:$A$33,C249,PARÂMETROS!$G$8:$G$33,J249))</f>
        <v/>
      </c>
      <c r="E249" s="107">
        <f>SUMIFS(SETORES!$D:$D,SETORES!$A:$A,A249,SETORES!$F:$F,J249)</f>
        <v/>
      </c>
      <c r="F249" s="107">
        <f>IFERROR(D249*E249,0)</f>
        <v/>
      </c>
      <c r="G249" s="83">
        <f>SUMIFS(PARÂMETROS!$F$8:$F$33,PARÂMETROS!$A$8:$A$33,C249,PARÂMETROS!$G$8:$G$33,J249)</f>
        <v/>
      </c>
      <c r="H249" s="107">
        <f>IFERROR(F249*G249,0)</f>
        <v/>
      </c>
      <c r="I249" s="107">
        <f>F249+H249</f>
        <v/>
      </c>
      <c r="J249" s="105" t="inlineStr">
        <is>
          <t>Maio/2026</t>
        </is>
      </c>
    </row>
    <row r="250" ht="14.25" customHeight="1" s="75">
      <c r="A250" s="90" t="inlineStr">
        <is>
          <t>RH</t>
        </is>
      </c>
      <c r="B250" s="90">
        <f>INDEX(SETORES!$B:$B,MATCH(A250,SETORES!$A:$A,0))</f>
        <v/>
      </c>
      <c r="C250" s="90" t="inlineStr">
        <is>
          <t>Empresa Licenciada SOARES E LINS</t>
        </is>
      </c>
      <c r="D250" s="88">
        <f>IF(B250="Clientes",SUMIFS(PARÂMETROS!$D$8:$D$33,PARÂMETROS!$A$8:$A$33,C250,PARÂMETROS!$G$8:$G$33,J250),SUMIFS(PARÂMETROS!$E$8:$E$33,PARÂMETROS!$A$8:$A$33,C250,PARÂMETROS!$G$8:$G$33,J250))</f>
        <v/>
      </c>
      <c r="E250" s="96">
        <f>SUMIFS(SETORES!$D:$D,SETORES!$A:$A,A250,SETORES!$F:$F,J250)</f>
        <v/>
      </c>
      <c r="F250" s="96">
        <f>IFERROR(D250*E250,0)</f>
        <v/>
      </c>
      <c r="G250" s="88">
        <f>SUMIFS(PARÂMETROS!$F$8:$F$33,PARÂMETROS!$A$8:$A$33,C250,PARÂMETROS!$G$8:$G$33,J250)</f>
        <v/>
      </c>
      <c r="H250" s="96">
        <f>IFERROR(F250*G250,0)</f>
        <v/>
      </c>
      <c r="I250" s="96">
        <f>F250+H250</f>
        <v/>
      </c>
      <c r="J250" s="90" t="inlineStr">
        <is>
          <t>Maio/2026</t>
        </is>
      </c>
    </row>
    <row r="251" hidden="1" ht="14.25" customHeight="1" s="75">
      <c r="A251" s="105" t="inlineStr">
        <is>
          <t>RH</t>
        </is>
      </c>
      <c r="B251" s="94">
        <f>INDEX(SETORES!$B:$B,MATCH(A251,SETORES!$A:$A,0))</f>
        <v/>
      </c>
      <c r="C251" s="105" t="inlineStr">
        <is>
          <t>Empresa Licenciada SOARES E SILVA</t>
        </is>
      </c>
      <c r="D251" s="83">
        <f>IF(B251="Clientes",SUMIFS(PARÂMETROS!$D$8:$D$33,PARÂMETROS!$A$8:$A$33,C251,PARÂMETROS!$G$8:$G$33,J251),SUMIFS(PARÂMETROS!$E$8:$E$33,PARÂMETROS!$A$8:$A$33,C251,PARÂMETROS!$G$8:$G$33,J251))</f>
        <v/>
      </c>
      <c r="E251" s="107">
        <f>SUMIFS(SETORES!$D:$D,SETORES!$A:$A,A251,SETORES!$F:$F,J251)</f>
        <v/>
      </c>
      <c r="F251" s="107">
        <f>IFERROR(D251*E251,0)</f>
        <v/>
      </c>
      <c r="G251" s="83">
        <f>SUMIFS(PARÂMETROS!$F$8:$F$33,PARÂMETROS!$A$8:$A$33,C251,PARÂMETROS!$G$8:$G$33,J251)</f>
        <v/>
      </c>
      <c r="H251" s="107">
        <f>IFERROR(F251*G251,0)</f>
        <v/>
      </c>
      <c r="I251" s="107">
        <f>F251+H251</f>
        <v/>
      </c>
      <c r="J251" s="105" t="inlineStr">
        <is>
          <t>Maio/2026</t>
        </is>
      </c>
    </row>
    <row r="252" hidden="1" ht="14.25" customHeight="1" s="75">
      <c r="A252" s="90" t="inlineStr">
        <is>
          <t>RH</t>
        </is>
      </c>
      <c r="B252" s="90">
        <f>INDEX(SETORES!$B:$B,MATCH(A252,SETORES!$A:$A,0))</f>
        <v/>
      </c>
      <c r="C252" s="90" t="inlineStr">
        <is>
          <t>Empresa Licenciada SOUZA E SILVA</t>
        </is>
      </c>
      <c r="D252" s="88">
        <f>IF(B252="Clientes",SUMIFS(PARÂMETROS!$D$8:$D$33,PARÂMETROS!$A$8:$A$33,C252,PARÂMETROS!$G$8:$G$33,J252),SUMIFS(PARÂMETROS!$E$8:$E$33,PARÂMETROS!$A$8:$A$33,C252,PARÂMETROS!$G$8:$G$33,J252))</f>
        <v/>
      </c>
      <c r="E252" s="96">
        <f>SUMIFS(SETORES!$D:$D,SETORES!$A:$A,A252,SETORES!$F:$F,J252)</f>
        <v/>
      </c>
      <c r="F252" s="96">
        <f>IFERROR(D252*E252,0)</f>
        <v/>
      </c>
      <c r="G252" s="88">
        <f>SUMIFS(PARÂMETROS!$F$8:$F$33,PARÂMETROS!$A$8:$A$33,C252,PARÂMETROS!$G$8:$G$33,J252)</f>
        <v/>
      </c>
      <c r="H252" s="96">
        <f>IFERROR(F252*G252,0)</f>
        <v/>
      </c>
      <c r="I252" s="96">
        <f>F252+H252</f>
        <v/>
      </c>
      <c r="J252" s="90" t="inlineStr">
        <is>
          <t>Maio/2026</t>
        </is>
      </c>
    </row>
    <row r="253" hidden="1" ht="14.25" customHeight="1" s="75">
      <c r="A253" s="105" t="inlineStr">
        <is>
          <t>RH</t>
        </is>
      </c>
      <c r="B253" s="94">
        <f>INDEX(SETORES!$B:$B,MATCH(A253,SETORES!$A:$A,0))</f>
        <v/>
      </c>
      <c r="C253" s="105" t="inlineStr">
        <is>
          <t>Empresa Licenciada VOICENET</t>
        </is>
      </c>
      <c r="D253" s="83">
        <f>IF(B253="Clientes",SUMIFS(PARÂMETROS!$D$8:$D$33,PARÂMETROS!$A$8:$A$33,C253,PARÂMETROS!$G$8:$G$33,J253),SUMIFS(PARÂMETROS!$E$8:$E$33,PARÂMETROS!$A$8:$A$33,C253,PARÂMETROS!$G$8:$G$33,J253))</f>
        <v/>
      </c>
      <c r="E253" s="107">
        <f>SUMIFS(SETORES!$D:$D,SETORES!$A:$A,A253,SETORES!$F:$F,J253)</f>
        <v/>
      </c>
      <c r="F253" s="107">
        <f>IFERROR(D253*E253,0)</f>
        <v/>
      </c>
      <c r="G253" s="83">
        <f>SUMIFS(PARÂMETROS!$F$8:$F$33,PARÂMETROS!$A$8:$A$33,C253,PARÂMETROS!$G$8:$G$33,J253)</f>
        <v/>
      </c>
      <c r="H253" s="107">
        <f>IFERROR(F253*G253,0)</f>
        <v/>
      </c>
      <c r="I253" s="107">
        <f>F253+H253</f>
        <v/>
      </c>
      <c r="J253" s="105" t="inlineStr">
        <is>
          <t>Maio/2026</t>
        </is>
      </c>
    </row>
    <row r="254" hidden="1" ht="14.25" customHeight="1" s="75">
      <c r="A254" s="90" t="inlineStr">
        <is>
          <t>RH</t>
        </is>
      </c>
      <c r="B254" s="90">
        <f>INDEX(SETORES!$B:$B,MATCH(A254,SETORES!$A:$A,0))</f>
        <v/>
      </c>
      <c r="C254" s="90" t="inlineStr">
        <is>
          <t>DTEL (uso próprio)</t>
        </is>
      </c>
      <c r="D254" s="88">
        <f>IF(B254="Clientes",SUMIFS(PARÂMETROS!$D$8:$D$33,PARÂMETROS!$A$8:$A$33,C254,PARÂMETROS!$G$8:$G$33,J254),SUMIFS(PARÂMETROS!$E$8:$E$33,PARÂMETROS!$A$8:$A$33,C254,PARÂMETROS!$G$8:$G$33,J254))</f>
        <v/>
      </c>
      <c r="E254" s="96">
        <f>SUMIFS(SETORES!$D:$D,SETORES!$A:$A,A254,SETORES!$F:$F,J254)</f>
        <v/>
      </c>
      <c r="F254" s="96">
        <f>IFERROR(D254*E254,0)</f>
        <v/>
      </c>
      <c r="G254" s="88">
        <f>SUMIFS(PARÂMETROS!$F$8:$F$33,PARÂMETROS!$A$8:$A$33,C254,PARÂMETROS!$G$8:$G$33,J254)</f>
        <v/>
      </c>
      <c r="H254" s="96">
        <f>IFERROR(F254*G254,0)</f>
        <v/>
      </c>
      <c r="I254" s="96">
        <f>F254+H254</f>
        <v/>
      </c>
      <c r="J254" s="90" t="inlineStr">
        <is>
          <t>Maio/2026</t>
        </is>
      </c>
    </row>
    <row r="255" hidden="1" ht="14.25" customHeight="1" s="75">
      <c r="A255" s="105" t="inlineStr">
        <is>
          <t>DP</t>
        </is>
      </c>
      <c r="B255" s="94">
        <f>INDEX(SETORES!$B:$B,MATCH(A255,SETORES!$A:$A,0))</f>
        <v/>
      </c>
      <c r="C255" s="105" t="inlineStr">
        <is>
          <t>Empresa Licenciada DX2</t>
        </is>
      </c>
      <c r="D255" s="83">
        <f>IF(B255="Clientes",SUMIFS(PARÂMETROS!$D$8:$D$33,PARÂMETROS!$A$8:$A$33,C255,PARÂMETROS!$G$8:$G$33,J255),SUMIFS(PARÂMETROS!$E$8:$E$33,PARÂMETROS!$A$8:$A$33,C255,PARÂMETROS!$G$8:$G$33,J255))</f>
        <v/>
      </c>
      <c r="E255" s="107">
        <f>SUMIFS(SETORES!$D:$D,SETORES!$A:$A,A255,SETORES!$F:$F,J255)</f>
        <v/>
      </c>
      <c r="F255" s="107">
        <f>IFERROR(D255*E255,0)</f>
        <v/>
      </c>
      <c r="G255" s="83">
        <f>SUMIFS(PARÂMETROS!$F$8:$F$33,PARÂMETROS!$A$8:$A$33,C255,PARÂMETROS!$G$8:$G$33,J255)</f>
        <v/>
      </c>
      <c r="H255" s="107">
        <f>IFERROR(F255*G255,0)</f>
        <v/>
      </c>
      <c r="I255" s="107">
        <f>F255+H255</f>
        <v/>
      </c>
      <c r="J255" s="105" t="inlineStr">
        <is>
          <t>Maio/2026</t>
        </is>
      </c>
    </row>
    <row r="256" hidden="1" ht="14.25" customHeight="1" s="75">
      <c r="A256" s="90" t="inlineStr">
        <is>
          <t>DP</t>
        </is>
      </c>
      <c r="B256" s="90">
        <f>INDEX(SETORES!$B:$B,MATCH(A256,SETORES!$A:$A,0))</f>
        <v/>
      </c>
      <c r="C256" s="90" t="inlineStr">
        <is>
          <t>Empresa Licenciada H&amp;A</t>
        </is>
      </c>
      <c r="D256" s="88">
        <f>IF(B256="Clientes",SUMIFS(PARÂMETROS!$D$8:$D$33,PARÂMETROS!$A$8:$A$33,C256,PARÂMETROS!$G$8:$G$33,J256),SUMIFS(PARÂMETROS!$E$8:$E$33,PARÂMETROS!$A$8:$A$33,C256,PARÂMETROS!$G$8:$G$33,J256))</f>
        <v/>
      </c>
      <c r="E256" s="96">
        <f>SUMIFS(SETORES!$D:$D,SETORES!$A:$A,A256,SETORES!$F:$F,J256)</f>
        <v/>
      </c>
      <c r="F256" s="96">
        <f>IFERROR(D256*E256,0)</f>
        <v/>
      </c>
      <c r="G256" s="88">
        <f>SUMIFS(PARÂMETROS!$F$8:$F$33,PARÂMETROS!$A$8:$A$33,C256,PARÂMETROS!$G$8:$G$33,J256)</f>
        <v/>
      </c>
      <c r="H256" s="96">
        <f>IFERROR(F256*G256,0)</f>
        <v/>
      </c>
      <c r="I256" s="96">
        <f>F256+H256</f>
        <v/>
      </c>
      <c r="J256" s="90" t="inlineStr">
        <is>
          <t>Maio/2026</t>
        </is>
      </c>
    </row>
    <row r="257" hidden="1" ht="14.25" customHeight="1" s="75">
      <c r="A257" s="105" t="inlineStr">
        <is>
          <t>DP</t>
        </is>
      </c>
      <c r="B257" s="94">
        <f>INDEX(SETORES!$B:$B,MATCH(A257,SETORES!$A:$A,0))</f>
        <v/>
      </c>
      <c r="C257" s="105" t="inlineStr">
        <is>
          <t>Empresa Licenciada SOLON ARAUJO</t>
        </is>
      </c>
      <c r="D257" s="83">
        <f>IF(B257="Clientes",SUMIFS(PARÂMETROS!$D$8:$D$33,PARÂMETROS!$A$8:$A$33,C257,PARÂMETROS!$G$8:$G$33,J257),SUMIFS(PARÂMETROS!$E$8:$E$33,PARÂMETROS!$A$8:$A$33,C257,PARÂMETROS!$G$8:$G$33,J257))</f>
        <v/>
      </c>
      <c r="E257" s="107">
        <f>SUMIFS(SETORES!$D:$D,SETORES!$A:$A,A257,SETORES!$F:$F,J257)</f>
        <v/>
      </c>
      <c r="F257" s="107">
        <f>IFERROR(D257*E257,0)</f>
        <v/>
      </c>
      <c r="G257" s="83">
        <f>SUMIFS(PARÂMETROS!$F$8:$F$33,PARÂMETROS!$A$8:$A$33,C257,PARÂMETROS!$G$8:$G$33,J257)</f>
        <v/>
      </c>
      <c r="H257" s="107">
        <f>IFERROR(F257*G257,0)</f>
        <v/>
      </c>
      <c r="I257" s="107">
        <f>F257+H257</f>
        <v/>
      </c>
      <c r="J257" s="105" t="inlineStr">
        <is>
          <t>Maio/2026</t>
        </is>
      </c>
    </row>
    <row r="258" ht="14.25" customHeight="1" s="75">
      <c r="A258" s="90" t="inlineStr">
        <is>
          <t>DP</t>
        </is>
      </c>
      <c r="B258" s="90">
        <f>INDEX(SETORES!$B:$B,MATCH(A258,SETORES!$A:$A,0))</f>
        <v/>
      </c>
      <c r="C258" s="90" t="inlineStr">
        <is>
          <t>Empresa Licenciada SOARES E LINS</t>
        </is>
      </c>
      <c r="D258" s="88">
        <f>IF(B258="Clientes",SUMIFS(PARÂMETROS!$D$8:$D$33,PARÂMETROS!$A$8:$A$33,C258,PARÂMETROS!$G$8:$G$33,J258),SUMIFS(PARÂMETROS!$E$8:$E$33,PARÂMETROS!$A$8:$A$33,C258,PARÂMETROS!$G$8:$G$33,J258))</f>
        <v/>
      </c>
      <c r="E258" s="96">
        <f>SUMIFS(SETORES!$D:$D,SETORES!$A:$A,A258,SETORES!$F:$F,J258)</f>
        <v/>
      </c>
      <c r="F258" s="96">
        <f>IFERROR(D258*E258,0)</f>
        <v/>
      </c>
      <c r="G258" s="88">
        <f>SUMIFS(PARÂMETROS!$F$8:$F$33,PARÂMETROS!$A$8:$A$33,C258,PARÂMETROS!$G$8:$G$33,J258)</f>
        <v/>
      </c>
      <c r="H258" s="96">
        <f>IFERROR(F258*G258,0)</f>
        <v/>
      </c>
      <c r="I258" s="96">
        <f>F258+H258</f>
        <v/>
      </c>
      <c r="J258" s="90" t="inlineStr">
        <is>
          <t>Maio/2026</t>
        </is>
      </c>
    </row>
    <row r="259" hidden="1" ht="14.25" customHeight="1" s="75">
      <c r="A259" s="105" t="inlineStr">
        <is>
          <t>DP</t>
        </is>
      </c>
      <c r="B259" s="94">
        <f>INDEX(SETORES!$B:$B,MATCH(A259,SETORES!$A:$A,0))</f>
        <v/>
      </c>
      <c r="C259" s="105" t="inlineStr">
        <is>
          <t>Empresa Licenciada SOARES E SILVA</t>
        </is>
      </c>
      <c r="D259" s="83">
        <f>IF(B259="Clientes",SUMIFS(PARÂMETROS!$D$8:$D$33,PARÂMETROS!$A$8:$A$33,C259,PARÂMETROS!$G$8:$G$33,J259),SUMIFS(PARÂMETROS!$E$8:$E$33,PARÂMETROS!$A$8:$A$33,C259,PARÂMETROS!$G$8:$G$33,J259))</f>
        <v/>
      </c>
      <c r="E259" s="107">
        <f>SUMIFS(SETORES!$D:$D,SETORES!$A:$A,A259,SETORES!$F:$F,J259)</f>
        <v/>
      </c>
      <c r="F259" s="107">
        <f>IFERROR(D259*E259,0)</f>
        <v/>
      </c>
      <c r="G259" s="83">
        <f>SUMIFS(PARÂMETROS!$F$8:$F$33,PARÂMETROS!$A$8:$A$33,C259,PARÂMETROS!$G$8:$G$33,J259)</f>
        <v/>
      </c>
      <c r="H259" s="107">
        <f>IFERROR(F259*G259,0)</f>
        <v/>
      </c>
      <c r="I259" s="107">
        <f>F259+H259</f>
        <v/>
      </c>
      <c r="J259" s="105" t="inlineStr">
        <is>
          <t>Maio/2026</t>
        </is>
      </c>
    </row>
    <row r="260" hidden="1" ht="14.25" customHeight="1" s="75">
      <c r="A260" s="90" t="inlineStr">
        <is>
          <t>DP</t>
        </is>
      </c>
      <c r="B260" s="90">
        <f>INDEX(SETORES!$B:$B,MATCH(A260,SETORES!$A:$A,0))</f>
        <v/>
      </c>
      <c r="C260" s="90" t="inlineStr">
        <is>
          <t>Empresa Licenciada SOUZA E SILVA</t>
        </is>
      </c>
      <c r="D260" s="88">
        <f>IF(B260="Clientes",SUMIFS(PARÂMETROS!$D$8:$D$33,PARÂMETROS!$A$8:$A$33,C260,PARÂMETROS!$G$8:$G$33,J260),SUMIFS(PARÂMETROS!$E$8:$E$33,PARÂMETROS!$A$8:$A$33,C260,PARÂMETROS!$G$8:$G$33,J260))</f>
        <v/>
      </c>
      <c r="E260" s="96">
        <f>SUMIFS(SETORES!$D:$D,SETORES!$A:$A,A260,SETORES!$F:$F,J260)</f>
        <v/>
      </c>
      <c r="F260" s="96">
        <f>IFERROR(D260*E260,0)</f>
        <v/>
      </c>
      <c r="G260" s="88">
        <f>SUMIFS(PARÂMETROS!$F$8:$F$33,PARÂMETROS!$A$8:$A$33,C260,PARÂMETROS!$G$8:$G$33,J260)</f>
        <v/>
      </c>
      <c r="H260" s="96">
        <f>IFERROR(F260*G260,0)</f>
        <v/>
      </c>
      <c r="I260" s="96">
        <f>F260+H260</f>
        <v/>
      </c>
      <c r="J260" s="90" t="inlineStr">
        <is>
          <t>Maio/2026</t>
        </is>
      </c>
    </row>
    <row r="261" hidden="1" ht="14.25" customHeight="1" s="75">
      <c r="A261" s="105" t="inlineStr">
        <is>
          <t>DP</t>
        </is>
      </c>
      <c r="B261" s="94">
        <f>INDEX(SETORES!$B:$B,MATCH(A261,SETORES!$A:$A,0))</f>
        <v/>
      </c>
      <c r="C261" s="105" t="inlineStr">
        <is>
          <t>Empresa Licenciada VOICENET</t>
        </is>
      </c>
      <c r="D261" s="83">
        <f>IF(B261="Clientes",SUMIFS(PARÂMETROS!$D$8:$D$33,PARÂMETROS!$A$8:$A$33,C261,PARÂMETROS!$G$8:$G$33,J261),SUMIFS(PARÂMETROS!$E$8:$E$33,PARÂMETROS!$A$8:$A$33,C261,PARÂMETROS!$G$8:$G$33,J261))</f>
        <v/>
      </c>
      <c r="E261" s="107">
        <f>SUMIFS(SETORES!$D:$D,SETORES!$A:$A,A261,SETORES!$F:$F,J261)</f>
        <v/>
      </c>
      <c r="F261" s="107">
        <f>IFERROR(D261*E261,0)</f>
        <v/>
      </c>
      <c r="G261" s="83">
        <f>SUMIFS(PARÂMETROS!$F$8:$F$33,PARÂMETROS!$A$8:$A$33,C261,PARÂMETROS!$G$8:$G$33,J261)</f>
        <v/>
      </c>
      <c r="H261" s="107">
        <f>IFERROR(F261*G261,0)</f>
        <v/>
      </c>
      <c r="I261" s="107">
        <f>F261+H261</f>
        <v/>
      </c>
      <c r="J261" s="105" t="inlineStr">
        <is>
          <t>Maio/2026</t>
        </is>
      </c>
    </row>
    <row r="262" hidden="1" ht="14.25" customHeight="1" s="75">
      <c r="A262" s="90" t="inlineStr">
        <is>
          <t>DP</t>
        </is>
      </c>
      <c r="B262" s="90">
        <f>INDEX(SETORES!$B:$B,MATCH(A262,SETORES!$A:$A,0))</f>
        <v/>
      </c>
      <c r="C262" s="90" t="inlineStr">
        <is>
          <t>DTEL (uso próprio)</t>
        </is>
      </c>
      <c r="D262" s="88">
        <f>IF(B262="Clientes",SUMIFS(PARÂMETROS!$D$8:$D$33,PARÂMETROS!$A$8:$A$33,C262,PARÂMETROS!$G$8:$G$33,J262),SUMIFS(PARÂMETROS!$E$8:$E$33,PARÂMETROS!$A$8:$A$33,C262,PARÂMETROS!$G$8:$G$33,J262))</f>
        <v/>
      </c>
      <c r="E262" s="96">
        <f>SUMIFS(SETORES!$D:$D,SETORES!$A:$A,A262,SETORES!$F:$F,J262)</f>
        <v/>
      </c>
      <c r="F262" s="96">
        <f>IFERROR(D262*E262,0)</f>
        <v/>
      </c>
      <c r="G262" s="88">
        <f>SUMIFS(PARÂMETROS!$F$8:$F$33,PARÂMETROS!$A$8:$A$33,C262,PARÂMETROS!$G$8:$G$33,J262)</f>
        <v/>
      </c>
      <c r="H262" s="96">
        <f>IFERROR(F262*G262,0)</f>
        <v/>
      </c>
      <c r="I262" s="96">
        <f>F262+H262</f>
        <v/>
      </c>
      <c r="J262" s="90" t="inlineStr">
        <is>
          <t>Maio/2026</t>
        </is>
      </c>
    </row>
    <row r="263" hidden="1" ht="14.25" customHeight="1" s="75">
      <c r="A263" s="105" t="inlineStr">
        <is>
          <t>Gestão de Atendimento</t>
        </is>
      </c>
      <c r="B263" s="94">
        <f>INDEX(SETORES!$B:$B,MATCH(A263,SETORES!$A:$A,0))</f>
        <v/>
      </c>
      <c r="C263" s="105" t="inlineStr">
        <is>
          <t>Empresa Licenciada DX2</t>
        </is>
      </c>
      <c r="D263" s="83">
        <f>IF(B263="Clientes",SUMIFS(PARÂMETROS!$D$8:$D$33,PARÂMETROS!$A$8:$A$33,C263,PARÂMETROS!$G$8:$G$33,J263),SUMIFS(PARÂMETROS!$E$8:$E$33,PARÂMETROS!$A$8:$A$33,C263,PARÂMETROS!$G$8:$G$33,J263))</f>
        <v/>
      </c>
      <c r="E263" s="107">
        <f>SUMIFS(SETORES!$D:$D,SETORES!$A:$A,A263,SETORES!$F:$F,J263)</f>
        <v/>
      </c>
      <c r="F263" s="107">
        <f>IFERROR(D263*E263,0)</f>
        <v/>
      </c>
      <c r="G263" s="83">
        <f>SUMIFS(PARÂMETROS!$F$8:$F$33,PARÂMETROS!$A$8:$A$33,C263,PARÂMETROS!$G$8:$G$33,J263)</f>
        <v/>
      </c>
      <c r="H263" s="107">
        <f>IFERROR(F263*G263,0)</f>
        <v/>
      </c>
      <c r="I263" s="107">
        <f>F263+H263</f>
        <v/>
      </c>
      <c r="J263" s="105" t="inlineStr">
        <is>
          <t>Maio/2026</t>
        </is>
      </c>
    </row>
    <row r="264" hidden="1" ht="14.25" customHeight="1" s="75">
      <c r="A264" s="90" t="inlineStr">
        <is>
          <t>Gestão de Atendimento</t>
        </is>
      </c>
      <c r="B264" s="90">
        <f>INDEX(SETORES!$B:$B,MATCH(A264,SETORES!$A:$A,0))</f>
        <v/>
      </c>
      <c r="C264" s="90" t="inlineStr">
        <is>
          <t>Empresa Licenciada H&amp;A</t>
        </is>
      </c>
      <c r="D264" s="88">
        <f>IF(B264="Clientes",SUMIFS(PARÂMETROS!$D$8:$D$33,PARÂMETROS!$A$8:$A$33,C264,PARÂMETROS!$G$8:$G$33,J264),SUMIFS(PARÂMETROS!$E$8:$E$33,PARÂMETROS!$A$8:$A$33,C264,PARÂMETROS!$G$8:$G$33,J264))</f>
        <v/>
      </c>
      <c r="E264" s="96">
        <f>SUMIFS(SETORES!$D:$D,SETORES!$A:$A,A264,SETORES!$F:$F,J264)</f>
        <v/>
      </c>
      <c r="F264" s="96">
        <f>IFERROR(D264*E264,0)</f>
        <v/>
      </c>
      <c r="G264" s="88">
        <f>SUMIFS(PARÂMETROS!$F$8:$F$33,PARÂMETROS!$A$8:$A$33,C264,PARÂMETROS!$G$8:$G$33,J264)</f>
        <v/>
      </c>
      <c r="H264" s="96">
        <f>IFERROR(F264*G264,0)</f>
        <v/>
      </c>
      <c r="I264" s="96">
        <f>F264+H264</f>
        <v/>
      </c>
      <c r="J264" s="90" t="inlineStr">
        <is>
          <t>Maio/2026</t>
        </is>
      </c>
    </row>
    <row r="265" hidden="1" ht="14.25" customHeight="1" s="75">
      <c r="A265" s="105" t="inlineStr">
        <is>
          <t>Gestão de Atendimento</t>
        </is>
      </c>
      <c r="B265" s="94">
        <f>INDEX(SETORES!$B:$B,MATCH(A265,SETORES!$A:$A,0))</f>
        <v/>
      </c>
      <c r="C265" s="105" t="inlineStr">
        <is>
          <t>Empresa Licenciada SOLON ARAUJO</t>
        </is>
      </c>
      <c r="D265" s="83">
        <f>IF(B265="Clientes",SUMIFS(PARÂMETROS!$D$8:$D$33,PARÂMETROS!$A$8:$A$33,C265,PARÂMETROS!$G$8:$G$33,J265),SUMIFS(PARÂMETROS!$E$8:$E$33,PARÂMETROS!$A$8:$A$33,C265,PARÂMETROS!$G$8:$G$33,J265))</f>
        <v/>
      </c>
      <c r="E265" s="107">
        <f>SUMIFS(SETORES!$D:$D,SETORES!$A:$A,A265,SETORES!$F:$F,J265)</f>
        <v/>
      </c>
      <c r="F265" s="107">
        <f>IFERROR(D265*E265,0)</f>
        <v/>
      </c>
      <c r="G265" s="83">
        <f>SUMIFS(PARÂMETROS!$F$8:$F$33,PARÂMETROS!$A$8:$A$33,C265,PARÂMETROS!$G$8:$G$33,J265)</f>
        <v/>
      </c>
      <c r="H265" s="107">
        <f>IFERROR(F265*G265,0)</f>
        <v/>
      </c>
      <c r="I265" s="107">
        <f>F265+H265</f>
        <v/>
      </c>
      <c r="J265" s="105" t="inlineStr">
        <is>
          <t>Maio/2026</t>
        </is>
      </c>
    </row>
    <row r="266" ht="14.25" customHeight="1" s="75">
      <c r="A266" s="90" t="inlineStr">
        <is>
          <t>Gestão de Atendimento</t>
        </is>
      </c>
      <c r="B266" s="90">
        <f>INDEX(SETORES!$B:$B,MATCH(A266,SETORES!$A:$A,0))</f>
        <v/>
      </c>
      <c r="C266" s="90" t="inlineStr">
        <is>
          <t>Empresa Licenciada SOARES E LINS</t>
        </is>
      </c>
      <c r="D266" s="88">
        <f>IF(B266="Clientes",SUMIFS(PARÂMETROS!$D$8:$D$33,PARÂMETROS!$A$8:$A$33,C266,PARÂMETROS!$G$8:$G$33,J266),SUMIFS(PARÂMETROS!$E$8:$E$33,PARÂMETROS!$A$8:$A$33,C266,PARÂMETROS!$G$8:$G$33,J266))</f>
        <v/>
      </c>
      <c r="E266" s="96">
        <f>SUMIFS(SETORES!$D:$D,SETORES!$A:$A,A266,SETORES!$F:$F,J266)</f>
        <v/>
      </c>
      <c r="F266" s="96">
        <f>IFERROR(D266*E266,0)</f>
        <v/>
      </c>
      <c r="G266" s="88">
        <f>SUMIFS(PARÂMETROS!$F$8:$F$33,PARÂMETROS!$A$8:$A$33,C266,PARÂMETROS!$G$8:$G$33,J266)</f>
        <v/>
      </c>
      <c r="H266" s="96">
        <f>IFERROR(F266*G266,0)</f>
        <v/>
      </c>
      <c r="I266" s="96">
        <f>F266+H266</f>
        <v/>
      </c>
      <c r="J266" s="90" t="inlineStr">
        <is>
          <t>Maio/2026</t>
        </is>
      </c>
    </row>
    <row r="267" hidden="1" ht="14.25" customHeight="1" s="75">
      <c r="A267" s="105" t="inlineStr">
        <is>
          <t>Gestão de Atendimento</t>
        </is>
      </c>
      <c r="B267" s="94">
        <f>INDEX(SETORES!$B:$B,MATCH(A267,SETORES!$A:$A,0))</f>
        <v/>
      </c>
      <c r="C267" s="105" t="inlineStr">
        <is>
          <t>Empresa Licenciada SOARES E SILVA</t>
        </is>
      </c>
      <c r="D267" s="83">
        <f>IF(B267="Clientes",SUMIFS(PARÂMETROS!$D$8:$D$33,PARÂMETROS!$A$8:$A$33,C267,PARÂMETROS!$G$8:$G$33,J267),SUMIFS(PARÂMETROS!$E$8:$E$33,PARÂMETROS!$A$8:$A$33,C267,PARÂMETROS!$G$8:$G$33,J267))</f>
        <v/>
      </c>
      <c r="E267" s="107">
        <f>SUMIFS(SETORES!$D:$D,SETORES!$A:$A,A267,SETORES!$F:$F,J267)</f>
        <v/>
      </c>
      <c r="F267" s="107">
        <f>IFERROR(D267*E267,0)</f>
        <v/>
      </c>
      <c r="G267" s="83">
        <f>SUMIFS(PARÂMETROS!$F$8:$F$33,PARÂMETROS!$A$8:$A$33,C267,PARÂMETROS!$G$8:$G$33,J267)</f>
        <v/>
      </c>
      <c r="H267" s="107">
        <f>IFERROR(F267*G267,0)</f>
        <v/>
      </c>
      <c r="I267" s="107">
        <f>F267+H267</f>
        <v/>
      </c>
      <c r="J267" s="105" t="inlineStr">
        <is>
          <t>Maio/2026</t>
        </is>
      </c>
    </row>
    <row r="268" hidden="1" ht="14.25" customHeight="1" s="75">
      <c r="A268" s="90" t="inlineStr">
        <is>
          <t>Gestão de Atendimento</t>
        </is>
      </c>
      <c r="B268" s="90">
        <f>INDEX(SETORES!$B:$B,MATCH(A268,SETORES!$A:$A,0))</f>
        <v/>
      </c>
      <c r="C268" s="90" t="inlineStr">
        <is>
          <t>Empresa Licenciada SOUZA E SILVA</t>
        </is>
      </c>
      <c r="D268" s="88">
        <f>IF(B268="Clientes",SUMIFS(PARÂMETROS!$D$8:$D$33,PARÂMETROS!$A$8:$A$33,C268,PARÂMETROS!$G$8:$G$33,J268),SUMIFS(PARÂMETROS!$E$8:$E$33,PARÂMETROS!$A$8:$A$33,C268,PARÂMETROS!$G$8:$G$33,J268))</f>
        <v/>
      </c>
      <c r="E268" s="96">
        <f>SUMIFS(SETORES!$D:$D,SETORES!$A:$A,A268,SETORES!$F:$F,J268)</f>
        <v/>
      </c>
      <c r="F268" s="96">
        <f>IFERROR(D268*E268,0)</f>
        <v/>
      </c>
      <c r="G268" s="88">
        <f>SUMIFS(PARÂMETROS!$F$8:$F$33,PARÂMETROS!$A$8:$A$33,C268,PARÂMETROS!$G$8:$G$33,J268)</f>
        <v/>
      </c>
      <c r="H268" s="96">
        <f>IFERROR(F268*G268,0)</f>
        <v/>
      </c>
      <c r="I268" s="96">
        <f>F268+H268</f>
        <v/>
      </c>
      <c r="J268" s="90" t="inlineStr">
        <is>
          <t>Maio/2026</t>
        </is>
      </c>
    </row>
    <row r="269" hidden="1" ht="14.25" customHeight="1" s="75">
      <c r="A269" s="105" t="inlineStr">
        <is>
          <t>Gestão de Atendimento</t>
        </is>
      </c>
      <c r="B269" s="94">
        <f>INDEX(SETORES!$B:$B,MATCH(A269,SETORES!$A:$A,0))</f>
        <v/>
      </c>
      <c r="C269" s="105" t="inlineStr">
        <is>
          <t>Empresa Licenciada VOICENET</t>
        </is>
      </c>
      <c r="D269" s="83">
        <f>IF(B269="Clientes",SUMIFS(PARÂMETROS!$D$8:$D$33,PARÂMETROS!$A$8:$A$33,C269,PARÂMETROS!$G$8:$G$33,J269),SUMIFS(PARÂMETROS!$E$8:$E$33,PARÂMETROS!$A$8:$A$33,C269,PARÂMETROS!$G$8:$G$33,J269))</f>
        <v/>
      </c>
      <c r="E269" s="107">
        <f>SUMIFS(SETORES!$D:$D,SETORES!$A:$A,A269,SETORES!$F:$F,J269)</f>
        <v/>
      </c>
      <c r="F269" s="107">
        <f>IFERROR(D269*E269,0)</f>
        <v/>
      </c>
      <c r="G269" s="83">
        <f>SUMIFS(PARÂMETROS!$F$8:$F$33,PARÂMETROS!$A$8:$A$33,C269,PARÂMETROS!$G$8:$G$33,J269)</f>
        <v/>
      </c>
      <c r="H269" s="107">
        <f>IFERROR(F269*G269,0)</f>
        <v/>
      </c>
      <c r="I269" s="107">
        <f>F269+H269</f>
        <v/>
      </c>
      <c r="J269" s="105" t="inlineStr">
        <is>
          <t>Maio/2026</t>
        </is>
      </c>
    </row>
    <row r="270" hidden="1" ht="14.25" customHeight="1" s="75">
      <c r="A270" s="90" t="inlineStr">
        <is>
          <t>Gestão de Atendimento</t>
        </is>
      </c>
      <c r="B270" s="90">
        <f>INDEX(SETORES!$B:$B,MATCH(A270,SETORES!$A:$A,0))</f>
        <v/>
      </c>
      <c r="C270" s="90" t="inlineStr">
        <is>
          <t>DTEL (uso próprio)</t>
        </is>
      </c>
      <c r="D270" s="88">
        <f>IF(B270="Clientes",SUMIFS(PARÂMETROS!$D$8:$D$33,PARÂMETROS!$A$8:$A$33,C270,PARÂMETROS!$G$8:$G$33,J270),SUMIFS(PARÂMETROS!$E$8:$E$33,PARÂMETROS!$A$8:$A$33,C270,PARÂMETROS!$G$8:$G$33,J270))</f>
        <v/>
      </c>
      <c r="E270" s="96">
        <f>SUMIFS(SETORES!$D:$D,SETORES!$A:$A,A270,SETORES!$F:$F,J270)</f>
        <v/>
      </c>
      <c r="F270" s="96">
        <f>IFERROR(D270*E270,0)</f>
        <v/>
      </c>
      <c r="G270" s="88">
        <f>SUMIFS(PARÂMETROS!$F$8:$F$33,PARÂMETROS!$A$8:$A$33,C270,PARÂMETROS!$G$8:$G$33,J270)</f>
        <v/>
      </c>
      <c r="H270" s="96">
        <f>IFERROR(F270*G270,0)</f>
        <v/>
      </c>
      <c r="I270" s="96">
        <f>F270+H270</f>
        <v/>
      </c>
      <c r="J270" s="90" t="inlineStr">
        <is>
          <t>Maio/2026</t>
        </is>
      </c>
    </row>
    <row r="271" hidden="1" ht="14.25" customHeight="1" s="75">
      <c r="A271" s="105" t="inlineStr">
        <is>
          <t>CAC</t>
        </is>
      </c>
      <c r="B271" s="94">
        <f>INDEX(SETORES!$B:$B,MATCH(A271,SETORES!$A:$A,0))</f>
        <v/>
      </c>
      <c r="C271" s="105" t="inlineStr">
        <is>
          <t>Empresa Licenciada DX2</t>
        </is>
      </c>
      <c r="D271" s="83">
        <f>IF(B271="Clientes",SUMIFS(PARÂMETROS!$D$8:$D$33,PARÂMETROS!$A$8:$A$33,C271,PARÂMETROS!$G$8:$G$33,J271),SUMIFS(PARÂMETROS!$E$8:$E$33,PARÂMETROS!$A$8:$A$33,C271,PARÂMETROS!$G$8:$G$33,J271))</f>
        <v/>
      </c>
      <c r="E271" s="107">
        <f>SUMIFS(SETORES!$D:$D,SETORES!$A:$A,A271,SETORES!$F:$F,J271)</f>
        <v/>
      </c>
      <c r="F271" s="107">
        <f>IFERROR(D271*E271,0)</f>
        <v/>
      </c>
      <c r="G271" s="83">
        <f>SUMIFS(PARÂMETROS!$F$8:$F$33,PARÂMETROS!$A$8:$A$33,C271,PARÂMETROS!$G$8:$G$33,J271)</f>
        <v/>
      </c>
      <c r="H271" s="107">
        <f>IFERROR(F271*G271,0)</f>
        <v/>
      </c>
      <c r="I271" s="107">
        <f>F271+H271</f>
        <v/>
      </c>
      <c r="J271" s="105" t="inlineStr">
        <is>
          <t>Maio/2026</t>
        </is>
      </c>
    </row>
    <row r="272" hidden="1" ht="14.25" customHeight="1" s="75">
      <c r="A272" s="90" t="inlineStr">
        <is>
          <t>CAC</t>
        </is>
      </c>
      <c r="B272" s="90">
        <f>INDEX(SETORES!$B:$B,MATCH(A272,SETORES!$A:$A,0))</f>
        <v/>
      </c>
      <c r="C272" s="90" t="inlineStr">
        <is>
          <t>Empresa Licenciada H&amp;A</t>
        </is>
      </c>
      <c r="D272" s="88">
        <f>IF(B272="Clientes",SUMIFS(PARÂMETROS!$D$8:$D$33,PARÂMETROS!$A$8:$A$33,C272,PARÂMETROS!$G$8:$G$33,J272),SUMIFS(PARÂMETROS!$E$8:$E$33,PARÂMETROS!$A$8:$A$33,C272,PARÂMETROS!$G$8:$G$33,J272))</f>
        <v/>
      </c>
      <c r="E272" s="96">
        <f>SUMIFS(SETORES!$D:$D,SETORES!$A:$A,A272,SETORES!$F:$F,J272)</f>
        <v/>
      </c>
      <c r="F272" s="96">
        <f>IFERROR(D272*E272,0)</f>
        <v/>
      </c>
      <c r="G272" s="88">
        <f>SUMIFS(PARÂMETROS!$F$8:$F$33,PARÂMETROS!$A$8:$A$33,C272,PARÂMETROS!$G$8:$G$33,J272)</f>
        <v/>
      </c>
      <c r="H272" s="96">
        <f>IFERROR(F272*G272,0)</f>
        <v/>
      </c>
      <c r="I272" s="96">
        <f>F272+H272</f>
        <v/>
      </c>
      <c r="J272" s="90" t="inlineStr">
        <is>
          <t>Maio/2026</t>
        </is>
      </c>
    </row>
    <row r="273" hidden="1" ht="14.25" customHeight="1" s="75">
      <c r="A273" s="105" t="inlineStr">
        <is>
          <t>CAC</t>
        </is>
      </c>
      <c r="B273" s="94">
        <f>INDEX(SETORES!$B:$B,MATCH(A273,SETORES!$A:$A,0))</f>
        <v/>
      </c>
      <c r="C273" s="105" t="inlineStr">
        <is>
          <t>Empresa Licenciada SOLON ARAUJO</t>
        </is>
      </c>
      <c r="D273" s="83">
        <f>IF(B273="Clientes",SUMIFS(PARÂMETROS!$D$8:$D$33,PARÂMETROS!$A$8:$A$33,C273,PARÂMETROS!$G$8:$G$33,J273),SUMIFS(PARÂMETROS!$E$8:$E$33,PARÂMETROS!$A$8:$A$33,C273,PARÂMETROS!$G$8:$G$33,J273))</f>
        <v/>
      </c>
      <c r="E273" s="107">
        <f>SUMIFS(SETORES!$D:$D,SETORES!$A:$A,A273,SETORES!$F:$F,J273)</f>
        <v/>
      </c>
      <c r="F273" s="107">
        <f>IFERROR(D273*E273,0)</f>
        <v/>
      </c>
      <c r="G273" s="83">
        <f>SUMIFS(PARÂMETROS!$F$8:$F$33,PARÂMETROS!$A$8:$A$33,C273,PARÂMETROS!$G$8:$G$33,J273)</f>
        <v/>
      </c>
      <c r="H273" s="107">
        <f>IFERROR(F273*G273,0)</f>
        <v/>
      </c>
      <c r="I273" s="107">
        <f>F273+H273</f>
        <v/>
      </c>
      <c r="J273" s="105" t="inlineStr">
        <is>
          <t>Maio/2026</t>
        </is>
      </c>
    </row>
    <row r="274" ht="14.25" customHeight="1" s="75">
      <c r="A274" s="90" t="inlineStr">
        <is>
          <t>CAC</t>
        </is>
      </c>
      <c r="B274" s="90">
        <f>INDEX(SETORES!$B:$B,MATCH(A274,SETORES!$A:$A,0))</f>
        <v/>
      </c>
      <c r="C274" s="90" t="inlineStr">
        <is>
          <t>Empresa Licenciada SOARES E LINS</t>
        </is>
      </c>
      <c r="D274" s="88">
        <f>IF(B274="Clientes",SUMIFS(PARÂMETROS!$D$8:$D$33,PARÂMETROS!$A$8:$A$33,C274,PARÂMETROS!$G$8:$G$33,J274),SUMIFS(PARÂMETROS!$E$8:$E$33,PARÂMETROS!$A$8:$A$33,C274,PARÂMETROS!$G$8:$G$33,J274))</f>
        <v/>
      </c>
      <c r="E274" s="96">
        <f>SUMIFS(SETORES!$D:$D,SETORES!$A:$A,A274,SETORES!$F:$F,J274)</f>
        <v/>
      </c>
      <c r="F274" s="96">
        <f>IFERROR(D274*E274,0)</f>
        <v/>
      </c>
      <c r="G274" s="88">
        <f>SUMIFS(PARÂMETROS!$F$8:$F$33,PARÂMETROS!$A$8:$A$33,C274,PARÂMETROS!$G$8:$G$33,J274)</f>
        <v/>
      </c>
      <c r="H274" s="96">
        <f>IFERROR(F274*G274,0)</f>
        <v/>
      </c>
      <c r="I274" s="96">
        <f>F274+H274</f>
        <v/>
      </c>
      <c r="J274" s="90" t="inlineStr">
        <is>
          <t>Maio/2026</t>
        </is>
      </c>
    </row>
    <row r="275" hidden="1" ht="14.25" customHeight="1" s="75">
      <c r="A275" s="105" t="inlineStr">
        <is>
          <t>CAC</t>
        </is>
      </c>
      <c r="B275" s="94">
        <f>INDEX(SETORES!$B:$B,MATCH(A275,SETORES!$A:$A,0))</f>
        <v/>
      </c>
      <c r="C275" s="105" t="inlineStr">
        <is>
          <t>Empresa Licenciada SOARES E SILVA</t>
        </is>
      </c>
      <c r="D275" s="83">
        <f>IF(B275="Clientes",SUMIFS(PARÂMETROS!$D$8:$D$33,PARÂMETROS!$A$8:$A$33,C275,PARÂMETROS!$G$8:$G$33,J275),SUMIFS(PARÂMETROS!$E$8:$E$33,PARÂMETROS!$A$8:$A$33,C275,PARÂMETROS!$G$8:$G$33,J275))</f>
        <v/>
      </c>
      <c r="E275" s="107">
        <f>SUMIFS(SETORES!$D:$D,SETORES!$A:$A,A275,SETORES!$F:$F,J275)</f>
        <v/>
      </c>
      <c r="F275" s="107">
        <f>IFERROR(D275*E275,0)</f>
        <v/>
      </c>
      <c r="G275" s="83">
        <f>SUMIFS(PARÂMETROS!$F$8:$F$33,PARÂMETROS!$A$8:$A$33,C275,PARÂMETROS!$G$8:$G$33,J275)</f>
        <v/>
      </c>
      <c r="H275" s="107">
        <f>IFERROR(F275*G275,0)</f>
        <v/>
      </c>
      <c r="I275" s="107">
        <f>F275+H275</f>
        <v/>
      </c>
      <c r="J275" s="105" t="inlineStr">
        <is>
          <t>Maio/2026</t>
        </is>
      </c>
    </row>
    <row r="276" hidden="1" ht="14.25" customHeight="1" s="75">
      <c r="A276" s="90" t="inlineStr">
        <is>
          <t>CAC</t>
        </is>
      </c>
      <c r="B276" s="90">
        <f>INDEX(SETORES!$B:$B,MATCH(A276,SETORES!$A:$A,0))</f>
        <v/>
      </c>
      <c r="C276" s="90" t="inlineStr">
        <is>
          <t>Empresa Licenciada SOUZA E SILVA</t>
        </is>
      </c>
      <c r="D276" s="88">
        <f>IF(B276="Clientes",SUMIFS(PARÂMETROS!$D$8:$D$33,PARÂMETROS!$A$8:$A$33,C276,PARÂMETROS!$G$8:$G$33,J276),SUMIFS(PARÂMETROS!$E$8:$E$33,PARÂMETROS!$A$8:$A$33,C276,PARÂMETROS!$G$8:$G$33,J276))</f>
        <v/>
      </c>
      <c r="E276" s="96">
        <f>SUMIFS(SETORES!$D:$D,SETORES!$A:$A,A276,SETORES!$F:$F,J276)</f>
        <v/>
      </c>
      <c r="F276" s="96">
        <f>IFERROR(D276*E276,0)</f>
        <v/>
      </c>
      <c r="G276" s="88">
        <f>SUMIFS(PARÂMETROS!$F$8:$F$33,PARÂMETROS!$A$8:$A$33,C276,PARÂMETROS!$G$8:$G$33,J276)</f>
        <v/>
      </c>
      <c r="H276" s="96">
        <f>IFERROR(F276*G276,0)</f>
        <v/>
      </c>
      <c r="I276" s="96">
        <f>F276+H276</f>
        <v/>
      </c>
      <c r="J276" s="90" t="inlineStr">
        <is>
          <t>Maio/2026</t>
        </is>
      </c>
    </row>
    <row r="277" hidden="1" ht="14.25" customHeight="1" s="75">
      <c r="A277" s="105" t="inlineStr">
        <is>
          <t>CAC</t>
        </is>
      </c>
      <c r="B277" s="94">
        <f>INDEX(SETORES!$B:$B,MATCH(A277,SETORES!$A:$A,0))</f>
        <v/>
      </c>
      <c r="C277" s="105" t="inlineStr">
        <is>
          <t>Empresa Licenciada VOICENET</t>
        </is>
      </c>
      <c r="D277" s="83">
        <f>IF(B277="Clientes",SUMIFS(PARÂMETROS!$D$8:$D$33,PARÂMETROS!$A$8:$A$33,C277,PARÂMETROS!$G$8:$G$33,J277),SUMIFS(PARÂMETROS!$E$8:$E$33,PARÂMETROS!$A$8:$A$33,C277,PARÂMETROS!$G$8:$G$33,J277))</f>
        <v/>
      </c>
      <c r="E277" s="107">
        <f>SUMIFS(SETORES!$D:$D,SETORES!$A:$A,A277,SETORES!$F:$F,J277)</f>
        <v/>
      </c>
      <c r="F277" s="107">
        <f>IFERROR(D277*E277,0)</f>
        <v/>
      </c>
      <c r="G277" s="83">
        <f>SUMIFS(PARÂMETROS!$F$8:$F$33,PARÂMETROS!$A$8:$A$33,C277,PARÂMETROS!$G$8:$G$33,J277)</f>
        <v/>
      </c>
      <c r="H277" s="107">
        <f>IFERROR(F277*G277,0)</f>
        <v/>
      </c>
      <c r="I277" s="107">
        <f>F277+H277</f>
        <v/>
      </c>
      <c r="J277" s="105" t="inlineStr">
        <is>
          <t>Maio/2026</t>
        </is>
      </c>
    </row>
    <row r="278" hidden="1" ht="14.25" customHeight="1" s="75">
      <c r="A278" s="90" t="inlineStr">
        <is>
          <t>CAC</t>
        </is>
      </c>
      <c r="B278" s="90">
        <f>INDEX(SETORES!$B:$B,MATCH(A278,SETORES!$A:$A,0))</f>
        <v/>
      </c>
      <c r="C278" s="90" t="inlineStr">
        <is>
          <t>DTEL (uso próprio)</t>
        </is>
      </c>
      <c r="D278" s="88">
        <f>IF(B278="Clientes",SUMIFS(PARÂMETROS!$D$8:$D$33,PARÂMETROS!$A$8:$A$33,C278,PARÂMETROS!$G$8:$G$33,J278),SUMIFS(PARÂMETROS!$E$8:$E$33,PARÂMETROS!$A$8:$A$33,C278,PARÂMETROS!$G$8:$G$33,J278))</f>
        <v/>
      </c>
      <c r="E278" s="96">
        <f>SUMIFS(SETORES!$D:$D,SETORES!$A:$A,A278,SETORES!$F:$F,J278)</f>
        <v/>
      </c>
      <c r="F278" s="96">
        <f>IFERROR(D278*E278,0)</f>
        <v/>
      </c>
      <c r="G278" s="88">
        <f>SUMIFS(PARÂMETROS!$F$8:$F$33,PARÂMETROS!$A$8:$A$33,C278,PARÂMETROS!$G$8:$G$33,J278)</f>
        <v/>
      </c>
      <c r="H278" s="96">
        <f>IFERROR(F278*G278,0)</f>
        <v/>
      </c>
      <c r="I278" s="96">
        <f>F278+H278</f>
        <v/>
      </c>
      <c r="J278" s="90" t="inlineStr">
        <is>
          <t>Maio/2026</t>
        </is>
      </c>
    </row>
    <row r="279" hidden="1" ht="14.25" customHeight="1" s="75">
      <c r="A279" s="105" t="inlineStr">
        <is>
          <t>Financeiro</t>
        </is>
      </c>
      <c r="B279" s="94">
        <f>INDEX(SETORES!$B:$B,MATCH(A279,SETORES!$A:$A,0))</f>
        <v/>
      </c>
      <c r="C279" s="105" t="inlineStr">
        <is>
          <t>Empresa Licenciada DX2</t>
        </is>
      </c>
      <c r="D279" s="83">
        <f>IF(B279="Clientes",SUMIFS(PARÂMETROS!$D$8:$D$33,PARÂMETROS!$A$8:$A$33,C279,PARÂMETROS!$G$8:$G$33,J279),SUMIFS(PARÂMETROS!$E$8:$E$33,PARÂMETROS!$A$8:$A$33,C279,PARÂMETROS!$G$8:$G$33,J279))</f>
        <v/>
      </c>
      <c r="E279" s="107">
        <f>SUMIFS(SETORES!$D:$D,SETORES!$A:$A,A279,SETORES!$F:$F,J279)</f>
        <v/>
      </c>
      <c r="F279" s="107">
        <f>IFERROR(D279*E279,0)</f>
        <v/>
      </c>
      <c r="G279" s="83">
        <f>SUMIFS(PARÂMETROS!$F$8:$F$33,PARÂMETROS!$A$8:$A$33,C279,PARÂMETROS!$G$8:$G$33,J279)</f>
        <v/>
      </c>
      <c r="H279" s="107">
        <f>IFERROR(F279*G279,0)</f>
        <v/>
      </c>
      <c r="I279" s="107">
        <f>F279+H279</f>
        <v/>
      </c>
      <c r="J279" s="105" t="inlineStr">
        <is>
          <t>Maio/2026</t>
        </is>
      </c>
    </row>
    <row r="280" hidden="1" ht="14.25" customHeight="1" s="75">
      <c r="A280" s="90" t="inlineStr">
        <is>
          <t>Financeiro</t>
        </is>
      </c>
      <c r="B280" s="90">
        <f>INDEX(SETORES!$B:$B,MATCH(A280,SETORES!$A:$A,0))</f>
        <v/>
      </c>
      <c r="C280" s="90" t="inlineStr">
        <is>
          <t>Empresa Licenciada H&amp;A</t>
        </is>
      </c>
      <c r="D280" s="88">
        <f>IF(B280="Clientes",SUMIFS(PARÂMETROS!$D$8:$D$33,PARÂMETROS!$A$8:$A$33,C280,PARÂMETROS!$G$8:$G$33,J280),SUMIFS(PARÂMETROS!$E$8:$E$33,PARÂMETROS!$A$8:$A$33,C280,PARÂMETROS!$G$8:$G$33,J280))</f>
        <v/>
      </c>
      <c r="E280" s="96">
        <f>SUMIFS(SETORES!$D:$D,SETORES!$A:$A,A280,SETORES!$F:$F,J280)</f>
        <v/>
      </c>
      <c r="F280" s="96">
        <f>IFERROR(D280*E280,0)</f>
        <v/>
      </c>
      <c r="G280" s="88">
        <f>SUMIFS(PARÂMETROS!$F$8:$F$33,PARÂMETROS!$A$8:$A$33,C280,PARÂMETROS!$G$8:$G$33,J280)</f>
        <v/>
      </c>
      <c r="H280" s="96">
        <f>IFERROR(F280*G280,0)</f>
        <v/>
      </c>
      <c r="I280" s="96">
        <f>F280+H280</f>
        <v/>
      </c>
      <c r="J280" s="90" t="inlineStr">
        <is>
          <t>Maio/2026</t>
        </is>
      </c>
    </row>
    <row r="281" hidden="1" ht="14.25" customHeight="1" s="75">
      <c r="A281" s="105" t="inlineStr">
        <is>
          <t>Financeiro</t>
        </is>
      </c>
      <c r="B281" s="94">
        <f>INDEX(SETORES!$B:$B,MATCH(A281,SETORES!$A:$A,0))</f>
        <v/>
      </c>
      <c r="C281" s="105" t="inlineStr">
        <is>
          <t>Empresa Licenciada SOLON ARAUJO</t>
        </is>
      </c>
      <c r="D281" s="83">
        <f>IF(B281="Clientes",SUMIFS(PARÂMETROS!$D$8:$D$33,PARÂMETROS!$A$8:$A$33,C281,PARÂMETROS!$G$8:$G$33,J281),SUMIFS(PARÂMETROS!$E$8:$E$33,PARÂMETROS!$A$8:$A$33,C281,PARÂMETROS!$G$8:$G$33,J281))</f>
        <v/>
      </c>
      <c r="E281" s="107">
        <f>SUMIFS(SETORES!$D:$D,SETORES!$A:$A,A281,SETORES!$F:$F,J281)</f>
        <v/>
      </c>
      <c r="F281" s="107">
        <f>IFERROR(D281*E281,0)</f>
        <v/>
      </c>
      <c r="G281" s="83">
        <f>SUMIFS(PARÂMETROS!$F$8:$F$33,PARÂMETROS!$A$8:$A$33,C281,PARÂMETROS!$G$8:$G$33,J281)</f>
        <v/>
      </c>
      <c r="H281" s="107">
        <f>IFERROR(F281*G281,0)</f>
        <v/>
      </c>
      <c r="I281" s="107">
        <f>F281+H281</f>
        <v/>
      </c>
      <c r="J281" s="105" t="inlineStr">
        <is>
          <t>Maio/2026</t>
        </is>
      </c>
    </row>
    <row r="282" ht="14.25" customHeight="1" s="75">
      <c r="A282" s="90" t="inlineStr">
        <is>
          <t>Financeiro</t>
        </is>
      </c>
      <c r="B282" s="90">
        <f>INDEX(SETORES!$B:$B,MATCH(A282,SETORES!$A:$A,0))</f>
        <v/>
      </c>
      <c r="C282" s="90" t="inlineStr">
        <is>
          <t>Empresa Licenciada SOARES E LINS</t>
        </is>
      </c>
      <c r="D282" s="88">
        <f>IF(B282="Clientes",SUMIFS(PARÂMETROS!$D$8:$D$33,PARÂMETROS!$A$8:$A$33,C282,PARÂMETROS!$G$8:$G$33,J282),SUMIFS(PARÂMETROS!$E$8:$E$33,PARÂMETROS!$A$8:$A$33,C282,PARÂMETROS!$G$8:$G$33,J282))</f>
        <v/>
      </c>
      <c r="E282" s="96">
        <f>SUMIFS(SETORES!$D:$D,SETORES!$A:$A,A282,SETORES!$F:$F,J282)</f>
        <v/>
      </c>
      <c r="F282" s="96">
        <f>IFERROR(D282*E282,0)</f>
        <v/>
      </c>
      <c r="G282" s="88">
        <f>SUMIFS(PARÂMETROS!$F$8:$F$33,PARÂMETROS!$A$8:$A$33,C282,PARÂMETROS!$G$8:$G$33,J282)</f>
        <v/>
      </c>
      <c r="H282" s="96">
        <f>IFERROR(F282*G282,0)</f>
        <v/>
      </c>
      <c r="I282" s="96">
        <f>F282+H282</f>
        <v/>
      </c>
      <c r="J282" s="90" t="inlineStr">
        <is>
          <t>Maio/2026</t>
        </is>
      </c>
    </row>
    <row r="283" hidden="1" ht="14.25" customHeight="1" s="75">
      <c r="A283" s="105" t="inlineStr">
        <is>
          <t>Financeiro</t>
        </is>
      </c>
      <c r="B283" s="94">
        <f>INDEX(SETORES!$B:$B,MATCH(A283,SETORES!$A:$A,0))</f>
        <v/>
      </c>
      <c r="C283" s="105" t="inlineStr">
        <is>
          <t>Empresa Licenciada SOARES E SILVA</t>
        </is>
      </c>
      <c r="D283" s="83">
        <f>IF(B283="Clientes",SUMIFS(PARÂMETROS!$D$8:$D$33,PARÂMETROS!$A$8:$A$33,C283,PARÂMETROS!$G$8:$G$33,J283),SUMIFS(PARÂMETROS!$E$8:$E$33,PARÂMETROS!$A$8:$A$33,C283,PARÂMETROS!$G$8:$G$33,J283))</f>
        <v/>
      </c>
      <c r="E283" s="107">
        <f>SUMIFS(SETORES!$D:$D,SETORES!$A:$A,A283,SETORES!$F:$F,J283)</f>
        <v/>
      </c>
      <c r="F283" s="107">
        <f>IFERROR(D283*E283,0)</f>
        <v/>
      </c>
      <c r="G283" s="83">
        <f>SUMIFS(PARÂMETROS!$F$8:$F$33,PARÂMETROS!$A$8:$A$33,C283,PARÂMETROS!$G$8:$G$33,J283)</f>
        <v/>
      </c>
      <c r="H283" s="107">
        <f>IFERROR(F283*G283,0)</f>
        <v/>
      </c>
      <c r="I283" s="107">
        <f>F283+H283</f>
        <v/>
      </c>
      <c r="J283" s="105" t="inlineStr">
        <is>
          <t>Maio/2026</t>
        </is>
      </c>
    </row>
    <row r="284" hidden="1" ht="14.25" customHeight="1" s="75">
      <c r="A284" s="90" t="inlineStr">
        <is>
          <t>Financeiro</t>
        </is>
      </c>
      <c r="B284" s="90">
        <f>INDEX(SETORES!$B:$B,MATCH(A284,SETORES!$A:$A,0))</f>
        <v/>
      </c>
      <c r="C284" s="90" t="inlineStr">
        <is>
          <t>Empresa Licenciada SOUZA E SILVA</t>
        </is>
      </c>
      <c r="D284" s="88">
        <f>IF(B284="Clientes",SUMIFS(PARÂMETROS!$D$8:$D$33,PARÂMETROS!$A$8:$A$33,C284,PARÂMETROS!$G$8:$G$33,J284),SUMIFS(PARÂMETROS!$E$8:$E$33,PARÂMETROS!$A$8:$A$33,C284,PARÂMETROS!$G$8:$G$33,J284))</f>
        <v/>
      </c>
      <c r="E284" s="96">
        <f>SUMIFS(SETORES!$D:$D,SETORES!$A:$A,A284,SETORES!$F:$F,J284)</f>
        <v/>
      </c>
      <c r="F284" s="96">
        <f>IFERROR(D284*E284,0)</f>
        <v/>
      </c>
      <c r="G284" s="88">
        <f>SUMIFS(PARÂMETROS!$F$8:$F$33,PARÂMETROS!$A$8:$A$33,C284,PARÂMETROS!$G$8:$G$33,J284)</f>
        <v/>
      </c>
      <c r="H284" s="96">
        <f>IFERROR(F284*G284,0)</f>
        <v/>
      </c>
      <c r="I284" s="96">
        <f>F284+H284</f>
        <v/>
      </c>
      <c r="J284" s="90" t="inlineStr">
        <is>
          <t>Maio/2026</t>
        </is>
      </c>
    </row>
    <row r="285" hidden="1" ht="14.25" customHeight="1" s="75">
      <c r="A285" s="105" t="inlineStr">
        <is>
          <t>Financeiro</t>
        </is>
      </c>
      <c r="B285" s="94">
        <f>INDEX(SETORES!$B:$B,MATCH(A285,SETORES!$A:$A,0))</f>
        <v/>
      </c>
      <c r="C285" s="105" t="inlineStr">
        <is>
          <t>Empresa Licenciada VOICENET</t>
        </is>
      </c>
      <c r="D285" s="83">
        <f>IF(B285="Clientes",SUMIFS(PARÂMETROS!$D$8:$D$33,PARÂMETROS!$A$8:$A$33,C285,PARÂMETROS!$G$8:$G$33,J285),SUMIFS(PARÂMETROS!$E$8:$E$33,PARÂMETROS!$A$8:$A$33,C285,PARÂMETROS!$G$8:$G$33,J285))</f>
        <v/>
      </c>
      <c r="E285" s="107">
        <f>SUMIFS(SETORES!$D:$D,SETORES!$A:$A,A285,SETORES!$F:$F,J285)</f>
        <v/>
      </c>
      <c r="F285" s="107">
        <f>IFERROR(D285*E285,0)</f>
        <v/>
      </c>
      <c r="G285" s="83">
        <f>SUMIFS(PARÂMETROS!$F$8:$F$33,PARÂMETROS!$A$8:$A$33,C285,PARÂMETROS!$G$8:$G$33,J285)</f>
        <v/>
      </c>
      <c r="H285" s="107">
        <f>IFERROR(F285*G285,0)</f>
        <v/>
      </c>
      <c r="I285" s="107">
        <f>F285+H285</f>
        <v/>
      </c>
      <c r="J285" s="105" t="inlineStr">
        <is>
          <t>Maio/2026</t>
        </is>
      </c>
    </row>
    <row r="286" hidden="1" ht="14.25" customHeight="1" s="75">
      <c r="A286" s="90" t="inlineStr">
        <is>
          <t>Financeiro</t>
        </is>
      </c>
      <c r="B286" s="90">
        <f>INDEX(SETORES!$B:$B,MATCH(A286,SETORES!$A:$A,0))</f>
        <v/>
      </c>
      <c r="C286" s="90" t="inlineStr">
        <is>
          <t>DTEL (uso próprio)</t>
        </is>
      </c>
      <c r="D286" s="88">
        <f>IF(B286="Clientes",SUMIFS(PARÂMETROS!$D$8:$D$33,PARÂMETROS!$A$8:$A$33,C286,PARÂMETROS!$G$8:$G$33,J286),SUMIFS(PARÂMETROS!$E$8:$E$33,PARÂMETROS!$A$8:$A$33,C286,PARÂMETROS!$G$8:$G$33,J286))</f>
        <v/>
      </c>
      <c r="E286" s="96">
        <f>SUMIFS(SETORES!$D:$D,SETORES!$A:$A,A286,SETORES!$F:$F,J286)</f>
        <v/>
      </c>
      <c r="F286" s="96">
        <f>IFERROR(D286*E286,0)</f>
        <v/>
      </c>
      <c r="G286" s="88">
        <f>SUMIFS(PARÂMETROS!$F$8:$F$33,PARÂMETROS!$A$8:$A$33,C286,PARÂMETROS!$G$8:$G$33,J286)</f>
        <v/>
      </c>
      <c r="H286" s="96">
        <f>IFERROR(F286*G286,0)</f>
        <v/>
      </c>
      <c r="I286" s="96">
        <f>F286+H286</f>
        <v/>
      </c>
      <c r="J286" s="90" t="inlineStr">
        <is>
          <t>Maio/2026</t>
        </is>
      </c>
    </row>
    <row r="287" hidden="1" ht="14.25" customHeight="1" s="75">
      <c r="A287" s="105" t="inlineStr">
        <is>
          <t>NRC</t>
        </is>
      </c>
      <c r="B287" s="94">
        <f>INDEX(SETORES!$B:$B,MATCH(A287,SETORES!$A:$A,0))</f>
        <v/>
      </c>
      <c r="C287" s="105" t="inlineStr">
        <is>
          <t>Empresa Licenciada DX2</t>
        </is>
      </c>
      <c r="D287" s="83">
        <f>IF(B287="Clientes",SUMIFS(PARÂMETROS!$D$8:$D$33,PARÂMETROS!$A$8:$A$33,C287,PARÂMETROS!$G$8:$G$33,J287),SUMIFS(PARÂMETROS!$E$8:$E$33,PARÂMETROS!$A$8:$A$33,C287,PARÂMETROS!$G$8:$G$33,J287))</f>
        <v/>
      </c>
      <c r="E287" s="107">
        <f>SUMIFS(SETORES!$D:$D,SETORES!$A:$A,A287,SETORES!$F:$F,J287)</f>
        <v/>
      </c>
      <c r="F287" s="107">
        <f>IFERROR(D287*E287,0)</f>
        <v/>
      </c>
      <c r="G287" s="83">
        <f>SUMIFS(PARÂMETROS!$F$8:$F$33,PARÂMETROS!$A$8:$A$33,C287,PARÂMETROS!$G$8:$G$33,J287)</f>
        <v/>
      </c>
      <c r="H287" s="107">
        <f>IFERROR(F287*G287,0)</f>
        <v/>
      </c>
      <c r="I287" s="107">
        <f>F287+H287</f>
        <v/>
      </c>
      <c r="J287" s="105" t="inlineStr">
        <is>
          <t>Maio/2026</t>
        </is>
      </c>
    </row>
    <row r="288" hidden="1" ht="14.25" customHeight="1" s="75">
      <c r="A288" s="90" t="inlineStr">
        <is>
          <t>NRC</t>
        </is>
      </c>
      <c r="B288" s="90">
        <f>INDEX(SETORES!$B:$B,MATCH(A288,SETORES!$A:$A,0))</f>
        <v/>
      </c>
      <c r="C288" s="90" t="inlineStr">
        <is>
          <t>Empresa Licenciada H&amp;A</t>
        </is>
      </c>
      <c r="D288" s="88">
        <f>IF(B288="Clientes",SUMIFS(PARÂMETROS!$D$8:$D$33,PARÂMETROS!$A$8:$A$33,C288,PARÂMETROS!$G$8:$G$33,J288),SUMIFS(PARÂMETROS!$E$8:$E$33,PARÂMETROS!$A$8:$A$33,C288,PARÂMETROS!$G$8:$G$33,J288))</f>
        <v/>
      </c>
      <c r="E288" s="96">
        <f>SUMIFS(SETORES!$D:$D,SETORES!$A:$A,A288,SETORES!$F:$F,J288)</f>
        <v/>
      </c>
      <c r="F288" s="96">
        <f>IFERROR(D288*E288,0)</f>
        <v/>
      </c>
      <c r="G288" s="88">
        <f>SUMIFS(PARÂMETROS!$F$8:$F$33,PARÂMETROS!$A$8:$A$33,C288,PARÂMETROS!$G$8:$G$33,J288)</f>
        <v/>
      </c>
      <c r="H288" s="96">
        <f>IFERROR(F288*G288,0)</f>
        <v/>
      </c>
      <c r="I288" s="96">
        <f>F288+H288</f>
        <v/>
      </c>
      <c r="J288" s="90" t="inlineStr">
        <is>
          <t>Maio/2026</t>
        </is>
      </c>
    </row>
    <row r="289" hidden="1" ht="14.25" customHeight="1" s="75">
      <c r="A289" s="105" t="inlineStr">
        <is>
          <t>NRC</t>
        </is>
      </c>
      <c r="B289" s="94">
        <f>INDEX(SETORES!$B:$B,MATCH(A289,SETORES!$A:$A,0))</f>
        <v/>
      </c>
      <c r="C289" s="105" t="inlineStr">
        <is>
          <t>Empresa Licenciada SOLON ARAUJO</t>
        </is>
      </c>
      <c r="D289" s="83">
        <f>IF(B289="Clientes",SUMIFS(PARÂMETROS!$D$8:$D$33,PARÂMETROS!$A$8:$A$33,C289,PARÂMETROS!$G$8:$G$33,J289),SUMIFS(PARÂMETROS!$E$8:$E$33,PARÂMETROS!$A$8:$A$33,C289,PARÂMETROS!$G$8:$G$33,J289))</f>
        <v/>
      </c>
      <c r="E289" s="107">
        <f>SUMIFS(SETORES!$D:$D,SETORES!$A:$A,A289,SETORES!$F:$F,J289)</f>
        <v/>
      </c>
      <c r="F289" s="107">
        <f>IFERROR(D289*E289,0)</f>
        <v/>
      </c>
      <c r="G289" s="83">
        <f>SUMIFS(PARÂMETROS!$F$8:$F$33,PARÂMETROS!$A$8:$A$33,C289,PARÂMETROS!$G$8:$G$33,J289)</f>
        <v/>
      </c>
      <c r="H289" s="107">
        <f>IFERROR(F289*G289,0)</f>
        <v/>
      </c>
      <c r="I289" s="107">
        <f>F289+H289</f>
        <v/>
      </c>
      <c r="J289" s="105" t="inlineStr">
        <is>
          <t>Maio/2026</t>
        </is>
      </c>
    </row>
    <row r="290" ht="14.25" customHeight="1" s="75">
      <c r="A290" s="90" t="inlineStr">
        <is>
          <t>NRC</t>
        </is>
      </c>
      <c r="B290" s="90">
        <f>INDEX(SETORES!$B:$B,MATCH(A290,SETORES!$A:$A,0))</f>
        <v/>
      </c>
      <c r="C290" s="90" t="inlineStr">
        <is>
          <t>Empresa Licenciada SOARES E LINS</t>
        </is>
      </c>
      <c r="D290" s="88">
        <f>IF(B290="Clientes",SUMIFS(PARÂMETROS!$D$8:$D$33,PARÂMETROS!$A$8:$A$33,C290,PARÂMETROS!$G$8:$G$33,J290),SUMIFS(PARÂMETROS!$E$8:$E$33,PARÂMETROS!$A$8:$A$33,C290,PARÂMETROS!$G$8:$G$33,J290))</f>
        <v/>
      </c>
      <c r="E290" s="96">
        <f>SUMIFS(SETORES!$D:$D,SETORES!$A:$A,A290,SETORES!$F:$F,J290)</f>
        <v/>
      </c>
      <c r="F290" s="96">
        <f>IFERROR(D290*E290,0)</f>
        <v/>
      </c>
      <c r="G290" s="88">
        <f>SUMIFS(PARÂMETROS!$F$8:$F$33,PARÂMETROS!$A$8:$A$33,C290,PARÂMETROS!$G$8:$G$33,J290)</f>
        <v/>
      </c>
      <c r="H290" s="96">
        <f>IFERROR(F290*G290,0)</f>
        <v/>
      </c>
      <c r="I290" s="96">
        <f>F290+H290</f>
        <v/>
      </c>
      <c r="J290" s="90" t="inlineStr">
        <is>
          <t>Maio/2026</t>
        </is>
      </c>
    </row>
    <row r="291" hidden="1" ht="14.25" customHeight="1" s="75">
      <c r="A291" s="105" t="inlineStr">
        <is>
          <t>NRC</t>
        </is>
      </c>
      <c r="B291" s="94">
        <f>INDEX(SETORES!$B:$B,MATCH(A291,SETORES!$A:$A,0))</f>
        <v/>
      </c>
      <c r="C291" s="105" t="inlineStr">
        <is>
          <t>Empresa Licenciada SOARES E SILVA</t>
        </is>
      </c>
      <c r="D291" s="83">
        <f>IF(B291="Clientes",SUMIFS(PARÂMETROS!$D$8:$D$33,PARÂMETROS!$A$8:$A$33,C291,PARÂMETROS!$G$8:$G$33,J291),SUMIFS(PARÂMETROS!$E$8:$E$33,PARÂMETROS!$A$8:$A$33,C291,PARÂMETROS!$G$8:$G$33,J291))</f>
        <v/>
      </c>
      <c r="E291" s="107">
        <f>SUMIFS(SETORES!$D:$D,SETORES!$A:$A,A291,SETORES!$F:$F,J291)</f>
        <v/>
      </c>
      <c r="F291" s="107">
        <f>IFERROR(D291*E291,0)</f>
        <v/>
      </c>
      <c r="G291" s="83">
        <f>SUMIFS(PARÂMETROS!$F$8:$F$33,PARÂMETROS!$A$8:$A$33,C291,PARÂMETROS!$G$8:$G$33,J291)</f>
        <v/>
      </c>
      <c r="H291" s="107">
        <f>IFERROR(F291*G291,0)</f>
        <v/>
      </c>
      <c r="I291" s="107">
        <f>F291+H291</f>
        <v/>
      </c>
      <c r="J291" s="105" t="inlineStr">
        <is>
          <t>Maio/2026</t>
        </is>
      </c>
    </row>
    <row r="292" hidden="1" ht="14.25" customHeight="1" s="75">
      <c r="A292" s="90" t="inlineStr">
        <is>
          <t>NRC</t>
        </is>
      </c>
      <c r="B292" s="90">
        <f>INDEX(SETORES!$B:$B,MATCH(A292,SETORES!$A:$A,0))</f>
        <v/>
      </c>
      <c r="C292" s="90" t="inlineStr">
        <is>
          <t>Empresa Licenciada SOUZA E SILVA</t>
        </is>
      </c>
      <c r="D292" s="88">
        <f>IF(B292="Clientes",SUMIFS(PARÂMETROS!$D$8:$D$33,PARÂMETROS!$A$8:$A$33,C292,PARÂMETROS!$G$8:$G$33,J292),SUMIFS(PARÂMETROS!$E$8:$E$33,PARÂMETROS!$A$8:$A$33,C292,PARÂMETROS!$G$8:$G$33,J292))</f>
        <v/>
      </c>
      <c r="E292" s="96">
        <f>SUMIFS(SETORES!$D:$D,SETORES!$A:$A,A292,SETORES!$F:$F,J292)</f>
        <v/>
      </c>
      <c r="F292" s="96">
        <f>IFERROR(D292*E292,0)</f>
        <v/>
      </c>
      <c r="G292" s="88">
        <f>SUMIFS(PARÂMETROS!$F$8:$F$33,PARÂMETROS!$A$8:$A$33,C292,PARÂMETROS!$G$8:$G$33,J292)</f>
        <v/>
      </c>
      <c r="H292" s="96">
        <f>IFERROR(F292*G292,0)</f>
        <v/>
      </c>
      <c r="I292" s="96">
        <f>F292+H292</f>
        <v/>
      </c>
      <c r="J292" s="90" t="inlineStr">
        <is>
          <t>Maio/2026</t>
        </is>
      </c>
    </row>
    <row r="293" hidden="1" ht="14.25" customHeight="1" s="75">
      <c r="A293" s="105" t="inlineStr">
        <is>
          <t>NRC</t>
        </is>
      </c>
      <c r="B293" s="94">
        <f>INDEX(SETORES!$B:$B,MATCH(A293,SETORES!$A:$A,0))</f>
        <v/>
      </c>
      <c r="C293" s="105" t="inlineStr">
        <is>
          <t>Empresa Licenciada VOICENET</t>
        </is>
      </c>
      <c r="D293" s="83">
        <f>IF(B293="Clientes",SUMIFS(PARÂMETROS!$D$8:$D$33,PARÂMETROS!$A$8:$A$33,C293,PARÂMETROS!$G$8:$G$33,J293),SUMIFS(PARÂMETROS!$E$8:$E$33,PARÂMETROS!$A$8:$A$33,C293,PARÂMETROS!$G$8:$G$33,J293))</f>
        <v/>
      </c>
      <c r="E293" s="107">
        <f>SUMIFS(SETORES!$D:$D,SETORES!$A:$A,A293,SETORES!$F:$F,J293)</f>
        <v/>
      </c>
      <c r="F293" s="107">
        <f>IFERROR(D293*E293,0)</f>
        <v/>
      </c>
      <c r="G293" s="83">
        <f>SUMIFS(PARÂMETROS!$F$8:$F$33,PARÂMETROS!$A$8:$A$33,C293,PARÂMETROS!$G$8:$G$33,J293)</f>
        <v/>
      </c>
      <c r="H293" s="107">
        <f>IFERROR(F293*G293,0)</f>
        <v/>
      </c>
      <c r="I293" s="107">
        <f>F293+H293</f>
        <v/>
      </c>
      <c r="J293" s="105" t="inlineStr">
        <is>
          <t>Maio/2026</t>
        </is>
      </c>
    </row>
    <row r="294" hidden="1" ht="14.25" customHeight="1" s="75">
      <c r="A294" s="90" t="inlineStr">
        <is>
          <t>NRC</t>
        </is>
      </c>
      <c r="B294" s="90">
        <f>INDEX(SETORES!$B:$B,MATCH(A294,SETORES!$A:$A,0))</f>
        <v/>
      </c>
      <c r="C294" s="90" t="inlineStr">
        <is>
          <t>DTEL (uso próprio)</t>
        </is>
      </c>
      <c r="D294" s="88">
        <f>IF(B294="Clientes",SUMIFS(PARÂMETROS!$D$8:$D$33,PARÂMETROS!$A$8:$A$33,C294,PARÂMETROS!$G$8:$G$33,J294),SUMIFS(PARÂMETROS!$E$8:$E$33,PARÂMETROS!$A$8:$A$33,C294,PARÂMETROS!$G$8:$G$33,J294))</f>
        <v/>
      </c>
      <c r="E294" s="96">
        <f>SUMIFS(SETORES!$D:$D,SETORES!$A:$A,A294,SETORES!$F:$F,J294)</f>
        <v/>
      </c>
      <c r="F294" s="96">
        <f>IFERROR(D294*E294,0)</f>
        <v/>
      </c>
      <c r="G294" s="88">
        <f>SUMIFS(PARÂMETROS!$F$8:$F$33,PARÂMETROS!$A$8:$A$33,C294,PARÂMETROS!$G$8:$G$33,J294)</f>
        <v/>
      </c>
      <c r="H294" s="96">
        <f>IFERROR(F294*G294,0)</f>
        <v/>
      </c>
      <c r="I294" s="96">
        <f>F294+H294</f>
        <v/>
      </c>
      <c r="J294" s="90" t="inlineStr">
        <is>
          <t>Maio/2026</t>
        </is>
      </c>
    </row>
    <row r="295" hidden="1" ht="14.25" customHeight="1" s="75">
      <c r="A295" s="105" t="inlineStr">
        <is>
          <t>Cobrança</t>
        </is>
      </c>
      <c r="B295" s="94">
        <f>INDEX(SETORES!$B:$B,MATCH(A295,SETORES!$A:$A,0))</f>
        <v/>
      </c>
      <c r="C295" s="105" t="inlineStr">
        <is>
          <t>Empresa Licenciada DX2</t>
        </is>
      </c>
      <c r="D295" s="83">
        <f>IF(B295="Clientes",SUMIFS(PARÂMETROS!$D$8:$D$33,PARÂMETROS!$A$8:$A$33,C295,PARÂMETROS!$G$8:$G$33,J295),SUMIFS(PARÂMETROS!$E$8:$E$33,PARÂMETROS!$A$8:$A$33,C295,PARÂMETROS!$G$8:$G$33,J295))</f>
        <v/>
      </c>
      <c r="E295" s="107">
        <f>SUMIFS(SETORES!$D:$D,SETORES!$A:$A,A295,SETORES!$F:$F,J295)</f>
        <v/>
      </c>
      <c r="F295" s="107">
        <f>IFERROR(D295*E295,0)</f>
        <v/>
      </c>
      <c r="G295" s="83">
        <f>SUMIFS(PARÂMETROS!$F$8:$F$33,PARÂMETROS!$A$8:$A$33,C295,PARÂMETROS!$G$8:$G$33,J295)</f>
        <v/>
      </c>
      <c r="H295" s="107">
        <f>IFERROR(F295*G295,0)</f>
        <v/>
      </c>
      <c r="I295" s="107">
        <f>F295+H295</f>
        <v/>
      </c>
      <c r="J295" s="105" t="inlineStr">
        <is>
          <t>Maio/2026</t>
        </is>
      </c>
    </row>
    <row r="296" hidden="1" ht="14.25" customHeight="1" s="75">
      <c r="A296" s="90" t="inlineStr">
        <is>
          <t>Cobrança</t>
        </is>
      </c>
      <c r="B296" s="90">
        <f>INDEX(SETORES!$B:$B,MATCH(A296,SETORES!$A:$A,0))</f>
        <v/>
      </c>
      <c r="C296" s="90" t="inlineStr">
        <is>
          <t>Empresa Licenciada H&amp;A</t>
        </is>
      </c>
      <c r="D296" s="88">
        <f>IF(B296="Clientes",SUMIFS(PARÂMETROS!$D$8:$D$33,PARÂMETROS!$A$8:$A$33,C296,PARÂMETROS!$G$8:$G$33,J296),SUMIFS(PARÂMETROS!$E$8:$E$33,PARÂMETROS!$A$8:$A$33,C296,PARÂMETROS!$G$8:$G$33,J296))</f>
        <v/>
      </c>
      <c r="E296" s="96">
        <f>SUMIFS(SETORES!$D:$D,SETORES!$A:$A,A296,SETORES!$F:$F,J296)</f>
        <v/>
      </c>
      <c r="F296" s="96">
        <f>IFERROR(D296*E296,0)</f>
        <v/>
      </c>
      <c r="G296" s="88">
        <f>SUMIFS(PARÂMETROS!$F$8:$F$33,PARÂMETROS!$A$8:$A$33,C296,PARÂMETROS!$G$8:$G$33,J296)</f>
        <v/>
      </c>
      <c r="H296" s="96">
        <f>IFERROR(F296*G296,0)</f>
        <v/>
      </c>
      <c r="I296" s="96">
        <f>F296+H296</f>
        <v/>
      </c>
      <c r="J296" s="90" t="inlineStr">
        <is>
          <t>Maio/2026</t>
        </is>
      </c>
    </row>
    <row r="297" hidden="1" ht="14.25" customHeight="1" s="75">
      <c r="A297" s="105" t="inlineStr">
        <is>
          <t>Cobrança</t>
        </is>
      </c>
      <c r="B297" s="94">
        <f>INDEX(SETORES!$B:$B,MATCH(A297,SETORES!$A:$A,0))</f>
        <v/>
      </c>
      <c r="C297" s="105" t="inlineStr">
        <is>
          <t>Empresa Licenciada SOLON ARAUJO</t>
        </is>
      </c>
      <c r="D297" s="83">
        <f>IF(B297="Clientes",SUMIFS(PARÂMETROS!$D$8:$D$33,PARÂMETROS!$A$8:$A$33,C297,PARÂMETROS!$G$8:$G$33,J297),SUMIFS(PARÂMETROS!$E$8:$E$33,PARÂMETROS!$A$8:$A$33,C297,PARÂMETROS!$G$8:$G$33,J297))</f>
        <v/>
      </c>
      <c r="E297" s="107">
        <f>SUMIFS(SETORES!$D:$D,SETORES!$A:$A,A297,SETORES!$F:$F,J297)</f>
        <v/>
      </c>
      <c r="F297" s="107">
        <f>IFERROR(D297*E297,0)</f>
        <v/>
      </c>
      <c r="G297" s="83">
        <f>SUMIFS(PARÂMETROS!$F$8:$F$33,PARÂMETROS!$A$8:$A$33,C297,PARÂMETROS!$G$8:$G$33,J297)</f>
        <v/>
      </c>
      <c r="H297" s="107">
        <f>IFERROR(F297*G297,0)</f>
        <v/>
      </c>
      <c r="I297" s="107">
        <f>F297+H297</f>
        <v/>
      </c>
      <c r="J297" s="105" t="inlineStr">
        <is>
          <t>Maio/2026</t>
        </is>
      </c>
    </row>
    <row r="298" ht="14.25" customHeight="1" s="75">
      <c r="A298" s="90" t="inlineStr">
        <is>
          <t>Cobrança</t>
        </is>
      </c>
      <c r="B298" s="90">
        <f>INDEX(SETORES!$B:$B,MATCH(A298,SETORES!$A:$A,0))</f>
        <v/>
      </c>
      <c r="C298" s="90" t="inlineStr">
        <is>
          <t>Empresa Licenciada SOARES E LINS</t>
        </is>
      </c>
      <c r="D298" s="88">
        <f>IF(B298="Clientes",SUMIFS(PARÂMETROS!$D$8:$D$33,PARÂMETROS!$A$8:$A$33,C298,PARÂMETROS!$G$8:$G$33,J298),SUMIFS(PARÂMETROS!$E$8:$E$33,PARÂMETROS!$A$8:$A$33,C298,PARÂMETROS!$G$8:$G$33,J298))</f>
        <v/>
      </c>
      <c r="E298" s="96">
        <f>SUMIFS(SETORES!$D:$D,SETORES!$A:$A,A298,SETORES!$F:$F,J298)</f>
        <v/>
      </c>
      <c r="F298" s="96">
        <f>IFERROR(D298*E298,0)</f>
        <v/>
      </c>
      <c r="G298" s="88">
        <f>SUMIFS(PARÂMETROS!$F$8:$F$33,PARÂMETROS!$A$8:$A$33,C298,PARÂMETROS!$G$8:$G$33,J298)</f>
        <v/>
      </c>
      <c r="H298" s="96">
        <f>IFERROR(F298*G298,0)</f>
        <v/>
      </c>
      <c r="I298" s="96">
        <f>F298+H298</f>
        <v/>
      </c>
      <c r="J298" s="90" t="inlineStr">
        <is>
          <t>Maio/2026</t>
        </is>
      </c>
    </row>
    <row r="299" hidden="1" ht="14.25" customHeight="1" s="75">
      <c r="A299" s="105" t="inlineStr">
        <is>
          <t>Cobrança</t>
        </is>
      </c>
      <c r="B299" s="94">
        <f>INDEX(SETORES!$B:$B,MATCH(A299,SETORES!$A:$A,0))</f>
        <v/>
      </c>
      <c r="C299" s="105" t="inlineStr">
        <is>
          <t>Empresa Licenciada SOARES E SILVA</t>
        </is>
      </c>
      <c r="D299" s="83">
        <f>IF(B299="Clientes",SUMIFS(PARÂMETROS!$D$8:$D$33,PARÂMETROS!$A$8:$A$33,C299,PARÂMETROS!$G$8:$G$33,J299),SUMIFS(PARÂMETROS!$E$8:$E$33,PARÂMETROS!$A$8:$A$33,C299,PARÂMETROS!$G$8:$G$33,J299))</f>
        <v/>
      </c>
      <c r="E299" s="107">
        <f>SUMIFS(SETORES!$D:$D,SETORES!$A:$A,A299,SETORES!$F:$F,J299)</f>
        <v/>
      </c>
      <c r="F299" s="107">
        <f>IFERROR(D299*E299,0)</f>
        <v/>
      </c>
      <c r="G299" s="83">
        <f>SUMIFS(PARÂMETROS!$F$8:$F$33,PARÂMETROS!$A$8:$A$33,C299,PARÂMETROS!$G$8:$G$33,J299)</f>
        <v/>
      </c>
      <c r="H299" s="107">
        <f>IFERROR(F299*G299,0)</f>
        <v/>
      </c>
      <c r="I299" s="107">
        <f>F299+H299</f>
        <v/>
      </c>
      <c r="J299" s="105" t="inlineStr">
        <is>
          <t>Maio/2026</t>
        </is>
      </c>
    </row>
    <row r="300" hidden="1" ht="14.25" customHeight="1" s="75">
      <c r="A300" s="90" t="inlineStr">
        <is>
          <t>Cobrança</t>
        </is>
      </c>
      <c r="B300" s="90">
        <f>INDEX(SETORES!$B:$B,MATCH(A300,SETORES!$A:$A,0))</f>
        <v/>
      </c>
      <c r="C300" s="90" t="inlineStr">
        <is>
          <t>Empresa Licenciada SOUZA E SILVA</t>
        </is>
      </c>
      <c r="D300" s="88">
        <f>IF(B300="Clientes",SUMIFS(PARÂMETROS!$D$8:$D$33,PARÂMETROS!$A$8:$A$33,C300,PARÂMETROS!$G$8:$G$33,J300),SUMIFS(PARÂMETROS!$E$8:$E$33,PARÂMETROS!$A$8:$A$33,C300,PARÂMETROS!$G$8:$G$33,J300))</f>
        <v/>
      </c>
      <c r="E300" s="96">
        <f>SUMIFS(SETORES!$D:$D,SETORES!$A:$A,A300,SETORES!$F:$F,J300)</f>
        <v/>
      </c>
      <c r="F300" s="96">
        <f>IFERROR(D300*E300,0)</f>
        <v/>
      </c>
      <c r="G300" s="88">
        <f>SUMIFS(PARÂMETROS!$F$8:$F$33,PARÂMETROS!$A$8:$A$33,C300,PARÂMETROS!$G$8:$G$33,J300)</f>
        <v/>
      </c>
      <c r="H300" s="96">
        <f>IFERROR(F300*G300,0)</f>
        <v/>
      </c>
      <c r="I300" s="96">
        <f>F300+H300</f>
        <v/>
      </c>
      <c r="J300" s="90" t="inlineStr">
        <is>
          <t>Maio/2026</t>
        </is>
      </c>
    </row>
    <row r="301" hidden="1" ht="14.25" customHeight="1" s="75">
      <c r="A301" s="105" t="inlineStr">
        <is>
          <t>Cobrança</t>
        </is>
      </c>
      <c r="B301" s="94">
        <f>INDEX(SETORES!$B:$B,MATCH(A301,SETORES!$A:$A,0))</f>
        <v/>
      </c>
      <c r="C301" s="105" t="inlineStr">
        <is>
          <t>Empresa Licenciada VOICENET</t>
        </is>
      </c>
      <c r="D301" s="83">
        <f>IF(B301="Clientes",SUMIFS(PARÂMETROS!$D$8:$D$33,PARÂMETROS!$A$8:$A$33,C301,PARÂMETROS!$G$8:$G$33,J301),SUMIFS(PARÂMETROS!$E$8:$E$33,PARÂMETROS!$A$8:$A$33,C301,PARÂMETROS!$G$8:$G$33,J301))</f>
        <v/>
      </c>
      <c r="E301" s="107">
        <f>SUMIFS(SETORES!$D:$D,SETORES!$A:$A,A301,SETORES!$F:$F,J301)</f>
        <v/>
      </c>
      <c r="F301" s="107">
        <f>IFERROR(D301*E301,0)</f>
        <v/>
      </c>
      <c r="G301" s="83">
        <f>SUMIFS(PARÂMETROS!$F$8:$F$33,PARÂMETROS!$A$8:$A$33,C301,PARÂMETROS!$G$8:$G$33,J301)</f>
        <v/>
      </c>
      <c r="H301" s="107">
        <f>IFERROR(F301*G301,0)</f>
        <v/>
      </c>
      <c r="I301" s="107">
        <f>F301+H301</f>
        <v/>
      </c>
      <c r="J301" s="105" t="inlineStr">
        <is>
          <t>Maio/2026</t>
        </is>
      </c>
    </row>
    <row r="302" hidden="1" ht="14.25" customHeight="1" s="75">
      <c r="A302" s="90" t="inlineStr">
        <is>
          <t>Cobrança</t>
        </is>
      </c>
      <c r="B302" s="90">
        <f>INDEX(SETORES!$B:$B,MATCH(A302,SETORES!$A:$A,0))</f>
        <v/>
      </c>
      <c r="C302" s="90" t="inlineStr">
        <is>
          <t>DTEL (uso próprio)</t>
        </is>
      </c>
      <c r="D302" s="88">
        <f>IF(B302="Clientes",SUMIFS(PARÂMETROS!$D$8:$D$33,PARÂMETROS!$A$8:$A$33,C302,PARÂMETROS!$G$8:$G$33,J302),SUMIFS(PARÂMETROS!$E$8:$E$33,PARÂMETROS!$A$8:$A$33,C302,PARÂMETROS!$G$8:$G$33,J302))</f>
        <v/>
      </c>
      <c r="E302" s="96">
        <f>SUMIFS(SETORES!$D:$D,SETORES!$A:$A,A302,SETORES!$F:$F,J302)</f>
        <v/>
      </c>
      <c r="F302" s="96">
        <f>IFERROR(D302*E302,0)</f>
        <v/>
      </c>
      <c r="G302" s="88">
        <f>SUMIFS(PARÂMETROS!$F$8:$F$33,PARÂMETROS!$A$8:$A$33,C302,PARÂMETROS!$G$8:$G$33,J302)</f>
        <v/>
      </c>
      <c r="H302" s="96">
        <f>IFERROR(F302*G302,0)</f>
        <v/>
      </c>
      <c r="I302" s="96">
        <f>F302+H302</f>
        <v/>
      </c>
      <c r="J302" s="90" t="inlineStr">
        <is>
          <t>Maio/2026</t>
        </is>
      </c>
    </row>
    <row r="303" hidden="1" ht="14.25" customHeight="1" s="75">
      <c r="A303" s="105" t="inlineStr">
        <is>
          <t>Retenção</t>
        </is>
      </c>
      <c r="B303" s="94">
        <f>INDEX(SETORES!$B:$B,MATCH(A303,SETORES!$A:$A,0))</f>
        <v/>
      </c>
      <c r="C303" s="105" t="inlineStr">
        <is>
          <t>Empresa Licenciada DX2</t>
        </is>
      </c>
      <c r="D303" s="83">
        <f>IF(B303="Clientes",SUMIFS(PARÂMETROS!$D$8:$D$33,PARÂMETROS!$A$8:$A$33,C303,PARÂMETROS!$G$8:$G$33,J303),SUMIFS(PARÂMETROS!$E$8:$E$33,PARÂMETROS!$A$8:$A$33,C303,PARÂMETROS!$G$8:$G$33,J303))</f>
        <v/>
      </c>
      <c r="E303" s="107">
        <f>SUMIFS(SETORES!$D:$D,SETORES!$A:$A,A303,SETORES!$F:$F,J303)</f>
        <v/>
      </c>
      <c r="F303" s="107">
        <f>IFERROR(D303*E303,0)</f>
        <v/>
      </c>
      <c r="G303" s="83">
        <f>SUMIFS(PARÂMETROS!$F$8:$F$33,PARÂMETROS!$A$8:$A$33,C303,PARÂMETROS!$G$8:$G$33,J303)</f>
        <v/>
      </c>
      <c r="H303" s="107">
        <f>IFERROR(F303*G303,0)</f>
        <v/>
      </c>
      <c r="I303" s="107">
        <f>F303+H303</f>
        <v/>
      </c>
      <c r="J303" s="105" t="inlineStr">
        <is>
          <t>Maio/2026</t>
        </is>
      </c>
    </row>
    <row r="304" hidden="1" ht="14.25" customHeight="1" s="75">
      <c r="A304" s="90" t="inlineStr">
        <is>
          <t>Retenção</t>
        </is>
      </c>
      <c r="B304" s="90">
        <f>INDEX(SETORES!$B:$B,MATCH(A304,SETORES!$A:$A,0))</f>
        <v/>
      </c>
      <c r="C304" s="90" t="inlineStr">
        <is>
          <t>Empresa Licenciada H&amp;A</t>
        </is>
      </c>
      <c r="D304" s="88">
        <f>IF(B304="Clientes",SUMIFS(PARÂMETROS!$D$8:$D$33,PARÂMETROS!$A$8:$A$33,C304,PARÂMETROS!$G$8:$G$33,J304),SUMIFS(PARÂMETROS!$E$8:$E$33,PARÂMETROS!$A$8:$A$33,C304,PARÂMETROS!$G$8:$G$33,J304))</f>
        <v/>
      </c>
      <c r="E304" s="96">
        <f>SUMIFS(SETORES!$D:$D,SETORES!$A:$A,A304,SETORES!$F:$F,J304)</f>
        <v/>
      </c>
      <c r="F304" s="96">
        <f>IFERROR(D304*E304,0)</f>
        <v/>
      </c>
      <c r="G304" s="88">
        <f>SUMIFS(PARÂMETROS!$F$8:$F$33,PARÂMETROS!$A$8:$A$33,C304,PARÂMETROS!$G$8:$G$33,J304)</f>
        <v/>
      </c>
      <c r="H304" s="96">
        <f>IFERROR(F304*G304,0)</f>
        <v/>
      </c>
      <c r="I304" s="96">
        <f>F304+H304</f>
        <v/>
      </c>
      <c r="J304" s="90" t="inlineStr">
        <is>
          <t>Maio/2026</t>
        </is>
      </c>
    </row>
    <row r="305" hidden="1" ht="14.25" customHeight="1" s="75">
      <c r="A305" s="105" t="inlineStr">
        <is>
          <t>Retenção</t>
        </is>
      </c>
      <c r="B305" s="94">
        <f>INDEX(SETORES!$B:$B,MATCH(A305,SETORES!$A:$A,0))</f>
        <v/>
      </c>
      <c r="C305" s="105" t="inlineStr">
        <is>
          <t>Empresa Licenciada SOLON ARAUJO</t>
        </is>
      </c>
      <c r="D305" s="83">
        <f>IF(B305="Clientes",SUMIFS(PARÂMETROS!$D$8:$D$33,PARÂMETROS!$A$8:$A$33,C305,PARÂMETROS!$G$8:$G$33,J305),SUMIFS(PARÂMETROS!$E$8:$E$33,PARÂMETROS!$A$8:$A$33,C305,PARÂMETROS!$G$8:$G$33,J305))</f>
        <v/>
      </c>
      <c r="E305" s="107">
        <f>SUMIFS(SETORES!$D:$D,SETORES!$A:$A,A305,SETORES!$F:$F,J305)</f>
        <v/>
      </c>
      <c r="F305" s="107">
        <f>IFERROR(D305*E305,0)</f>
        <v/>
      </c>
      <c r="G305" s="83">
        <f>SUMIFS(PARÂMETROS!$F$8:$F$33,PARÂMETROS!$A$8:$A$33,C305,PARÂMETROS!$G$8:$G$33,J305)</f>
        <v/>
      </c>
      <c r="H305" s="107">
        <f>IFERROR(F305*G305,0)</f>
        <v/>
      </c>
      <c r="I305" s="107">
        <f>F305+H305</f>
        <v/>
      </c>
      <c r="J305" s="105" t="inlineStr">
        <is>
          <t>Maio/2026</t>
        </is>
      </c>
    </row>
    <row r="306" ht="14.25" customHeight="1" s="75">
      <c r="A306" s="90" t="inlineStr">
        <is>
          <t>Retenção</t>
        </is>
      </c>
      <c r="B306" s="90">
        <f>INDEX(SETORES!$B:$B,MATCH(A306,SETORES!$A:$A,0))</f>
        <v/>
      </c>
      <c r="C306" s="90" t="inlineStr">
        <is>
          <t>Empresa Licenciada SOARES E LINS</t>
        </is>
      </c>
      <c r="D306" s="88">
        <f>IF(B306="Clientes",SUMIFS(PARÂMETROS!$D$8:$D$33,PARÂMETROS!$A$8:$A$33,C306,PARÂMETROS!$G$8:$G$33,J306),SUMIFS(PARÂMETROS!$E$8:$E$33,PARÂMETROS!$A$8:$A$33,C306,PARÂMETROS!$G$8:$G$33,J306))</f>
        <v/>
      </c>
      <c r="E306" s="96">
        <f>SUMIFS(SETORES!$D:$D,SETORES!$A:$A,A306,SETORES!$F:$F,J306)</f>
        <v/>
      </c>
      <c r="F306" s="96">
        <f>IFERROR(D306*E306,0)</f>
        <v/>
      </c>
      <c r="G306" s="88">
        <f>SUMIFS(PARÂMETROS!$F$8:$F$33,PARÂMETROS!$A$8:$A$33,C306,PARÂMETROS!$G$8:$G$33,J306)</f>
        <v/>
      </c>
      <c r="H306" s="96">
        <f>IFERROR(F306*G306,0)</f>
        <v/>
      </c>
      <c r="I306" s="96">
        <f>F306+H306</f>
        <v/>
      </c>
      <c r="J306" s="90" t="inlineStr">
        <is>
          <t>Maio/2026</t>
        </is>
      </c>
    </row>
    <row r="307" hidden="1" ht="14.25" customHeight="1" s="75">
      <c r="A307" s="105" t="inlineStr">
        <is>
          <t>Retenção</t>
        </is>
      </c>
      <c r="B307" s="94">
        <f>INDEX(SETORES!$B:$B,MATCH(A307,SETORES!$A:$A,0))</f>
        <v/>
      </c>
      <c r="C307" s="105" t="inlineStr">
        <is>
          <t>Empresa Licenciada SOARES E SILVA</t>
        </is>
      </c>
      <c r="D307" s="83">
        <f>IF(B307="Clientes",SUMIFS(PARÂMETROS!$D$8:$D$33,PARÂMETROS!$A$8:$A$33,C307,PARÂMETROS!$G$8:$G$33,J307),SUMIFS(PARÂMETROS!$E$8:$E$33,PARÂMETROS!$A$8:$A$33,C307,PARÂMETROS!$G$8:$G$33,J307))</f>
        <v/>
      </c>
      <c r="E307" s="107">
        <f>SUMIFS(SETORES!$D:$D,SETORES!$A:$A,A307,SETORES!$F:$F,J307)</f>
        <v/>
      </c>
      <c r="F307" s="107">
        <f>IFERROR(D307*E307,0)</f>
        <v/>
      </c>
      <c r="G307" s="83">
        <f>SUMIFS(PARÂMETROS!$F$8:$F$33,PARÂMETROS!$A$8:$A$33,C307,PARÂMETROS!$G$8:$G$33,J307)</f>
        <v/>
      </c>
      <c r="H307" s="107">
        <f>IFERROR(F307*G307,0)</f>
        <v/>
      </c>
      <c r="I307" s="107">
        <f>F307+H307</f>
        <v/>
      </c>
      <c r="J307" s="105" t="inlineStr">
        <is>
          <t>Maio/2026</t>
        </is>
      </c>
    </row>
    <row r="308" hidden="1" ht="14.25" customHeight="1" s="75">
      <c r="A308" s="90" t="inlineStr">
        <is>
          <t>Retenção</t>
        </is>
      </c>
      <c r="B308" s="90">
        <f>INDEX(SETORES!$B:$B,MATCH(A308,SETORES!$A:$A,0))</f>
        <v/>
      </c>
      <c r="C308" s="90" t="inlineStr">
        <is>
          <t>Empresa Licenciada SOUZA E SILVA</t>
        </is>
      </c>
      <c r="D308" s="88">
        <f>IF(B308="Clientes",SUMIFS(PARÂMETROS!$D$8:$D$33,PARÂMETROS!$A$8:$A$33,C308,PARÂMETROS!$G$8:$G$33,J308),SUMIFS(PARÂMETROS!$E$8:$E$33,PARÂMETROS!$A$8:$A$33,C308,PARÂMETROS!$G$8:$G$33,J308))</f>
        <v/>
      </c>
      <c r="E308" s="96">
        <f>SUMIFS(SETORES!$D:$D,SETORES!$A:$A,A308,SETORES!$F:$F,J308)</f>
        <v/>
      </c>
      <c r="F308" s="96">
        <f>IFERROR(D308*E308,0)</f>
        <v/>
      </c>
      <c r="G308" s="88">
        <f>SUMIFS(PARÂMETROS!$F$8:$F$33,PARÂMETROS!$A$8:$A$33,C308,PARÂMETROS!$G$8:$G$33,J308)</f>
        <v/>
      </c>
      <c r="H308" s="96">
        <f>IFERROR(F308*G308,0)</f>
        <v/>
      </c>
      <c r="I308" s="96">
        <f>F308+H308</f>
        <v/>
      </c>
      <c r="J308" s="90" t="inlineStr">
        <is>
          <t>Maio/2026</t>
        </is>
      </c>
    </row>
    <row r="309" hidden="1" ht="14.25" customHeight="1" s="75">
      <c r="A309" s="105" t="inlineStr">
        <is>
          <t>Retenção</t>
        </is>
      </c>
      <c r="B309" s="94">
        <f>INDEX(SETORES!$B:$B,MATCH(A309,SETORES!$A:$A,0))</f>
        <v/>
      </c>
      <c r="C309" s="105" t="inlineStr">
        <is>
          <t>Empresa Licenciada VOICENET</t>
        </is>
      </c>
      <c r="D309" s="83">
        <f>IF(B309="Clientes",SUMIFS(PARÂMETROS!$D$8:$D$33,PARÂMETROS!$A$8:$A$33,C309,PARÂMETROS!$G$8:$G$33,J309),SUMIFS(PARÂMETROS!$E$8:$E$33,PARÂMETROS!$A$8:$A$33,C309,PARÂMETROS!$G$8:$G$33,J309))</f>
        <v/>
      </c>
      <c r="E309" s="107">
        <f>SUMIFS(SETORES!$D:$D,SETORES!$A:$A,A309,SETORES!$F:$F,J309)</f>
        <v/>
      </c>
      <c r="F309" s="107">
        <f>IFERROR(D309*E309,0)</f>
        <v/>
      </c>
      <c r="G309" s="83">
        <f>SUMIFS(PARÂMETROS!$F$8:$F$33,PARÂMETROS!$A$8:$A$33,C309,PARÂMETROS!$G$8:$G$33,J309)</f>
        <v/>
      </c>
      <c r="H309" s="107">
        <f>IFERROR(F309*G309,0)</f>
        <v/>
      </c>
      <c r="I309" s="107">
        <f>F309+H309</f>
        <v/>
      </c>
      <c r="J309" s="105" t="inlineStr">
        <is>
          <t>Maio/2026</t>
        </is>
      </c>
    </row>
    <row r="310" hidden="1" ht="14.25" customHeight="1" s="75">
      <c r="A310" s="90" t="inlineStr">
        <is>
          <t>Retenção</t>
        </is>
      </c>
      <c r="B310" s="90">
        <f>INDEX(SETORES!$B:$B,MATCH(A310,SETORES!$A:$A,0))</f>
        <v/>
      </c>
      <c r="C310" s="90" t="inlineStr">
        <is>
          <t>DTEL (uso próprio)</t>
        </is>
      </c>
      <c r="D310" s="88">
        <f>IF(B310="Clientes",SUMIFS(PARÂMETROS!$D$8:$D$33,PARÂMETROS!$A$8:$A$33,C310,PARÂMETROS!$G$8:$G$33,J310),SUMIFS(PARÂMETROS!$E$8:$E$33,PARÂMETROS!$A$8:$A$33,C310,PARÂMETROS!$G$8:$G$33,J310))</f>
        <v/>
      </c>
      <c r="E310" s="96">
        <f>SUMIFS(SETORES!$D:$D,SETORES!$A:$A,A310,SETORES!$F:$F,J310)</f>
        <v/>
      </c>
      <c r="F310" s="96">
        <f>IFERROR(D310*E310,0)</f>
        <v/>
      </c>
      <c r="G310" s="88">
        <f>SUMIFS(PARÂMETROS!$F$8:$F$33,PARÂMETROS!$A$8:$A$33,C310,PARÂMETROS!$G$8:$G$33,J310)</f>
        <v/>
      </c>
      <c r="H310" s="96">
        <f>IFERROR(F310*G310,0)</f>
        <v/>
      </c>
      <c r="I310" s="96">
        <f>F310+H310</f>
        <v/>
      </c>
      <c r="J310" s="90" t="inlineStr">
        <is>
          <t>Maio/2026</t>
        </is>
      </c>
    </row>
    <row r="311" hidden="1" ht="14.25" customHeight="1" s="75">
      <c r="A311" s="105" t="inlineStr">
        <is>
          <t>Contabilidade</t>
        </is>
      </c>
      <c r="B311" s="94">
        <f>INDEX(SETORES!$B:$B,MATCH(A311,SETORES!$A:$A,0))</f>
        <v/>
      </c>
      <c r="C311" s="105" t="inlineStr">
        <is>
          <t>Empresa Licenciada DX2</t>
        </is>
      </c>
      <c r="D311" s="83">
        <f>IF(B311="Clientes",SUMIFS(PARÂMETROS!$D$8:$D$33,PARÂMETROS!$A$8:$A$33,C311,PARÂMETROS!$G$8:$G$33,J311),SUMIFS(PARÂMETROS!$E$8:$E$33,PARÂMETROS!$A$8:$A$33,C311,PARÂMETROS!$G$8:$G$33,J311))</f>
        <v/>
      </c>
      <c r="E311" s="107">
        <f>SUMIFS(SETORES!$D:$D,SETORES!$A:$A,A311,SETORES!$F:$F,J311)</f>
        <v/>
      </c>
      <c r="F311" s="107">
        <f>IFERROR(D311*E311,0)</f>
        <v/>
      </c>
      <c r="G311" s="83">
        <f>SUMIFS(PARÂMETROS!$F$8:$F$33,PARÂMETROS!$A$8:$A$33,C311,PARÂMETROS!$G$8:$G$33,J311)</f>
        <v/>
      </c>
      <c r="H311" s="107">
        <f>IFERROR(F311*G311,0)</f>
        <v/>
      </c>
      <c r="I311" s="107">
        <f>F311+H311</f>
        <v/>
      </c>
      <c r="J311" s="105" t="inlineStr">
        <is>
          <t>Maio/2026</t>
        </is>
      </c>
    </row>
    <row r="312" hidden="1" ht="14.25" customHeight="1" s="75">
      <c r="A312" s="90" t="inlineStr">
        <is>
          <t>Contabilidade</t>
        </is>
      </c>
      <c r="B312" s="90">
        <f>INDEX(SETORES!$B:$B,MATCH(A312,SETORES!$A:$A,0))</f>
        <v/>
      </c>
      <c r="C312" s="90" t="inlineStr">
        <is>
          <t>Empresa Licenciada H&amp;A</t>
        </is>
      </c>
      <c r="D312" s="88">
        <f>IF(B312="Clientes",SUMIFS(PARÂMETROS!$D$8:$D$33,PARÂMETROS!$A$8:$A$33,C312,PARÂMETROS!$G$8:$G$33,J312),SUMIFS(PARÂMETROS!$E$8:$E$33,PARÂMETROS!$A$8:$A$33,C312,PARÂMETROS!$G$8:$G$33,J312))</f>
        <v/>
      </c>
      <c r="E312" s="96">
        <f>SUMIFS(SETORES!$D:$D,SETORES!$A:$A,A312,SETORES!$F:$F,J312)</f>
        <v/>
      </c>
      <c r="F312" s="96">
        <f>IFERROR(D312*E312,0)</f>
        <v/>
      </c>
      <c r="G312" s="88">
        <f>SUMIFS(PARÂMETROS!$F$8:$F$33,PARÂMETROS!$A$8:$A$33,C312,PARÂMETROS!$G$8:$G$33,J312)</f>
        <v/>
      </c>
      <c r="H312" s="96">
        <f>IFERROR(F312*G312,0)</f>
        <v/>
      </c>
      <c r="I312" s="96">
        <f>F312+H312</f>
        <v/>
      </c>
      <c r="J312" s="90" t="inlineStr">
        <is>
          <t>Maio/2026</t>
        </is>
      </c>
    </row>
    <row r="313" hidden="1" ht="14.25" customHeight="1" s="75">
      <c r="A313" s="105" t="inlineStr">
        <is>
          <t>Contabilidade</t>
        </is>
      </c>
      <c r="B313" s="94">
        <f>INDEX(SETORES!$B:$B,MATCH(A313,SETORES!$A:$A,0))</f>
        <v/>
      </c>
      <c r="C313" s="105" t="inlineStr">
        <is>
          <t>Empresa Licenciada SOLON ARAUJO</t>
        </is>
      </c>
      <c r="D313" s="83">
        <f>IF(B313="Clientes",SUMIFS(PARÂMETROS!$D$8:$D$33,PARÂMETROS!$A$8:$A$33,C313,PARÂMETROS!$G$8:$G$33,J313),SUMIFS(PARÂMETROS!$E$8:$E$33,PARÂMETROS!$A$8:$A$33,C313,PARÂMETROS!$G$8:$G$33,J313))</f>
        <v/>
      </c>
      <c r="E313" s="107">
        <f>SUMIFS(SETORES!$D:$D,SETORES!$A:$A,A313,SETORES!$F:$F,J313)</f>
        <v/>
      </c>
      <c r="F313" s="107">
        <f>IFERROR(D313*E313,0)</f>
        <v/>
      </c>
      <c r="G313" s="83">
        <f>SUMIFS(PARÂMETROS!$F$8:$F$33,PARÂMETROS!$A$8:$A$33,C313,PARÂMETROS!$G$8:$G$33,J313)</f>
        <v/>
      </c>
      <c r="H313" s="107">
        <f>IFERROR(F313*G313,0)</f>
        <v/>
      </c>
      <c r="I313" s="107">
        <f>F313+H313</f>
        <v/>
      </c>
      <c r="J313" s="105" t="inlineStr">
        <is>
          <t>Maio/2026</t>
        </is>
      </c>
    </row>
    <row r="314" ht="14.25" customHeight="1" s="75">
      <c r="A314" s="90" t="inlineStr">
        <is>
          <t>Contabilidade</t>
        </is>
      </c>
      <c r="B314" s="90">
        <f>INDEX(SETORES!$B:$B,MATCH(A314,SETORES!$A:$A,0))</f>
        <v/>
      </c>
      <c r="C314" s="90" t="inlineStr">
        <is>
          <t>Empresa Licenciada SOARES E LINS</t>
        </is>
      </c>
      <c r="D314" s="88">
        <f>IF(B314="Clientes",SUMIFS(PARÂMETROS!$D$8:$D$33,PARÂMETROS!$A$8:$A$33,C314,PARÂMETROS!$G$8:$G$33,J314),SUMIFS(PARÂMETROS!$E$8:$E$33,PARÂMETROS!$A$8:$A$33,C314,PARÂMETROS!$G$8:$G$33,J314))</f>
        <v/>
      </c>
      <c r="E314" s="96">
        <f>SUMIFS(SETORES!$D:$D,SETORES!$A:$A,A314,SETORES!$F:$F,J314)</f>
        <v/>
      </c>
      <c r="F314" s="96">
        <f>IFERROR(D314*E314,0)</f>
        <v/>
      </c>
      <c r="G314" s="88">
        <f>SUMIFS(PARÂMETROS!$F$8:$F$33,PARÂMETROS!$A$8:$A$33,C314,PARÂMETROS!$G$8:$G$33,J314)</f>
        <v/>
      </c>
      <c r="H314" s="96">
        <f>IFERROR(F314*G314,0)</f>
        <v/>
      </c>
      <c r="I314" s="96">
        <f>F314+H314</f>
        <v/>
      </c>
      <c r="J314" s="90" t="inlineStr">
        <is>
          <t>Maio/2026</t>
        </is>
      </c>
    </row>
    <row r="315" hidden="1" ht="14.25" customHeight="1" s="75">
      <c r="A315" s="105" t="inlineStr">
        <is>
          <t>Contabilidade</t>
        </is>
      </c>
      <c r="B315" s="94">
        <f>INDEX(SETORES!$B:$B,MATCH(A315,SETORES!$A:$A,0))</f>
        <v/>
      </c>
      <c r="C315" s="105" t="inlineStr">
        <is>
          <t>Empresa Licenciada SOARES E SILVA</t>
        </is>
      </c>
      <c r="D315" s="83">
        <f>IF(B315="Clientes",SUMIFS(PARÂMETROS!$D$8:$D$33,PARÂMETROS!$A$8:$A$33,C315,PARÂMETROS!$G$8:$G$33,J315),SUMIFS(PARÂMETROS!$E$8:$E$33,PARÂMETROS!$A$8:$A$33,C315,PARÂMETROS!$G$8:$G$33,J315))</f>
        <v/>
      </c>
      <c r="E315" s="107">
        <f>SUMIFS(SETORES!$D:$D,SETORES!$A:$A,A315,SETORES!$F:$F,J315)</f>
        <v/>
      </c>
      <c r="F315" s="107">
        <f>IFERROR(D315*E315,0)</f>
        <v/>
      </c>
      <c r="G315" s="83">
        <f>SUMIFS(PARÂMETROS!$F$8:$F$33,PARÂMETROS!$A$8:$A$33,C315,PARÂMETROS!$G$8:$G$33,J315)</f>
        <v/>
      </c>
      <c r="H315" s="107">
        <f>IFERROR(F315*G315,0)</f>
        <v/>
      </c>
      <c r="I315" s="107">
        <f>F315+H315</f>
        <v/>
      </c>
      <c r="J315" s="105" t="inlineStr">
        <is>
          <t>Maio/2026</t>
        </is>
      </c>
    </row>
    <row r="316" hidden="1" ht="14.25" customHeight="1" s="75">
      <c r="A316" s="90" t="inlineStr">
        <is>
          <t>Contabilidade</t>
        </is>
      </c>
      <c r="B316" s="90">
        <f>INDEX(SETORES!$B:$B,MATCH(A316,SETORES!$A:$A,0))</f>
        <v/>
      </c>
      <c r="C316" s="90" t="inlineStr">
        <is>
          <t>Empresa Licenciada SOUZA E SILVA</t>
        </is>
      </c>
      <c r="D316" s="88">
        <f>IF(B316="Clientes",SUMIFS(PARÂMETROS!$D$8:$D$33,PARÂMETROS!$A$8:$A$33,C316,PARÂMETROS!$G$8:$G$33,J316),SUMIFS(PARÂMETROS!$E$8:$E$33,PARÂMETROS!$A$8:$A$33,C316,PARÂMETROS!$G$8:$G$33,J316))</f>
        <v/>
      </c>
      <c r="E316" s="96">
        <f>SUMIFS(SETORES!$D:$D,SETORES!$A:$A,A316,SETORES!$F:$F,J316)</f>
        <v/>
      </c>
      <c r="F316" s="96">
        <f>IFERROR(D316*E316,0)</f>
        <v/>
      </c>
      <c r="G316" s="88">
        <f>SUMIFS(PARÂMETROS!$F$8:$F$33,PARÂMETROS!$A$8:$A$33,C316,PARÂMETROS!$G$8:$G$33,J316)</f>
        <v/>
      </c>
      <c r="H316" s="96">
        <f>IFERROR(F316*G316,0)</f>
        <v/>
      </c>
      <c r="I316" s="96">
        <f>F316+H316</f>
        <v/>
      </c>
      <c r="J316" s="90" t="inlineStr">
        <is>
          <t>Maio/2026</t>
        </is>
      </c>
    </row>
    <row r="317" hidden="1" ht="14.25" customHeight="1" s="75">
      <c r="A317" s="105" t="inlineStr">
        <is>
          <t>Contabilidade</t>
        </is>
      </c>
      <c r="B317" s="94">
        <f>INDEX(SETORES!$B:$B,MATCH(A317,SETORES!$A:$A,0))</f>
        <v/>
      </c>
      <c r="C317" s="105" t="inlineStr">
        <is>
          <t>Empresa Licenciada VOICENET</t>
        </is>
      </c>
      <c r="D317" s="83">
        <f>IF(B317="Clientes",SUMIFS(PARÂMETROS!$D$8:$D$33,PARÂMETROS!$A$8:$A$33,C317,PARÂMETROS!$G$8:$G$33,J317),SUMIFS(PARÂMETROS!$E$8:$E$33,PARÂMETROS!$A$8:$A$33,C317,PARÂMETROS!$G$8:$G$33,J317))</f>
        <v/>
      </c>
      <c r="E317" s="107">
        <f>SUMIFS(SETORES!$D:$D,SETORES!$A:$A,A317,SETORES!$F:$F,J317)</f>
        <v/>
      </c>
      <c r="F317" s="107">
        <f>IFERROR(D317*E317,0)</f>
        <v/>
      </c>
      <c r="G317" s="83">
        <f>SUMIFS(PARÂMETROS!$F$8:$F$33,PARÂMETROS!$A$8:$A$33,C317,PARÂMETROS!$G$8:$G$33,J317)</f>
        <v/>
      </c>
      <c r="H317" s="107">
        <f>IFERROR(F317*G317,0)</f>
        <v/>
      </c>
      <c r="I317" s="107">
        <f>F317+H317</f>
        <v/>
      </c>
      <c r="J317" s="105" t="inlineStr">
        <is>
          <t>Maio/2026</t>
        </is>
      </c>
    </row>
    <row r="318" hidden="1" ht="14.25" customHeight="1" s="75">
      <c r="A318" s="90" t="inlineStr">
        <is>
          <t>Contabilidade</t>
        </is>
      </c>
      <c r="B318" s="90">
        <f>INDEX(SETORES!$B:$B,MATCH(A318,SETORES!$A:$A,0))</f>
        <v/>
      </c>
      <c r="C318" s="90" t="inlineStr">
        <is>
          <t>DTEL (uso próprio)</t>
        </is>
      </c>
      <c r="D318" s="88">
        <f>IF(B318="Clientes",SUMIFS(PARÂMETROS!$D$8:$D$33,PARÂMETROS!$A$8:$A$33,C318,PARÂMETROS!$G$8:$G$33,J318),SUMIFS(PARÂMETROS!$E$8:$E$33,PARÂMETROS!$A$8:$A$33,C318,PARÂMETROS!$G$8:$G$33,J318))</f>
        <v/>
      </c>
      <c r="E318" s="96">
        <f>SUMIFS(SETORES!$D:$D,SETORES!$A:$A,A318,SETORES!$F:$F,J318)</f>
        <v/>
      </c>
      <c r="F318" s="96">
        <f>IFERROR(D318*E318,0)</f>
        <v/>
      </c>
      <c r="G318" s="88">
        <f>SUMIFS(PARÂMETROS!$F$8:$F$33,PARÂMETROS!$A$8:$A$33,C318,PARÂMETROS!$G$8:$G$33,J318)</f>
        <v/>
      </c>
      <c r="H318" s="96">
        <f>IFERROR(F318*G318,0)</f>
        <v/>
      </c>
      <c r="I318" s="96">
        <f>F318+H318</f>
        <v/>
      </c>
      <c r="J318" s="90" t="inlineStr">
        <is>
          <t>Maio/2026</t>
        </is>
      </c>
    </row>
    <row r="319" hidden="1" ht="14.25" customHeight="1" s="75">
      <c r="A319" s="105" t="inlineStr">
        <is>
          <t>Controladoria</t>
        </is>
      </c>
      <c r="B319" s="94">
        <f>INDEX(SETORES!$B:$B,MATCH(A319,SETORES!$A:$A,0))</f>
        <v/>
      </c>
      <c r="C319" s="105" t="inlineStr">
        <is>
          <t>Empresa Licenciada DX2</t>
        </is>
      </c>
      <c r="D319" s="83">
        <f>IF(B319="Clientes",SUMIFS(PARÂMETROS!$D$8:$D$33,PARÂMETROS!$A$8:$A$33,C319,PARÂMETROS!$G$8:$G$33,J319),SUMIFS(PARÂMETROS!$E$8:$E$33,PARÂMETROS!$A$8:$A$33,C319,PARÂMETROS!$G$8:$G$33,J319))</f>
        <v/>
      </c>
      <c r="E319" s="107">
        <f>SUMIFS(SETORES!$D:$D,SETORES!$A:$A,A319,SETORES!$F:$F,J319)</f>
        <v/>
      </c>
      <c r="F319" s="107">
        <f>IFERROR(D319*E319,0)</f>
        <v/>
      </c>
      <c r="G319" s="83">
        <f>SUMIFS(PARÂMETROS!$F$8:$F$33,PARÂMETROS!$A$8:$A$33,C319,PARÂMETROS!$G$8:$G$33,J319)</f>
        <v/>
      </c>
      <c r="H319" s="107">
        <f>IFERROR(F319*G319,0)</f>
        <v/>
      </c>
      <c r="I319" s="107">
        <f>F319+H319</f>
        <v/>
      </c>
      <c r="J319" s="105" t="inlineStr">
        <is>
          <t>Maio/2026</t>
        </is>
      </c>
    </row>
    <row r="320" hidden="1" ht="14.25" customHeight="1" s="75">
      <c r="A320" s="90" t="inlineStr">
        <is>
          <t>Controladoria</t>
        </is>
      </c>
      <c r="B320" s="90">
        <f>INDEX(SETORES!$B:$B,MATCH(A320,SETORES!$A:$A,0))</f>
        <v/>
      </c>
      <c r="C320" s="90" t="inlineStr">
        <is>
          <t>Empresa Licenciada H&amp;A</t>
        </is>
      </c>
      <c r="D320" s="88">
        <f>IF(B320="Clientes",SUMIFS(PARÂMETROS!$D$8:$D$33,PARÂMETROS!$A$8:$A$33,C320,PARÂMETROS!$G$8:$G$33,J320),SUMIFS(PARÂMETROS!$E$8:$E$33,PARÂMETROS!$A$8:$A$33,C320,PARÂMETROS!$G$8:$G$33,J320))</f>
        <v/>
      </c>
      <c r="E320" s="96">
        <f>SUMIFS(SETORES!$D:$D,SETORES!$A:$A,A320,SETORES!$F:$F,J320)</f>
        <v/>
      </c>
      <c r="F320" s="96">
        <f>IFERROR(D320*E320,0)</f>
        <v/>
      </c>
      <c r="G320" s="88">
        <f>SUMIFS(PARÂMETROS!$F$8:$F$33,PARÂMETROS!$A$8:$A$33,C320,PARÂMETROS!$G$8:$G$33,J320)</f>
        <v/>
      </c>
      <c r="H320" s="96">
        <f>IFERROR(F320*G320,0)</f>
        <v/>
      </c>
      <c r="I320" s="96">
        <f>F320+H320</f>
        <v/>
      </c>
      <c r="J320" s="90" t="inlineStr">
        <is>
          <t>Maio/2026</t>
        </is>
      </c>
    </row>
    <row r="321" hidden="1" ht="14.25" customHeight="1" s="75">
      <c r="A321" s="105" t="inlineStr">
        <is>
          <t>Controladoria</t>
        </is>
      </c>
      <c r="B321" s="94">
        <f>INDEX(SETORES!$B:$B,MATCH(A321,SETORES!$A:$A,0))</f>
        <v/>
      </c>
      <c r="C321" s="105" t="inlineStr">
        <is>
          <t>Empresa Licenciada SOLON ARAUJO</t>
        </is>
      </c>
      <c r="D321" s="83">
        <f>IF(B321="Clientes",SUMIFS(PARÂMETROS!$D$8:$D$33,PARÂMETROS!$A$8:$A$33,C321,PARÂMETROS!$G$8:$G$33,J321),SUMIFS(PARÂMETROS!$E$8:$E$33,PARÂMETROS!$A$8:$A$33,C321,PARÂMETROS!$G$8:$G$33,J321))</f>
        <v/>
      </c>
      <c r="E321" s="107">
        <f>SUMIFS(SETORES!$D:$D,SETORES!$A:$A,A321,SETORES!$F:$F,J321)</f>
        <v/>
      </c>
      <c r="F321" s="107">
        <f>IFERROR(D321*E321,0)</f>
        <v/>
      </c>
      <c r="G321" s="83">
        <f>SUMIFS(PARÂMETROS!$F$8:$F$33,PARÂMETROS!$A$8:$A$33,C321,PARÂMETROS!$G$8:$G$33,J321)</f>
        <v/>
      </c>
      <c r="H321" s="107">
        <f>IFERROR(F321*G321,0)</f>
        <v/>
      </c>
      <c r="I321" s="107">
        <f>F321+H321</f>
        <v/>
      </c>
      <c r="J321" s="105" t="inlineStr">
        <is>
          <t>Maio/2026</t>
        </is>
      </c>
    </row>
    <row r="322" ht="14.25" customHeight="1" s="75">
      <c r="A322" s="90" t="inlineStr">
        <is>
          <t>Controladoria</t>
        </is>
      </c>
      <c r="B322" s="90">
        <f>INDEX(SETORES!$B:$B,MATCH(A322,SETORES!$A:$A,0))</f>
        <v/>
      </c>
      <c r="C322" s="90" t="inlineStr">
        <is>
          <t>Empresa Licenciada SOARES E LINS</t>
        </is>
      </c>
      <c r="D322" s="88">
        <f>IF(B322="Clientes",SUMIFS(PARÂMETROS!$D$8:$D$33,PARÂMETROS!$A$8:$A$33,C322,PARÂMETROS!$G$8:$G$33,J322),SUMIFS(PARÂMETROS!$E$8:$E$33,PARÂMETROS!$A$8:$A$33,C322,PARÂMETROS!$G$8:$G$33,J322))</f>
        <v/>
      </c>
      <c r="E322" s="96">
        <f>SUMIFS(SETORES!$D:$D,SETORES!$A:$A,A322,SETORES!$F:$F,J322)</f>
        <v/>
      </c>
      <c r="F322" s="96">
        <f>IFERROR(D322*E322,0)</f>
        <v/>
      </c>
      <c r="G322" s="88">
        <f>SUMIFS(PARÂMETROS!$F$8:$F$33,PARÂMETROS!$A$8:$A$33,C322,PARÂMETROS!$G$8:$G$33,J322)</f>
        <v/>
      </c>
      <c r="H322" s="96">
        <f>IFERROR(F322*G322,0)</f>
        <v/>
      </c>
      <c r="I322" s="96">
        <f>F322+H322</f>
        <v/>
      </c>
      <c r="J322" s="90" t="inlineStr">
        <is>
          <t>Maio/2026</t>
        </is>
      </c>
    </row>
    <row r="323" hidden="1" ht="14.25" customHeight="1" s="75">
      <c r="A323" s="105" t="inlineStr">
        <is>
          <t>Controladoria</t>
        </is>
      </c>
      <c r="B323" s="94">
        <f>INDEX(SETORES!$B:$B,MATCH(A323,SETORES!$A:$A,0))</f>
        <v/>
      </c>
      <c r="C323" s="105" t="inlineStr">
        <is>
          <t>Empresa Licenciada SOARES E SILVA</t>
        </is>
      </c>
      <c r="D323" s="83">
        <f>IF(B323="Clientes",SUMIFS(PARÂMETROS!$D$8:$D$33,PARÂMETROS!$A$8:$A$33,C323,PARÂMETROS!$G$8:$G$33,J323),SUMIFS(PARÂMETROS!$E$8:$E$33,PARÂMETROS!$A$8:$A$33,C323,PARÂMETROS!$G$8:$G$33,J323))</f>
        <v/>
      </c>
      <c r="E323" s="107">
        <f>SUMIFS(SETORES!$D:$D,SETORES!$A:$A,A323,SETORES!$F:$F,J323)</f>
        <v/>
      </c>
      <c r="F323" s="107">
        <f>IFERROR(D323*E323,0)</f>
        <v/>
      </c>
      <c r="G323" s="83">
        <f>SUMIFS(PARÂMETROS!$F$8:$F$33,PARÂMETROS!$A$8:$A$33,C323,PARÂMETROS!$G$8:$G$33,J323)</f>
        <v/>
      </c>
      <c r="H323" s="107">
        <f>IFERROR(F323*G323,0)</f>
        <v/>
      </c>
      <c r="I323" s="107">
        <f>F323+H323</f>
        <v/>
      </c>
      <c r="J323" s="105" t="inlineStr">
        <is>
          <t>Maio/2026</t>
        </is>
      </c>
    </row>
    <row r="324" hidden="1" ht="14.25" customHeight="1" s="75">
      <c r="A324" s="90" t="inlineStr">
        <is>
          <t>Controladoria</t>
        </is>
      </c>
      <c r="B324" s="90">
        <f>INDEX(SETORES!$B:$B,MATCH(A324,SETORES!$A:$A,0))</f>
        <v/>
      </c>
      <c r="C324" s="90" t="inlineStr">
        <is>
          <t>Empresa Licenciada SOUZA E SILVA</t>
        </is>
      </c>
      <c r="D324" s="88">
        <f>IF(B324="Clientes",SUMIFS(PARÂMETROS!$D$8:$D$33,PARÂMETROS!$A$8:$A$33,C324,PARÂMETROS!$G$8:$G$33,J324),SUMIFS(PARÂMETROS!$E$8:$E$33,PARÂMETROS!$A$8:$A$33,C324,PARÂMETROS!$G$8:$G$33,J324))</f>
        <v/>
      </c>
      <c r="E324" s="96">
        <f>SUMIFS(SETORES!$D:$D,SETORES!$A:$A,A324,SETORES!$F:$F,J324)</f>
        <v/>
      </c>
      <c r="F324" s="96">
        <f>IFERROR(D324*E324,0)</f>
        <v/>
      </c>
      <c r="G324" s="88">
        <f>SUMIFS(PARÂMETROS!$F$8:$F$33,PARÂMETROS!$A$8:$A$33,C324,PARÂMETROS!$G$8:$G$33,J324)</f>
        <v/>
      </c>
      <c r="H324" s="96">
        <f>IFERROR(F324*G324,0)</f>
        <v/>
      </c>
      <c r="I324" s="96">
        <f>F324+H324</f>
        <v/>
      </c>
      <c r="J324" s="90" t="inlineStr">
        <is>
          <t>Maio/2026</t>
        </is>
      </c>
    </row>
    <row r="325" hidden="1" ht="14.25" customHeight="1" s="75">
      <c r="A325" s="105" t="inlineStr">
        <is>
          <t>Controladoria</t>
        </is>
      </c>
      <c r="B325" s="94">
        <f>INDEX(SETORES!$B:$B,MATCH(A325,SETORES!$A:$A,0))</f>
        <v/>
      </c>
      <c r="C325" s="105" t="inlineStr">
        <is>
          <t>Empresa Licenciada VOICENET</t>
        </is>
      </c>
      <c r="D325" s="83">
        <f>IF(B325="Clientes",SUMIFS(PARÂMETROS!$D$8:$D$33,PARÂMETROS!$A$8:$A$33,C325,PARÂMETROS!$G$8:$G$33,J325),SUMIFS(PARÂMETROS!$E$8:$E$33,PARÂMETROS!$A$8:$A$33,C325,PARÂMETROS!$G$8:$G$33,J325))</f>
        <v/>
      </c>
      <c r="E325" s="107">
        <f>SUMIFS(SETORES!$D:$D,SETORES!$A:$A,A325,SETORES!$F:$F,J325)</f>
        <v/>
      </c>
      <c r="F325" s="107">
        <f>IFERROR(D325*E325,0)</f>
        <v/>
      </c>
      <c r="G325" s="83">
        <f>SUMIFS(PARÂMETROS!$F$8:$F$33,PARÂMETROS!$A$8:$A$33,C325,PARÂMETROS!$G$8:$G$33,J325)</f>
        <v/>
      </c>
      <c r="H325" s="107">
        <f>IFERROR(F325*G325,0)</f>
        <v/>
      </c>
      <c r="I325" s="107">
        <f>F325+H325</f>
        <v/>
      </c>
      <c r="J325" s="105" t="inlineStr">
        <is>
          <t>Maio/2026</t>
        </is>
      </c>
    </row>
    <row r="326" hidden="1" ht="14.25" customHeight="1" s="75">
      <c r="A326" s="90" t="inlineStr">
        <is>
          <t>Controladoria</t>
        </is>
      </c>
      <c r="B326" s="90">
        <f>INDEX(SETORES!$B:$B,MATCH(A326,SETORES!$A:$A,0))</f>
        <v/>
      </c>
      <c r="C326" s="90" t="inlineStr">
        <is>
          <t>DTEL (uso próprio)</t>
        </is>
      </c>
      <c r="D326" s="88">
        <f>IF(B326="Clientes",SUMIFS(PARÂMETROS!$D$8:$D$33,PARÂMETROS!$A$8:$A$33,C326,PARÂMETROS!$G$8:$G$33,J326),SUMIFS(PARÂMETROS!$E$8:$E$33,PARÂMETROS!$A$8:$A$33,C326,PARÂMETROS!$G$8:$G$33,J326))</f>
        <v/>
      </c>
      <c r="E326" s="96">
        <f>SUMIFS(SETORES!$D:$D,SETORES!$A:$A,A326,SETORES!$F:$F,J326)</f>
        <v/>
      </c>
      <c r="F326" s="96">
        <f>IFERROR(D326*E326,0)</f>
        <v/>
      </c>
      <c r="G326" s="88">
        <f>SUMIFS(PARÂMETROS!$F$8:$F$33,PARÂMETROS!$A$8:$A$33,C326,PARÂMETROS!$G$8:$G$33,J326)</f>
        <v/>
      </c>
      <c r="H326" s="96">
        <f>IFERROR(F326*G326,0)</f>
        <v/>
      </c>
      <c r="I326" s="96">
        <f>F326+H326</f>
        <v/>
      </c>
      <c r="J326" s="90" t="inlineStr">
        <is>
          <t>Maio/2026</t>
        </is>
      </c>
    </row>
    <row r="327" hidden="1" ht="14.25" customHeight="1" s="75">
      <c r="A327" s="105" t="inlineStr">
        <is>
          <t>Diretoria Operacional</t>
        </is>
      </c>
      <c r="B327" s="94">
        <f>INDEX(SETORES!$B:$B,MATCH(A327,SETORES!$A:$A,0))</f>
        <v/>
      </c>
      <c r="C327" s="105" t="inlineStr">
        <is>
          <t>Empresa Licenciada DX2</t>
        </is>
      </c>
      <c r="D327" s="83">
        <f>IF(B327="Clientes",SUMIFS(PARÂMETROS!$D$8:$D$33,PARÂMETROS!$A$8:$A$33,C327,PARÂMETROS!$G$8:$G$33,J327),SUMIFS(PARÂMETROS!$E$8:$E$33,PARÂMETROS!$A$8:$A$33,C327,PARÂMETROS!$G$8:$G$33,J327))</f>
        <v/>
      </c>
      <c r="E327" s="107">
        <f>SUMIFS(SETORES!$D:$D,SETORES!$A:$A,A327,SETORES!$F:$F,J327)</f>
        <v/>
      </c>
      <c r="F327" s="107">
        <f>IFERROR(D327*E327,0)</f>
        <v/>
      </c>
      <c r="G327" s="83">
        <f>SUMIFS(PARÂMETROS!$F$8:$F$33,PARÂMETROS!$A$8:$A$33,C327,PARÂMETROS!$G$8:$G$33,J327)</f>
        <v/>
      </c>
      <c r="H327" s="107">
        <f>IFERROR(F327*G327,0)</f>
        <v/>
      </c>
      <c r="I327" s="107">
        <f>F327+H327</f>
        <v/>
      </c>
      <c r="J327" s="105" t="inlineStr">
        <is>
          <t>Maio/2026</t>
        </is>
      </c>
    </row>
    <row r="328" hidden="1" ht="14.25" customHeight="1" s="75">
      <c r="A328" s="90" t="inlineStr">
        <is>
          <t>Diretoria Operacional</t>
        </is>
      </c>
      <c r="B328" s="90">
        <f>INDEX(SETORES!$B:$B,MATCH(A328,SETORES!$A:$A,0))</f>
        <v/>
      </c>
      <c r="C328" s="90" t="inlineStr">
        <is>
          <t>Empresa Licenciada H&amp;A</t>
        </is>
      </c>
      <c r="D328" s="88">
        <f>IF(B328="Clientes",SUMIFS(PARÂMETROS!$D$8:$D$33,PARÂMETROS!$A$8:$A$33,C328,PARÂMETROS!$G$8:$G$33,J328),SUMIFS(PARÂMETROS!$E$8:$E$33,PARÂMETROS!$A$8:$A$33,C328,PARÂMETROS!$G$8:$G$33,J328))</f>
        <v/>
      </c>
      <c r="E328" s="96">
        <f>SUMIFS(SETORES!$D:$D,SETORES!$A:$A,A328,SETORES!$F:$F,J328)</f>
        <v/>
      </c>
      <c r="F328" s="96">
        <f>IFERROR(D328*E328,0)</f>
        <v/>
      </c>
      <c r="G328" s="88">
        <f>SUMIFS(PARÂMETROS!$F$8:$F$33,PARÂMETROS!$A$8:$A$33,C328,PARÂMETROS!$G$8:$G$33,J328)</f>
        <v/>
      </c>
      <c r="H328" s="96">
        <f>IFERROR(F328*G328,0)</f>
        <v/>
      </c>
      <c r="I328" s="96">
        <f>F328+H328</f>
        <v/>
      </c>
      <c r="J328" s="90" t="inlineStr">
        <is>
          <t>Maio/2026</t>
        </is>
      </c>
    </row>
    <row r="329" hidden="1" ht="14.25" customHeight="1" s="75">
      <c r="A329" s="105" t="inlineStr">
        <is>
          <t>Diretoria Operacional</t>
        </is>
      </c>
      <c r="B329" s="94">
        <f>INDEX(SETORES!$B:$B,MATCH(A329,SETORES!$A:$A,0))</f>
        <v/>
      </c>
      <c r="C329" s="105" t="inlineStr">
        <is>
          <t>Empresa Licenciada SOLON ARAUJO</t>
        </is>
      </c>
      <c r="D329" s="83">
        <f>IF(B329="Clientes",SUMIFS(PARÂMETROS!$D$8:$D$33,PARÂMETROS!$A$8:$A$33,C329,PARÂMETROS!$G$8:$G$33,J329),SUMIFS(PARÂMETROS!$E$8:$E$33,PARÂMETROS!$A$8:$A$33,C329,PARÂMETROS!$G$8:$G$33,J329))</f>
        <v/>
      </c>
      <c r="E329" s="107">
        <f>SUMIFS(SETORES!$D:$D,SETORES!$A:$A,A329,SETORES!$F:$F,J329)</f>
        <v/>
      </c>
      <c r="F329" s="107">
        <f>IFERROR(D329*E329,0)</f>
        <v/>
      </c>
      <c r="G329" s="83">
        <f>SUMIFS(PARÂMETROS!$F$8:$F$33,PARÂMETROS!$A$8:$A$33,C329,PARÂMETROS!$G$8:$G$33,J329)</f>
        <v/>
      </c>
      <c r="H329" s="107">
        <f>IFERROR(F329*G329,0)</f>
        <v/>
      </c>
      <c r="I329" s="107">
        <f>F329+H329</f>
        <v/>
      </c>
      <c r="J329" s="105" t="inlineStr">
        <is>
          <t>Maio/2026</t>
        </is>
      </c>
    </row>
    <row r="330" ht="14.25" customHeight="1" s="75">
      <c r="A330" s="90" t="inlineStr">
        <is>
          <t>Diretoria Operacional</t>
        </is>
      </c>
      <c r="B330" s="90">
        <f>INDEX(SETORES!$B:$B,MATCH(A330,SETORES!$A:$A,0))</f>
        <v/>
      </c>
      <c r="C330" s="90" t="inlineStr">
        <is>
          <t>Empresa Licenciada SOARES E LINS</t>
        </is>
      </c>
      <c r="D330" s="88">
        <f>IF(B330="Clientes",SUMIFS(PARÂMETROS!$D$8:$D$33,PARÂMETROS!$A$8:$A$33,C330,PARÂMETROS!$G$8:$G$33,J330),SUMIFS(PARÂMETROS!$E$8:$E$33,PARÂMETROS!$A$8:$A$33,C330,PARÂMETROS!$G$8:$G$33,J330))</f>
        <v/>
      </c>
      <c r="E330" s="96">
        <f>SUMIFS(SETORES!$D:$D,SETORES!$A:$A,A330,SETORES!$F:$F,J330)</f>
        <v/>
      </c>
      <c r="F330" s="96">
        <f>IFERROR(D330*E330,0)</f>
        <v/>
      </c>
      <c r="G330" s="88">
        <f>SUMIFS(PARÂMETROS!$F$8:$F$33,PARÂMETROS!$A$8:$A$33,C330,PARÂMETROS!$G$8:$G$33,J330)</f>
        <v/>
      </c>
      <c r="H330" s="96">
        <f>IFERROR(F330*G330,0)</f>
        <v/>
      </c>
      <c r="I330" s="96">
        <f>F330+H330</f>
        <v/>
      </c>
      <c r="J330" s="90" t="inlineStr">
        <is>
          <t>Maio/2026</t>
        </is>
      </c>
    </row>
    <row r="331" hidden="1" ht="14.25" customHeight="1" s="75">
      <c r="A331" s="105" t="inlineStr">
        <is>
          <t>Diretoria Operacional</t>
        </is>
      </c>
      <c r="B331" s="94">
        <f>INDEX(SETORES!$B:$B,MATCH(A331,SETORES!$A:$A,0))</f>
        <v/>
      </c>
      <c r="C331" s="105" t="inlineStr">
        <is>
          <t>Empresa Licenciada SOARES E SILVA</t>
        </is>
      </c>
      <c r="D331" s="83">
        <f>IF(B331="Clientes",SUMIFS(PARÂMETROS!$D$8:$D$33,PARÂMETROS!$A$8:$A$33,C331,PARÂMETROS!$G$8:$G$33,J331),SUMIFS(PARÂMETROS!$E$8:$E$33,PARÂMETROS!$A$8:$A$33,C331,PARÂMETROS!$G$8:$G$33,J331))</f>
        <v/>
      </c>
      <c r="E331" s="107">
        <f>SUMIFS(SETORES!$D:$D,SETORES!$A:$A,A331,SETORES!$F:$F,J331)</f>
        <v/>
      </c>
      <c r="F331" s="107">
        <f>IFERROR(D331*E331,0)</f>
        <v/>
      </c>
      <c r="G331" s="83">
        <f>SUMIFS(PARÂMETROS!$F$8:$F$33,PARÂMETROS!$A$8:$A$33,C331,PARÂMETROS!$G$8:$G$33,J331)</f>
        <v/>
      </c>
      <c r="H331" s="107">
        <f>IFERROR(F331*G331,0)</f>
        <v/>
      </c>
      <c r="I331" s="107">
        <f>F331+H331</f>
        <v/>
      </c>
      <c r="J331" s="105" t="inlineStr">
        <is>
          <t>Maio/2026</t>
        </is>
      </c>
    </row>
    <row r="332" hidden="1" ht="14.25" customHeight="1" s="75">
      <c r="A332" s="90" t="inlineStr">
        <is>
          <t>Diretoria Operacional</t>
        </is>
      </c>
      <c r="B332" s="90">
        <f>INDEX(SETORES!$B:$B,MATCH(A332,SETORES!$A:$A,0))</f>
        <v/>
      </c>
      <c r="C332" s="90" t="inlineStr">
        <is>
          <t>Empresa Licenciada SOUZA E SILVA</t>
        </is>
      </c>
      <c r="D332" s="88">
        <f>IF(B332="Clientes",SUMIFS(PARÂMETROS!$D$8:$D$33,PARÂMETROS!$A$8:$A$33,C332,PARÂMETROS!$G$8:$G$33,J332),SUMIFS(PARÂMETROS!$E$8:$E$33,PARÂMETROS!$A$8:$A$33,C332,PARÂMETROS!$G$8:$G$33,J332))</f>
        <v/>
      </c>
      <c r="E332" s="96">
        <f>SUMIFS(SETORES!$D:$D,SETORES!$A:$A,A332,SETORES!$F:$F,J332)</f>
        <v/>
      </c>
      <c r="F332" s="96">
        <f>IFERROR(D332*E332,0)</f>
        <v/>
      </c>
      <c r="G332" s="88">
        <f>SUMIFS(PARÂMETROS!$F$8:$F$33,PARÂMETROS!$A$8:$A$33,C332,PARÂMETROS!$G$8:$G$33,J332)</f>
        <v/>
      </c>
      <c r="H332" s="96">
        <f>IFERROR(F332*G332,0)</f>
        <v/>
      </c>
      <c r="I332" s="96">
        <f>F332+H332</f>
        <v/>
      </c>
      <c r="J332" s="90" t="inlineStr">
        <is>
          <t>Maio/2026</t>
        </is>
      </c>
    </row>
    <row r="333" hidden="1" ht="14.25" customHeight="1" s="75">
      <c r="A333" s="105" t="inlineStr">
        <is>
          <t>Diretoria Operacional</t>
        </is>
      </c>
      <c r="B333" s="94">
        <f>INDEX(SETORES!$B:$B,MATCH(A333,SETORES!$A:$A,0))</f>
        <v/>
      </c>
      <c r="C333" s="105" t="inlineStr">
        <is>
          <t>Empresa Licenciada VOICENET</t>
        </is>
      </c>
      <c r="D333" s="83">
        <f>IF(B333="Clientes",SUMIFS(PARÂMETROS!$D$8:$D$33,PARÂMETROS!$A$8:$A$33,C333,PARÂMETROS!$G$8:$G$33,J333),SUMIFS(PARÂMETROS!$E$8:$E$33,PARÂMETROS!$A$8:$A$33,C333,PARÂMETROS!$G$8:$G$33,J333))</f>
        <v/>
      </c>
      <c r="E333" s="107">
        <f>SUMIFS(SETORES!$D:$D,SETORES!$A:$A,A333,SETORES!$F:$F,J333)</f>
        <v/>
      </c>
      <c r="F333" s="107">
        <f>IFERROR(D333*E333,0)</f>
        <v/>
      </c>
      <c r="G333" s="83">
        <f>SUMIFS(PARÂMETROS!$F$8:$F$33,PARÂMETROS!$A$8:$A$33,C333,PARÂMETROS!$G$8:$G$33,J333)</f>
        <v/>
      </c>
      <c r="H333" s="107">
        <f>IFERROR(F333*G333,0)</f>
        <v/>
      </c>
      <c r="I333" s="107">
        <f>F333+H333</f>
        <v/>
      </c>
      <c r="J333" s="105" t="inlineStr">
        <is>
          <t>Maio/2026</t>
        </is>
      </c>
    </row>
    <row r="334" hidden="1" ht="14.25" customHeight="1" s="75">
      <c r="A334" s="90" t="inlineStr">
        <is>
          <t>Diretoria Operacional</t>
        </is>
      </c>
      <c r="B334" s="90">
        <f>INDEX(SETORES!$B:$B,MATCH(A334,SETORES!$A:$A,0))</f>
        <v/>
      </c>
      <c r="C334" s="90" t="inlineStr">
        <is>
          <t>DTEL (uso próprio)</t>
        </is>
      </c>
      <c r="D334" s="88">
        <f>IF(B334="Clientes",SUMIFS(PARÂMETROS!$D$8:$D$33,PARÂMETROS!$A$8:$A$33,C334,PARÂMETROS!$G$8:$G$33,J334),SUMIFS(PARÂMETROS!$E$8:$E$33,PARÂMETROS!$A$8:$A$33,C334,PARÂMETROS!$G$8:$G$33,J334))</f>
        <v/>
      </c>
      <c r="E334" s="96">
        <f>SUMIFS(SETORES!$D:$D,SETORES!$A:$A,A334,SETORES!$F:$F,J334)</f>
        <v/>
      </c>
      <c r="F334" s="96">
        <f>IFERROR(D334*E334,0)</f>
        <v/>
      </c>
      <c r="G334" s="88">
        <f>SUMIFS(PARÂMETROS!$F$8:$F$33,PARÂMETROS!$A$8:$A$33,C334,PARÂMETROS!$G$8:$G$33,J334)</f>
        <v/>
      </c>
      <c r="H334" s="96">
        <f>IFERROR(F334*G334,0)</f>
        <v/>
      </c>
      <c r="I334" s="96">
        <f>F334+H334</f>
        <v/>
      </c>
      <c r="J334" s="90" t="inlineStr">
        <is>
          <t>Maio/2026</t>
        </is>
      </c>
    </row>
    <row r="335" hidden="1" ht="14.25" customHeight="1" s="75">
      <c r="A335" s="105" t="inlineStr">
        <is>
          <t>Compras</t>
        </is>
      </c>
      <c r="B335" s="94">
        <f>INDEX(SETORES!$B:$B,MATCH(A335,SETORES!$A:$A,0))</f>
        <v/>
      </c>
      <c r="C335" s="105" t="inlineStr">
        <is>
          <t>Empresa Licenciada DX2</t>
        </is>
      </c>
      <c r="D335" s="83">
        <f>IF(B335="Clientes",SUMIFS(PARÂMETROS!$D$8:$D$33,PARÂMETROS!$A$8:$A$33,C335,PARÂMETROS!$G$8:$G$33,J335),SUMIFS(PARÂMETROS!$E$8:$E$33,PARÂMETROS!$A$8:$A$33,C335,PARÂMETROS!$G$8:$G$33,J335))</f>
        <v/>
      </c>
      <c r="E335" s="107">
        <f>SUMIFS(SETORES!$D:$D,SETORES!$A:$A,A335,SETORES!$F:$F,J335)</f>
        <v/>
      </c>
      <c r="F335" s="107">
        <f>IFERROR(D335*E335,0)</f>
        <v/>
      </c>
      <c r="G335" s="83">
        <f>SUMIFS(PARÂMETROS!$F$8:$F$33,PARÂMETROS!$A$8:$A$33,C335,PARÂMETROS!$G$8:$G$33,J335)</f>
        <v/>
      </c>
      <c r="H335" s="107">
        <f>IFERROR(F335*G335,0)</f>
        <v/>
      </c>
      <c r="I335" s="107">
        <f>F335+H335</f>
        <v/>
      </c>
      <c r="J335" s="105" t="inlineStr">
        <is>
          <t>Maio/2026</t>
        </is>
      </c>
    </row>
    <row r="336" hidden="1" ht="14.25" customHeight="1" s="75">
      <c r="A336" s="90" t="inlineStr">
        <is>
          <t>Compras</t>
        </is>
      </c>
      <c r="B336" s="90">
        <f>INDEX(SETORES!$B:$B,MATCH(A336,SETORES!$A:$A,0))</f>
        <v/>
      </c>
      <c r="C336" s="90" t="inlineStr">
        <is>
          <t>Empresa Licenciada H&amp;A</t>
        </is>
      </c>
      <c r="D336" s="88">
        <f>IF(B336="Clientes",SUMIFS(PARÂMETROS!$D$8:$D$33,PARÂMETROS!$A$8:$A$33,C336,PARÂMETROS!$G$8:$G$33,J336),SUMIFS(PARÂMETROS!$E$8:$E$33,PARÂMETROS!$A$8:$A$33,C336,PARÂMETROS!$G$8:$G$33,J336))</f>
        <v/>
      </c>
      <c r="E336" s="96">
        <f>SUMIFS(SETORES!$D:$D,SETORES!$A:$A,A336,SETORES!$F:$F,J336)</f>
        <v/>
      </c>
      <c r="F336" s="96">
        <f>IFERROR(D336*E336,0)</f>
        <v/>
      </c>
      <c r="G336" s="88">
        <f>SUMIFS(PARÂMETROS!$F$8:$F$33,PARÂMETROS!$A$8:$A$33,C336,PARÂMETROS!$G$8:$G$33,J336)</f>
        <v/>
      </c>
      <c r="H336" s="96">
        <f>IFERROR(F336*G336,0)</f>
        <v/>
      </c>
      <c r="I336" s="96">
        <f>F336+H336</f>
        <v/>
      </c>
      <c r="J336" s="90" t="inlineStr">
        <is>
          <t>Maio/2026</t>
        </is>
      </c>
    </row>
    <row r="337" hidden="1" ht="14.25" customHeight="1" s="75">
      <c r="A337" s="105" t="inlineStr">
        <is>
          <t>Compras</t>
        </is>
      </c>
      <c r="B337" s="94">
        <f>INDEX(SETORES!$B:$B,MATCH(A337,SETORES!$A:$A,0))</f>
        <v/>
      </c>
      <c r="C337" s="105" t="inlineStr">
        <is>
          <t>Empresa Licenciada SOLON ARAUJO</t>
        </is>
      </c>
      <c r="D337" s="83">
        <f>IF(B337="Clientes",SUMIFS(PARÂMETROS!$D$8:$D$33,PARÂMETROS!$A$8:$A$33,C337,PARÂMETROS!$G$8:$G$33,J337),SUMIFS(PARÂMETROS!$E$8:$E$33,PARÂMETROS!$A$8:$A$33,C337,PARÂMETROS!$G$8:$G$33,J337))</f>
        <v/>
      </c>
      <c r="E337" s="107">
        <f>SUMIFS(SETORES!$D:$D,SETORES!$A:$A,A337,SETORES!$F:$F,J337)</f>
        <v/>
      </c>
      <c r="F337" s="107">
        <f>IFERROR(D337*E337,0)</f>
        <v/>
      </c>
      <c r="G337" s="83">
        <f>SUMIFS(PARÂMETROS!$F$8:$F$33,PARÂMETROS!$A$8:$A$33,C337,PARÂMETROS!$G$8:$G$33,J337)</f>
        <v/>
      </c>
      <c r="H337" s="107">
        <f>IFERROR(F337*G337,0)</f>
        <v/>
      </c>
      <c r="I337" s="107">
        <f>F337+H337</f>
        <v/>
      </c>
      <c r="J337" s="105" t="inlineStr">
        <is>
          <t>Maio/2026</t>
        </is>
      </c>
    </row>
    <row r="338" ht="14.25" customHeight="1" s="75">
      <c r="A338" s="90" t="inlineStr">
        <is>
          <t>Compras</t>
        </is>
      </c>
      <c r="B338" s="90">
        <f>INDEX(SETORES!$B:$B,MATCH(A338,SETORES!$A:$A,0))</f>
        <v/>
      </c>
      <c r="C338" s="90" t="inlineStr">
        <is>
          <t>Empresa Licenciada SOARES E LINS</t>
        </is>
      </c>
      <c r="D338" s="88">
        <f>IF(B338="Clientes",SUMIFS(PARÂMETROS!$D$8:$D$33,PARÂMETROS!$A$8:$A$33,C338,PARÂMETROS!$G$8:$G$33,J338),SUMIFS(PARÂMETROS!$E$8:$E$33,PARÂMETROS!$A$8:$A$33,C338,PARÂMETROS!$G$8:$G$33,J338))</f>
        <v/>
      </c>
      <c r="E338" s="96">
        <f>SUMIFS(SETORES!$D:$D,SETORES!$A:$A,A338,SETORES!$F:$F,J338)</f>
        <v/>
      </c>
      <c r="F338" s="96">
        <f>IFERROR(D338*E338,0)</f>
        <v/>
      </c>
      <c r="G338" s="88">
        <f>SUMIFS(PARÂMETROS!$F$8:$F$33,PARÂMETROS!$A$8:$A$33,C338,PARÂMETROS!$G$8:$G$33,J338)</f>
        <v/>
      </c>
      <c r="H338" s="96">
        <f>IFERROR(F338*G338,0)</f>
        <v/>
      </c>
      <c r="I338" s="96">
        <f>F338+H338</f>
        <v/>
      </c>
      <c r="J338" s="90" t="inlineStr">
        <is>
          <t>Maio/2026</t>
        </is>
      </c>
    </row>
    <row r="339" hidden="1" ht="14.25" customHeight="1" s="75">
      <c r="A339" s="105" t="inlineStr">
        <is>
          <t>Compras</t>
        </is>
      </c>
      <c r="B339" s="94">
        <f>INDEX(SETORES!$B:$B,MATCH(A339,SETORES!$A:$A,0))</f>
        <v/>
      </c>
      <c r="C339" s="105" t="inlineStr">
        <is>
          <t>Empresa Licenciada SOARES E SILVA</t>
        </is>
      </c>
      <c r="D339" s="83">
        <f>IF(B339="Clientes",SUMIFS(PARÂMETROS!$D$8:$D$33,PARÂMETROS!$A$8:$A$33,C339,PARÂMETROS!$G$8:$G$33,J339),SUMIFS(PARÂMETROS!$E$8:$E$33,PARÂMETROS!$A$8:$A$33,C339,PARÂMETROS!$G$8:$G$33,J339))</f>
        <v/>
      </c>
      <c r="E339" s="107">
        <f>SUMIFS(SETORES!$D:$D,SETORES!$A:$A,A339,SETORES!$F:$F,J339)</f>
        <v/>
      </c>
      <c r="F339" s="107">
        <f>IFERROR(D339*E339,0)</f>
        <v/>
      </c>
      <c r="G339" s="83">
        <f>SUMIFS(PARÂMETROS!$F$8:$F$33,PARÂMETROS!$A$8:$A$33,C339,PARÂMETROS!$G$8:$G$33,J339)</f>
        <v/>
      </c>
      <c r="H339" s="107">
        <f>IFERROR(F339*G339,0)</f>
        <v/>
      </c>
      <c r="I339" s="107">
        <f>F339+H339</f>
        <v/>
      </c>
      <c r="J339" s="105" t="inlineStr">
        <is>
          <t>Maio/2026</t>
        </is>
      </c>
    </row>
    <row r="340" hidden="1" ht="14.25" customHeight="1" s="75">
      <c r="A340" s="90" t="inlineStr">
        <is>
          <t>Compras</t>
        </is>
      </c>
      <c r="B340" s="90">
        <f>INDEX(SETORES!$B:$B,MATCH(A340,SETORES!$A:$A,0))</f>
        <v/>
      </c>
      <c r="C340" s="90" t="inlineStr">
        <is>
          <t>Empresa Licenciada SOUZA E SILVA</t>
        </is>
      </c>
      <c r="D340" s="88">
        <f>IF(B340="Clientes",SUMIFS(PARÂMETROS!$D$8:$D$33,PARÂMETROS!$A$8:$A$33,C340,PARÂMETROS!$G$8:$G$33,J340),SUMIFS(PARÂMETROS!$E$8:$E$33,PARÂMETROS!$A$8:$A$33,C340,PARÂMETROS!$G$8:$G$33,J340))</f>
        <v/>
      </c>
      <c r="E340" s="96">
        <f>SUMIFS(SETORES!$D:$D,SETORES!$A:$A,A340,SETORES!$F:$F,J340)</f>
        <v/>
      </c>
      <c r="F340" s="96">
        <f>IFERROR(D340*E340,0)</f>
        <v/>
      </c>
      <c r="G340" s="88">
        <f>SUMIFS(PARÂMETROS!$F$8:$F$33,PARÂMETROS!$A$8:$A$33,C340,PARÂMETROS!$G$8:$G$33,J340)</f>
        <v/>
      </c>
      <c r="H340" s="96">
        <f>IFERROR(F340*G340,0)</f>
        <v/>
      </c>
      <c r="I340" s="96">
        <f>F340+H340</f>
        <v/>
      </c>
      <c r="J340" s="90" t="inlineStr">
        <is>
          <t>Maio/2026</t>
        </is>
      </c>
    </row>
    <row r="341" hidden="1" ht="14.25" customHeight="1" s="75">
      <c r="A341" s="105" t="inlineStr">
        <is>
          <t>Compras</t>
        </is>
      </c>
      <c r="B341" s="94">
        <f>INDEX(SETORES!$B:$B,MATCH(A341,SETORES!$A:$A,0))</f>
        <v/>
      </c>
      <c r="C341" s="105" t="inlineStr">
        <is>
          <t>Empresa Licenciada VOICENET</t>
        </is>
      </c>
      <c r="D341" s="83">
        <f>IF(B341="Clientes",SUMIFS(PARÂMETROS!$D$8:$D$33,PARÂMETROS!$A$8:$A$33,C341,PARÂMETROS!$G$8:$G$33,J341),SUMIFS(PARÂMETROS!$E$8:$E$33,PARÂMETROS!$A$8:$A$33,C341,PARÂMETROS!$G$8:$G$33,J341))</f>
        <v/>
      </c>
      <c r="E341" s="107">
        <f>SUMIFS(SETORES!$D:$D,SETORES!$A:$A,A341,SETORES!$F:$F,J341)</f>
        <v/>
      </c>
      <c r="F341" s="107">
        <f>IFERROR(D341*E341,0)</f>
        <v/>
      </c>
      <c r="G341" s="83">
        <f>SUMIFS(PARÂMETROS!$F$8:$F$33,PARÂMETROS!$A$8:$A$33,C341,PARÂMETROS!$G$8:$G$33,J341)</f>
        <v/>
      </c>
      <c r="H341" s="107">
        <f>IFERROR(F341*G341,0)</f>
        <v/>
      </c>
      <c r="I341" s="107">
        <f>F341+H341</f>
        <v/>
      </c>
      <c r="J341" s="105" t="inlineStr">
        <is>
          <t>Maio/2026</t>
        </is>
      </c>
    </row>
    <row r="342" hidden="1" ht="14.25" customHeight="1" s="75">
      <c r="A342" s="90" t="inlineStr">
        <is>
          <t>Compras</t>
        </is>
      </c>
      <c r="B342" s="90">
        <f>INDEX(SETORES!$B:$B,MATCH(A342,SETORES!$A:$A,0))</f>
        <v/>
      </c>
      <c r="C342" s="90" t="inlineStr">
        <is>
          <t>DTEL (uso próprio)</t>
        </is>
      </c>
      <c r="D342" s="88">
        <f>IF(B342="Clientes",SUMIFS(PARÂMETROS!$D$8:$D$33,PARÂMETROS!$A$8:$A$33,C342,PARÂMETROS!$G$8:$G$33,J342),SUMIFS(PARÂMETROS!$E$8:$E$33,PARÂMETROS!$A$8:$A$33,C342,PARÂMETROS!$G$8:$G$33,J342))</f>
        <v/>
      </c>
      <c r="E342" s="96">
        <f>SUMIFS(SETORES!$D:$D,SETORES!$A:$A,A342,SETORES!$F:$F,J342)</f>
        <v/>
      </c>
      <c r="F342" s="96">
        <f>IFERROR(D342*E342,0)</f>
        <v/>
      </c>
      <c r="G342" s="88">
        <f>SUMIFS(PARÂMETROS!$F$8:$F$33,PARÂMETROS!$A$8:$A$33,C342,PARÂMETROS!$G$8:$G$33,J342)</f>
        <v/>
      </c>
      <c r="H342" s="96">
        <f>IFERROR(F342*G342,0)</f>
        <v/>
      </c>
      <c r="I342" s="96">
        <f>F342+H342</f>
        <v/>
      </c>
      <c r="J342" s="90" t="inlineStr">
        <is>
          <t>Maio/2026</t>
        </is>
      </c>
    </row>
    <row r="343" hidden="1" ht="14.25" customHeight="1" s="75">
      <c r="A343" s="105" t="inlineStr">
        <is>
          <t>Segurança do Trabalho</t>
        </is>
      </c>
      <c r="B343" s="94">
        <f>INDEX(SETORES!$B:$B,MATCH(A343,SETORES!$A:$A,0))</f>
        <v/>
      </c>
      <c r="C343" s="105" t="inlineStr">
        <is>
          <t>Empresa Licenciada DX2</t>
        </is>
      </c>
      <c r="D343" s="83">
        <f>IF(B343="Clientes",SUMIFS(PARÂMETROS!$D$8:$D$33,PARÂMETROS!$A$8:$A$33,C343,PARÂMETROS!$G$8:$G$33,J343),SUMIFS(PARÂMETROS!$E$8:$E$33,PARÂMETROS!$A$8:$A$33,C343,PARÂMETROS!$G$8:$G$33,J343))</f>
        <v/>
      </c>
      <c r="E343" s="107">
        <f>SUMIFS(SETORES!$D:$D,SETORES!$A:$A,A343,SETORES!$F:$F,J343)</f>
        <v/>
      </c>
      <c r="F343" s="107">
        <f>IFERROR(D343*E343,0)</f>
        <v/>
      </c>
      <c r="G343" s="83">
        <f>SUMIFS(PARÂMETROS!$F$8:$F$33,PARÂMETROS!$A$8:$A$33,C343,PARÂMETROS!$G$8:$G$33,J343)</f>
        <v/>
      </c>
      <c r="H343" s="107">
        <f>IFERROR(F343*G343,0)</f>
        <v/>
      </c>
      <c r="I343" s="107">
        <f>F343+H343</f>
        <v/>
      </c>
      <c r="J343" s="105" t="inlineStr">
        <is>
          <t>Maio/2026</t>
        </is>
      </c>
    </row>
    <row r="344" hidden="1" ht="14.25" customHeight="1" s="75">
      <c r="A344" s="90" t="inlineStr">
        <is>
          <t>Segurança do Trabalho</t>
        </is>
      </c>
      <c r="B344" s="90">
        <f>INDEX(SETORES!$B:$B,MATCH(A344,SETORES!$A:$A,0))</f>
        <v/>
      </c>
      <c r="C344" s="90" t="inlineStr">
        <is>
          <t>Empresa Licenciada H&amp;A</t>
        </is>
      </c>
      <c r="D344" s="88">
        <f>IF(B344="Clientes",SUMIFS(PARÂMETROS!$D$8:$D$33,PARÂMETROS!$A$8:$A$33,C344,PARÂMETROS!$G$8:$G$33,J344),SUMIFS(PARÂMETROS!$E$8:$E$33,PARÂMETROS!$A$8:$A$33,C344,PARÂMETROS!$G$8:$G$33,J344))</f>
        <v/>
      </c>
      <c r="E344" s="96">
        <f>SUMIFS(SETORES!$D:$D,SETORES!$A:$A,A344,SETORES!$F:$F,J344)</f>
        <v/>
      </c>
      <c r="F344" s="96">
        <f>IFERROR(D344*E344,0)</f>
        <v/>
      </c>
      <c r="G344" s="88">
        <f>SUMIFS(PARÂMETROS!$F$8:$F$33,PARÂMETROS!$A$8:$A$33,C344,PARÂMETROS!$G$8:$G$33,J344)</f>
        <v/>
      </c>
      <c r="H344" s="96">
        <f>IFERROR(F344*G344,0)</f>
        <v/>
      </c>
      <c r="I344" s="96">
        <f>F344+H344</f>
        <v/>
      </c>
      <c r="J344" s="90" t="inlineStr">
        <is>
          <t>Maio/2026</t>
        </is>
      </c>
    </row>
    <row r="345" hidden="1" ht="14.25" customHeight="1" s="75">
      <c r="A345" s="105" t="inlineStr">
        <is>
          <t>Segurança do Trabalho</t>
        </is>
      </c>
      <c r="B345" s="94">
        <f>INDEX(SETORES!$B:$B,MATCH(A345,SETORES!$A:$A,0))</f>
        <v/>
      </c>
      <c r="C345" s="105" t="inlineStr">
        <is>
          <t>Empresa Licenciada SOLON ARAUJO</t>
        </is>
      </c>
      <c r="D345" s="83">
        <f>IF(B345="Clientes",SUMIFS(PARÂMETROS!$D$8:$D$33,PARÂMETROS!$A$8:$A$33,C345,PARÂMETROS!$G$8:$G$33,J345),SUMIFS(PARÂMETROS!$E$8:$E$33,PARÂMETROS!$A$8:$A$33,C345,PARÂMETROS!$G$8:$G$33,J345))</f>
        <v/>
      </c>
      <c r="E345" s="107">
        <f>SUMIFS(SETORES!$D:$D,SETORES!$A:$A,A345,SETORES!$F:$F,J345)</f>
        <v/>
      </c>
      <c r="F345" s="107">
        <f>IFERROR(D345*E345,0)</f>
        <v/>
      </c>
      <c r="G345" s="83">
        <f>SUMIFS(PARÂMETROS!$F$8:$F$33,PARÂMETROS!$A$8:$A$33,C345,PARÂMETROS!$G$8:$G$33,J345)</f>
        <v/>
      </c>
      <c r="H345" s="107">
        <f>IFERROR(F345*G345,0)</f>
        <v/>
      </c>
      <c r="I345" s="107">
        <f>F345+H345</f>
        <v/>
      </c>
      <c r="J345" s="105" t="inlineStr">
        <is>
          <t>Maio/2026</t>
        </is>
      </c>
    </row>
    <row r="346" ht="14.25" customHeight="1" s="75">
      <c r="A346" s="90" t="inlineStr">
        <is>
          <t>Segurança do Trabalho</t>
        </is>
      </c>
      <c r="B346" s="90">
        <f>INDEX(SETORES!$B:$B,MATCH(A346,SETORES!$A:$A,0))</f>
        <v/>
      </c>
      <c r="C346" s="90" t="inlineStr">
        <is>
          <t>Empresa Licenciada SOARES E LINS</t>
        </is>
      </c>
      <c r="D346" s="88">
        <f>IF(B346="Clientes",SUMIFS(PARÂMETROS!$D$8:$D$33,PARÂMETROS!$A$8:$A$33,C346,PARÂMETROS!$G$8:$G$33,J346),SUMIFS(PARÂMETROS!$E$8:$E$33,PARÂMETROS!$A$8:$A$33,C346,PARÂMETROS!$G$8:$G$33,J346))</f>
        <v/>
      </c>
      <c r="E346" s="96">
        <f>SUMIFS(SETORES!$D:$D,SETORES!$A:$A,A346,SETORES!$F:$F,J346)</f>
        <v/>
      </c>
      <c r="F346" s="96">
        <f>IFERROR(D346*E346,0)</f>
        <v/>
      </c>
      <c r="G346" s="88">
        <f>SUMIFS(PARÂMETROS!$F$8:$F$33,PARÂMETROS!$A$8:$A$33,C346,PARÂMETROS!$G$8:$G$33,J346)</f>
        <v/>
      </c>
      <c r="H346" s="96">
        <f>IFERROR(F346*G346,0)</f>
        <v/>
      </c>
      <c r="I346" s="96">
        <f>F346+H346</f>
        <v/>
      </c>
      <c r="J346" s="90" t="inlineStr">
        <is>
          <t>Maio/2026</t>
        </is>
      </c>
    </row>
    <row r="347" hidden="1" ht="14.25" customHeight="1" s="75">
      <c r="A347" s="105" t="inlineStr">
        <is>
          <t>Segurança do Trabalho</t>
        </is>
      </c>
      <c r="B347" s="94">
        <f>INDEX(SETORES!$B:$B,MATCH(A347,SETORES!$A:$A,0))</f>
        <v/>
      </c>
      <c r="C347" s="105" t="inlineStr">
        <is>
          <t>Empresa Licenciada SOARES E SILVA</t>
        </is>
      </c>
      <c r="D347" s="83">
        <f>IF(B347="Clientes",SUMIFS(PARÂMETROS!$D$8:$D$33,PARÂMETROS!$A$8:$A$33,C347,PARÂMETROS!$G$8:$G$33,J347),SUMIFS(PARÂMETROS!$E$8:$E$33,PARÂMETROS!$A$8:$A$33,C347,PARÂMETROS!$G$8:$G$33,J347))</f>
        <v/>
      </c>
      <c r="E347" s="107">
        <f>SUMIFS(SETORES!$D:$D,SETORES!$A:$A,A347,SETORES!$F:$F,J347)</f>
        <v/>
      </c>
      <c r="F347" s="107">
        <f>IFERROR(D347*E347,0)</f>
        <v/>
      </c>
      <c r="G347" s="83">
        <f>SUMIFS(PARÂMETROS!$F$8:$F$33,PARÂMETROS!$A$8:$A$33,C347,PARÂMETROS!$G$8:$G$33,J347)</f>
        <v/>
      </c>
      <c r="H347" s="107">
        <f>IFERROR(F347*G347,0)</f>
        <v/>
      </c>
      <c r="I347" s="107">
        <f>F347+H347</f>
        <v/>
      </c>
      <c r="J347" s="105" t="inlineStr">
        <is>
          <t>Maio/2026</t>
        </is>
      </c>
    </row>
    <row r="348" hidden="1" ht="14.25" customHeight="1" s="75">
      <c r="A348" s="90" t="inlineStr">
        <is>
          <t>Segurança do Trabalho</t>
        </is>
      </c>
      <c r="B348" s="90">
        <f>INDEX(SETORES!$B:$B,MATCH(A348,SETORES!$A:$A,0))</f>
        <v/>
      </c>
      <c r="C348" s="90" t="inlineStr">
        <is>
          <t>Empresa Licenciada SOUZA E SILVA</t>
        </is>
      </c>
      <c r="D348" s="88">
        <f>IF(B348="Clientes",SUMIFS(PARÂMETROS!$D$8:$D$33,PARÂMETROS!$A$8:$A$33,C348,PARÂMETROS!$G$8:$G$33,J348),SUMIFS(PARÂMETROS!$E$8:$E$33,PARÂMETROS!$A$8:$A$33,C348,PARÂMETROS!$G$8:$G$33,J348))</f>
        <v/>
      </c>
      <c r="E348" s="96">
        <f>SUMIFS(SETORES!$D:$D,SETORES!$A:$A,A348,SETORES!$F:$F,J348)</f>
        <v/>
      </c>
      <c r="F348" s="96">
        <f>IFERROR(D348*E348,0)</f>
        <v/>
      </c>
      <c r="G348" s="88">
        <f>SUMIFS(PARÂMETROS!$F$8:$F$33,PARÂMETROS!$A$8:$A$33,C348,PARÂMETROS!$G$8:$G$33,J348)</f>
        <v/>
      </c>
      <c r="H348" s="96">
        <f>IFERROR(F348*G348,0)</f>
        <v/>
      </c>
      <c r="I348" s="96">
        <f>F348+H348</f>
        <v/>
      </c>
      <c r="J348" s="90" t="inlineStr">
        <is>
          <t>Maio/2026</t>
        </is>
      </c>
    </row>
    <row r="349" hidden="1" ht="14.25" customHeight="1" s="75">
      <c r="A349" s="105" t="inlineStr">
        <is>
          <t>Segurança do Trabalho</t>
        </is>
      </c>
      <c r="B349" s="94">
        <f>INDEX(SETORES!$B:$B,MATCH(A349,SETORES!$A:$A,0))</f>
        <v/>
      </c>
      <c r="C349" s="105" t="inlineStr">
        <is>
          <t>Empresa Licenciada VOICENET</t>
        </is>
      </c>
      <c r="D349" s="83">
        <f>IF(B349="Clientes",SUMIFS(PARÂMETROS!$D$8:$D$33,PARÂMETROS!$A$8:$A$33,C349,PARÂMETROS!$G$8:$G$33,J349),SUMIFS(PARÂMETROS!$E$8:$E$33,PARÂMETROS!$A$8:$A$33,C349,PARÂMETROS!$G$8:$G$33,J349))</f>
        <v/>
      </c>
      <c r="E349" s="107">
        <f>SUMIFS(SETORES!$D:$D,SETORES!$A:$A,A349,SETORES!$F:$F,J349)</f>
        <v/>
      </c>
      <c r="F349" s="107">
        <f>IFERROR(D349*E349,0)</f>
        <v/>
      </c>
      <c r="G349" s="83">
        <f>SUMIFS(PARÂMETROS!$F$8:$F$33,PARÂMETROS!$A$8:$A$33,C349,PARÂMETROS!$G$8:$G$33,J349)</f>
        <v/>
      </c>
      <c r="H349" s="107">
        <f>IFERROR(F349*G349,0)</f>
        <v/>
      </c>
      <c r="I349" s="107">
        <f>F349+H349</f>
        <v/>
      </c>
      <c r="J349" s="105" t="inlineStr">
        <is>
          <t>Maio/2026</t>
        </is>
      </c>
    </row>
    <row r="350" hidden="1" ht="14.25" customHeight="1" s="75">
      <c r="A350" s="90" t="inlineStr">
        <is>
          <t>Segurança do Trabalho</t>
        </is>
      </c>
      <c r="B350" s="90">
        <f>INDEX(SETORES!$B:$B,MATCH(A350,SETORES!$A:$A,0))</f>
        <v/>
      </c>
      <c r="C350" s="90" t="inlineStr">
        <is>
          <t>DTEL (uso próprio)</t>
        </is>
      </c>
      <c r="D350" s="88">
        <f>IF(B350="Clientes",SUMIFS(PARÂMETROS!$D$8:$D$33,PARÂMETROS!$A$8:$A$33,C350,PARÂMETROS!$G$8:$G$33,J350),SUMIFS(PARÂMETROS!$E$8:$E$33,PARÂMETROS!$A$8:$A$33,C350,PARÂMETROS!$G$8:$G$33,J350))</f>
        <v/>
      </c>
      <c r="E350" s="96">
        <f>SUMIFS(SETORES!$D:$D,SETORES!$A:$A,A350,SETORES!$F:$F,J350)</f>
        <v/>
      </c>
      <c r="F350" s="96">
        <f>IFERROR(D350*E350,0)</f>
        <v/>
      </c>
      <c r="G350" s="88">
        <f>SUMIFS(PARÂMETROS!$F$8:$F$33,PARÂMETROS!$A$8:$A$33,C350,PARÂMETROS!$G$8:$G$33,J350)</f>
        <v/>
      </c>
      <c r="H350" s="96">
        <f>IFERROR(F350*G350,0)</f>
        <v/>
      </c>
      <c r="I350" s="96">
        <f>F350+H350</f>
        <v/>
      </c>
      <c r="J350" s="90" t="inlineStr">
        <is>
          <t>Maio/2026</t>
        </is>
      </c>
    </row>
    <row r="351" hidden="1" ht="14.25" customHeight="1" s="75">
      <c r="A351" s="105" t="inlineStr">
        <is>
          <t>Engenharia</t>
        </is>
      </c>
      <c r="B351" s="94">
        <f>INDEX(SETORES!$B:$B,MATCH(A351,SETORES!$A:$A,0))</f>
        <v/>
      </c>
      <c r="C351" s="105" t="inlineStr">
        <is>
          <t>Empresa Licenciada DX2</t>
        </is>
      </c>
      <c r="D351" s="83">
        <f>IF(B351="Clientes",SUMIFS(PARÂMETROS!$D$8:$D$33,PARÂMETROS!$A$8:$A$33,C351,PARÂMETROS!$G$8:$G$33,J351),SUMIFS(PARÂMETROS!$E$8:$E$33,PARÂMETROS!$A$8:$A$33,C351,PARÂMETROS!$G$8:$G$33,J351))</f>
        <v/>
      </c>
      <c r="E351" s="107">
        <f>SUMIFS(SETORES!$D:$D,SETORES!$A:$A,A351,SETORES!$F:$F,J351)</f>
        <v/>
      </c>
      <c r="F351" s="107">
        <f>IFERROR(D351*E351,0)</f>
        <v/>
      </c>
      <c r="G351" s="83">
        <f>SUMIFS(PARÂMETROS!$F$8:$F$33,PARÂMETROS!$A$8:$A$33,C351,PARÂMETROS!$G$8:$G$33,J351)</f>
        <v/>
      </c>
      <c r="H351" s="107">
        <f>IFERROR(F351*G351,0)</f>
        <v/>
      </c>
      <c r="I351" s="107">
        <f>F351+H351</f>
        <v/>
      </c>
      <c r="J351" s="105" t="inlineStr">
        <is>
          <t>Maio/2026</t>
        </is>
      </c>
    </row>
    <row r="352" hidden="1" ht="14.25" customHeight="1" s="75">
      <c r="A352" s="90" t="inlineStr">
        <is>
          <t>Engenharia</t>
        </is>
      </c>
      <c r="B352" s="90">
        <f>INDEX(SETORES!$B:$B,MATCH(A352,SETORES!$A:$A,0))</f>
        <v/>
      </c>
      <c r="C352" s="90" t="inlineStr">
        <is>
          <t>Empresa Licenciada H&amp;A</t>
        </is>
      </c>
      <c r="D352" s="88">
        <f>IF(B352="Clientes",SUMIFS(PARÂMETROS!$D$8:$D$33,PARÂMETROS!$A$8:$A$33,C352,PARÂMETROS!$G$8:$G$33,J352),SUMIFS(PARÂMETROS!$E$8:$E$33,PARÂMETROS!$A$8:$A$33,C352,PARÂMETROS!$G$8:$G$33,J352))</f>
        <v/>
      </c>
      <c r="E352" s="96">
        <f>SUMIFS(SETORES!$D:$D,SETORES!$A:$A,A352,SETORES!$F:$F,J352)</f>
        <v/>
      </c>
      <c r="F352" s="96">
        <f>IFERROR(D352*E352,0)</f>
        <v/>
      </c>
      <c r="G352" s="88">
        <f>SUMIFS(PARÂMETROS!$F$8:$F$33,PARÂMETROS!$A$8:$A$33,C352,PARÂMETROS!$G$8:$G$33,J352)</f>
        <v/>
      </c>
      <c r="H352" s="96">
        <f>IFERROR(F352*G352,0)</f>
        <v/>
      </c>
      <c r="I352" s="96">
        <f>F352+H352</f>
        <v/>
      </c>
      <c r="J352" s="90" t="inlineStr">
        <is>
          <t>Maio/2026</t>
        </is>
      </c>
    </row>
    <row r="353" hidden="1" ht="14.25" customHeight="1" s="75">
      <c r="A353" s="105" t="inlineStr">
        <is>
          <t>Engenharia</t>
        </is>
      </c>
      <c r="B353" s="94">
        <f>INDEX(SETORES!$B:$B,MATCH(A353,SETORES!$A:$A,0))</f>
        <v/>
      </c>
      <c r="C353" s="105" t="inlineStr">
        <is>
          <t>Empresa Licenciada SOLON ARAUJO</t>
        </is>
      </c>
      <c r="D353" s="83">
        <f>IF(B353="Clientes",SUMIFS(PARÂMETROS!$D$8:$D$33,PARÂMETROS!$A$8:$A$33,C353,PARÂMETROS!$G$8:$G$33,J353),SUMIFS(PARÂMETROS!$E$8:$E$33,PARÂMETROS!$A$8:$A$33,C353,PARÂMETROS!$G$8:$G$33,J353))</f>
        <v/>
      </c>
      <c r="E353" s="107">
        <f>SUMIFS(SETORES!$D:$D,SETORES!$A:$A,A353,SETORES!$F:$F,J353)</f>
        <v/>
      </c>
      <c r="F353" s="107">
        <f>IFERROR(D353*E353,0)</f>
        <v/>
      </c>
      <c r="G353" s="83">
        <f>SUMIFS(PARÂMETROS!$F$8:$F$33,PARÂMETROS!$A$8:$A$33,C353,PARÂMETROS!$G$8:$G$33,J353)</f>
        <v/>
      </c>
      <c r="H353" s="107">
        <f>IFERROR(F353*G353,0)</f>
        <v/>
      </c>
      <c r="I353" s="107">
        <f>F353+H353</f>
        <v/>
      </c>
      <c r="J353" s="105" t="inlineStr">
        <is>
          <t>Maio/2026</t>
        </is>
      </c>
    </row>
    <row r="354" ht="14.25" customHeight="1" s="75">
      <c r="A354" s="90" t="inlineStr">
        <is>
          <t>Engenharia</t>
        </is>
      </c>
      <c r="B354" s="90">
        <f>INDEX(SETORES!$B:$B,MATCH(A354,SETORES!$A:$A,0))</f>
        <v/>
      </c>
      <c r="C354" s="90" t="inlineStr">
        <is>
          <t>Empresa Licenciada SOARES E LINS</t>
        </is>
      </c>
      <c r="D354" s="88">
        <f>IF(B354="Clientes",SUMIFS(PARÂMETROS!$D$8:$D$33,PARÂMETROS!$A$8:$A$33,C354,PARÂMETROS!$G$8:$G$33,J354),SUMIFS(PARÂMETROS!$E$8:$E$33,PARÂMETROS!$A$8:$A$33,C354,PARÂMETROS!$G$8:$G$33,J354))</f>
        <v/>
      </c>
      <c r="E354" s="96">
        <f>SUMIFS(SETORES!$D:$D,SETORES!$A:$A,A354,SETORES!$F:$F,J354)</f>
        <v/>
      </c>
      <c r="F354" s="96">
        <f>IFERROR(D354*E354,0)</f>
        <v/>
      </c>
      <c r="G354" s="88">
        <f>SUMIFS(PARÂMETROS!$F$8:$F$33,PARÂMETROS!$A$8:$A$33,C354,PARÂMETROS!$G$8:$G$33,J354)</f>
        <v/>
      </c>
      <c r="H354" s="96">
        <f>IFERROR(F354*G354,0)</f>
        <v/>
      </c>
      <c r="I354" s="96">
        <f>F354+H354</f>
        <v/>
      </c>
      <c r="J354" s="90" t="inlineStr">
        <is>
          <t>Maio/2026</t>
        </is>
      </c>
    </row>
    <row r="355" hidden="1" ht="14.25" customHeight="1" s="75">
      <c r="A355" s="105" t="inlineStr">
        <is>
          <t>Engenharia</t>
        </is>
      </c>
      <c r="B355" s="94">
        <f>INDEX(SETORES!$B:$B,MATCH(A355,SETORES!$A:$A,0))</f>
        <v/>
      </c>
      <c r="C355" s="105" t="inlineStr">
        <is>
          <t>Empresa Licenciada SOARES E SILVA</t>
        </is>
      </c>
      <c r="D355" s="83">
        <f>IF(B355="Clientes",SUMIFS(PARÂMETROS!$D$8:$D$33,PARÂMETROS!$A$8:$A$33,C355,PARÂMETROS!$G$8:$G$33,J355),SUMIFS(PARÂMETROS!$E$8:$E$33,PARÂMETROS!$A$8:$A$33,C355,PARÂMETROS!$G$8:$G$33,J355))</f>
        <v/>
      </c>
      <c r="E355" s="107">
        <f>SUMIFS(SETORES!$D:$D,SETORES!$A:$A,A355,SETORES!$F:$F,J355)</f>
        <v/>
      </c>
      <c r="F355" s="107">
        <f>IFERROR(D355*E355,0)</f>
        <v/>
      </c>
      <c r="G355" s="83">
        <f>SUMIFS(PARÂMETROS!$F$8:$F$33,PARÂMETROS!$A$8:$A$33,C355,PARÂMETROS!$G$8:$G$33,J355)</f>
        <v/>
      </c>
      <c r="H355" s="107">
        <f>IFERROR(F355*G355,0)</f>
        <v/>
      </c>
      <c r="I355" s="107">
        <f>F355+H355</f>
        <v/>
      </c>
      <c r="J355" s="105" t="inlineStr">
        <is>
          <t>Maio/2026</t>
        </is>
      </c>
    </row>
    <row r="356" hidden="1" ht="14.25" customHeight="1" s="75">
      <c r="A356" s="90" t="inlineStr">
        <is>
          <t>Engenharia</t>
        </is>
      </c>
      <c r="B356" s="90">
        <f>INDEX(SETORES!$B:$B,MATCH(A356,SETORES!$A:$A,0))</f>
        <v/>
      </c>
      <c r="C356" s="90" t="inlineStr">
        <is>
          <t>Empresa Licenciada SOUZA E SILVA</t>
        </is>
      </c>
      <c r="D356" s="88">
        <f>IF(B356="Clientes",SUMIFS(PARÂMETROS!$D$8:$D$33,PARÂMETROS!$A$8:$A$33,C356,PARÂMETROS!$G$8:$G$33,J356),SUMIFS(PARÂMETROS!$E$8:$E$33,PARÂMETROS!$A$8:$A$33,C356,PARÂMETROS!$G$8:$G$33,J356))</f>
        <v/>
      </c>
      <c r="E356" s="96">
        <f>SUMIFS(SETORES!$D:$D,SETORES!$A:$A,A356,SETORES!$F:$F,J356)</f>
        <v/>
      </c>
      <c r="F356" s="96">
        <f>IFERROR(D356*E356,0)</f>
        <v/>
      </c>
      <c r="G356" s="88">
        <f>SUMIFS(PARÂMETROS!$F$8:$F$33,PARÂMETROS!$A$8:$A$33,C356,PARÂMETROS!$G$8:$G$33,J356)</f>
        <v/>
      </c>
      <c r="H356" s="96">
        <f>IFERROR(F356*G356,0)</f>
        <v/>
      </c>
      <c r="I356" s="96">
        <f>F356+H356</f>
        <v/>
      </c>
      <c r="J356" s="90" t="inlineStr">
        <is>
          <t>Maio/2026</t>
        </is>
      </c>
    </row>
    <row r="357" hidden="1" ht="14.25" customHeight="1" s="75">
      <c r="A357" s="105" t="inlineStr">
        <is>
          <t>Engenharia</t>
        </is>
      </c>
      <c r="B357" s="94">
        <f>INDEX(SETORES!$B:$B,MATCH(A357,SETORES!$A:$A,0))</f>
        <v/>
      </c>
      <c r="C357" s="105" t="inlineStr">
        <is>
          <t>Empresa Licenciada VOICENET</t>
        </is>
      </c>
      <c r="D357" s="83">
        <f>IF(B357="Clientes",SUMIFS(PARÂMETROS!$D$8:$D$33,PARÂMETROS!$A$8:$A$33,C357,PARÂMETROS!$G$8:$G$33,J357),SUMIFS(PARÂMETROS!$E$8:$E$33,PARÂMETROS!$A$8:$A$33,C357,PARÂMETROS!$G$8:$G$33,J357))</f>
        <v/>
      </c>
      <c r="E357" s="107">
        <f>SUMIFS(SETORES!$D:$D,SETORES!$A:$A,A357,SETORES!$F:$F,J357)</f>
        <v/>
      </c>
      <c r="F357" s="107">
        <f>IFERROR(D357*E357,0)</f>
        <v/>
      </c>
      <c r="G357" s="83">
        <f>SUMIFS(PARÂMETROS!$F$8:$F$33,PARÂMETROS!$A$8:$A$33,C357,PARÂMETROS!$G$8:$G$33,J357)</f>
        <v/>
      </c>
      <c r="H357" s="107">
        <f>IFERROR(F357*G357,0)</f>
        <v/>
      </c>
      <c r="I357" s="107">
        <f>F357+H357</f>
        <v/>
      </c>
      <c r="J357" s="105" t="inlineStr">
        <is>
          <t>Maio/2026</t>
        </is>
      </c>
    </row>
    <row r="358" hidden="1" ht="14.25" customHeight="1" s="75">
      <c r="A358" s="90" t="inlineStr">
        <is>
          <t>Engenharia</t>
        </is>
      </c>
      <c r="B358" s="90">
        <f>INDEX(SETORES!$B:$B,MATCH(A358,SETORES!$A:$A,0))</f>
        <v/>
      </c>
      <c r="C358" s="90" t="inlineStr">
        <is>
          <t>DTEL (uso próprio)</t>
        </is>
      </c>
      <c r="D358" s="88">
        <f>IF(B358="Clientes",SUMIFS(PARÂMETROS!$D$8:$D$33,PARÂMETROS!$A$8:$A$33,C358,PARÂMETROS!$G$8:$G$33,J358),SUMIFS(PARÂMETROS!$E$8:$E$33,PARÂMETROS!$A$8:$A$33,C358,PARÂMETROS!$G$8:$G$33,J358))</f>
        <v/>
      </c>
      <c r="E358" s="96">
        <f>SUMIFS(SETORES!$D:$D,SETORES!$A:$A,A358,SETORES!$F:$F,J358)</f>
        <v/>
      </c>
      <c r="F358" s="96">
        <f>IFERROR(D358*E358,0)</f>
        <v/>
      </c>
      <c r="G358" s="88">
        <f>SUMIFS(PARÂMETROS!$F$8:$F$33,PARÂMETROS!$A$8:$A$33,C358,PARÂMETROS!$G$8:$G$33,J358)</f>
        <v/>
      </c>
      <c r="H358" s="96">
        <f>IFERROR(F358*G358,0)</f>
        <v/>
      </c>
      <c r="I358" s="96">
        <f>F358+H358</f>
        <v/>
      </c>
      <c r="J358" s="90" t="inlineStr">
        <is>
          <t>Maio/2026</t>
        </is>
      </c>
    </row>
    <row r="359" hidden="1" ht="14.25" customHeight="1" s="75">
      <c r="A359" s="105" t="inlineStr">
        <is>
          <t>Obras</t>
        </is>
      </c>
      <c r="B359" s="94">
        <f>INDEX(SETORES!$B:$B,MATCH(A359,SETORES!$A:$A,0))</f>
        <v/>
      </c>
      <c r="C359" s="105" t="inlineStr">
        <is>
          <t>Empresa Licenciada DX2</t>
        </is>
      </c>
      <c r="D359" s="83">
        <f>IF(B359="Clientes",SUMIFS(PARÂMETROS!$D$8:$D$33,PARÂMETROS!$A$8:$A$33,C359,PARÂMETROS!$G$8:$G$33,J359),SUMIFS(PARÂMETROS!$E$8:$E$33,PARÂMETROS!$A$8:$A$33,C359,PARÂMETROS!$G$8:$G$33,J359))</f>
        <v/>
      </c>
      <c r="E359" s="107">
        <f>SUMIFS(SETORES!$D:$D,SETORES!$A:$A,A359,SETORES!$F:$F,J359)</f>
        <v/>
      </c>
      <c r="F359" s="107">
        <f>IFERROR(D359*E359,0)</f>
        <v/>
      </c>
      <c r="G359" s="83">
        <f>SUMIFS(PARÂMETROS!$F$8:$F$33,PARÂMETROS!$A$8:$A$33,C359,PARÂMETROS!$G$8:$G$33,J359)</f>
        <v/>
      </c>
      <c r="H359" s="107">
        <f>IFERROR(F359*G359,0)</f>
        <v/>
      </c>
      <c r="I359" s="107">
        <f>F359+H359</f>
        <v/>
      </c>
      <c r="J359" s="105" t="inlineStr">
        <is>
          <t>Maio/2026</t>
        </is>
      </c>
    </row>
    <row r="360" hidden="1" ht="14.25" customHeight="1" s="75">
      <c r="A360" s="90" t="inlineStr">
        <is>
          <t>Obras</t>
        </is>
      </c>
      <c r="B360" s="90">
        <f>INDEX(SETORES!$B:$B,MATCH(A360,SETORES!$A:$A,0))</f>
        <v/>
      </c>
      <c r="C360" s="90" t="inlineStr">
        <is>
          <t>Empresa Licenciada H&amp;A</t>
        </is>
      </c>
      <c r="D360" s="88">
        <f>IF(B360="Clientes",SUMIFS(PARÂMETROS!$D$8:$D$33,PARÂMETROS!$A$8:$A$33,C360,PARÂMETROS!$G$8:$G$33,J360),SUMIFS(PARÂMETROS!$E$8:$E$33,PARÂMETROS!$A$8:$A$33,C360,PARÂMETROS!$G$8:$G$33,J360))</f>
        <v/>
      </c>
      <c r="E360" s="96">
        <f>SUMIFS(SETORES!$D:$D,SETORES!$A:$A,A360,SETORES!$F:$F,J360)</f>
        <v/>
      </c>
      <c r="F360" s="96">
        <f>IFERROR(D360*E360,0)</f>
        <v/>
      </c>
      <c r="G360" s="88">
        <f>SUMIFS(PARÂMETROS!$F$8:$F$33,PARÂMETROS!$A$8:$A$33,C360,PARÂMETROS!$G$8:$G$33,J360)</f>
        <v/>
      </c>
      <c r="H360" s="96">
        <f>IFERROR(F360*G360,0)</f>
        <v/>
      </c>
      <c r="I360" s="96">
        <f>F360+H360</f>
        <v/>
      </c>
      <c r="J360" s="90" t="inlineStr">
        <is>
          <t>Maio/2026</t>
        </is>
      </c>
    </row>
    <row r="361" hidden="1" ht="14.25" customHeight="1" s="75">
      <c r="A361" s="105" t="inlineStr">
        <is>
          <t>Obras</t>
        </is>
      </c>
      <c r="B361" s="94">
        <f>INDEX(SETORES!$B:$B,MATCH(A361,SETORES!$A:$A,0))</f>
        <v/>
      </c>
      <c r="C361" s="105" t="inlineStr">
        <is>
          <t>Empresa Licenciada SOLON ARAUJO</t>
        </is>
      </c>
      <c r="D361" s="83">
        <f>IF(B361="Clientes",SUMIFS(PARÂMETROS!$D$8:$D$33,PARÂMETROS!$A$8:$A$33,C361,PARÂMETROS!$G$8:$G$33,J361),SUMIFS(PARÂMETROS!$E$8:$E$33,PARÂMETROS!$A$8:$A$33,C361,PARÂMETROS!$G$8:$G$33,J361))</f>
        <v/>
      </c>
      <c r="E361" s="107">
        <f>SUMIFS(SETORES!$D:$D,SETORES!$A:$A,A361,SETORES!$F:$F,J361)</f>
        <v/>
      </c>
      <c r="F361" s="107">
        <f>IFERROR(D361*E361,0)</f>
        <v/>
      </c>
      <c r="G361" s="83">
        <f>SUMIFS(PARÂMETROS!$F$8:$F$33,PARÂMETROS!$A$8:$A$33,C361,PARÂMETROS!$G$8:$G$33,J361)</f>
        <v/>
      </c>
      <c r="H361" s="107">
        <f>IFERROR(F361*G361,0)</f>
        <v/>
      </c>
      <c r="I361" s="107">
        <f>F361+H361</f>
        <v/>
      </c>
      <c r="J361" s="105" t="inlineStr">
        <is>
          <t>Maio/2026</t>
        </is>
      </c>
    </row>
    <row r="362" ht="14.25" customHeight="1" s="75">
      <c r="A362" s="90" t="inlineStr">
        <is>
          <t>Obras</t>
        </is>
      </c>
      <c r="B362" s="90">
        <f>INDEX(SETORES!$B:$B,MATCH(A362,SETORES!$A:$A,0))</f>
        <v/>
      </c>
      <c r="C362" s="90" t="inlineStr">
        <is>
          <t>Empresa Licenciada SOARES E LINS</t>
        </is>
      </c>
      <c r="D362" s="88">
        <f>IF(B362="Clientes",SUMIFS(PARÂMETROS!$D$8:$D$33,PARÂMETROS!$A$8:$A$33,C362,PARÂMETROS!$G$8:$G$33,J362),SUMIFS(PARÂMETROS!$E$8:$E$33,PARÂMETROS!$A$8:$A$33,C362,PARÂMETROS!$G$8:$G$33,J362))</f>
        <v/>
      </c>
      <c r="E362" s="96">
        <f>SUMIFS(SETORES!$D:$D,SETORES!$A:$A,A362,SETORES!$F:$F,J362)</f>
        <v/>
      </c>
      <c r="F362" s="96">
        <f>IFERROR(D362*E362,0)</f>
        <v/>
      </c>
      <c r="G362" s="88">
        <f>SUMIFS(PARÂMETROS!$F$8:$F$33,PARÂMETROS!$A$8:$A$33,C362,PARÂMETROS!$G$8:$G$33,J362)</f>
        <v/>
      </c>
      <c r="H362" s="96">
        <f>IFERROR(F362*G362,0)</f>
        <v/>
      </c>
      <c r="I362" s="96">
        <f>F362+H362</f>
        <v/>
      </c>
      <c r="J362" s="90" t="inlineStr">
        <is>
          <t>Maio/2026</t>
        </is>
      </c>
    </row>
    <row r="363" hidden="1" ht="14.25" customHeight="1" s="75">
      <c r="A363" s="105" t="inlineStr">
        <is>
          <t>Obras</t>
        </is>
      </c>
      <c r="B363" s="94">
        <f>INDEX(SETORES!$B:$B,MATCH(A363,SETORES!$A:$A,0))</f>
        <v/>
      </c>
      <c r="C363" s="105" t="inlineStr">
        <is>
          <t>Empresa Licenciada SOARES E SILVA</t>
        </is>
      </c>
      <c r="D363" s="83">
        <f>IF(B363="Clientes",SUMIFS(PARÂMETROS!$D$8:$D$33,PARÂMETROS!$A$8:$A$33,C363,PARÂMETROS!$G$8:$G$33,J363),SUMIFS(PARÂMETROS!$E$8:$E$33,PARÂMETROS!$A$8:$A$33,C363,PARÂMETROS!$G$8:$G$33,J363))</f>
        <v/>
      </c>
      <c r="E363" s="107">
        <f>SUMIFS(SETORES!$D:$D,SETORES!$A:$A,A363,SETORES!$F:$F,J363)</f>
        <v/>
      </c>
      <c r="F363" s="107">
        <f>IFERROR(D363*E363,0)</f>
        <v/>
      </c>
      <c r="G363" s="83">
        <f>SUMIFS(PARÂMETROS!$F$8:$F$33,PARÂMETROS!$A$8:$A$33,C363,PARÂMETROS!$G$8:$G$33,J363)</f>
        <v/>
      </c>
      <c r="H363" s="107">
        <f>IFERROR(F363*G363,0)</f>
        <v/>
      </c>
      <c r="I363" s="107">
        <f>F363+H363</f>
        <v/>
      </c>
      <c r="J363" s="105" t="inlineStr">
        <is>
          <t>Maio/2026</t>
        </is>
      </c>
    </row>
    <row r="364" hidden="1" ht="14.25" customHeight="1" s="75">
      <c r="A364" s="90" t="inlineStr">
        <is>
          <t>Obras</t>
        </is>
      </c>
      <c r="B364" s="90">
        <f>INDEX(SETORES!$B:$B,MATCH(A364,SETORES!$A:$A,0))</f>
        <v/>
      </c>
      <c r="C364" s="90" t="inlineStr">
        <is>
          <t>Empresa Licenciada SOUZA E SILVA</t>
        </is>
      </c>
      <c r="D364" s="88">
        <f>IF(B364="Clientes",SUMIFS(PARÂMETROS!$D$8:$D$33,PARÂMETROS!$A$8:$A$33,C364,PARÂMETROS!$G$8:$G$33,J364),SUMIFS(PARÂMETROS!$E$8:$E$33,PARÂMETROS!$A$8:$A$33,C364,PARÂMETROS!$G$8:$G$33,J364))</f>
        <v/>
      </c>
      <c r="E364" s="96">
        <f>SUMIFS(SETORES!$D:$D,SETORES!$A:$A,A364,SETORES!$F:$F,J364)</f>
        <v/>
      </c>
      <c r="F364" s="96">
        <f>IFERROR(D364*E364,0)</f>
        <v/>
      </c>
      <c r="G364" s="88">
        <f>SUMIFS(PARÂMETROS!$F$8:$F$33,PARÂMETROS!$A$8:$A$33,C364,PARÂMETROS!$G$8:$G$33,J364)</f>
        <v/>
      </c>
      <c r="H364" s="96">
        <f>IFERROR(F364*G364,0)</f>
        <v/>
      </c>
      <c r="I364" s="96">
        <f>F364+H364</f>
        <v/>
      </c>
      <c r="J364" s="90" t="inlineStr">
        <is>
          <t>Maio/2026</t>
        </is>
      </c>
    </row>
    <row r="365" hidden="1" ht="14.25" customHeight="1" s="75">
      <c r="A365" s="105" t="inlineStr">
        <is>
          <t>Obras</t>
        </is>
      </c>
      <c r="B365" s="94">
        <f>INDEX(SETORES!$B:$B,MATCH(A365,SETORES!$A:$A,0))</f>
        <v/>
      </c>
      <c r="C365" s="105" t="inlineStr">
        <is>
          <t>Empresa Licenciada VOICENET</t>
        </is>
      </c>
      <c r="D365" s="83">
        <f>IF(B365="Clientes",SUMIFS(PARÂMETROS!$D$8:$D$33,PARÂMETROS!$A$8:$A$33,C365,PARÂMETROS!$G$8:$G$33,J365),SUMIFS(PARÂMETROS!$E$8:$E$33,PARÂMETROS!$A$8:$A$33,C365,PARÂMETROS!$G$8:$G$33,J365))</f>
        <v/>
      </c>
      <c r="E365" s="107">
        <f>SUMIFS(SETORES!$D:$D,SETORES!$A:$A,A365,SETORES!$F:$F,J365)</f>
        <v/>
      </c>
      <c r="F365" s="107">
        <f>IFERROR(D365*E365,0)</f>
        <v/>
      </c>
      <c r="G365" s="83">
        <f>SUMIFS(PARÂMETROS!$F$8:$F$33,PARÂMETROS!$A$8:$A$33,C365,PARÂMETROS!$G$8:$G$33,J365)</f>
        <v/>
      </c>
      <c r="H365" s="107">
        <f>IFERROR(F365*G365,0)</f>
        <v/>
      </c>
      <c r="I365" s="107">
        <f>F365+H365</f>
        <v/>
      </c>
      <c r="J365" s="105" t="inlineStr">
        <is>
          <t>Maio/2026</t>
        </is>
      </c>
    </row>
    <row r="366" hidden="1" ht="14.25" customHeight="1" s="75">
      <c r="A366" s="90" t="inlineStr">
        <is>
          <t>Obras</t>
        </is>
      </c>
      <c r="B366" s="90">
        <f>INDEX(SETORES!$B:$B,MATCH(A366,SETORES!$A:$A,0))</f>
        <v/>
      </c>
      <c r="C366" s="90" t="inlineStr">
        <is>
          <t>DTEL (uso próprio)</t>
        </is>
      </c>
      <c r="D366" s="88">
        <f>IF(B366="Clientes",SUMIFS(PARÂMETROS!$D$8:$D$33,PARÂMETROS!$A$8:$A$33,C366,PARÂMETROS!$G$8:$G$33,J366),SUMIFS(PARÂMETROS!$E$8:$E$33,PARÂMETROS!$A$8:$A$33,C366,PARÂMETROS!$G$8:$G$33,J366))</f>
        <v/>
      </c>
      <c r="E366" s="96">
        <f>SUMIFS(SETORES!$D:$D,SETORES!$A:$A,A366,SETORES!$F:$F,J366)</f>
        <v/>
      </c>
      <c r="F366" s="96">
        <f>IFERROR(D366*E366,0)</f>
        <v/>
      </c>
      <c r="G366" s="88">
        <f>SUMIFS(PARÂMETROS!$F$8:$F$33,PARÂMETROS!$A$8:$A$33,C366,PARÂMETROS!$G$8:$G$33,J366)</f>
        <v/>
      </c>
      <c r="H366" s="96">
        <f>IFERROR(F366*G366,0)</f>
        <v/>
      </c>
      <c r="I366" s="96">
        <f>F366+H366</f>
        <v/>
      </c>
      <c r="J366" s="90" t="inlineStr">
        <is>
          <t>Maio/2026</t>
        </is>
      </c>
    </row>
    <row r="367" hidden="1" ht="14.25" customHeight="1" s="75">
      <c r="A367" s="105" t="inlineStr">
        <is>
          <t>Manutenção Predial</t>
        </is>
      </c>
      <c r="B367" s="94">
        <f>INDEX(SETORES!$B:$B,MATCH(A367,SETORES!$A:$A,0))</f>
        <v/>
      </c>
      <c r="C367" s="105" t="inlineStr">
        <is>
          <t>Empresa Licenciada DX2</t>
        </is>
      </c>
      <c r="D367" s="83">
        <f>IF(B367="Clientes",SUMIFS(PARÂMETROS!$D$8:$D$33,PARÂMETROS!$A$8:$A$33,C367,PARÂMETROS!$G$8:$G$33,J367),SUMIFS(PARÂMETROS!$E$8:$E$33,PARÂMETROS!$A$8:$A$33,C367,PARÂMETROS!$G$8:$G$33,J367))</f>
        <v/>
      </c>
      <c r="E367" s="107">
        <f>SUMIFS(SETORES!$D:$D,SETORES!$A:$A,A367,SETORES!$F:$F,J367)</f>
        <v/>
      </c>
      <c r="F367" s="107">
        <f>IFERROR(D367*E367,0)</f>
        <v/>
      </c>
      <c r="G367" s="83">
        <f>SUMIFS(PARÂMETROS!$F$8:$F$33,PARÂMETROS!$A$8:$A$33,C367,PARÂMETROS!$G$8:$G$33,J367)</f>
        <v/>
      </c>
      <c r="H367" s="107">
        <f>IFERROR(F367*G367,0)</f>
        <v/>
      </c>
      <c r="I367" s="107">
        <f>F367+H367</f>
        <v/>
      </c>
      <c r="J367" s="105" t="inlineStr">
        <is>
          <t>Maio/2026</t>
        </is>
      </c>
    </row>
    <row r="368" hidden="1" ht="14.25" customHeight="1" s="75">
      <c r="A368" s="90" t="inlineStr">
        <is>
          <t>Manutenção Predial</t>
        </is>
      </c>
      <c r="B368" s="90">
        <f>INDEX(SETORES!$B:$B,MATCH(A368,SETORES!$A:$A,0))</f>
        <v/>
      </c>
      <c r="C368" s="90" t="inlineStr">
        <is>
          <t>Empresa Licenciada H&amp;A</t>
        </is>
      </c>
      <c r="D368" s="88">
        <f>IF(B368="Clientes",SUMIFS(PARÂMETROS!$D$8:$D$33,PARÂMETROS!$A$8:$A$33,C368,PARÂMETROS!$G$8:$G$33,J368),SUMIFS(PARÂMETROS!$E$8:$E$33,PARÂMETROS!$A$8:$A$33,C368,PARÂMETROS!$G$8:$G$33,J368))</f>
        <v/>
      </c>
      <c r="E368" s="96">
        <f>SUMIFS(SETORES!$D:$D,SETORES!$A:$A,A368,SETORES!$F:$F,J368)</f>
        <v/>
      </c>
      <c r="F368" s="96">
        <f>IFERROR(D368*E368,0)</f>
        <v/>
      </c>
      <c r="G368" s="88">
        <f>SUMIFS(PARÂMETROS!$F$8:$F$33,PARÂMETROS!$A$8:$A$33,C368,PARÂMETROS!$G$8:$G$33,J368)</f>
        <v/>
      </c>
      <c r="H368" s="96">
        <f>IFERROR(F368*G368,0)</f>
        <v/>
      </c>
      <c r="I368" s="96">
        <f>F368+H368</f>
        <v/>
      </c>
      <c r="J368" s="90" t="inlineStr">
        <is>
          <t>Maio/2026</t>
        </is>
      </c>
    </row>
    <row r="369" hidden="1" ht="14.25" customHeight="1" s="75">
      <c r="A369" s="105" t="inlineStr">
        <is>
          <t>Manutenção Predial</t>
        </is>
      </c>
      <c r="B369" s="94">
        <f>INDEX(SETORES!$B:$B,MATCH(A369,SETORES!$A:$A,0))</f>
        <v/>
      </c>
      <c r="C369" s="105" t="inlineStr">
        <is>
          <t>Empresa Licenciada SOLON ARAUJO</t>
        </is>
      </c>
      <c r="D369" s="83">
        <f>IF(B369="Clientes",SUMIFS(PARÂMETROS!$D$8:$D$33,PARÂMETROS!$A$8:$A$33,C369,PARÂMETROS!$G$8:$G$33,J369),SUMIFS(PARÂMETROS!$E$8:$E$33,PARÂMETROS!$A$8:$A$33,C369,PARÂMETROS!$G$8:$G$33,J369))</f>
        <v/>
      </c>
      <c r="E369" s="107">
        <f>SUMIFS(SETORES!$D:$D,SETORES!$A:$A,A369,SETORES!$F:$F,J369)</f>
        <v/>
      </c>
      <c r="F369" s="107">
        <f>IFERROR(D369*E369,0)</f>
        <v/>
      </c>
      <c r="G369" s="83">
        <f>SUMIFS(PARÂMETROS!$F$8:$F$33,PARÂMETROS!$A$8:$A$33,C369,PARÂMETROS!$G$8:$G$33,J369)</f>
        <v/>
      </c>
      <c r="H369" s="107">
        <f>IFERROR(F369*G369,0)</f>
        <v/>
      </c>
      <c r="I369" s="107">
        <f>F369+H369</f>
        <v/>
      </c>
      <c r="J369" s="105" t="inlineStr">
        <is>
          <t>Maio/2026</t>
        </is>
      </c>
    </row>
    <row r="370" ht="14.25" customHeight="1" s="75">
      <c r="A370" s="90" t="inlineStr">
        <is>
          <t>Manutenção Predial</t>
        </is>
      </c>
      <c r="B370" s="90">
        <f>INDEX(SETORES!$B:$B,MATCH(A370,SETORES!$A:$A,0))</f>
        <v/>
      </c>
      <c r="C370" s="90" t="inlineStr">
        <is>
          <t>Empresa Licenciada SOARES E LINS</t>
        </is>
      </c>
      <c r="D370" s="88">
        <f>IF(B370="Clientes",SUMIFS(PARÂMETROS!$D$8:$D$33,PARÂMETROS!$A$8:$A$33,C370,PARÂMETROS!$G$8:$G$33,J370),SUMIFS(PARÂMETROS!$E$8:$E$33,PARÂMETROS!$A$8:$A$33,C370,PARÂMETROS!$G$8:$G$33,J370))</f>
        <v/>
      </c>
      <c r="E370" s="96">
        <f>SUMIFS(SETORES!$D:$D,SETORES!$A:$A,A370,SETORES!$F:$F,J370)</f>
        <v/>
      </c>
      <c r="F370" s="96">
        <f>IFERROR(D370*E370,0)</f>
        <v/>
      </c>
      <c r="G370" s="88">
        <f>SUMIFS(PARÂMETROS!$F$8:$F$33,PARÂMETROS!$A$8:$A$33,C370,PARÂMETROS!$G$8:$G$33,J370)</f>
        <v/>
      </c>
      <c r="H370" s="96">
        <f>IFERROR(F370*G370,0)</f>
        <v/>
      </c>
      <c r="I370" s="96">
        <f>F370+H370</f>
        <v/>
      </c>
      <c r="J370" s="90" t="inlineStr">
        <is>
          <t>Maio/2026</t>
        </is>
      </c>
    </row>
    <row r="371" hidden="1" ht="14.25" customHeight="1" s="75">
      <c r="A371" s="105" t="inlineStr">
        <is>
          <t>Manutenção Predial</t>
        </is>
      </c>
      <c r="B371" s="94">
        <f>INDEX(SETORES!$B:$B,MATCH(A371,SETORES!$A:$A,0))</f>
        <v/>
      </c>
      <c r="C371" s="105" t="inlineStr">
        <is>
          <t>Empresa Licenciada SOARES E SILVA</t>
        </is>
      </c>
      <c r="D371" s="83">
        <f>IF(B371="Clientes",SUMIFS(PARÂMETROS!$D$8:$D$33,PARÂMETROS!$A$8:$A$33,C371,PARÂMETROS!$G$8:$G$33,J371),SUMIFS(PARÂMETROS!$E$8:$E$33,PARÂMETROS!$A$8:$A$33,C371,PARÂMETROS!$G$8:$G$33,J371))</f>
        <v/>
      </c>
      <c r="E371" s="107">
        <f>SUMIFS(SETORES!$D:$D,SETORES!$A:$A,A371,SETORES!$F:$F,J371)</f>
        <v/>
      </c>
      <c r="F371" s="107">
        <f>IFERROR(D371*E371,0)</f>
        <v/>
      </c>
      <c r="G371" s="83">
        <f>SUMIFS(PARÂMETROS!$F$8:$F$33,PARÂMETROS!$A$8:$A$33,C371,PARÂMETROS!$G$8:$G$33,J371)</f>
        <v/>
      </c>
      <c r="H371" s="107">
        <f>IFERROR(F371*G371,0)</f>
        <v/>
      </c>
      <c r="I371" s="107">
        <f>F371+H371</f>
        <v/>
      </c>
      <c r="J371" s="105" t="inlineStr">
        <is>
          <t>Maio/2026</t>
        </is>
      </c>
    </row>
    <row r="372" hidden="1" ht="14.25" customHeight="1" s="75">
      <c r="A372" s="90" t="inlineStr">
        <is>
          <t>Manutenção Predial</t>
        </is>
      </c>
      <c r="B372" s="90">
        <f>INDEX(SETORES!$B:$B,MATCH(A372,SETORES!$A:$A,0))</f>
        <v/>
      </c>
      <c r="C372" s="90" t="inlineStr">
        <is>
          <t>Empresa Licenciada SOUZA E SILVA</t>
        </is>
      </c>
      <c r="D372" s="88">
        <f>IF(B372="Clientes",SUMIFS(PARÂMETROS!$D$8:$D$33,PARÂMETROS!$A$8:$A$33,C372,PARÂMETROS!$G$8:$G$33,J372),SUMIFS(PARÂMETROS!$E$8:$E$33,PARÂMETROS!$A$8:$A$33,C372,PARÂMETROS!$G$8:$G$33,J372))</f>
        <v/>
      </c>
      <c r="E372" s="96">
        <f>SUMIFS(SETORES!$D:$D,SETORES!$A:$A,A372,SETORES!$F:$F,J372)</f>
        <v/>
      </c>
      <c r="F372" s="96">
        <f>IFERROR(D372*E372,0)</f>
        <v/>
      </c>
      <c r="G372" s="88">
        <f>SUMIFS(PARÂMETROS!$F$8:$F$33,PARÂMETROS!$A$8:$A$33,C372,PARÂMETROS!$G$8:$G$33,J372)</f>
        <v/>
      </c>
      <c r="H372" s="96">
        <f>IFERROR(F372*G372,0)</f>
        <v/>
      </c>
      <c r="I372" s="96">
        <f>F372+H372</f>
        <v/>
      </c>
      <c r="J372" s="90" t="inlineStr">
        <is>
          <t>Maio/2026</t>
        </is>
      </c>
    </row>
    <row r="373" hidden="1" ht="14.25" customHeight="1" s="75">
      <c r="A373" s="105" t="inlineStr">
        <is>
          <t>Manutenção Predial</t>
        </is>
      </c>
      <c r="B373" s="94">
        <f>INDEX(SETORES!$B:$B,MATCH(A373,SETORES!$A:$A,0))</f>
        <v/>
      </c>
      <c r="C373" s="105" t="inlineStr">
        <is>
          <t>Empresa Licenciada VOICENET</t>
        </is>
      </c>
      <c r="D373" s="83">
        <f>IF(B373="Clientes",SUMIFS(PARÂMETROS!$D$8:$D$33,PARÂMETROS!$A$8:$A$33,C373,PARÂMETROS!$G$8:$G$33,J373),SUMIFS(PARÂMETROS!$E$8:$E$33,PARÂMETROS!$A$8:$A$33,C373,PARÂMETROS!$G$8:$G$33,J373))</f>
        <v/>
      </c>
      <c r="E373" s="107">
        <f>SUMIFS(SETORES!$D:$D,SETORES!$A:$A,A373,SETORES!$F:$F,J373)</f>
        <v/>
      </c>
      <c r="F373" s="107">
        <f>IFERROR(D373*E373,0)</f>
        <v/>
      </c>
      <c r="G373" s="83">
        <f>SUMIFS(PARÂMETROS!$F$8:$F$33,PARÂMETROS!$A$8:$A$33,C373,PARÂMETROS!$G$8:$G$33,J373)</f>
        <v/>
      </c>
      <c r="H373" s="107">
        <f>IFERROR(F373*G373,0)</f>
        <v/>
      </c>
      <c r="I373" s="107">
        <f>F373+H373</f>
        <v/>
      </c>
      <c r="J373" s="105" t="inlineStr">
        <is>
          <t>Maio/2026</t>
        </is>
      </c>
    </row>
    <row r="374" hidden="1" ht="14.25" customHeight="1" s="75">
      <c r="A374" s="90" t="inlineStr">
        <is>
          <t>Manutenção Predial</t>
        </is>
      </c>
      <c r="B374" s="90">
        <f>INDEX(SETORES!$B:$B,MATCH(A374,SETORES!$A:$A,0))</f>
        <v/>
      </c>
      <c r="C374" s="90" t="inlineStr">
        <is>
          <t>DTEL (uso próprio)</t>
        </is>
      </c>
      <c r="D374" s="88">
        <f>IF(B374="Clientes",SUMIFS(PARÂMETROS!$D$8:$D$33,PARÂMETROS!$A$8:$A$33,C374,PARÂMETROS!$G$8:$G$33,J374),SUMIFS(PARÂMETROS!$E$8:$E$33,PARÂMETROS!$A$8:$A$33,C374,PARÂMETROS!$G$8:$G$33,J374))</f>
        <v/>
      </c>
      <c r="E374" s="96">
        <f>SUMIFS(SETORES!$D:$D,SETORES!$A:$A,A374,SETORES!$F:$F,J374)</f>
        <v/>
      </c>
      <c r="F374" s="96">
        <f>IFERROR(D374*E374,0)</f>
        <v/>
      </c>
      <c r="G374" s="88">
        <f>SUMIFS(PARÂMETROS!$F$8:$F$33,PARÂMETROS!$A$8:$A$33,C374,PARÂMETROS!$G$8:$G$33,J374)</f>
        <v/>
      </c>
      <c r="H374" s="96">
        <f>IFERROR(F374*G374,0)</f>
        <v/>
      </c>
      <c r="I374" s="96">
        <f>F374+H374</f>
        <v/>
      </c>
      <c r="J374" s="90" t="inlineStr">
        <is>
          <t>Maio/2026</t>
        </is>
      </c>
    </row>
    <row r="375" hidden="1" ht="14.25" customHeight="1" s="75">
      <c r="A375" s="105" t="inlineStr">
        <is>
          <t>Logística</t>
        </is>
      </c>
      <c r="B375" s="94">
        <f>INDEX(SETORES!$B:$B,MATCH(A375,SETORES!$A:$A,0))</f>
        <v/>
      </c>
      <c r="C375" s="105" t="inlineStr">
        <is>
          <t>Empresa Licenciada DX2</t>
        </is>
      </c>
      <c r="D375" s="83">
        <f>IF(B375="Clientes",SUMIFS(PARÂMETROS!$D$8:$D$33,PARÂMETROS!$A$8:$A$33,C375,PARÂMETROS!$G$8:$G$33,J375),SUMIFS(PARÂMETROS!$E$8:$E$33,PARÂMETROS!$A$8:$A$33,C375,PARÂMETROS!$G$8:$G$33,J375))</f>
        <v/>
      </c>
      <c r="E375" s="107">
        <f>SUMIFS(SETORES!$D:$D,SETORES!$A:$A,A375,SETORES!$F:$F,J375)</f>
        <v/>
      </c>
      <c r="F375" s="107">
        <f>IFERROR(D375*E375,0)</f>
        <v/>
      </c>
      <c r="G375" s="83">
        <f>SUMIFS(PARÂMETROS!$F$8:$F$33,PARÂMETROS!$A$8:$A$33,C375,PARÂMETROS!$G$8:$G$33,J375)</f>
        <v/>
      </c>
      <c r="H375" s="107">
        <f>IFERROR(F375*G375,0)</f>
        <v/>
      </c>
      <c r="I375" s="107">
        <f>F375+H375</f>
        <v/>
      </c>
      <c r="J375" s="105" t="inlineStr">
        <is>
          <t>Maio/2026</t>
        </is>
      </c>
    </row>
    <row r="376" hidden="1" ht="14.25" customHeight="1" s="75">
      <c r="A376" s="90" t="inlineStr">
        <is>
          <t>Logística</t>
        </is>
      </c>
      <c r="B376" s="90">
        <f>INDEX(SETORES!$B:$B,MATCH(A376,SETORES!$A:$A,0))</f>
        <v/>
      </c>
      <c r="C376" s="90" t="inlineStr">
        <is>
          <t>Empresa Licenciada H&amp;A</t>
        </is>
      </c>
      <c r="D376" s="88">
        <f>IF(B376="Clientes",SUMIFS(PARÂMETROS!$D$8:$D$33,PARÂMETROS!$A$8:$A$33,C376,PARÂMETROS!$G$8:$G$33,J376),SUMIFS(PARÂMETROS!$E$8:$E$33,PARÂMETROS!$A$8:$A$33,C376,PARÂMETROS!$G$8:$G$33,J376))</f>
        <v/>
      </c>
      <c r="E376" s="96">
        <f>SUMIFS(SETORES!$D:$D,SETORES!$A:$A,A376,SETORES!$F:$F,J376)</f>
        <v/>
      </c>
      <c r="F376" s="96">
        <f>IFERROR(D376*E376,0)</f>
        <v/>
      </c>
      <c r="G376" s="88">
        <f>SUMIFS(PARÂMETROS!$F$8:$F$33,PARÂMETROS!$A$8:$A$33,C376,PARÂMETROS!$G$8:$G$33,J376)</f>
        <v/>
      </c>
      <c r="H376" s="96">
        <f>IFERROR(F376*G376,0)</f>
        <v/>
      </c>
      <c r="I376" s="96">
        <f>F376+H376</f>
        <v/>
      </c>
      <c r="J376" s="90" t="inlineStr">
        <is>
          <t>Maio/2026</t>
        </is>
      </c>
    </row>
    <row r="377" hidden="1" ht="14.25" customHeight="1" s="75">
      <c r="A377" s="105" t="inlineStr">
        <is>
          <t>Logística</t>
        </is>
      </c>
      <c r="B377" s="94">
        <f>INDEX(SETORES!$B:$B,MATCH(A377,SETORES!$A:$A,0))</f>
        <v/>
      </c>
      <c r="C377" s="105" t="inlineStr">
        <is>
          <t>Empresa Licenciada SOLON ARAUJO</t>
        </is>
      </c>
      <c r="D377" s="83">
        <f>IF(B377="Clientes",SUMIFS(PARÂMETROS!$D$8:$D$33,PARÂMETROS!$A$8:$A$33,C377,PARÂMETROS!$G$8:$G$33,J377),SUMIFS(PARÂMETROS!$E$8:$E$33,PARÂMETROS!$A$8:$A$33,C377,PARÂMETROS!$G$8:$G$33,J377))</f>
        <v/>
      </c>
      <c r="E377" s="107">
        <f>SUMIFS(SETORES!$D:$D,SETORES!$A:$A,A377,SETORES!$F:$F,J377)</f>
        <v/>
      </c>
      <c r="F377" s="107">
        <f>IFERROR(D377*E377,0)</f>
        <v/>
      </c>
      <c r="G377" s="83">
        <f>SUMIFS(PARÂMETROS!$F$8:$F$33,PARÂMETROS!$A$8:$A$33,C377,PARÂMETROS!$G$8:$G$33,J377)</f>
        <v/>
      </c>
      <c r="H377" s="107">
        <f>IFERROR(F377*G377,0)</f>
        <v/>
      </c>
      <c r="I377" s="107">
        <f>F377+H377</f>
        <v/>
      </c>
      <c r="J377" s="105" t="inlineStr">
        <is>
          <t>Maio/2026</t>
        </is>
      </c>
    </row>
    <row r="378" ht="14.25" customHeight="1" s="75">
      <c r="A378" s="90" t="inlineStr">
        <is>
          <t>Logística</t>
        </is>
      </c>
      <c r="B378" s="90">
        <f>INDEX(SETORES!$B:$B,MATCH(A378,SETORES!$A:$A,0))</f>
        <v/>
      </c>
      <c r="C378" s="90" t="inlineStr">
        <is>
          <t>Empresa Licenciada SOARES E LINS</t>
        </is>
      </c>
      <c r="D378" s="88">
        <f>IF(B378="Clientes",SUMIFS(PARÂMETROS!$D$8:$D$33,PARÂMETROS!$A$8:$A$33,C378,PARÂMETROS!$G$8:$G$33,J378),SUMIFS(PARÂMETROS!$E$8:$E$33,PARÂMETROS!$A$8:$A$33,C378,PARÂMETROS!$G$8:$G$33,J378))</f>
        <v/>
      </c>
      <c r="E378" s="96">
        <f>SUMIFS(SETORES!$D:$D,SETORES!$A:$A,A378,SETORES!$F:$F,J378)</f>
        <v/>
      </c>
      <c r="F378" s="96">
        <f>IFERROR(D378*E378,0)</f>
        <v/>
      </c>
      <c r="G378" s="88">
        <f>SUMIFS(PARÂMETROS!$F$8:$F$33,PARÂMETROS!$A$8:$A$33,C378,PARÂMETROS!$G$8:$G$33,J378)</f>
        <v/>
      </c>
      <c r="H378" s="96">
        <f>IFERROR(F378*G378,0)</f>
        <v/>
      </c>
      <c r="I378" s="96">
        <f>F378+H378</f>
        <v/>
      </c>
      <c r="J378" s="90" t="inlineStr">
        <is>
          <t>Maio/2026</t>
        </is>
      </c>
    </row>
    <row r="379" hidden="1" ht="14.25" customHeight="1" s="75">
      <c r="A379" s="105" t="inlineStr">
        <is>
          <t>Logística</t>
        </is>
      </c>
      <c r="B379" s="94">
        <f>INDEX(SETORES!$B:$B,MATCH(A379,SETORES!$A:$A,0))</f>
        <v/>
      </c>
      <c r="C379" s="105" t="inlineStr">
        <is>
          <t>Empresa Licenciada SOARES E SILVA</t>
        </is>
      </c>
      <c r="D379" s="83">
        <f>IF(B379="Clientes",SUMIFS(PARÂMETROS!$D$8:$D$33,PARÂMETROS!$A$8:$A$33,C379,PARÂMETROS!$G$8:$G$33,J379),SUMIFS(PARÂMETROS!$E$8:$E$33,PARÂMETROS!$A$8:$A$33,C379,PARÂMETROS!$G$8:$G$33,J379))</f>
        <v/>
      </c>
      <c r="E379" s="107">
        <f>SUMIFS(SETORES!$D:$D,SETORES!$A:$A,A379,SETORES!$F:$F,J379)</f>
        <v/>
      </c>
      <c r="F379" s="107">
        <f>IFERROR(D379*E379,0)</f>
        <v/>
      </c>
      <c r="G379" s="83">
        <f>SUMIFS(PARÂMETROS!$F$8:$F$33,PARÂMETROS!$A$8:$A$33,C379,PARÂMETROS!$G$8:$G$33,J379)</f>
        <v/>
      </c>
      <c r="H379" s="107">
        <f>IFERROR(F379*G379,0)</f>
        <v/>
      </c>
      <c r="I379" s="107">
        <f>F379+H379</f>
        <v/>
      </c>
      <c r="J379" s="105" t="inlineStr">
        <is>
          <t>Maio/2026</t>
        </is>
      </c>
    </row>
    <row r="380" hidden="1" ht="14.25" customHeight="1" s="75">
      <c r="A380" s="90" t="inlineStr">
        <is>
          <t>Logística</t>
        </is>
      </c>
      <c r="B380" s="90">
        <f>INDEX(SETORES!$B:$B,MATCH(A380,SETORES!$A:$A,0))</f>
        <v/>
      </c>
      <c r="C380" s="90" t="inlineStr">
        <is>
          <t>Empresa Licenciada SOUZA E SILVA</t>
        </is>
      </c>
      <c r="D380" s="88">
        <f>IF(B380="Clientes",SUMIFS(PARÂMETROS!$D$8:$D$33,PARÂMETROS!$A$8:$A$33,C380,PARÂMETROS!$G$8:$G$33,J380),SUMIFS(PARÂMETROS!$E$8:$E$33,PARÂMETROS!$A$8:$A$33,C380,PARÂMETROS!$G$8:$G$33,J380))</f>
        <v/>
      </c>
      <c r="E380" s="96">
        <f>SUMIFS(SETORES!$D:$D,SETORES!$A:$A,A380,SETORES!$F:$F,J380)</f>
        <v/>
      </c>
      <c r="F380" s="96">
        <f>IFERROR(D380*E380,0)</f>
        <v/>
      </c>
      <c r="G380" s="88">
        <f>SUMIFS(PARÂMETROS!$F$8:$F$33,PARÂMETROS!$A$8:$A$33,C380,PARÂMETROS!$G$8:$G$33,J380)</f>
        <v/>
      </c>
      <c r="H380" s="96">
        <f>IFERROR(F380*G380,0)</f>
        <v/>
      </c>
      <c r="I380" s="96">
        <f>F380+H380</f>
        <v/>
      </c>
      <c r="J380" s="90" t="inlineStr">
        <is>
          <t>Maio/2026</t>
        </is>
      </c>
    </row>
    <row r="381" hidden="1" ht="14.25" customHeight="1" s="75">
      <c r="A381" s="105" t="inlineStr">
        <is>
          <t>Logística</t>
        </is>
      </c>
      <c r="B381" s="94">
        <f>INDEX(SETORES!$B:$B,MATCH(A381,SETORES!$A:$A,0))</f>
        <v/>
      </c>
      <c r="C381" s="105" t="inlineStr">
        <is>
          <t>Empresa Licenciada VOICENET</t>
        </is>
      </c>
      <c r="D381" s="83">
        <f>IF(B381="Clientes",SUMIFS(PARÂMETROS!$D$8:$D$33,PARÂMETROS!$A$8:$A$33,C381,PARÂMETROS!$G$8:$G$33,J381),SUMIFS(PARÂMETROS!$E$8:$E$33,PARÂMETROS!$A$8:$A$33,C381,PARÂMETROS!$G$8:$G$33,J381))</f>
        <v/>
      </c>
      <c r="E381" s="107">
        <f>SUMIFS(SETORES!$D:$D,SETORES!$A:$A,A381,SETORES!$F:$F,J381)</f>
        <v/>
      </c>
      <c r="F381" s="107">
        <f>IFERROR(D381*E381,0)</f>
        <v/>
      </c>
      <c r="G381" s="83">
        <f>SUMIFS(PARÂMETROS!$F$8:$F$33,PARÂMETROS!$A$8:$A$33,C381,PARÂMETROS!$G$8:$G$33,J381)</f>
        <v/>
      </c>
      <c r="H381" s="107">
        <f>IFERROR(F381*G381,0)</f>
        <v/>
      </c>
      <c r="I381" s="107">
        <f>F381+H381</f>
        <v/>
      </c>
      <c r="J381" s="105" t="inlineStr">
        <is>
          <t>Maio/2026</t>
        </is>
      </c>
    </row>
    <row r="382" hidden="1" ht="14.25" customHeight="1" s="75">
      <c r="A382" s="90" t="inlineStr">
        <is>
          <t>Logística</t>
        </is>
      </c>
      <c r="B382" s="90">
        <f>INDEX(SETORES!$B:$B,MATCH(A382,SETORES!$A:$A,0))</f>
        <v/>
      </c>
      <c r="C382" s="90" t="inlineStr">
        <is>
          <t>DTEL (uso próprio)</t>
        </is>
      </c>
      <c r="D382" s="88">
        <f>IF(B382="Clientes",SUMIFS(PARÂMETROS!$D$8:$D$33,PARÂMETROS!$A$8:$A$33,C382,PARÂMETROS!$G$8:$G$33,J382),SUMIFS(PARÂMETROS!$E$8:$E$33,PARÂMETROS!$A$8:$A$33,C382,PARÂMETROS!$G$8:$G$33,J382))</f>
        <v/>
      </c>
      <c r="E382" s="96">
        <f>SUMIFS(SETORES!$D:$D,SETORES!$A:$A,A382,SETORES!$F:$F,J382)</f>
        <v/>
      </c>
      <c r="F382" s="96">
        <f>IFERROR(D382*E382,0)</f>
        <v/>
      </c>
      <c r="G382" s="88">
        <f>SUMIFS(PARÂMETROS!$F$8:$F$33,PARÂMETROS!$A$8:$A$33,C382,PARÂMETROS!$G$8:$G$33,J382)</f>
        <v/>
      </c>
      <c r="H382" s="96">
        <f>IFERROR(F382*G382,0)</f>
        <v/>
      </c>
      <c r="I382" s="96">
        <f>F382+H382</f>
        <v/>
      </c>
      <c r="J382" s="90" t="inlineStr">
        <is>
          <t>Maio/2026</t>
        </is>
      </c>
    </row>
    <row r="383" hidden="1" ht="14.25" customHeight="1" s="75">
      <c r="A383" s="105" t="inlineStr">
        <is>
          <t>Oficina</t>
        </is>
      </c>
      <c r="B383" s="94">
        <f>INDEX(SETORES!$B:$B,MATCH(A383,SETORES!$A:$A,0))</f>
        <v/>
      </c>
      <c r="C383" s="105" t="inlineStr">
        <is>
          <t>Empresa Licenciada DX2</t>
        </is>
      </c>
      <c r="D383" s="83">
        <f>IF(B383="Clientes",SUMIFS(PARÂMETROS!$D$8:$D$33,PARÂMETROS!$A$8:$A$33,C383,PARÂMETROS!$G$8:$G$33,J383),SUMIFS(PARÂMETROS!$E$8:$E$33,PARÂMETROS!$A$8:$A$33,C383,PARÂMETROS!$G$8:$G$33,J383))</f>
        <v/>
      </c>
      <c r="E383" s="107">
        <f>SUMIFS(SETORES!$D:$D,SETORES!$A:$A,A383,SETORES!$F:$F,J383)</f>
        <v/>
      </c>
      <c r="F383" s="107">
        <f>IFERROR(D383*E383,0)</f>
        <v/>
      </c>
      <c r="G383" s="83">
        <f>SUMIFS(PARÂMETROS!$F$8:$F$33,PARÂMETROS!$A$8:$A$33,C383,PARÂMETROS!$G$8:$G$33,J383)</f>
        <v/>
      </c>
      <c r="H383" s="107">
        <f>IFERROR(F383*G383,0)</f>
        <v/>
      </c>
      <c r="I383" s="107">
        <f>F383+H383</f>
        <v/>
      </c>
      <c r="J383" s="105" t="inlineStr">
        <is>
          <t>Maio/2026</t>
        </is>
      </c>
    </row>
    <row r="384" hidden="1" ht="14.25" customHeight="1" s="75">
      <c r="A384" s="90" t="inlineStr">
        <is>
          <t>Oficina</t>
        </is>
      </c>
      <c r="B384" s="90">
        <f>INDEX(SETORES!$B:$B,MATCH(A384,SETORES!$A:$A,0))</f>
        <v/>
      </c>
      <c r="C384" s="90" t="inlineStr">
        <is>
          <t>Empresa Licenciada H&amp;A</t>
        </is>
      </c>
      <c r="D384" s="88">
        <f>IF(B384="Clientes",SUMIFS(PARÂMETROS!$D$8:$D$33,PARÂMETROS!$A$8:$A$33,C384,PARÂMETROS!$G$8:$G$33,J384),SUMIFS(PARÂMETROS!$E$8:$E$33,PARÂMETROS!$A$8:$A$33,C384,PARÂMETROS!$G$8:$G$33,J384))</f>
        <v/>
      </c>
      <c r="E384" s="96">
        <f>SUMIFS(SETORES!$D:$D,SETORES!$A:$A,A384,SETORES!$F:$F,J384)</f>
        <v/>
      </c>
      <c r="F384" s="96">
        <f>IFERROR(D384*E384,0)</f>
        <v/>
      </c>
      <c r="G384" s="88">
        <f>SUMIFS(PARÂMETROS!$F$8:$F$33,PARÂMETROS!$A$8:$A$33,C384,PARÂMETROS!$G$8:$G$33,J384)</f>
        <v/>
      </c>
      <c r="H384" s="96">
        <f>IFERROR(F384*G384,0)</f>
        <v/>
      </c>
      <c r="I384" s="96">
        <f>F384+H384</f>
        <v/>
      </c>
      <c r="J384" s="90" t="inlineStr">
        <is>
          <t>Maio/2026</t>
        </is>
      </c>
    </row>
    <row r="385" hidden="1" ht="14.25" customHeight="1" s="75">
      <c r="A385" s="105" t="inlineStr">
        <is>
          <t>Oficina</t>
        </is>
      </c>
      <c r="B385" s="94">
        <f>INDEX(SETORES!$B:$B,MATCH(A385,SETORES!$A:$A,0))</f>
        <v/>
      </c>
      <c r="C385" s="105" t="inlineStr">
        <is>
          <t>Empresa Licenciada SOLON ARAUJO</t>
        </is>
      </c>
      <c r="D385" s="83">
        <f>IF(B385="Clientes",SUMIFS(PARÂMETROS!$D$8:$D$33,PARÂMETROS!$A$8:$A$33,C385,PARÂMETROS!$G$8:$G$33,J385),SUMIFS(PARÂMETROS!$E$8:$E$33,PARÂMETROS!$A$8:$A$33,C385,PARÂMETROS!$G$8:$G$33,J385))</f>
        <v/>
      </c>
      <c r="E385" s="107">
        <f>SUMIFS(SETORES!$D:$D,SETORES!$A:$A,A385,SETORES!$F:$F,J385)</f>
        <v/>
      </c>
      <c r="F385" s="107">
        <f>IFERROR(D385*E385,0)</f>
        <v/>
      </c>
      <c r="G385" s="83">
        <f>SUMIFS(PARÂMETROS!$F$8:$F$33,PARÂMETROS!$A$8:$A$33,C385,PARÂMETROS!$G$8:$G$33,J385)</f>
        <v/>
      </c>
      <c r="H385" s="107">
        <f>IFERROR(F385*G385,0)</f>
        <v/>
      </c>
      <c r="I385" s="107">
        <f>F385+H385</f>
        <v/>
      </c>
      <c r="J385" s="105" t="inlineStr">
        <is>
          <t>Maio/2026</t>
        </is>
      </c>
    </row>
    <row r="386" ht="14.25" customHeight="1" s="75">
      <c r="A386" s="90" t="inlineStr">
        <is>
          <t>Oficina</t>
        </is>
      </c>
      <c r="B386" s="90">
        <f>INDEX(SETORES!$B:$B,MATCH(A386,SETORES!$A:$A,0))</f>
        <v/>
      </c>
      <c r="C386" s="90" t="inlineStr">
        <is>
          <t>Empresa Licenciada SOARES E LINS</t>
        </is>
      </c>
      <c r="D386" s="88">
        <f>IF(B386="Clientes",SUMIFS(PARÂMETROS!$D$8:$D$33,PARÂMETROS!$A$8:$A$33,C386,PARÂMETROS!$G$8:$G$33,J386),SUMIFS(PARÂMETROS!$E$8:$E$33,PARÂMETROS!$A$8:$A$33,C386,PARÂMETROS!$G$8:$G$33,J386))</f>
        <v/>
      </c>
      <c r="E386" s="96">
        <f>SUMIFS(SETORES!$D:$D,SETORES!$A:$A,A386,SETORES!$F:$F,J386)</f>
        <v/>
      </c>
      <c r="F386" s="96">
        <f>IFERROR(D386*E386,0)</f>
        <v/>
      </c>
      <c r="G386" s="88">
        <f>SUMIFS(PARÂMETROS!$F$8:$F$33,PARÂMETROS!$A$8:$A$33,C386,PARÂMETROS!$G$8:$G$33,J386)</f>
        <v/>
      </c>
      <c r="H386" s="96">
        <f>IFERROR(F386*G386,0)</f>
        <v/>
      </c>
      <c r="I386" s="96">
        <f>F386+H386</f>
        <v/>
      </c>
      <c r="J386" s="90" t="inlineStr">
        <is>
          <t>Maio/2026</t>
        </is>
      </c>
    </row>
    <row r="387" hidden="1" ht="14.25" customHeight="1" s="75">
      <c r="A387" s="105" t="inlineStr">
        <is>
          <t>Oficina</t>
        </is>
      </c>
      <c r="B387" s="94">
        <f>INDEX(SETORES!$B:$B,MATCH(A387,SETORES!$A:$A,0))</f>
        <v/>
      </c>
      <c r="C387" s="105" t="inlineStr">
        <is>
          <t>Empresa Licenciada SOARES E SILVA</t>
        </is>
      </c>
      <c r="D387" s="83">
        <f>IF(B387="Clientes",SUMIFS(PARÂMETROS!$D$8:$D$33,PARÂMETROS!$A$8:$A$33,C387,PARÂMETROS!$G$8:$G$33,J387),SUMIFS(PARÂMETROS!$E$8:$E$33,PARÂMETROS!$A$8:$A$33,C387,PARÂMETROS!$G$8:$G$33,J387))</f>
        <v/>
      </c>
      <c r="E387" s="107">
        <f>SUMIFS(SETORES!$D:$D,SETORES!$A:$A,A387,SETORES!$F:$F,J387)</f>
        <v/>
      </c>
      <c r="F387" s="107">
        <f>IFERROR(D387*E387,0)</f>
        <v/>
      </c>
      <c r="G387" s="83">
        <f>SUMIFS(PARÂMETROS!$F$8:$F$33,PARÂMETROS!$A$8:$A$33,C387,PARÂMETROS!$G$8:$G$33,J387)</f>
        <v/>
      </c>
      <c r="H387" s="107">
        <f>IFERROR(F387*G387,0)</f>
        <v/>
      </c>
      <c r="I387" s="107">
        <f>F387+H387</f>
        <v/>
      </c>
      <c r="J387" s="105" t="inlineStr">
        <is>
          <t>Maio/2026</t>
        </is>
      </c>
    </row>
    <row r="388" hidden="1" ht="14.25" customHeight="1" s="75">
      <c r="A388" s="90" t="inlineStr">
        <is>
          <t>Oficina</t>
        </is>
      </c>
      <c r="B388" s="90">
        <f>INDEX(SETORES!$B:$B,MATCH(A388,SETORES!$A:$A,0))</f>
        <v/>
      </c>
      <c r="C388" s="90" t="inlineStr">
        <is>
          <t>Empresa Licenciada SOUZA E SILVA</t>
        </is>
      </c>
      <c r="D388" s="88">
        <f>IF(B388="Clientes",SUMIFS(PARÂMETROS!$D$8:$D$33,PARÂMETROS!$A$8:$A$33,C388,PARÂMETROS!$G$8:$G$33,J388),SUMIFS(PARÂMETROS!$E$8:$E$33,PARÂMETROS!$A$8:$A$33,C388,PARÂMETROS!$G$8:$G$33,J388))</f>
        <v/>
      </c>
      <c r="E388" s="96">
        <f>SUMIFS(SETORES!$D:$D,SETORES!$A:$A,A388,SETORES!$F:$F,J388)</f>
        <v/>
      </c>
      <c r="F388" s="96">
        <f>IFERROR(D388*E388,0)</f>
        <v/>
      </c>
      <c r="G388" s="88">
        <f>SUMIFS(PARÂMETROS!$F$8:$F$33,PARÂMETROS!$A$8:$A$33,C388,PARÂMETROS!$G$8:$G$33,J388)</f>
        <v/>
      </c>
      <c r="H388" s="96">
        <f>IFERROR(F388*G388,0)</f>
        <v/>
      </c>
      <c r="I388" s="96">
        <f>F388+H388</f>
        <v/>
      </c>
      <c r="J388" s="90" t="inlineStr">
        <is>
          <t>Maio/2026</t>
        </is>
      </c>
    </row>
    <row r="389" hidden="1" ht="14.25" customHeight="1" s="75">
      <c r="A389" s="105" t="inlineStr">
        <is>
          <t>Oficina</t>
        </is>
      </c>
      <c r="B389" s="94">
        <f>INDEX(SETORES!$B:$B,MATCH(A389,SETORES!$A:$A,0))</f>
        <v/>
      </c>
      <c r="C389" s="105" t="inlineStr">
        <is>
          <t>Empresa Licenciada VOICENET</t>
        </is>
      </c>
      <c r="D389" s="83">
        <f>IF(B389="Clientes",SUMIFS(PARÂMETROS!$D$8:$D$33,PARÂMETROS!$A$8:$A$33,C389,PARÂMETROS!$G$8:$G$33,J389),SUMIFS(PARÂMETROS!$E$8:$E$33,PARÂMETROS!$A$8:$A$33,C389,PARÂMETROS!$G$8:$G$33,J389))</f>
        <v/>
      </c>
      <c r="E389" s="107">
        <f>SUMIFS(SETORES!$D:$D,SETORES!$A:$A,A389,SETORES!$F:$F,J389)</f>
        <v/>
      </c>
      <c r="F389" s="107">
        <f>IFERROR(D389*E389,0)</f>
        <v/>
      </c>
      <c r="G389" s="83">
        <f>SUMIFS(PARÂMETROS!$F$8:$F$33,PARÂMETROS!$A$8:$A$33,C389,PARÂMETROS!$G$8:$G$33,J389)</f>
        <v/>
      </c>
      <c r="H389" s="107">
        <f>IFERROR(F389*G389,0)</f>
        <v/>
      </c>
      <c r="I389" s="107">
        <f>F389+H389</f>
        <v/>
      </c>
      <c r="J389" s="105" t="inlineStr">
        <is>
          <t>Maio/2026</t>
        </is>
      </c>
    </row>
    <row r="390" hidden="1" ht="14.25" customHeight="1" s="75">
      <c r="A390" s="90" t="inlineStr">
        <is>
          <t>Oficina</t>
        </is>
      </c>
      <c r="B390" s="90">
        <f>INDEX(SETORES!$B:$B,MATCH(A390,SETORES!$A:$A,0))</f>
        <v/>
      </c>
      <c r="C390" s="90" t="inlineStr">
        <is>
          <t>DTEL (uso próprio)</t>
        </is>
      </c>
      <c r="D390" s="88">
        <f>IF(B390="Clientes",SUMIFS(PARÂMETROS!$D$8:$D$33,PARÂMETROS!$A$8:$A$33,C390,PARÂMETROS!$G$8:$G$33,J390),SUMIFS(PARÂMETROS!$E$8:$E$33,PARÂMETROS!$A$8:$A$33,C390,PARÂMETROS!$G$8:$G$33,J390))</f>
        <v/>
      </c>
      <c r="E390" s="96">
        <f>SUMIFS(SETORES!$D:$D,SETORES!$A:$A,A390,SETORES!$F:$F,J390)</f>
        <v/>
      </c>
      <c r="F390" s="96">
        <f>IFERROR(D390*E390,0)</f>
        <v/>
      </c>
      <c r="G390" s="88">
        <f>SUMIFS(PARÂMETROS!$F$8:$F$33,PARÂMETROS!$A$8:$A$33,C390,PARÂMETROS!$G$8:$G$33,J390)</f>
        <v/>
      </c>
      <c r="H390" s="96">
        <f>IFERROR(F390*G390,0)</f>
        <v/>
      </c>
      <c r="I390" s="96">
        <f>F390+H390</f>
        <v/>
      </c>
      <c r="J390" s="90" t="inlineStr">
        <is>
          <t>Maio/2026</t>
        </is>
      </c>
    </row>
    <row r="391" hidden="1" ht="14.25" customHeight="1" s="75">
      <c r="A391" s="105" t="inlineStr">
        <is>
          <t>Estoque</t>
        </is>
      </c>
      <c r="B391" s="94">
        <f>INDEX(SETORES!$B:$B,MATCH(A391,SETORES!$A:$A,0))</f>
        <v/>
      </c>
      <c r="C391" s="105" t="inlineStr">
        <is>
          <t>Empresa Licenciada DX2</t>
        </is>
      </c>
      <c r="D391" s="83">
        <f>IF(B391="Clientes",SUMIFS(PARÂMETROS!$D$8:$D$33,PARÂMETROS!$A$8:$A$33,C391,PARÂMETROS!$G$8:$G$33,J391),SUMIFS(PARÂMETROS!$E$8:$E$33,PARÂMETROS!$A$8:$A$33,C391,PARÂMETROS!$G$8:$G$33,J391))</f>
        <v/>
      </c>
      <c r="E391" s="107">
        <f>SUMIFS(SETORES!$D:$D,SETORES!$A:$A,A391,SETORES!$F:$F,J391)</f>
        <v/>
      </c>
      <c r="F391" s="107">
        <f>IFERROR(D391*E391,0)</f>
        <v/>
      </c>
      <c r="G391" s="83">
        <f>SUMIFS(PARÂMETROS!$F$8:$F$33,PARÂMETROS!$A$8:$A$33,C391,PARÂMETROS!$G$8:$G$33,J391)</f>
        <v/>
      </c>
      <c r="H391" s="107">
        <f>IFERROR(F391*G391,0)</f>
        <v/>
      </c>
      <c r="I391" s="107">
        <f>F391+H391</f>
        <v/>
      </c>
      <c r="J391" s="105" t="inlineStr">
        <is>
          <t>Maio/2026</t>
        </is>
      </c>
    </row>
    <row r="392" hidden="1" ht="14.25" customHeight="1" s="75">
      <c r="A392" s="90" t="inlineStr">
        <is>
          <t>Estoque</t>
        </is>
      </c>
      <c r="B392" s="90">
        <f>INDEX(SETORES!$B:$B,MATCH(A392,SETORES!$A:$A,0))</f>
        <v/>
      </c>
      <c r="C392" s="90" t="inlineStr">
        <is>
          <t>Empresa Licenciada H&amp;A</t>
        </is>
      </c>
      <c r="D392" s="88">
        <f>IF(B392="Clientes",SUMIFS(PARÂMETROS!$D$8:$D$33,PARÂMETROS!$A$8:$A$33,C392,PARÂMETROS!$G$8:$G$33,J392),SUMIFS(PARÂMETROS!$E$8:$E$33,PARÂMETROS!$A$8:$A$33,C392,PARÂMETROS!$G$8:$G$33,J392))</f>
        <v/>
      </c>
      <c r="E392" s="96">
        <f>SUMIFS(SETORES!$D:$D,SETORES!$A:$A,A392,SETORES!$F:$F,J392)</f>
        <v/>
      </c>
      <c r="F392" s="96">
        <f>IFERROR(D392*E392,0)</f>
        <v/>
      </c>
      <c r="G392" s="88">
        <f>SUMIFS(PARÂMETROS!$F$8:$F$33,PARÂMETROS!$A$8:$A$33,C392,PARÂMETROS!$G$8:$G$33,J392)</f>
        <v/>
      </c>
      <c r="H392" s="96">
        <f>IFERROR(F392*G392,0)</f>
        <v/>
      </c>
      <c r="I392" s="96">
        <f>F392+H392</f>
        <v/>
      </c>
      <c r="J392" s="90" t="inlineStr">
        <is>
          <t>Maio/2026</t>
        </is>
      </c>
    </row>
    <row r="393" hidden="1" ht="14.25" customHeight="1" s="75">
      <c r="A393" s="105" t="inlineStr">
        <is>
          <t>Estoque</t>
        </is>
      </c>
      <c r="B393" s="94">
        <f>INDEX(SETORES!$B:$B,MATCH(A393,SETORES!$A:$A,0))</f>
        <v/>
      </c>
      <c r="C393" s="105" t="inlineStr">
        <is>
          <t>Empresa Licenciada SOLON ARAUJO</t>
        </is>
      </c>
      <c r="D393" s="83">
        <f>IF(B393="Clientes",SUMIFS(PARÂMETROS!$D$8:$D$33,PARÂMETROS!$A$8:$A$33,C393,PARÂMETROS!$G$8:$G$33,J393),SUMIFS(PARÂMETROS!$E$8:$E$33,PARÂMETROS!$A$8:$A$33,C393,PARÂMETROS!$G$8:$G$33,J393))</f>
        <v/>
      </c>
      <c r="E393" s="107">
        <f>SUMIFS(SETORES!$D:$D,SETORES!$A:$A,A393,SETORES!$F:$F,J393)</f>
        <v/>
      </c>
      <c r="F393" s="107">
        <f>IFERROR(D393*E393,0)</f>
        <v/>
      </c>
      <c r="G393" s="83">
        <f>SUMIFS(PARÂMETROS!$F$8:$F$33,PARÂMETROS!$A$8:$A$33,C393,PARÂMETROS!$G$8:$G$33,J393)</f>
        <v/>
      </c>
      <c r="H393" s="107">
        <f>IFERROR(F393*G393,0)</f>
        <v/>
      </c>
      <c r="I393" s="107">
        <f>F393+H393</f>
        <v/>
      </c>
      <c r="J393" s="105" t="inlineStr">
        <is>
          <t>Maio/2026</t>
        </is>
      </c>
    </row>
    <row r="394" ht="14.25" customHeight="1" s="75">
      <c r="A394" s="90" t="inlineStr">
        <is>
          <t>Estoque</t>
        </is>
      </c>
      <c r="B394" s="90">
        <f>INDEX(SETORES!$B:$B,MATCH(A394,SETORES!$A:$A,0))</f>
        <v/>
      </c>
      <c r="C394" s="90" t="inlineStr">
        <is>
          <t>Empresa Licenciada SOARES E LINS</t>
        </is>
      </c>
      <c r="D394" s="88">
        <f>IF(B394="Clientes",SUMIFS(PARÂMETROS!$D$8:$D$33,PARÂMETROS!$A$8:$A$33,C394,PARÂMETROS!$G$8:$G$33,J394),SUMIFS(PARÂMETROS!$E$8:$E$33,PARÂMETROS!$A$8:$A$33,C394,PARÂMETROS!$G$8:$G$33,J394))</f>
        <v/>
      </c>
      <c r="E394" s="96">
        <f>SUMIFS(SETORES!$D:$D,SETORES!$A:$A,A394,SETORES!$F:$F,J394)</f>
        <v/>
      </c>
      <c r="F394" s="96">
        <f>IFERROR(D394*E394,0)</f>
        <v/>
      </c>
      <c r="G394" s="88">
        <f>SUMIFS(PARÂMETROS!$F$8:$F$33,PARÂMETROS!$A$8:$A$33,C394,PARÂMETROS!$G$8:$G$33,J394)</f>
        <v/>
      </c>
      <c r="H394" s="96">
        <f>IFERROR(F394*G394,0)</f>
        <v/>
      </c>
      <c r="I394" s="96">
        <f>F394+H394</f>
        <v/>
      </c>
      <c r="J394" s="90" t="inlineStr">
        <is>
          <t>Maio/2026</t>
        </is>
      </c>
    </row>
    <row r="395" hidden="1" ht="14.25" customHeight="1" s="75">
      <c r="A395" s="105" t="inlineStr">
        <is>
          <t>Estoque</t>
        </is>
      </c>
      <c r="B395" s="94">
        <f>INDEX(SETORES!$B:$B,MATCH(A395,SETORES!$A:$A,0))</f>
        <v/>
      </c>
      <c r="C395" s="105" t="inlineStr">
        <is>
          <t>Empresa Licenciada SOARES E SILVA</t>
        </is>
      </c>
      <c r="D395" s="83">
        <f>IF(B395="Clientes",SUMIFS(PARÂMETROS!$D$8:$D$33,PARÂMETROS!$A$8:$A$33,C395,PARÂMETROS!$G$8:$G$33,J395),SUMIFS(PARÂMETROS!$E$8:$E$33,PARÂMETROS!$A$8:$A$33,C395,PARÂMETROS!$G$8:$G$33,J395))</f>
        <v/>
      </c>
      <c r="E395" s="107">
        <f>SUMIFS(SETORES!$D:$D,SETORES!$A:$A,A395,SETORES!$F:$F,J395)</f>
        <v/>
      </c>
      <c r="F395" s="107">
        <f>IFERROR(D395*E395,0)</f>
        <v/>
      </c>
      <c r="G395" s="83">
        <f>SUMIFS(PARÂMETROS!$F$8:$F$33,PARÂMETROS!$A$8:$A$33,C395,PARÂMETROS!$G$8:$G$33,J395)</f>
        <v/>
      </c>
      <c r="H395" s="107">
        <f>IFERROR(F395*G395,0)</f>
        <v/>
      </c>
      <c r="I395" s="107">
        <f>F395+H395</f>
        <v/>
      </c>
      <c r="J395" s="105" t="inlineStr">
        <is>
          <t>Maio/2026</t>
        </is>
      </c>
    </row>
    <row r="396" hidden="1" ht="14.25" customHeight="1" s="75">
      <c r="A396" s="90" t="inlineStr">
        <is>
          <t>Estoque</t>
        </is>
      </c>
      <c r="B396" s="90">
        <f>INDEX(SETORES!$B:$B,MATCH(A396,SETORES!$A:$A,0))</f>
        <v/>
      </c>
      <c r="C396" s="90" t="inlineStr">
        <is>
          <t>Empresa Licenciada SOUZA E SILVA</t>
        </is>
      </c>
      <c r="D396" s="88">
        <f>IF(B396="Clientes",SUMIFS(PARÂMETROS!$D$8:$D$33,PARÂMETROS!$A$8:$A$33,C396,PARÂMETROS!$G$8:$G$33,J396),SUMIFS(PARÂMETROS!$E$8:$E$33,PARÂMETROS!$A$8:$A$33,C396,PARÂMETROS!$G$8:$G$33,J396))</f>
        <v/>
      </c>
      <c r="E396" s="96">
        <f>SUMIFS(SETORES!$D:$D,SETORES!$A:$A,A396,SETORES!$F:$F,J396)</f>
        <v/>
      </c>
      <c r="F396" s="96">
        <f>IFERROR(D396*E396,0)</f>
        <v/>
      </c>
      <c r="G396" s="88">
        <f>SUMIFS(PARÂMETROS!$F$8:$F$33,PARÂMETROS!$A$8:$A$33,C396,PARÂMETROS!$G$8:$G$33,J396)</f>
        <v/>
      </c>
      <c r="H396" s="96">
        <f>IFERROR(F396*G396,0)</f>
        <v/>
      </c>
      <c r="I396" s="96">
        <f>F396+H396</f>
        <v/>
      </c>
      <c r="J396" s="90" t="inlineStr">
        <is>
          <t>Maio/2026</t>
        </is>
      </c>
    </row>
    <row r="397" hidden="1" ht="14.25" customHeight="1" s="75">
      <c r="A397" s="105" t="inlineStr">
        <is>
          <t>Estoque</t>
        </is>
      </c>
      <c r="B397" s="94">
        <f>INDEX(SETORES!$B:$B,MATCH(A397,SETORES!$A:$A,0))</f>
        <v/>
      </c>
      <c r="C397" s="105" t="inlineStr">
        <is>
          <t>Empresa Licenciada VOICENET</t>
        </is>
      </c>
      <c r="D397" s="83">
        <f>IF(B397="Clientes",SUMIFS(PARÂMETROS!$D$8:$D$33,PARÂMETROS!$A$8:$A$33,C397,PARÂMETROS!$G$8:$G$33,J397),SUMIFS(PARÂMETROS!$E$8:$E$33,PARÂMETROS!$A$8:$A$33,C397,PARÂMETROS!$G$8:$G$33,J397))</f>
        <v/>
      </c>
      <c r="E397" s="107">
        <f>SUMIFS(SETORES!$D:$D,SETORES!$A:$A,A397,SETORES!$F:$F,J397)</f>
        <v/>
      </c>
      <c r="F397" s="107">
        <f>IFERROR(D397*E397,0)</f>
        <v/>
      </c>
      <c r="G397" s="83">
        <f>SUMIFS(PARÂMETROS!$F$8:$F$33,PARÂMETROS!$A$8:$A$33,C397,PARÂMETROS!$G$8:$G$33,J397)</f>
        <v/>
      </c>
      <c r="H397" s="107">
        <f>IFERROR(F397*G397,0)</f>
        <v/>
      </c>
      <c r="I397" s="107">
        <f>F397+H397</f>
        <v/>
      </c>
      <c r="J397" s="105" t="inlineStr">
        <is>
          <t>Maio/2026</t>
        </is>
      </c>
    </row>
    <row r="398" hidden="1" ht="14.25" customHeight="1" s="75">
      <c r="A398" s="90" t="inlineStr">
        <is>
          <t>Estoque</t>
        </is>
      </c>
      <c r="B398" s="90">
        <f>INDEX(SETORES!$B:$B,MATCH(A398,SETORES!$A:$A,0))</f>
        <v/>
      </c>
      <c r="C398" s="90" t="inlineStr">
        <is>
          <t>DTEL (uso próprio)</t>
        </is>
      </c>
      <c r="D398" s="88">
        <f>IF(B398="Clientes",SUMIFS(PARÂMETROS!$D$8:$D$33,PARÂMETROS!$A$8:$A$33,C398,PARÂMETROS!$G$8:$G$33,J398),SUMIFS(PARÂMETROS!$E$8:$E$33,PARÂMETROS!$A$8:$A$33,C398,PARÂMETROS!$G$8:$G$33,J398))</f>
        <v/>
      </c>
      <c r="E398" s="96">
        <f>SUMIFS(SETORES!$D:$D,SETORES!$A:$A,A398,SETORES!$F:$F,J398)</f>
        <v/>
      </c>
      <c r="F398" s="96">
        <f>IFERROR(D398*E398,0)</f>
        <v/>
      </c>
      <c r="G398" s="88">
        <f>SUMIFS(PARÂMETROS!$F$8:$F$33,PARÂMETROS!$A$8:$A$33,C398,PARÂMETROS!$G$8:$G$33,J398)</f>
        <v/>
      </c>
      <c r="H398" s="96">
        <f>IFERROR(F398*G398,0)</f>
        <v/>
      </c>
      <c r="I398" s="96">
        <f>F398+H398</f>
        <v/>
      </c>
      <c r="J398" s="90" t="inlineStr">
        <is>
          <t>Maio/2026</t>
        </is>
      </c>
    </row>
    <row r="399" hidden="1" ht="14.25" customHeight="1" s="75">
      <c r="A399" s="105" t="inlineStr">
        <is>
          <t>Televendas</t>
        </is>
      </c>
      <c r="B399" s="94">
        <f>INDEX(SETORES!$B:$B,MATCH(A399,SETORES!$A:$A,0))</f>
        <v/>
      </c>
      <c r="C399" s="105" t="inlineStr">
        <is>
          <t>Empresa Licenciada DX2</t>
        </is>
      </c>
      <c r="D399" s="83">
        <f>IF(B399="Clientes",SUMIFS(PARÂMETROS!$D$8:$D$33,PARÂMETROS!$A$8:$A$33,C399,PARÂMETROS!$G$8:$G$33,J399),SUMIFS(PARÂMETROS!$E$8:$E$33,PARÂMETROS!$A$8:$A$33,C399,PARÂMETROS!$G$8:$G$33,J399))</f>
        <v/>
      </c>
      <c r="E399" s="107">
        <f>SUMIFS(SETORES!$D:$D,SETORES!$A:$A,A399,SETORES!$F:$F,J399)</f>
        <v/>
      </c>
      <c r="F399" s="107">
        <f>IFERROR(D399*E399,0)</f>
        <v/>
      </c>
      <c r="G399" s="83">
        <f>SUMIFS(PARÂMETROS!$F$8:$F$33,PARÂMETROS!$A$8:$A$33,C399,PARÂMETROS!$G$8:$G$33,J399)</f>
        <v/>
      </c>
      <c r="H399" s="107">
        <f>IFERROR(F399*G399,0)</f>
        <v/>
      </c>
      <c r="I399" s="107">
        <f>F399+H399</f>
        <v/>
      </c>
      <c r="J399" s="105" t="inlineStr">
        <is>
          <t>Maio/2026</t>
        </is>
      </c>
    </row>
    <row r="400" hidden="1" ht="14.25" customHeight="1" s="75">
      <c r="A400" s="90" t="inlineStr">
        <is>
          <t>Televendas</t>
        </is>
      </c>
      <c r="B400" s="90">
        <f>INDEX(SETORES!$B:$B,MATCH(A400,SETORES!$A:$A,0))</f>
        <v/>
      </c>
      <c r="C400" s="90" t="inlineStr">
        <is>
          <t>Empresa Licenciada H&amp;A</t>
        </is>
      </c>
      <c r="D400" s="88">
        <f>IF(B400="Clientes",SUMIFS(PARÂMETROS!$D$8:$D$33,PARÂMETROS!$A$8:$A$33,C400,PARÂMETROS!$G$8:$G$33,J400),SUMIFS(PARÂMETROS!$E$8:$E$33,PARÂMETROS!$A$8:$A$33,C400,PARÂMETROS!$G$8:$G$33,J400))</f>
        <v/>
      </c>
      <c r="E400" s="96">
        <f>SUMIFS(SETORES!$D:$D,SETORES!$A:$A,A400,SETORES!$F:$F,J400)</f>
        <v/>
      </c>
      <c r="F400" s="96">
        <f>IFERROR(D400*E400,0)</f>
        <v/>
      </c>
      <c r="G400" s="88">
        <f>SUMIFS(PARÂMETROS!$F$8:$F$33,PARÂMETROS!$A$8:$A$33,C400,PARÂMETROS!$G$8:$G$33,J400)</f>
        <v/>
      </c>
      <c r="H400" s="96">
        <f>IFERROR(F400*G400,0)</f>
        <v/>
      </c>
      <c r="I400" s="96">
        <f>F400+H400</f>
        <v/>
      </c>
      <c r="J400" s="90" t="inlineStr">
        <is>
          <t>Maio/2026</t>
        </is>
      </c>
    </row>
    <row r="401" hidden="1" ht="14.25" customHeight="1" s="75">
      <c r="A401" s="105" t="inlineStr">
        <is>
          <t>Televendas</t>
        </is>
      </c>
      <c r="B401" s="94">
        <f>INDEX(SETORES!$B:$B,MATCH(A401,SETORES!$A:$A,0))</f>
        <v/>
      </c>
      <c r="C401" s="105" t="inlineStr">
        <is>
          <t>Empresa Licenciada SOLON ARAUJO</t>
        </is>
      </c>
      <c r="D401" s="83">
        <f>IF(B401="Clientes",SUMIFS(PARÂMETROS!$D$8:$D$33,PARÂMETROS!$A$8:$A$33,C401,PARÂMETROS!$G$8:$G$33,J401),SUMIFS(PARÂMETROS!$E$8:$E$33,PARÂMETROS!$A$8:$A$33,C401,PARÂMETROS!$G$8:$G$33,J401))</f>
        <v/>
      </c>
      <c r="E401" s="107">
        <f>SUMIFS(SETORES!$D:$D,SETORES!$A:$A,A401,SETORES!$F:$F,J401)</f>
        <v/>
      </c>
      <c r="F401" s="107">
        <f>IFERROR(D401*E401,0)</f>
        <v/>
      </c>
      <c r="G401" s="83">
        <f>SUMIFS(PARÂMETROS!$F$8:$F$33,PARÂMETROS!$A$8:$A$33,C401,PARÂMETROS!$G$8:$G$33,J401)</f>
        <v/>
      </c>
      <c r="H401" s="107">
        <f>IFERROR(F401*G401,0)</f>
        <v/>
      </c>
      <c r="I401" s="107">
        <f>F401+H401</f>
        <v/>
      </c>
      <c r="J401" s="105" t="inlineStr">
        <is>
          <t>Maio/2026</t>
        </is>
      </c>
    </row>
    <row r="402" ht="14.25" customHeight="1" s="75">
      <c r="A402" s="90" t="inlineStr">
        <is>
          <t>Televendas</t>
        </is>
      </c>
      <c r="B402" s="90">
        <f>INDEX(SETORES!$B:$B,MATCH(A402,SETORES!$A:$A,0))</f>
        <v/>
      </c>
      <c r="C402" s="90" t="inlineStr">
        <is>
          <t>Empresa Licenciada SOARES E LINS</t>
        </is>
      </c>
      <c r="D402" s="88">
        <f>IF(B402="Clientes",SUMIFS(PARÂMETROS!$D$8:$D$33,PARÂMETROS!$A$8:$A$33,C402,PARÂMETROS!$G$8:$G$33,J402),SUMIFS(PARÂMETROS!$E$8:$E$33,PARÂMETROS!$A$8:$A$33,C402,PARÂMETROS!$G$8:$G$33,J402))</f>
        <v/>
      </c>
      <c r="E402" s="96">
        <f>SUMIFS(SETORES!$D:$D,SETORES!$A:$A,A402,SETORES!$F:$F,J402)</f>
        <v/>
      </c>
      <c r="F402" s="96">
        <f>IFERROR(D402*E402,0)</f>
        <v/>
      </c>
      <c r="G402" s="88">
        <f>SUMIFS(PARÂMETROS!$F$8:$F$33,PARÂMETROS!$A$8:$A$33,C402,PARÂMETROS!$G$8:$G$33,J402)</f>
        <v/>
      </c>
      <c r="H402" s="96">
        <f>IFERROR(F402*G402,0)</f>
        <v/>
      </c>
      <c r="I402" s="96">
        <f>F402+H402</f>
        <v/>
      </c>
      <c r="J402" s="90" t="inlineStr">
        <is>
          <t>Maio/2026</t>
        </is>
      </c>
    </row>
    <row r="403" hidden="1" ht="14.25" customHeight="1" s="75">
      <c r="A403" s="105" t="inlineStr">
        <is>
          <t>Televendas</t>
        </is>
      </c>
      <c r="B403" s="94">
        <f>INDEX(SETORES!$B:$B,MATCH(A403,SETORES!$A:$A,0))</f>
        <v/>
      </c>
      <c r="C403" s="105" t="inlineStr">
        <is>
          <t>Empresa Licenciada SOARES E SILVA</t>
        </is>
      </c>
      <c r="D403" s="83">
        <f>IF(B403="Clientes",SUMIFS(PARÂMETROS!$D$8:$D$33,PARÂMETROS!$A$8:$A$33,C403,PARÂMETROS!$G$8:$G$33,J403),SUMIFS(PARÂMETROS!$E$8:$E$33,PARÂMETROS!$A$8:$A$33,C403,PARÂMETROS!$G$8:$G$33,J403))</f>
        <v/>
      </c>
      <c r="E403" s="107">
        <f>SUMIFS(SETORES!$D:$D,SETORES!$A:$A,A403,SETORES!$F:$F,J403)</f>
        <v/>
      </c>
      <c r="F403" s="107">
        <f>IFERROR(D403*E403,0)</f>
        <v/>
      </c>
      <c r="G403" s="83">
        <f>SUMIFS(PARÂMETROS!$F$8:$F$33,PARÂMETROS!$A$8:$A$33,C403,PARÂMETROS!$G$8:$G$33,J403)</f>
        <v/>
      </c>
      <c r="H403" s="107">
        <f>IFERROR(F403*G403,0)</f>
        <v/>
      </c>
      <c r="I403" s="107">
        <f>F403+H403</f>
        <v/>
      </c>
      <c r="J403" s="105" t="inlineStr">
        <is>
          <t>Maio/2026</t>
        </is>
      </c>
    </row>
    <row r="404" hidden="1" ht="14.25" customHeight="1" s="75">
      <c r="A404" s="90" t="inlineStr">
        <is>
          <t>Televendas</t>
        </is>
      </c>
      <c r="B404" s="90">
        <f>INDEX(SETORES!$B:$B,MATCH(A404,SETORES!$A:$A,0))</f>
        <v/>
      </c>
      <c r="C404" s="90" t="inlineStr">
        <is>
          <t>Empresa Licenciada SOUZA E SILVA</t>
        </is>
      </c>
      <c r="D404" s="88">
        <f>IF(B404="Clientes",SUMIFS(PARÂMETROS!$D$8:$D$33,PARÂMETROS!$A$8:$A$33,C404,PARÂMETROS!$G$8:$G$33,J404),SUMIFS(PARÂMETROS!$E$8:$E$33,PARÂMETROS!$A$8:$A$33,C404,PARÂMETROS!$G$8:$G$33,J404))</f>
        <v/>
      </c>
      <c r="E404" s="96">
        <f>SUMIFS(SETORES!$D:$D,SETORES!$A:$A,A404,SETORES!$F:$F,J404)</f>
        <v/>
      </c>
      <c r="F404" s="96">
        <f>IFERROR(D404*E404,0)</f>
        <v/>
      </c>
      <c r="G404" s="88">
        <f>SUMIFS(PARÂMETROS!$F$8:$F$33,PARÂMETROS!$A$8:$A$33,C404,PARÂMETROS!$G$8:$G$33,J404)</f>
        <v/>
      </c>
      <c r="H404" s="96">
        <f>IFERROR(F404*G404,0)</f>
        <v/>
      </c>
      <c r="I404" s="96">
        <f>F404+H404</f>
        <v/>
      </c>
      <c r="J404" s="90" t="inlineStr">
        <is>
          <t>Maio/2026</t>
        </is>
      </c>
    </row>
    <row r="405" hidden="1" ht="14.25" customHeight="1" s="75">
      <c r="A405" s="105" t="inlineStr">
        <is>
          <t>Televendas</t>
        </is>
      </c>
      <c r="B405" s="94">
        <f>INDEX(SETORES!$B:$B,MATCH(A405,SETORES!$A:$A,0))</f>
        <v/>
      </c>
      <c r="C405" s="105" t="inlineStr">
        <is>
          <t>Empresa Licenciada VOICENET</t>
        </is>
      </c>
      <c r="D405" s="83">
        <f>IF(B405="Clientes",SUMIFS(PARÂMETROS!$D$8:$D$33,PARÂMETROS!$A$8:$A$33,C405,PARÂMETROS!$G$8:$G$33,J405),SUMIFS(PARÂMETROS!$E$8:$E$33,PARÂMETROS!$A$8:$A$33,C405,PARÂMETROS!$G$8:$G$33,J405))</f>
        <v/>
      </c>
      <c r="E405" s="107">
        <f>SUMIFS(SETORES!$D:$D,SETORES!$A:$A,A405,SETORES!$F:$F,J405)</f>
        <v/>
      </c>
      <c r="F405" s="107">
        <f>IFERROR(D405*E405,0)</f>
        <v/>
      </c>
      <c r="G405" s="83">
        <f>SUMIFS(PARÂMETROS!$F$8:$F$33,PARÂMETROS!$A$8:$A$33,C405,PARÂMETROS!$G$8:$G$33,J405)</f>
        <v/>
      </c>
      <c r="H405" s="107">
        <f>IFERROR(F405*G405,0)</f>
        <v/>
      </c>
      <c r="I405" s="107">
        <f>F405+H405</f>
        <v/>
      </c>
      <c r="J405" s="105" t="inlineStr">
        <is>
          <t>Maio/2026</t>
        </is>
      </c>
    </row>
    <row r="406" hidden="1" ht="14.25" customHeight="1" s="75">
      <c r="A406" s="90" t="inlineStr">
        <is>
          <t>Televendas</t>
        </is>
      </c>
      <c r="B406" s="90">
        <f>INDEX(SETORES!$B:$B,MATCH(A406,SETORES!$A:$A,0))</f>
        <v/>
      </c>
      <c r="C406" s="90" t="inlineStr">
        <is>
          <t>DTEL (uso próprio)</t>
        </is>
      </c>
      <c r="D406" s="88">
        <f>IF(B406="Clientes",SUMIFS(PARÂMETROS!$D$8:$D$33,PARÂMETROS!$A$8:$A$33,C406,PARÂMETROS!$G$8:$G$33,J406),SUMIFS(PARÂMETROS!$E$8:$E$33,PARÂMETROS!$A$8:$A$33,C406,PARÂMETROS!$G$8:$G$33,J406))</f>
        <v/>
      </c>
      <c r="E406" s="96">
        <f>SUMIFS(SETORES!$D:$D,SETORES!$A:$A,A406,SETORES!$F:$F,J406)</f>
        <v/>
      </c>
      <c r="F406" s="96">
        <f>IFERROR(D406*E406,0)</f>
        <v/>
      </c>
      <c r="G406" s="88">
        <f>SUMIFS(PARÂMETROS!$F$8:$F$33,PARÂMETROS!$A$8:$A$33,C406,PARÂMETROS!$G$8:$G$33,J406)</f>
        <v/>
      </c>
      <c r="H406" s="96">
        <f>IFERROR(F406*G406,0)</f>
        <v/>
      </c>
      <c r="I406" s="96">
        <f>F406+H406</f>
        <v/>
      </c>
      <c r="J406" s="90" t="inlineStr">
        <is>
          <t>Maio/2026</t>
        </is>
      </c>
    </row>
    <row r="407" hidden="1" ht="14.25" customHeight="1" s="75">
      <c r="A407" s="105" t="inlineStr">
        <is>
          <t>Suporte Orbix</t>
        </is>
      </c>
      <c r="B407" s="94">
        <f>INDEX(SETORES!$B:$B,MATCH(A407,SETORES!$A:$A,0))</f>
        <v/>
      </c>
      <c r="C407" s="105" t="inlineStr">
        <is>
          <t>Empresa Licenciada DX2</t>
        </is>
      </c>
      <c r="D407" s="83">
        <f>IF(B407="Clientes",SUMIFS(PARÂMETROS!$D$8:$D$33,PARÂMETROS!$A$8:$A$33,C407,PARÂMETROS!$G$8:$G$33,J407),SUMIFS(PARÂMETROS!$E$8:$E$33,PARÂMETROS!$A$8:$A$33,C407,PARÂMETROS!$G$8:$G$33,J407))</f>
        <v/>
      </c>
      <c r="E407" s="107">
        <f>SUMIFS(SETORES!$D:$D,SETORES!$A:$A,A407,SETORES!$F:$F,J407)</f>
        <v/>
      </c>
      <c r="F407" s="107">
        <f>IFERROR(D407*E407,0)</f>
        <v/>
      </c>
      <c r="G407" s="83">
        <f>SUMIFS(PARÂMETROS!$F$8:$F$33,PARÂMETROS!$A$8:$A$33,C407,PARÂMETROS!$G$8:$G$33,J407)</f>
        <v/>
      </c>
      <c r="H407" s="107">
        <f>IFERROR(F407*G407,0)</f>
        <v/>
      </c>
      <c r="I407" s="107">
        <f>F407+H407</f>
        <v/>
      </c>
      <c r="J407" s="105" t="inlineStr">
        <is>
          <t>Maio/2026</t>
        </is>
      </c>
    </row>
    <row r="408" hidden="1" ht="14.25" customHeight="1" s="75">
      <c r="A408" s="90" t="inlineStr">
        <is>
          <t>Suporte Orbix</t>
        </is>
      </c>
      <c r="B408" s="90">
        <f>INDEX(SETORES!$B:$B,MATCH(A408,SETORES!$A:$A,0))</f>
        <v/>
      </c>
      <c r="C408" s="90" t="inlineStr">
        <is>
          <t>Empresa Licenciada H&amp;A</t>
        </is>
      </c>
      <c r="D408" s="88">
        <f>IF(B408="Clientes",SUMIFS(PARÂMETROS!$D$8:$D$33,PARÂMETROS!$A$8:$A$33,C408,PARÂMETROS!$G$8:$G$33,J408),SUMIFS(PARÂMETROS!$E$8:$E$33,PARÂMETROS!$A$8:$A$33,C408,PARÂMETROS!$G$8:$G$33,J408))</f>
        <v/>
      </c>
      <c r="E408" s="96">
        <f>SUMIFS(SETORES!$D:$D,SETORES!$A:$A,A408,SETORES!$F:$F,J408)</f>
        <v/>
      </c>
      <c r="F408" s="96">
        <f>IFERROR(D408*E408,0)</f>
        <v/>
      </c>
      <c r="G408" s="88">
        <f>SUMIFS(PARÂMETROS!$F$8:$F$33,PARÂMETROS!$A$8:$A$33,C408,PARÂMETROS!$G$8:$G$33,J408)</f>
        <v/>
      </c>
      <c r="H408" s="96">
        <f>IFERROR(F408*G408,0)</f>
        <v/>
      </c>
      <c r="I408" s="96">
        <f>F408+H408</f>
        <v/>
      </c>
      <c r="J408" s="90" t="inlineStr">
        <is>
          <t>Maio/2026</t>
        </is>
      </c>
    </row>
    <row r="409" hidden="1" ht="14.25" customHeight="1" s="75">
      <c r="A409" s="105" t="inlineStr">
        <is>
          <t>Suporte Orbix</t>
        </is>
      </c>
      <c r="B409" s="94">
        <f>INDEX(SETORES!$B:$B,MATCH(A409,SETORES!$A:$A,0))</f>
        <v/>
      </c>
      <c r="C409" s="105" t="inlineStr">
        <is>
          <t>Empresa Licenciada SOLON ARAUJO</t>
        </is>
      </c>
      <c r="D409" s="83">
        <f>IF(B409="Clientes",SUMIFS(PARÂMETROS!$D$8:$D$33,PARÂMETROS!$A$8:$A$33,C409,PARÂMETROS!$G$8:$G$33,J409),SUMIFS(PARÂMETROS!$E$8:$E$33,PARÂMETROS!$A$8:$A$33,C409,PARÂMETROS!$G$8:$G$33,J409))</f>
        <v/>
      </c>
      <c r="E409" s="107">
        <f>SUMIFS(SETORES!$D:$D,SETORES!$A:$A,A409,SETORES!$F:$F,J409)</f>
        <v/>
      </c>
      <c r="F409" s="107">
        <f>IFERROR(D409*E409,0)</f>
        <v/>
      </c>
      <c r="G409" s="83">
        <f>SUMIFS(PARÂMETROS!$F$8:$F$33,PARÂMETROS!$A$8:$A$33,C409,PARÂMETROS!$G$8:$G$33,J409)</f>
        <v/>
      </c>
      <c r="H409" s="107">
        <f>IFERROR(F409*G409,0)</f>
        <v/>
      </c>
      <c r="I409" s="107">
        <f>F409+H409</f>
        <v/>
      </c>
      <c r="J409" s="105" t="inlineStr">
        <is>
          <t>Maio/2026</t>
        </is>
      </c>
    </row>
    <row r="410" ht="14.25" customHeight="1" s="75">
      <c r="A410" s="90" t="inlineStr">
        <is>
          <t>Suporte Orbix</t>
        </is>
      </c>
      <c r="B410" s="90">
        <f>INDEX(SETORES!$B:$B,MATCH(A410,SETORES!$A:$A,0))</f>
        <v/>
      </c>
      <c r="C410" s="90" t="inlineStr">
        <is>
          <t>Empresa Licenciada SOARES E LINS</t>
        </is>
      </c>
      <c r="D410" s="88">
        <f>IF(B410="Clientes",SUMIFS(PARÂMETROS!$D$8:$D$33,PARÂMETROS!$A$8:$A$33,C410,PARÂMETROS!$G$8:$G$33,J410),SUMIFS(PARÂMETROS!$E$8:$E$33,PARÂMETROS!$A$8:$A$33,C410,PARÂMETROS!$G$8:$G$33,J410))</f>
        <v/>
      </c>
      <c r="E410" s="96">
        <f>SUMIFS(SETORES!$D:$D,SETORES!$A:$A,A410,SETORES!$F:$F,J410)</f>
        <v/>
      </c>
      <c r="F410" s="96">
        <f>IFERROR(D410*E410,0)</f>
        <v/>
      </c>
      <c r="G410" s="88">
        <f>SUMIFS(PARÂMETROS!$F$8:$F$33,PARÂMETROS!$A$8:$A$33,C410,PARÂMETROS!$G$8:$G$33,J410)</f>
        <v/>
      </c>
      <c r="H410" s="96">
        <f>IFERROR(F410*G410,0)</f>
        <v/>
      </c>
      <c r="I410" s="96">
        <f>F410+H410</f>
        <v/>
      </c>
      <c r="J410" s="90" t="inlineStr">
        <is>
          <t>Maio/2026</t>
        </is>
      </c>
    </row>
    <row r="411" hidden="1" ht="14.25" customHeight="1" s="75">
      <c r="A411" s="105" t="inlineStr">
        <is>
          <t>Suporte Orbix</t>
        </is>
      </c>
      <c r="B411" s="94">
        <f>INDEX(SETORES!$B:$B,MATCH(A411,SETORES!$A:$A,0))</f>
        <v/>
      </c>
      <c r="C411" s="105" t="inlineStr">
        <is>
          <t>Empresa Licenciada SOARES E SILVA</t>
        </is>
      </c>
      <c r="D411" s="83">
        <f>IF(B411="Clientes",SUMIFS(PARÂMETROS!$D$8:$D$33,PARÂMETROS!$A$8:$A$33,C411,PARÂMETROS!$G$8:$G$33,J411),SUMIFS(PARÂMETROS!$E$8:$E$33,PARÂMETROS!$A$8:$A$33,C411,PARÂMETROS!$G$8:$G$33,J411))</f>
        <v/>
      </c>
      <c r="E411" s="107">
        <f>SUMIFS(SETORES!$D:$D,SETORES!$A:$A,A411,SETORES!$F:$F,J411)</f>
        <v/>
      </c>
      <c r="F411" s="107">
        <f>IFERROR(D411*E411,0)</f>
        <v/>
      </c>
      <c r="G411" s="83">
        <f>SUMIFS(PARÂMETROS!$F$8:$F$33,PARÂMETROS!$A$8:$A$33,C411,PARÂMETROS!$G$8:$G$33,J411)</f>
        <v/>
      </c>
      <c r="H411" s="107">
        <f>IFERROR(F411*G411,0)</f>
        <v/>
      </c>
      <c r="I411" s="107">
        <f>F411+H411</f>
        <v/>
      </c>
      <c r="J411" s="105" t="inlineStr">
        <is>
          <t>Maio/2026</t>
        </is>
      </c>
    </row>
    <row r="412" hidden="1" ht="14.25" customHeight="1" s="75">
      <c r="A412" s="90" t="inlineStr">
        <is>
          <t>Suporte Orbix</t>
        </is>
      </c>
      <c r="B412" s="90">
        <f>INDEX(SETORES!$B:$B,MATCH(A412,SETORES!$A:$A,0))</f>
        <v/>
      </c>
      <c r="C412" s="90" t="inlineStr">
        <is>
          <t>Empresa Licenciada SOUZA E SILVA</t>
        </is>
      </c>
      <c r="D412" s="88">
        <f>IF(B412="Clientes",SUMIFS(PARÂMETROS!$D$8:$D$33,PARÂMETROS!$A$8:$A$33,C412,PARÂMETROS!$G$8:$G$33,J412),SUMIFS(PARÂMETROS!$E$8:$E$33,PARÂMETROS!$A$8:$A$33,C412,PARÂMETROS!$G$8:$G$33,J412))</f>
        <v/>
      </c>
      <c r="E412" s="96">
        <f>SUMIFS(SETORES!$D:$D,SETORES!$A:$A,A412,SETORES!$F:$F,J412)</f>
        <v/>
      </c>
      <c r="F412" s="96">
        <f>IFERROR(D412*E412,0)</f>
        <v/>
      </c>
      <c r="G412" s="88">
        <f>SUMIFS(PARÂMETROS!$F$8:$F$33,PARÂMETROS!$A$8:$A$33,C412,PARÂMETROS!$G$8:$G$33,J412)</f>
        <v/>
      </c>
      <c r="H412" s="96">
        <f>IFERROR(F412*G412,0)</f>
        <v/>
      </c>
      <c r="I412" s="96">
        <f>F412+H412</f>
        <v/>
      </c>
      <c r="J412" s="90" t="inlineStr">
        <is>
          <t>Maio/2026</t>
        </is>
      </c>
    </row>
    <row r="413" hidden="1" ht="14.25" customHeight="1" s="75">
      <c r="A413" s="105" t="inlineStr">
        <is>
          <t>Suporte Orbix</t>
        </is>
      </c>
      <c r="B413" s="94">
        <f>INDEX(SETORES!$B:$B,MATCH(A413,SETORES!$A:$A,0))</f>
        <v/>
      </c>
      <c r="C413" s="105" t="inlineStr">
        <is>
          <t>Empresa Licenciada VOICENET</t>
        </is>
      </c>
      <c r="D413" s="83">
        <f>IF(B413="Clientes",SUMIFS(PARÂMETROS!$D$8:$D$33,PARÂMETROS!$A$8:$A$33,C413,PARÂMETROS!$G$8:$G$33,J413),SUMIFS(PARÂMETROS!$E$8:$E$33,PARÂMETROS!$A$8:$A$33,C413,PARÂMETROS!$G$8:$G$33,J413))</f>
        <v/>
      </c>
      <c r="E413" s="107">
        <f>SUMIFS(SETORES!$D:$D,SETORES!$A:$A,A413,SETORES!$F:$F,J413)</f>
        <v/>
      </c>
      <c r="F413" s="107">
        <f>IFERROR(D413*E413,0)</f>
        <v/>
      </c>
      <c r="G413" s="83">
        <f>SUMIFS(PARÂMETROS!$F$8:$F$33,PARÂMETROS!$A$8:$A$33,C413,PARÂMETROS!$G$8:$G$33,J413)</f>
        <v/>
      </c>
      <c r="H413" s="107">
        <f>IFERROR(F413*G413,0)</f>
        <v/>
      </c>
      <c r="I413" s="107">
        <f>F413+H413</f>
        <v/>
      </c>
      <c r="J413" s="105" t="inlineStr">
        <is>
          <t>Maio/2026</t>
        </is>
      </c>
    </row>
    <row r="414" hidden="1" ht="14.25" customHeight="1" s="75">
      <c r="A414" s="90" t="inlineStr">
        <is>
          <t>Suporte Orbix</t>
        </is>
      </c>
      <c r="B414" s="90">
        <f>INDEX(SETORES!$B:$B,MATCH(A414,SETORES!$A:$A,0))</f>
        <v/>
      </c>
      <c r="C414" s="90" t="inlineStr">
        <is>
          <t>DTEL (uso próprio)</t>
        </is>
      </c>
      <c r="D414" s="88">
        <f>IF(B414="Clientes",SUMIFS(PARÂMETROS!$D$8:$D$33,PARÂMETROS!$A$8:$A$33,C414,PARÂMETROS!$G$8:$G$33,J414),SUMIFS(PARÂMETROS!$E$8:$E$33,PARÂMETROS!$A$8:$A$33,C414,PARÂMETROS!$G$8:$G$33,J414))</f>
        <v/>
      </c>
      <c r="E414" s="96">
        <f>SUMIFS(SETORES!$D:$D,SETORES!$A:$A,A414,SETORES!$F:$F,J414)</f>
        <v/>
      </c>
      <c r="F414" s="96">
        <f>IFERROR(D414*E414,0)</f>
        <v/>
      </c>
      <c r="G414" s="88">
        <f>SUMIFS(PARÂMETROS!$F$8:$F$33,PARÂMETROS!$A$8:$A$33,C414,PARÂMETROS!$G$8:$G$33,J414)</f>
        <v/>
      </c>
      <c r="H414" s="96">
        <f>IFERROR(F414*G414,0)</f>
        <v/>
      </c>
      <c r="I414" s="96">
        <f>F414+H414</f>
        <v/>
      </c>
      <c r="J414" s="90" t="inlineStr">
        <is>
          <t>Maio/2026</t>
        </is>
      </c>
    </row>
    <row r="415" hidden="1" ht="14.25" customHeight="1" s="75">
      <c r="A415" s="105" t="inlineStr">
        <is>
          <t>Suporte da Central</t>
        </is>
      </c>
      <c r="B415" s="94">
        <f>INDEX(SETORES!$B:$B,MATCH(A415,SETORES!$A:$A,0))</f>
        <v/>
      </c>
      <c r="C415" s="105" t="inlineStr">
        <is>
          <t>Empresa Licenciada DX2</t>
        </is>
      </c>
      <c r="D415" s="83">
        <f>IF(B415="Clientes",SUMIFS(PARÂMETROS!$D$8:$D$33,PARÂMETROS!$A$8:$A$33,C415,PARÂMETROS!$G$8:$G$33,J415),SUMIFS(PARÂMETROS!$E$8:$E$33,PARÂMETROS!$A$8:$A$33,C415,PARÂMETROS!$G$8:$G$33,J415))</f>
        <v/>
      </c>
      <c r="E415" s="107">
        <f>SUMIFS(SETORES!$D:$D,SETORES!$A:$A,A415,SETORES!$F:$F,J415)</f>
        <v/>
      </c>
      <c r="F415" s="107">
        <f>IFERROR(D415*E415,0)</f>
        <v/>
      </c>
      <c r="G415" s="83">
        <f>SUMIFS(PARÂMETROS!$F$8:$F$33,PARÂMETROS!$A$8:$A$33,C415,PARÂMETROS!$G$8:$G$33,J415)</f>
        <v/>
      </c>
      <c r="H415" s="107">
        <f>IFERROR(F415*G415,0)</f>
        <v/>
      </c>
      <c r="I415" s="107">
        <f>F415+H415</f>
        <v/>
      </c>
      <c r="J415" s="105" t="inlineStr">
        <is>
          <t>Maio/2026</t>
        </is>
      </c>
    </row>
    <row r="416" hidden="1" ht="14.25" customHeight="1" s="75">
      <c r="A416" s="90" t="inlineStr">
        <is>
          <t>Suporte da Central</t>
        </is>
      </c>
      <c r="B416" s="90">
        <f>INDEX(SETORES!$B:$B,MATCH(A416,SETORES!$A:$A,0))</f>
        <v/>
      </c>
      <c r="C416" s="90" t="inlineStr">
        <is>
          <t>Empresa Licenciada H&amp;A</t>
        </is>
      </c>
      <c r="D416" s="88">
        <f>IF(B416="Clientes",SUMIFS(PARÂMETROS!$D$8:$D$33,PARÂMETROS!$A$8:$A$33,C416,PARÂMETROS!$G$8:$G$33,J416),SUMIFS(PARÂMETROS!$E$8:$E$33,PARÂMETROS!$A$8:$A$33,C416,PARÂMETROS!$G$8:$G$33,J416))</f>
        <v/>
      </c>
      <c r="E416" s="96">
        <f>SUMIFS(SETORES!$D:$D,SETORES!$A:$A,A416,SETORES!$F:$F,J416)</f>
        <v/>
      </c>
      <c r="F416" s="96">
        <f>IFERROR(D416*E416,0)</f>
        <v/>
      </c>
      <c r="G416" s="88">
        <f>SUMIFS(PARÂMETROS!$F$8:$F$33,PARÂMETROS!$A$8:$A$33,C416,PARÂMETROS!$G$8:$G$33,J416)</f>
        <v/>
      </c>
      <c r="H416" s="96">
        <f>IFERROR(F416*G416,0)</f>
        <v/>
      </c>
      <c r="I416" s="96">
        <f>F416+H416</f>
        <v/>
      </c>
      <c r="J416" s="90" t="inlineStr">
        <is>
          <t>Maio/2026</t>
        </is>
      </c>
    </row>
    <row r="417" hidden="1" ht="14.25" customHeight="1" s="75">
      <c r="A417" s="105" t="inlineStr">
        <is>
          <t>Suporte da Central</t>
        </is>
      </c>
      <c r="B417" s="94">
        <f>INDEX(SETORES!$B:$B,MATCH(A417,SETORES!$A:$A,0))</f>
        <v/>
      </c>
      <c r="C417" s="105" t="inlineStr">
        <is>
          <t>Empresa Licenciada SOLON ARAUJO</t>
        </is>
      </c>
      <c r="D417" s="83">
        <f>IF(B417="Clientes",SUMIFS(PARÂMETROS!$D$8:$D$33,PARÂMETROS!$A$8:$A$33,C417,PARÂMETROS!$G$8:$G$33,J417),SUMIFS(PARÂMETROS!$E$8:$E$33,PARÂMETROS!$A$8:$A$33,C417,PARÂMETROS!$G$8:$G$33,J417))</f>
        <v/>
      </c>
      <c r="E417" s="107">
        <f>SUMIFS(SETORES!$D:$D,SETORES!$A:$A,A417,SETORES!$F:$F,J417)</f>
        <v/>
      </c>
      <c r="F417" s="107">
        <f>IFERROR(D417*E417,0)</f>
        <v/>
      </c>
      <c r="G417" s="83">
        <f>SUMIFS(PARÂMETROS!$F$8:$F$33,PARÂMETROS!$A$8:$A$33,C417,PARÂMETROS!$G$8:$G$33,J417)</f>
        <v/>
      </c>
      <c r="H417" s="107">
        <f>IFERROR(F417*G417,0)</f>
        <v/>
      </c>
      <c r="I417" s="107">
        <f>F417+H417</f>
        <v/>
      </c>
      <c r="J417" s="105" t="inlineStr">
        <is>
          <t>Maio/2026</t>
        </is>
      </c>
    </row>
    <row r="418" ht="14.25" customHeight="1" s="75">
      <c r="A418" s="90" t="inlineStr">
        <is>
          <t>Suporte da Central</t>
        </is>
      </c>
      <c r="B418" s="90">
        <f>INDEX(SETORES!$B:$B,MATCH(A418,SETORES!$A:$A,0))</f>
        <v/>
      </c>
      <c r="C418" s="90" t="inlineStr">
        <is>
          <t>Empresa Licenciada SOARES E LINS</t>
        </is>
      </c>
      <c r="D418" s="88">
        <f>IF(B418="Clientes",SUMIFS(PARÂMETROS!$D$8:$D$33,PARÂMETROS!$A$8:$A$33,C418,PARÂMETROS!$G$8:$G$33,J418),SUMIFS(PARÂMETROS!$E$8:$E$33,PARÂMETROS!$A$8:$A$33,C418,PARÂMETROS!$G$8:$G$33,J418))</f>
        <v/>
      </c>
      <c r="E418" s="96">
        <f>SUMIFS(SETORES!$D:$D,SETORES!$A:$A,A418,SETORES!$F:$F,J418)</f>
        <v/>
      </c>
      <c r="F418" s="96">
        <f>IFERROR(D418*E418,0)</f>
        <v/>
      </c>
      <c r="G418" s="88">
        <f>SUMIFS(PARÂMETROS!$F$8:$F$33,PARÂMETROS!$A$8:$A$33,C418,PARÂMETROS!$G$8:$G$33,J418)</f>
        <v/>
      </c>
      <c r="H418" s="96">
        <f>IFERROR(F418*G418,0)</f>
        <v/>
      </c>
      <c r="I418" s="96">
        <f>F418+H418</f>
        <v/>
      </c>
      <c r="J418" s="90" t="inlineStr">
        <is>
          <t>Maio/2026</t>
        </is>
      </c>
    </row>
    <row r="419" hidden="1" ht="14.25" customHeight="1" s="75">
      <c r="A419" s="105" t="inlineStr">
        <is>
          <t>Suporte da Central</t>
        </is>
      </c>
      <c r="B419" s="94">
        <f>INDEX(SETORES!$B:$B,MATCH(A419,SETORES!$A:$A,0))</f>
        <v/>
      </c>
      <c r="C419" s="105" t="inlineStr">
        <is>
          <t>Empresa Licenciada SOARES E SILVA</t>
        </is>
      </c>
      <c r="D419" s="83">
        <f>IF(B419="Clientes",SUMIFS(PARÂMETROS!$D$8:$D$33,PARÂMETROS!$A$8:$A$33,C419,PARÂMETROS!$G$8:$G$33,J419),SUMIFS(PARÂMETROS!$E$8:$E$33,PARÂMETROS!$A$8:$A$33,C419,PARÂMETROS!$G$8:$G$33,J419))</f>
        <v/>
      </c>
      <c r="E419" s="107">
        <f>SUMIFS(SETORES!$D:$D,SETORES!$A:$A,A419,SETORES!$F:$F,J419)</f>
        <v/>
      </c>
      <c r="F419" s="107">
        <f>IFERROR(D419*E419,0)</f>
        <v/>
      </c>
      <c r="G419" s="83">
        <f>SUMIFS(PARÂMETROS!$F$8:$F$33,PARÂMETROS!$A$8:$A$33,C419,PARÂMETROS!$G$8:$G$33,J419)</f>
        <v/>
      </c>
      <c r="H419" s="107">
        <f>IFERROR(F419*G419,0)</f>
        <v/>
      </c>
      <c r="I419" s="107">
        <f>F419+H419</f>
        <v/>
      </c>
      <c r="J419" s="105" t="inlineStr">
        <is>
          <t>Maio/2026</t>
        </is>
      </c>
    </row>
    <row r="420" hidden="1" ht="14.25" customHeight="1" s="75">
      <c r="A420" s="90" t="inlineStr">
        <is>
          <t>Suporte da Central</t>
        </is>
      </c>
      <c r="B420" s="90">
        <f>INDEX(SETORES!$B:$B,MATCH(A420,SETORES!$A:$A,0))</f>
        <v/>
      </c>
      <c r="C420" s="90" t="inlineStr">
        <is>
          <t>Empresa Licenciada SOUZA E SILVA</t>
        </is>
      </c>
      <c r="D420" s="88">
        <f>IF(B420="Clientes",SUMIFS(PARÂMETROS!$D$8:$D$33,PARÂMETROS!$A$8:$A$33,C420,PARÂMETROS!$G$8:$G$33,J420),SUMIFS(PARÂMETROS!$E$8:$E$33,PARÂMETROS!$A$8:$A$33,C420,PARÂMETROS!$G$8:$G$33,J420))</f>
        <v/>
      </c>
      <c r="E420" s="96">
        <f>SUMIFS(SETORES!$D:$D,SETORES!$A:$A,A420,SETORES!$F:$F,J420)</f>
        <v/>
      </c>
      <c r="F420" s="96">
        <f>IFERROR(D420*E420,0)</f>
        <v/>
      </c>
      <c r="G420" s="88">
        <f>SUMIFS(PARÂMETROS!$F$8:$F$33,PARÂMETROS!$A$8:$A$33,C420,PARÂMETROS!$G$8:$G$33,J420)</f>
        <v/>
      </c>
      <c r="H420" s="96">
        <f>IFERROR(F420*G420,0)</f>
        <v/>
      </c>
      <c r="I420" s="96">
        <f>F420+H420</f>
        <v/>
      </c>
      <c r="J420" s="90" t="inlineStr">
        <is>
          <t>Maio/2026</t>
        </is>
      </c>
    </row>
    <row r="421" hidden="1" ht="14.25" customHeight="1" s="75">
      <c r="A421" s="105" t="inlineStr">
        <is>
          <t>Suporte da Central</t>
        </is>
      </c>
      <c r="B421" s="94">
        <f>INDEX(SETORES!$B:$B,MATCH(A421,SETORES!$A:$A,0))</f>
        <v/>
      </c>
      <c r="C421" s="105" t="inlineStr">
        <is>
          <t>Empresa Licenciada VOICENET</t>
        </is>
      </c>
      <c r="D421" s="83">
        <f>IF(B421="Clientes",SUMIFS(PARÂMETROS!$D$8:$D$33,PARÂMETROS!$A$8:$A$33,C421,PARÂMETROS!$G$8:$G$33,J421),SUMIFS(PARÂMETROS!$E$8:$E$33,PARÂMETROS!$A$8:$A$33,C421,PARÂMETROS!$G$8:$G$33,J421))</f>
        <v/>
      </c>
      <c r="E421" s="107">
        <f>SUMIFS(SETORES!$D:$D,SETORES!$A:$A,A421,SETORES!$F:$F,J421)</f>
        <v/>
      </c>
      <c r="F421" s="107">
        <f>IFERROR(D421*E421,0)</f>
        <v/>
      </c>
      <c r="G421" s="83">
        <f>SUMIFS(PARÂMETROS!$F$8:$F$33,PARÂMETROS!$A$8:$A$33,C421,PARÂMETROS!$G$8:$G$33,J421)</f>
        <v/>
      </c>
      <c r="H421" s="107">
        <f>IFERROR(F421*G421,0)</f>
        <v/>
      </c>
      <c r="I421" s="107">
        <f>F421+H421</f>
        <v/>
      </c>
      <c r="J421" s="105" t="inlineStr">
        <is>
          <t>Maio/2026</t>
        </is>
      </c>
    </row>
    <row r="422" hidden="1" ht="14.25" customHeight="1" s="75">
      <c r="A422" s="90" t="inlineStr">
        <is>
          <t>Suporte da Central</t>
        </is>
      </c>
      <c r="B422" s="90">
        <f>INDEX(SETORES!$B:$B,MATCH(A422,SETORES!$A:$A,0))</f>
        <v/>
      </c>
      <c r="C422" s="90" t="inlineStr">
        <is>
          <t>DTEL (uso próprio)</t>
        </is>
      </c>
      <c r="D422" s="88">
        <f>IF(B422="Clientes",SUMIFS(PARÂMETROS!$D$8:$D$33,PARÂMETROS!$A$8:$A$33,C422,PARÂMETROS!$G$8:$G$33,J422),SUMIFS(PARÂMETROS!$E$8:$E$33,PARÂMETROS!$A$8:$A$33,C422,PARÂMETROS!$G$8:$G$33,J422))</f>
        <v/>
      </c>
      <c r="E422" s="96">
        <f>SUMIFS(SETORES!$D:$D,SETORES!$A:$A,A422,SETORES!$F:$F,J422)</f>
        <v/>
      </c>
      <c r="F422" s="96">
        <f>IFERROR(D422*E422,0)</f>
        <v/>
      </c>
      <c r="G422" s="88">
        <f>SUMIFS(PARÂMETROS!$F$8:$F$33,PARÂMETROS!$A$8:$A$33,C422,PARÂMETROS!$G$8:$G$33,J422)</f>
        <v/>
      </c>
      <c r="H422" s="96">
        <f>IFERROR(F422*G422,0)</f>
        <v/>
      </c>
      <c r="I422" s="96">
        <f>F422+H422</f>
        <v/>
      </c>
      <c r="J422" s="90" t="inlineStr">
        <is>
          <t>Maio/2026</t>
        </is>
      </c>
    </row>
    <row r="423" hidden="1" ht="14.25" customHeight="1" s="75">
      <c r="A423" s="105" t="inlineStr">
        <is>
          <t>Comercial Corporativo</t>
        </is>
      </c>
      <c r="B423" s="94">
        <f>INDEX(SETORES!$B:$B,MATCH(A423,SETORES!$A:$A,0))</f>
        <v/>
      </c>
      <c r="C423" s="105" t="inlineStr">
        <is>
          <t>Empresa Licenciada DX2</t>
        </is>
      </c>
      <c r="D423" s="83">
        <f>IF(B423="Clientes",SUMIFS(PARÂMETROS!$D$8:$D$33,PARÂMETROS!$A$8:$A$33,C423,PARÂMETROS!$G$8:$G$33,J423),SUMIFS(PARÂMETROS!$E$8:$E$33,PARÂMETROS!$A$8:$A$33,C423,PARÂMETROS!$G$8:$G$33,J423))</f>
        <v/>
      </c>
      <c r="E423" s="107">
        <f>SUMIFS(SETORES!$D:$D,SETORES!$A:$A,A423,SETORES!$F:$F,J423)</f>
        <v/>
      </c>
      <c r="F423" s="107">
        <f>IFERROR(D423*E423,0)</f>
        <v/>
      </c>
      <c r="G423" s="83">
        <f>SUMIFS(PARÂMETROS!$F$8:$F$33,PARÂMETROS!$A$8:$A$33,C423,PARÂMETROS!$G$8:$G$33,J423)</f>
        <v/>
      </c>
      <c r="H423" s="107">
        <f>IFERROR(F423*G423,0)</f>
        <v/>
      </c>
      <c r="I423" s="107">
        <f>F423+H423</f>
        <v/>
      </c>
      <c r="J423" s="105" t="inlineStr">
        <is>
          <t>Maio/2026</t>
        </is>
      </c>
    </row>
    <row r="424" hidden="1" ht="14.25" customHeight="1" s="75">
      <c r="A424" s="90" t="inlineStr">
        <is>
          <t>Comercial Corporativo</t>
        </is>
      </c>
      <c r="B424" s="90">
        <f>INDEX(SETORES!$B:$B,MATCH(A424,SETORES!$A:$A,0))</f>
        <v/>
      </c>
      <c r="C424" s="90" t="inlineStr">
        <is>
          <t>Empresa Licenciada H&amp;A</t>
        </is>
      </c>
      <c r="D424" s="88">
        <f>IF(B424="Clientes",SUMIFS(PARÂMETROS!$D$8:$D$33,PARÂMETROS!$A$8:$A$33,C424,PARÂMETROS!$G$8:$G$33,J424),SUMIFS(PARÂMETROS!$E$8:$E$33,PARÂMETROS!$A$8:$A$33,C424,PARÂMETROS!$G$8:$G$33,J424))</f>
        <v/>
      </c>
      <c r="E424" s="96">
        <f>SUMIFS(SETORES!$D:$D,SETORES!$A:$A,A424,SETORES!$F:$F,J424)</f>
        <v/>
      </c>
      <c r="F424" s="96">
        <f>IFERROR(D424*E424,0)</f>
        <v/>
      </c>
      <c r="G424" s="88">
        <f>SUMIFS(PARÂMETROS!$F$8:$F$33,PARÂMETROS!$A$8:$A$33,C424,PARÂMETROS!$G$8:$G$33,J424)</f>
        <v/>
      </c>
      <c r="H424" s="96">
        <f>IFERROR(F424*G424,0)</f>
        <v/>
      </c>
      <c r="I424" s="96">
        <f>F424+H424</f>
        <v/>
      </c>
      <c r="J424" s="90" t="inlineStr">
        <is>
          <t>Maio/2026</t>
        </is>
      </c>
    </row>
    <row r="425" hidden="1" ht="14.25" customHeight="1" s="75">
      <c r="A425" s="105" t="inlineStr">
        <is>
          <t>Comercial Corporativo</t>
        </is>
      </c>
      <c r="B425" s="94">
        <f>INDEX(SETORES!$B:$B,MATCH(A425,SETORES!$A:$A,0))</f>
        <v/>
      </c>
      <c r="C425" s="105" t="inlineStr">
        <is>
          <t>Empresa Licenciada SOLON ARAUJO</t>
        </is>
      </c>
      <c r="D425" s="83">
        <f>IF(B425="Clientes",SUMIFS(PARÂMETROS!$D$8:$D$33,PARÂMETROS!$A$8:$A$33,C425,PARÂMETROS!$G$8:$G$33,J425),SUMIFS(PARÂMETROS!$E$8:$E$33,PARÂMETROS!$A$8:$A$33,C425,PARÂMETROS!$G$8:$G$33,J425))</f>
        <v/>
      </c>
      <c r="E425" s="107">
        <f>SUMIFS(SETORES!$D:$D,SETORES!$A:$A,A425,SETORES!$F:$F,J425)</f>
        <v/>
      </c>
      <c r="F425" s="107">
        <f>IFERROR(D425*E425,0)</f>
        <v/>
      </c>
      <c r="G425" s="83">
        <f>SUMIFS(PARÂMETROS!$F$8:$F$33,PARÂMETROS!$A$8:$A$33,C425,PARÂMETROS!$G$8:$G$33,J425)</f>
        <v/>
      </c>
      <c r="H425" s="107">
        <f>IFERROR(F425*G425,0)</f>
        <v/>
      </c>
      <c r="I425" s="107">
        <f>F425+H425</f>
        <v/>
      </c>
      <c r="J425" s="105" t="inlineStr">
        <is>
          <t>Maio/2026</t>
        </is>
      </c>
    </row>
    <row r="426" ht="14.25" customHeight="1" s="75">
      <c r="A426" s="90" t="inlineStr">
        <is>
          <t>Comercial Corporativo</t>
        </is>
      </c>
      <c r="B426" s="90">
        <f>INDEX(SETORES!$B:$B,MATCH(A426,SETORES!$A:$A,0))</f>
        <v/>
      </c>
      <c r="C426" s="90" t="inlineStr">
        <is>
          <t>Empresa Licenciada SOARES E LINS</t>
        </is>
      </c>
      <c r="D426" s="88">
        <f>IF(B426="Clientes",SUMIFS(PARÂMETROS!$D$8:$D$33,PARÂMETROS!$A$8:$A$33,C426,PARÂMETROS!$G$8:$G$33,J426),SUMIFS(PARÂMETROS!$E$8:$E$33,PARÂMETROS!$A$8:$A$33,C426,PARÂMETROS!$G$8:$G$33,J426))</f>
        <v/>
      </c>
      <c r="E426" s="96">
        <f>SUMIFS(SETORES!$D:$D,SETORES!$A:$A,A426,SETORES!$F:$F,J426)</f>
        <v/>
      </c>
      <c r="F426" s="96">
        <f>IFERROR(D426*E426,0)</f>
        <v/>
      </c>
      <c r="G426" s="88">
        <f>SUMIFS(PARÂMETROS!$F$8:$F$33,PARÂMETROS!$A$8:$A$33,C426,PARÂMETROS!$G$8:$G$33,J426)</f>
        <v/>
      </c>
      <c r="H426" s="96">
        <f>IFERROR(F426*G426,0)</f>
        <v/>
      </c>
      <c r="I426" s="96">
        <f>F426+H426</f>
        <v/>
      </c>
      <c r="J426" s="90" t="inlineStr">
        <is>
          <t>Maio/2026</t>
        </is>
      </c>
    </row>
    <row r="427" hidden="1" ht="14.25" customHeight="1" s="75">
      <c r="A427" s="105" t="inlineStr">
        <is>
          <t>Comercial Corporativo</t>
        </is>
      </c>
      <c r="B427" s="94">
        <f>INDEX(SETORES!$B:$B,MATCH(A427,SETORES!$A:$A,0))</f>
        <v/>
      </c>
      <c r="C427" s="105" t="inlineStr">
        <is>
          <t>Empresa Licenciada SOARES E SILVA</t>
        </is>
      </c>
      <c r="D427" s="83">
        <f>IF(B427="Clientes",SUMIFS(PARÂMETROS!$D$8:$D$33,PARÂMETROS!$A$8:$A$33,C427,PARÂMETROS!$G$8:$G$33,J427),SUMIFS(PARÂMETROS!$E$8:$E$33,PARÂMETROS!$A$8:$A$33,C427,PARÂMETROS!$G$8:$G$33,J427))</f>
        <v/>
      </c>
      <c r="E427" s="107">
        <f>SUMIFS(SETORES!$D:$D,SETORES!$A:$A,A427,SETORES!$F:$F,J427)</f>
        <v/>
      </c>
      <c r="F427" s="107">
        <f>IFERROR(D427*E427,0)</f>
        <v/>
      </c>
      <c r="G427" s="83">
        <f>SUMIFS(PARÂMETROS!$F$8:$F$33,PARÂMETROS!$A$8:$A$33,C427,PARÂMETROS!$G$8:$G$33,J427)</f>
        <v/>
      </c>
      <c r="H427" s="107">
        <f>IFERROR(F427*G427,0)</f>
        <v/>
      </c>
      <c r="I427" s="107">
        <f>F427+H427</f>
        <v/>
      </c>
      <c r="J427" s="105" t="inlineStr">
        <is>
          <t>Maio/2026</t>
        </is>
      </c>
    </row>
    <row r="428" hidden="1" ht="14.25" customHeight="1" s="75">
      <c r="A428" s="90" t="inlineStr">
        <is>
          <t>Comercial Corporativo</t>
        </is>
      </c>
      <c r="B428" s="90">
        <f>INDEX(SETORES!$B:$B,MATCH(A428,SETORES!$A:$A,0))</f>
        <v/>
      </c>
      <c r="C428" s="90" t="inlineStr">
        <is>
          <t>Empresa Licenciada SOUZA E SILVA</t>
        </is>
      </c>
      <c r="D428" s="88">
        <f>IF(B428="Clientes",SUMIFS(PARÂMETROS!$D$8:$D$33,PARÂMETROS!$A$8:$A$33,C428,PARÂMETROS!$G$8:$G$33,J428),SUMIFS(PARÂMETROS!$E$8:$E$33,PARÂMETROS!$A$8:$A$33,C428,PARÂMETROS!$G$8:$G$33,J428))</f>
        <v/>
      </c>
      <c r="E428" s="96">
        <f>SUMIFS(SETORES!$D:$D,SETORES!$A:$A,A428,SETORES!$F:$F,J428)</f>
        <v/>
      </c>
      <c r="F428" s="96">
        <f>IFERROR(D428*E428,0)</f>
        <v/>
      </c>
      <c r="G428" s="88">
        <f>SUMIFS(PARÂMETROS!$F$8:$F$33,PARÂMETROS!$A$8:$A$33,C428,PARÂMETROS!$G$8:$G$33,J428)</f>
        <v/>
      </c>
      <c r="H428" s="96">
        <f>IFERROR(F428*G428,0)</f>
        <v/>
      </c>
      <c r="I428" s="96">
        <f>F428+H428</f>
        <v/>
      </c>
      <c r="J428" s="90" t="inlineStr">
        <is>
          <t>Maio/2026</t>
        </is>
      </c>
    </row>
    <row r="429" hidden="1" ht="14.25" customHeight="1" s="75">
      <c r="A429" s="105" t="inlineStr">
        <is>
          <t>Comercial Corporativo</t>
        </is>
      </c>
      <c r="B429" s="94">
        <f>INDEX(SETORES!$B:$B,MATCH(A429,SETORES!$A:$A,0))</f>
        <v/>
      </c>
      <c r="C429" s="105" t="inlineStr">
        <is>
          <t>Empresa Licenciada VOICENET</t>
        </is>
      </c>
      <c r="D429" s="83">
        <f>IF(B429="Clientes",SUMIFS(PARÂMETROS!$D$8:$D$33,PARÂMETROS!$A$8:$A$33,C429,PARÂMETROS!$G$8:$G$33,J429),SUMIFS(PARÂMETROS!$E$8:$E$33,PARÂMETROS!$A$8:$A$33,C429,PARÂMETROS!$G$8:$G$33,J429))</f>
        <v/>
      </c>
      <c r="E429" s="107">
        <f>SUMIFS(SETORES!$D:$D,SETORES!$A:$A,A429,SETORES!$F:$F,J429)</f>
        <v/>
      </c>
      <c r="F429" s="107">
        <f>IFERROR(D429*E429,0)</f>
        <v/>
      </c>
      <c r="G429" s="83">
        <f>SUMIFS(PARÂMETROS!$F$8:$F$33,PARÂMETROS!$A$8:$A$33,C429,PARÂMETROS!$G$8:$G$33,J429)</f>
        <v/>
      </c>
      <c r="H429" s="107">
        <f>IFERROR(F429*G429,0)</f>
        <v/>
      </c>
      <c r="I429" s="107">
        <f>F429+H429</f>
        <v/>
      </c>
      <c r="J429" s="105" t="inlineStr">
        <is>
          <t>Maio/2026</t>
        </is>
      </c>
    </row>
    <row r="430" hidden="1" ht="15" customHeight="1" s="75">
      <c r="A430" s="90" t="inlineStr">
        <is>
          <t>Comercial Corporativo</t>
        </is>
      </c>
      <c r="B430" s="90">
        <f>INDEX(SETORES!$B:$B,MATCH(A430,SETORES!$A:$A,0))</f>
        <v/>
      </c>
      <c r="C430" s="90" t="inlineStr">
        <is>
          <t>DTEL (uso próprio)</t>
        </is>
      </c>
      <c r="D430" s="88">
        <f>IF(B430="Clientes",SUMIFS(PARÂMETROS!$D$8:$D$33,PARÂMETROS!$A$8:$A$33,C430,PARÂMETROS!$G$8:$G$33,J430),SUMIFS(PARÂMETROS!$E$8:$E$33,PARÂMETROS!$A$8:$A$33,C430,PARÂMETROS!$G$8:$G$33,J430))</f>
        <v/>
      </c>
      <c r="E430" s="96">
        <f>SUMIFS(SETORES!$D:$D,SETORES!$A:$A,A430,SETORES!$F:$F,J430)</f>
        <v/>
      </c>
      <c r="F430" s="96">
        <f>IFERROR(D430*E430,0)</f>
        <v/>
      </c>
      <c r="G430" s="88">
        <f>SUMIFS(PARÂMETROS!$F$8:$F$33,PARÂMETROS!$A$8:$A$33,C430,PARÂMETROS!$G$8:$G$33,J430)</f>
        <v/>
      </c>
      <c r="H430" s="96">
        <f>IFERROR(F430*G430,0)</f>
        <v/>
      </c>
      <c r="I430" s="96">
        <f>F430+H430</f>
        <v/>
      </c>
      <c r="J430" s="90" t="inlineStr">
        <is>
          <t>Maio/2026</t>
        </is>
      </c>
    </row>
    <row r="431" hidden="1" ht="15" customHeight="1" s="75">
      <c r="A431" s="105" t="inlineStr">
        <is>
          <t>Administrativo</t>
        </is>
      </c>
      <c r="B431" s="94">
        <f>INDEX(SETORES!$B:$B,MATCH(A431,SETORES!$A:$A,0))</f>
        <v/>
      </c>
      <c r="C431" s="105" t="inlineStr">
        <is>
          <t>Empresa Licenciada DX2</t>
        </is>
      </c>
      <c r="D431" s="83">
        <f>IF(B431="Clientes",SUMIFS(PARÂMETROS!$D$8:$D$33,PARÂMETROS!$A$8:$A$33,C431,PARÂMETROS!$G$8:$G$33,J431),SUMIFS(PARÂMETROS!$E$8:$E$33,PARÂMETROS!$A$8:$A$33,C431,PARÂMETROS!$G$8:$G$33,J431))</f>
        <v/>
      </c>
      <c r="E431" s="107">
        <f>SUMIFS(SETORES!$D:$D,SETORES!$A:$A,A431,SETORES!$F:$F,J431)</f>
        <v/>
      </c>
      <c r="F431" s="107">
        <f>IFERROR(D431*E431,0)</f>
        <v/>
      </c>
      <c r="G431" s="83">
        <f>SUMIFS(PARÂMETROS!$F$8:$F$33,PARÂMETROS!$A$8:$A$33,C431,PARÂMETROS!$G$8:$G$33,J431)</f>
        <v/>
      </c>
      <c r="H431" s="107">
        <f>IFERROR(F431*G431,0)</f>
        <v/>
      </c>
      <c r="I431" s="107">
        <f>F431+H431</f>
        <v/>
      </c>
      <c r="J431" s="105" t="inlineStr">
        <is>
          <t>Maio/2026</t>
        </is>
      </c>
    </row>
    <row r="432" hidden="1" ht="15" customHeight="1" s="75">
      <c r="A432" s="90" t="inlineStr">
        <is>
          <t>Administrativo</t>
        </is>
      </c>
      <c r="B432" s="90">
        <f>INDEX(SETORES!$B:$B,MATCH(A432,SETORES!$A:$A,0))</f>
        <v/>
      </c>
      <c r="C432" s="90" t="inlineStr">
        <is>
          <t>Empresa Licenciada H&amp;A</t>
        </is>
      </c>
      <c r="D432" s="88">
        <f>IF(B432="Clientes",SUMIFS(PARÂMETROS!$D$8:$D$33,PARÂMETROS!$A$8:$A$33,C432,PARÂMETROS!$G$8:$G$33,J432),SUMIFS(PARÂMETROS!$E$8:$E$33,PARÂMETROS!$A$8:$A$33,C432,PARÂMETROS!$G$8:$G$33,J432))</f>
        <v/>
      </c>
      <c r="E432" s="96">
        <f>SUMIFS(SETORES!$D:$D,SETORES!$A:$A,A432,SETORES!$F:$F,J432)</f>
        <v/>
      </c>
      <c r="F432" s="96">
        <f>IFERROR(D432*E432,0)</f>
        <v/>
      </c>
      <c r="G432" s="88">
        <f>SUMIFS(PARÂMETROS!$F$8:$F$33,PARÂMETROS!$A$8:$A$33,C432,PARÂMETROS!$G$8:$G$33,J432)</f>
        <v/>
      </c>
      <c r="H432" s="96">
        <f>IFERROR(F432*G432,0)</f>
        <v/>
      </c>
      <c r="I432" s="96">
        <f>F432+H432</f>
        <v/>
      </c>
      <c r="J432" s="90" t="inlineStr">
        <is>
          <t>Maio/2026</t>
        </is>
      </c>
    </row>
    <row r="433" hidden="1" ht="15" customHeight="1" s="75">
      <c r="A433" s="105" t="inlineStr">
        <is>
          <t>Administrativo</t>
        </is>
      </c>
      <c r="B433" s="94">
        <f>INDEX(SETORES!$B:$B,MATCH(A433,SETORES!$A:$A,0))</f>
        <v/>
      </c>
      <c r="C433" s="105" t="inlineStr">
        <is>
          <t>Empresa Licenciada SOLON ARAUJO</t>
        </is>
      </c>
      <c r="D433" s="83">
        <f>IF(B433="Clientes",SUMIFS(PARÂMETROS!$D$8:$D$33,PARÂMETROS!$A$8:$A$33,C433,PARÂMETROS!$G$8:$G$33,J433),SUMIFS(PARÂMETROS!$E$8:$E$33,PARÂMETROS!$A$8:$A$33,C433,PARÂMETROS!$G$8:$G$33,J433))</f>
        <v/>
      </c>
      <c r="E433" s="107">
        <f>SUMIFS(SETORES!$D:$D,SETORES!$A:$A,A433,SETORES!$F:$F,J433)</f>
        <v/>
      </c>
      <c r="F433" s="107">
        <f>IFERROR(D433*E433,0)</f>
        <v/>
      </c>
      <c r="G433" s="83">
        <f>SUMIFS(PARÂMETROS!$F$8:$F$33,PARÂMETROS!$A$8:$A$33,C433,PARÂMETROS!$G$8:$G$33,J433)</f>
        <v/>
      </c>
      <c r="H433" s="107">
        <f>IFERROR(F433*G433,0)</f>
        <v/>
      </c>
      <c r="I433" s="107">
        <f>F433+H433</f>
        <v/>
      </c>
      <c r="J433" s="105" t="inlineStr">
        <is>
          <t>Maio/2026</t>
        </is>
      </c>
    </row>
    <row r="434" ht="15" customHeight="1" s="75">
      <c r="A434" s="90" t="inlineStr">
        <is>
          <t>Administrativo</t>
        </is>
      </c>
      <c r="B434" s="90">
        <f>INDEX(SETORES!$B:$B,MATCH(A434,SETORES!$A:$A,0))</f>
        <v/>
      </c>
      <c r="C434" s="90" t="inlineStr">
        <is>
          <t>Empresa Licenciada SOARES E LINS</t>
        </is>
      </c>
      <c r="D434" s="88">
        <f>IF(B434="Clientes",SUMIFS(PARÂMETROS!$D$8:$D$33,PARÂMETROS!$A$8:$A$33,C434,PARÂMETROS!$G$8:$G$33,J434),SUMIFS(PARÂMETROS!$E$8:$E$33,PARÂMETROS!$A$8:$A$33,C434,PARÂMETROS!$G$8:$G$33,J434))</f>
        <v/>
      </c>
      <c r="E434" s="96">
        <f>SUMIFS(SETORES!$D:$D,SETORES!$A:$A,A434,SETORES!$F:$F,J434)</f>
        <v/>
      </c>
      <c r="F434" s="96">
        <f>IFERROR(D434*E434,0)</f>
        <v/>
      </c>
      <c r="G434" s="88">
        <f>SUMIFS(PARÂMETROS!$F$8:$F$33,PARÂMETROS!$A$8:$A$33,C434,PARÂMETROS!$G$8:$G$33,J434)</f>
        <v/>
      </c>
      <c r="H434" s="96">
        <f>IFERROR(F434*G434,0)</f>
        <v/>
      </c>
      <c r="I434" s="96">
        <f>F434+H434</f>
        <v/>
      </c>
      <c r="J434" s="90" t="inlineStr">
        <is>
          <t>Maio/2026</t>
        </is>
      </c>
    </row>
    <row r="435" hidden="1" ht="15" customHeight="1" s="75">
      <c r="A435" s="105" t="inlineStr">
        <is>
          <t>Administrativo</t>
        </is>
      </c>
      <c r="B435" s="94">
        <f>INDEX(SETORES!$B:$B,MATCH(A435,SETORES!$A:$A,0))</f>
        <v/>
      </c>
      <c r="C435" s="105" t="inlineStr">
        <is>
          <t>Empresa Licenciada SOARES E SILVA</t>
        </is>
      </c>
      <c r="D435" s="83">
        <f>IF(B435="Clientes",SUMIFS(PARÂMETROS!$D$8:$D$33,PARÂMETROS!$A$8:$A$33,C435,PARÂMETROS!$G$8:$G$33,J435),SUMIFS(PARÂMETROS!$E$8:$E$33,PARÂMETROS!$A$8:$A$33,C435,PARÂMETROS!$G$8:$G$33,J435))</f>
        <v/>
      </c>
      <c r="E435" s="107">
        <f>SUMIFS(SETORES!$D:$D,SETORES!$A:$A,A435,SETORES!$F:$F,J435)</f>
        <v/>
      </c>
      <c r="F435" s="107">
        <f>IFERROR(D435*E435,0)</f>
        <v/>
      </c>
      <c r="G435" s="83">
        <f>SUMIFS(PARÂMETROS!$F$8:$F$33,PARÂMETROS!$A$8:$A$33,C435,PARÂMETROS!$G$8:$G$33,J435)</f>
        <v/>
      </c>
      <c r="H435" s="107">
        <f>IFERROR(F435*G435,0)</f>
        <v/>
      </c>
      <c r="I435" s="107">
        <f>F435+H435</f>
        <v/>
      </c>
      <c r="J435" s="105" t="inlineStr">
        <is>
          <t>Maio/2026</t>
        </is>
      </c>
    </row>
    <row r="436" hidden="1" ht="14.25" customHeight="1" s="75">
      <c r="A436" s="90" t="inlineStr">
        <is>
          <t>Administrativo</t>
        </is>
      </c>
      <c r="B436" s="90">
        <f>INDEX(SETORES!$B:$B,MATCH(A436,SETORES!$A:$A,0))</f>
        <v/>
      </c>
      <c r="C436" s="90" t="inlineStr">
        <is>
          <t>Empresa Licenciada SOUZA E SILVA</t>
        </is>
      </c>
      <c r="D436" s="88">
        <f>IF(B436="Clientes",SUMIFS(PARÂMETROS!$D$8:$D$33,PARÂMETROS!$A$8:$A$33,C436,PARÂMETROS!$G$8:$G$33,J436),SUMIFS(PARÂMETROS!$E$8:$E$33,PARÂMETROS!$A$8:$A$33,C436,PARÂMETROS!$G$8:$G$33,J436))</f>
        <v/>
      </c>
      <c r="E436" s="96">
        <f>SUMIFS(SETORES!$D:$D,SETORES!$A:$A,A436,SETORES!$F:$F,J436)</f>
        <v/>
      </c>
      <c r="F436" s="96">
        <f>IFERROR(D436*E436,0)</f>
        <v/>
      </c>
      <c r="G436" s="88">
        <f>SUMIFS(PARÂMETROS!$F$8:$F$33,PARÂMETROS!$A$8:$A$33,C436,PARÂMETROS!$G$8:$G$33,J436)</f>
        <v/>
      </c>
      <c r="H436" s="96">
        <f>IFERROR(F436*G436,0)</f>
        <v/>
      </c>
      <c r="I436" s="96">
        <f>F436+H436</f>
        <v/>
      </c>
      <c r="J436" s="90" t="inlineStr">
        <is>
          <t>Maio/2026</t>
        </is>
      </c>
    </row>
    <row r="437" hidden="1" ht="14.25" customHeight="1" s="75">
      <c r="A437" s="105" t="inlineStr">
        <is>
          <t>Administrativo</t>
        </is>
      </c>
      <c r="B437" s="94">
        <f>INDEX(SETORES!$B:$B,MATCH(A437,SETORES!$A:$A,0))</f>
        <v/>
      </c>
      <c r="C437" s="105" t="inlineStr">
        <is>
          <t>Empresa Licenciada VOICENET</t>
        </is>
      </c>
      <c r="D437" s="83">
        <f>IF(B437="Clientes",SUMIFS(PARÂMETROS!$D$8:$D$33,PARÂMETROS!$A$8:$A$33,C437,PARÂMETROS!$G$8:$G$33,J437),SUMIFS(PARÂMETROS!$E$8:$E$33,PARÂMETROS!$A$8:$A$33,C437,PARÂMETROS!$G$8:$G$33,J437))</f>
        <v/>
      </c>
      <c r="E437" s="107">
        <f>SUMIFS(SETORES!$D:$D,SETORES!$A:$A,A437,SETORES!$F:$F,J437)</f>
        <v/>
      </c>
      <c r="F437" s="107">
        <f>IFERROR(D437*E437,0)</f>
        <v/>
      </c>
      <c r="G437" s="83">
        <f>SUMIFS(PARÂMETROS!$F$8:$F$33,PARÂMETROS!$A$8:$A$33,C437,PARÂMETROS!$G$8:$G$33,J437)</f>
        <v/>
      </c>
      <c r="H437" s="107">
        <f>IFERROR(F437*G437,0)</f>
        <v/>
      </c>
      <c r="I437" s="107">
        <f>F437+H437</f>
        <v/>
      </c>
      <c r="J437" s="105" t="inlineStr">
        <is>
          <t>Maio/2026</t>
        </is>
      </c>
    </row>
    <row r="438" hidden="1" ht="14.25" customHeight="1" s="75">
      <c r="A438" s="90" t="inlineStr">
        <is>
          <t>Administrativo</t>
        </is>
      </c>
      <c r="B438" s="90">
        <f>INDEX(SETORES!$B:$B,MATCH(A438,SETORES!$A:$A,0))</f>
        <v/>
      </c>
      <c r="C438" s="90" t="inlineStr">
        <is>
          <t>DTEL (uso próprio)</t>
        </is>
      </c>
      <c r="D438" s="88">
        <f>IF(B438="Clientes",SUMIFS(PARÂMETROS!$D$8:$D$33,PARÂMETROS!$A$8:$A$33,C438,PARÂMETROS!$G$8:$G$33,J438),SUMIFS(PARÂMETROS!$E$8:$E$33,PARÂMETROS!$A$8:$A$33,C438,PARÂMETROS!$G$8:$G$33,J438))</f>
        <v/>
      </c>
      <c r="E438" s="96">
        <f>SUMIFS(SETORES!$D:$D,SETORES!$A:$A,A438,SETORES!$F:$F,J438)</f>
        <v/>
      </c>
      <c r="F438" s="96">
        <f>IFERROR(D438*E438,0)</f>
        <v/>
      </c>
      <c r="G438" s="88">
        <f>SUMIFS(PARÂMETROS!$F$8:$F$33,PARÂMETROS!$A$8:$A$33,C438,PARÂMETROS!$G$8:$G$33,J438)</f>
        <v/>
      </c>
      <c r="H438" s="96">
        <f>IFERROR(F438*G438,0)</f>
        <v/>
      </c>
      <c r="I438" s="96">
        <f>F438+H438</f>
        <v/>
      </c>
      <c r="J438" s="90" t="inlineStr">
        <is>
          <t>Maio/2026</t>
        </is>
      </c>
    </row>
    <row r="439" hidden="1" ht="14.25" customHeight="1" s="75">
      <c r="A439" s="105" t="inlineStr">
        <is>
          <t>NOC</t>
        </is>
      </c>
      <c r="B439" s="94">
        <f>INDEX(SETORES!$B:$B,MATCH(A439,SETORES!$A:$A,0))</f>
        <v/>
      </c>
      <c r="C439" s="105" t="inlineStr">
        <is>
          <t>Empresa Licenciada DX2</t>
        </is>
      </c>
      <c r="D439" s="83">
        <f>IF(B439="Clientes",SUMIFS(PARÂMETROS!$D$8:$D$33,PARÂMETROS!$A$8:$A$33,C439,PARÂMETROS!$G$8:$G$33,J439),SUMIFS(PARÂMETROS!$E$8:$E$33,PARÂMETROS!$A$8:$A$33,C439,PARÂMETROS!$G$8:$G$33,J439))</f>
        <v/>
      </c>
      <c r="E439" s="107">
        <f>SUMIFS(SETORES!$D:$D,SETORES!$A:$A,A439,SETORES!$F:$F,J439)</f>
        <v/>
      </c>
      <c r="F439" s="107">
        <f>IFERROR(D439*E439,0)</f>
        <v/>
      </c>
      <c r="G439" s="83">
        <f>SUMIFS(PARÂMETROS!$F$8:$F$33,PARÂMETROS!$A$8:$A$33,C439,PARÂMETROS!$G$8:$G$33,J439)</f>
        <v/>
      </c>
      <c r="H439" s="107">
        <f>IFERROR(F439*G439,0)</f>
        <v/>
      </c>
      <c r="I439" s="107">
        <f>F439+H439</f>
        <v/>
      </c>
      <c r="J439" s="105" t="inlineStr">
        <is>
          <t>Julho/2026</t>
        </is>
      </c>
    </row>
    <row r="440" hidden="1" ht="14.25" customHeight="1" s="75">
      <c r="A440" s="90" t="inlineStr">
        <is>
          <t>NOC</t>
        </is>
      </c>
      <c r="B440" s="90">
        <f>INDEX(SETORES!$B:$B,MATCH(A440,SETORES!$A:$A,0))</f>
        <v/>
      </c>
      <c r="C440" s="90" t="inlineStr">
        <is>
          <t>Empresa Licenciada H&amp;A</t>
        </is>
      </c>
      <c r="D440" s="88">
        <f>IF(B440="Clientes",SUMIFS(PARÂMETROS!$D$8:$D$33,PARÂMETROS!$A$8:$A$33,C440,PARÂMETROS!$G$8:$G$33,J440),SUMIFS(PARÂMETROS!$E$8:$E$33,PARÂMETROS!$A$8:$A$33,C440,PARÂMETROS!$G$8:$G$33,J440))</f>
        <v/>
      </c>
      <c r="E440" s="96">
        <f>SUMIFS(SETORES!$D:$D,SETORES!$A:$A,A440,SETORES!$F:$F,J440)</f>
        <v/>
      </c>
      <c r="F440" s="96">
        <f>IFERROR(D440*E440,0)</f>
        <v/>
      </c>
      <c r="G440" s="88">
        <f>SUMIFS(PARÂMETROS!$F$8:$F$33,PARÂMETROS!$A$8:$A$33,C440,PARÂMETROS!$G$8:$G$33,J440)</f>
        <v/>
      </c>
      <c r="H440" s="96">
        <f>IFERROR(F440*G440,0)</f>
        <v/>
      </c>
      <c r="I440" s="96">
        <f>F440+H440</f>
        <v/>
      </c>
      <c r="J440" s="90" t="inlineStr">
        <is>
          <t>Julho/2026</t>
        </is>
      </c>
    </row>
    <row r="441" hidden="1" ht="14.25" customHeight="1" s="75">
      <c r="A441" s="105" t="inlineStr">
        <is>
          <t>NOC</t>
        </is>
      </c>
      <c r="B441" s="94">
        <f>INDEX(SETORES!$B:$B,MATCH(A441,SETORES!$A:$A,0))</f>
        <v/>
      </c>
      <c r="C441" s="105" t="inlineStr">
        <is>
          <t>Empresa Licenciada SOLON ARAUJO</t>
        </is>
      </c>
      <c r="D441" s="83">
        <f>IF(B441="Clientes",SUMIFS(PARÂMETROS!$D$8:$D$33,PARÂMETROS!$A$8:$A$33,C441,PARÂMETROS!$G$8:$G$33,J441),SUMIFS(PARÂMETROS!$E$8:$E$33,PARÂMETROS!$A$8:$A$33,C441,PARÂMETROS!$G$8:$G$33,J441))</f>
        <v/>
      </c>
      <c r="E441" s="107">
        <f>SUMIFS(SETORES!$D:$D,SETORES!$A:$A,A441,SETORES!$F:$F,J441)</f>
        <v/>
      </c>
      <c r="F441" s="107">
        <f>IFERROR(D441*E441,0)</f>
        <v/>
      </c>
      <c r="G441" s="83">
        <f>SUMIFS(PARÂMETROS!$F$8:$F$33,PARÂMETROS!$A$8:$A$33,C441,PARÂMETROS!$G$8:$G$33,J441)</f>
        <v/>
      </c>
      <c r="H441" s="107">
        <f>IFERROR(F441*G441,0)</f>
        <v/>
      </c>
      <c r="I441" s="107">
        <f>F441+H441</f>
        <v/>
      </c>
      <c r="J441" s="105" t="inlineStr">
        <is>
          <t>Julho/2026</t>
        </is>
      </c>
    </row>
    <row r="442" ht="14.25" customHeight="1" s="75">
      <c r="A442" s="90" t="inlineStr">
        <is>
          <t>NOC</t>
        </is>
      </c>
      <c r="B442" s="90">
        <f>INDEX(SETORES!$B:$B,MATCH(A442,SETORES!$A:$A,0))</f>
        <v/>
      </c>
      <c r="C442" s="90" t="inlineStr">
        <is>
          <t>Empresa Licenciada SOARES E LINS</t>
        </is>
      </c>
      <c r="D442" s="88">
        <f>IF(B442="Clientes",SUMIFS(PARÂMETROS!$D$8:$D$33,PARÂMETROS!$A$8:$A$33,C442,PARÂMETROS!$G$8:$G$33,J442),SUMIFS(PARÂMETROS!$E$8:$E$33,PARÂMETROS!$A$8:$A$33,C442,PARÂMETROS!$G$8:$G$33,J442))</f>
        <v/>
      </c>
      <c r="E442" s="96">
        <f>SUMIFS(SETORES!$D:$D,SETORES!$A:$A,A442,SETORES!$F:$F,J442)</f>
        <v/>
      </c>
      <c r="F442" s="96">
        <f>IFERROR(D442*E442,0)</f>
        <v/>
      </c>
      <c r="G442" s="88">
        <f>SUMIFS(PARÂMETROS!$F$8:$F$33,PARÂMETROS!$A$8:$A$33,C442,PARÂMETROS!$G$8:$G$33,J442)</f>
        <v/>
      </c>
      <c r="H442" s="96">
        <f>IFERROR(F442*G442,0)</f>
        <v/>
      </c>
      <c r="I442" s="96">
        <f>F442+H442</f>
        <v/>
      </c>
      <c r="J442" s="90" t="inlineStr">
        <is>
          <t>Julho/2026</t>
        </is>
      </c>
    </row>
    <row r="443" hidden="1" ht="14.25" customHeight="1" s="75">
      <c r="A443" s="105" t="inlineStr">
        <is>
          <t>NOC</t>
        </is>
      </c>
      <c r="B443" s="94">
        <f>INDEX(SETORES!$B:$B,MATCH(A443,SETORES!$A:$A,0))</f>
        <v/>
      </c>
      <c r="C443" s="105" t="inlineStr">
        <is>
          <t>Empresa Licenciada SOARES E SILVA</t>
        </is>
      </c>
      <c r="D443" s="83">
        <f>IF(B443="Clientes",SUMIFS(PARÂMETROS!$D$8:$D$33,PARÂMETROS!$A$8:$A$33,C443,PARÂMETROS!$G$8:$G$33,J443),SUMIFS(PARÂMETROS!$E$8:$E$33,PARÂMETROS!$A$8:$A$33,C443,PARÂMETROS!$G$8:$G$33,J443))</f>
        <v/>
      </c>
      <c r="E443" s="107">
        <f>SUMIFS(SETORES!$D:$D,SETORES!$A:$A,A443,SETORES!$F:$F,J443)</f>
        <v/>
      </c>
      <c r="F443" s="107">
        <f>IFERROR(D443*E443,0)</f>
        <v/>
      </c>
      <c r="G443" s="83">
        <f>SUMIFS(PARÂMETROS!$F$8:$F$33,PARÂMETROS!$A$8:$A$33,C443,PARÂMETROS!$G$8:$G$33,J443)</f>
        <v/>
      </c>
      <c r="H443" s="107">
        <f>IFERROR(F443*G443,0)</f>
        <v/>
      </c>
      <c r="I443" s="107">
        <f>F443+H443</f>
        <v/>
      </c>
      <c r="J443" s="105" t="inlineStr">
        <is>
          <t>Julho/2026</t>
        </is>
      </c>
    </row>
    <row r="444" hidden="1" ht="14.25" customHeight="1" s="75">
      <c r="A444" s="90" t="inlineStr">
        <is>
          <t>NOC</t>
        </is>
      </c>
      <c r="B444" s="90">
        <f>INDEX(SETORES!$B:$B,MATCH(A444,SETORES!$A:$A,0))</f>
        <v/>
      </c>
      <c r="C444" s="90" t="inlineStr">
        <is>
          <t>Empresa Licenciada SOUZA E SILVA</t>
        </is>
      </c>
      <c r="D444" s="88">
        <f>IF(B444="Clientes",SUMIFS(PARÂMETROS!$D$8:$D$33,PARÂMETROS!$A$8:$A$33,C444,PARÂMETROS!$G$8:$G$33,J444),SUMIFS(PARÂMETROS!$E$8:$E$33,PARÂMETROS!$A$8:$A$33,C444,PARÂMETROS!$G$8:$G$33,J444))</f>
        <v/>
      </c>
      <c r="E444" s="96">
        <f>SUMIFS(SETORES!$D:$D,SETORES!$A:$A,A444,SETORES!$F:$F,J444)</f>
        <v/>
      </c>
      <c r="F444" s="96">
        <f>IFERROR(D444*E444,0)</f>
        <v/>
      </c>
      <c r="G444" s="88">
        <f>SUMIFS(PARÂMETROS!$F$8:$F$33,PARÂMETROS!$A$8:$A$33,C444,PARÂMETROS!$G$8:$G$33,J444)</f>
        <v/>
      </c>
      <c r="H444" s="96">
        <f>IFERROR(F444*G444,0)</f>
        <v/>
      </c>
      <c r="I444" s="96">
        <f>F444+H444</f>
        <v/>
      </c>
      <c r="J444" s="90" t="inlineStr">
        <is>
          <t>Julho/2026</t>
        </is>
      </c>
    </row>
    <row r="445" hidden="1" ht="14.25" customHeight="1" s="75">
      <c r="A445" s="105" t="inlineStr">
        <is>
          <t>NOC</t>
        </is>
      </c>
      <c r="B445" s="94">
        <f>INDEX(SETORES!$B:$B,MATCH(A445,SETORES!$A:$A,0))</f>
        <v/>
      </c>
      <c r="C445" s="105" t="inlineStr">
        <is>
          <t>Empresa Licenciada VOICENET</t>
        </is>
      </c>
      <c r="D445" s="83">
        <f>IF(B445="Clientes",SUMIFS(PARÂMETROS!$D$8:$D$33,PARÂMETROS!$A$8:$A$33,C445,PARÂMETROS!$G$8:$G$33,J445),SUMIFS(PARÂMETROS!$E$8:$E$33,PARÂMETROS!$A$8:$A$33,C445,PARÂMETROS!$G$8:$G$33,J445))</f>
        <v/>
      </c>
      <c r="E445" s="107">
        <f>SUMIFS(SETORES!$D:$D,SETORES!$A:$A,A445,SETORES!$F:$F,J445)</f>
        <v/>
      </c>
      <c r="F445" s="107">
        <f>IFERROR(D445*E445,0)</f>
        <v/>
      </c>
      <c r="G445" s="83">
        <f>SUMIFS(PARÂMETROS!$F$8:$F$33,PARÂMETROS!$A$8:$A$33,C445,PARÂMETROS!$G$8:$G$33,J445)</f>
        <v/>
      </c>
      <c r="H445" s="107">
        <f>IFERROR(F445*G445,0)</f>
        <v/>
      </c>
      <c r="I445" s="107">
        <f>F445+H445</f>
        <v/>
      </c>
      <c r="J445" s="105" t="inlineStr">
        <is>
          <t>Julho/2026</t>
        </is>
      </c>
    </row>
    <row r="446" hidden="1" ht="14.25" customHeight="1" s="75">
      <c r="A446" s="90" t="inlineStr">
        <is>
          <t>NOC</t>
        </is>
      </c>
      <c r="B446" s="90">
        <f>INDEX(SETORES!$B:$B,MATCH(A446,SETORES!$A:$A,0))</f>
        <v/>
      </c>
      <c r="C446" s="90" t="inlineStr">
        <is>
          <t>DTEL (uso próprio)</t>
        </is>
      </c>
      <c r="D446" s="88">
        <f>IF(B446="Clientes",SUMIFS(PARÂMETROS!$D$8:$D$33,PARÂMETROS!$A$8:$A$33,C446,PARÂMETROS!$G$8:$G$33,J446),SUMIFS(PARÂMETROS!$E$8:$E$33,PARÂMETROS!$A$8:$A$33,C446,PARÂMETROS!$G$8:$G$33,J446))</f>
        <v/>
      </c>
      <c r="E446" s="96">
        <f>SUMIFS(SETORES!$D:$D,SETORES!$A:$A,A446,SETORES!$F:$F,J446)</f>
        <v/>
      </c>
      <c r="F446" s="96">
        <f>IFERROR(D446*E446,0)</f>
        <v/>
      </c>
      <c r="G446" s="88">
        <f>SUMIFS(PARÂMETROS!$F$8:$F$33,PARÂMETROS!$A$8:$A$33,C446,PARÂMETROS!$G$8:$G$33,J446)</f>
        <v/>
      </c>
      <c r="H446" s="96">
        <f>IFERROR(F446*G446,0)</f>
        <v/>
      </c>
      <c r="I446" s="96">
        <f>F446+H446</f>
        <v/>
      </c>
      <c r="J446" s="90" t="inlineStr">
        <is>
          <t>Julho/2026</t>
        </is>
      </c>
    </row>
    <row r="447" hidden="1" ht="14.25" customHeight="1" s="75">
      <c r="A447" s="105" t="inlineStr">
        <is>
          <t>RH</t>
        </is>
      </c>
      <c r="B447" s="94">
        <f>INDEX(SETORES!$B:$B,MATCH(A447,SETORES!$A:$A,0))</f>
        <v/>
      </c>
      <c r="C447" s="105" t="inlineStr">
        <is>
          <t>Empresa Licenciada DX2</t>
        </is>
      </c>
      <c r="D447" s="83">
        <f>IF(B447="Clientes",SUMIFS(PARÂMETROS!$D$8:$D$33,PARÂMETROS!$A$8:$A$33,C447,PARÂMETROS!$G$8:$G$33,J447),SUMIFS(PARÂMETROS!$E$8:$E$33,PARÂMETROS!$A$8:$A$33,C447,PARÂMETROS!$G$8:$G$33,J447))</f>
        <v/>
      </c>
      <c r="E447" s="107">
        <f>SUMIFS(SETORES!$D:$D,SETORES!$A:$A,A447,SETORES!$F:$F,J447)</f>
        <v/>
      </c>
      <c r="F447" s="107">
        <f>IFERROR(D447*E447,0)</f>
        <v/>
      </c>
      <c r="G447" s="83">
        <f>SUMIFS(PARÂMETROS!$F$8:$F$33,PARÂMETROS!$A$8:$A$33,C447,PARÂMETROS!$G$8:$G$33,J447)</f>
        <v/>
      </c>
      <c r="H447" s="107">
        <f>IFERROR(F447*G447,0)</f>
        <v/>
      </c>
      <c r="I447" s="107">
        <f>F447+H447</f>
        <v/>
      </c>
      <c r="J447" s="105" t="inlineStr">
        <is>
          <t>Julho/2026</t>
        </is>
      </c>
    </row>
    <row r="448" hidden="1" ht="14.25" customHeight="1" s="75">
      <c r="A448" s="90" t="inlineStr">
        <is>
          <t>RH</t>
        </is>
      </c>
      <c r="B448" s="90">
        <f>INDEX(SETORES!$B:$B,MATCH(A448,SETORES!$A:$A,0))</f>
        <v/>
      </c>
      <c r="C448" s="90" t="inlineStr">
        <is>
          <t>Empresa Licenciada H&amp;A</t>
        </is>
      </c>
      <c r="D448" s="88">
        <f>IF(B448="Clientes",SUMIFS(PARÂMETROS!$D$8:$D$33,PARÂMETROS!$A$8:$A$33,C448,PARÂMETROS!$G$8:$G$33,J448),SUMIFS(PARÂMETROS!$E$8:$E$33,PARÂMETROS!$A$8:$A$33,C448,PARÂMETROS!$G$8:$G$33,J448))</f>
        <v/>
      </c>
      <c r="E448" s="96">
        <f>SUMIFS(SETORES!$D:$D,SETORES!$A:$A,A448,SETORES!$F:$F,J448)</f>
        <v/>
      </c>
      <c r="F448" s="96">
        <f>IFERROR(D448*E448,0)</f>
        <v/>
      </c>
      <c r="G448" s="88">
        <f>SUMIFS(PARÂMETROS!$F$8:$F$33,PARÂMETROS!$A$8:$A$33,C448,PARÂMETROS!$G$8:$G$33,J448)</f>
        <v/>
      </c>
      <c r="H448" s="96">
        <f>IFERROR(F448*G448,0)</f>
        <v/>
      </c>
      <c r="I448" s="96">
        <f>F448+H448</f>
        <v/>
      </c>
      <c r="J448" s="90" t="inlineStr">
        <is>
          <t>Julho/2026</t>
        </is>
      </c>
    </row>
    <row r="449" hidden="1" ht="14.25" customHeight="1" s="75">
      <c r="A449" s="105" t="inlineStr">
        <is>
          <t>RH</t>
        </is>
      </c>
      <c r="B449" s="94">
        <f>INDEX(SETORES!$B:$B,MATCH(A449,SETORES!$A:$A,0))</f>
        <v/>
      </c>
      <c r="C449" s="105" t="inlineStr">
        <is>
          <t>Empresa Licenciada SOLON ARAUJO</t>
        </is>
      </c>
      <c r="D449" s="83">
        <f>IF(B449="Clientes",SUMIFS(PARÂMETROS!$D$8:$D$33,PARÂMETROS!$A$8:$A$33,C449,PARÂMETROS!$G$8:$G$33,J449),SUMIFS(PARÂMETROS!$E$8:$E$33,PARÂMETROS!$A$8:$A$33,C449,PARÂMETROS!$G$8:$G$33,J449))</f>
        <v/>
      </c>
      <c r="E449" s="107">
        <f>SUMIFS(SETORES!$D:$D,SETORES!$A:$A,A449,SETORES!$F:$F,J449)</f>
        <v/>
      </c>
      <c r="F449" s="107">
        <f>IFERROR(D449*E449,0)</f>
        <v/>
      </c>
      <c r="G449" s="83">
        <f>SUMIFS(PARÂMETROS!$F$8:$F$33,PARÂMETROS!$A$8:$A$33,C449,PARÂMETROS!$G$8:$G$33,J449)</f>
        <v/>
      </c>
      <c r="H449" s="107">
        <f>IFERROR(F449*G449,0)</f>
        <v/>
      </c>
      <c r="I449" s="107">
        <f>F449+H449</f>
        <v/>
      </c>
      <c r="J449" s="105" t="inlineStr">
        <is>
          <t>Julho/2026</t>
        </is>
      </c>
    </row>
    <row r="450" ht="14.25" customHeight="1" s="75">
      <c r="A450" s="90" t="inlineStr">
        <is>
          <t>RH</t>
        </is>
      </c>
      <c r="B450" s="90">
        <f>INDEX(SETORES!$B:$B,MATCH(A450,SETORES!$A:$A,0))</f>
        <v/>
      </c>
      <c r="C450" s="90" t="inlineStr">
        <is>
          <t>Empresa Licenciada SOARES E LINS</t>
        </is>
      </c>
      <c r="D450" s="88">
        <f>IF(B450="Clientes",SUMIFS(PARÂMETROS!$D$8:$D$33,PARÂMETROS!$A$8:$A$33,C450,PARÂMETROS!$G$8:$G$33,J450),SUMIFS(PARÂMETROS!$E$8:$E$33,PARÂMETROS!$A$8:$A$33,C450,PARÂMETROS!$G$8:$G$33,J450))</f>
        <v/>
      </c>
      <c r="E450" s="96">
        <f>SUMIFS(SETORES!$D:$D,SETORES!$A:$A,A450,SETORES!$F:$F,J450)</f>
        <v/>
      </c>
      <c r="F450" s="96">
        <f>IFERROR(D450*E450,0)</f>
        <v/>
      </c>
      <c r="G450" s="88">
        <f>SUMIFS(PARÂMETROS!$F$8:$F$33,PARÂMETROS!$A$8:$A$33,C450,PARÂMETROS!$G$8:$G$33,J450)</f>
        <v/>
      </c>
      <c r="H450" s="96">
        <f>IFERROR(F450*G450,0)</f>
        <v/>
      </c>
      <c r="I450" s="96">
        <f>F450+H450</f>
        <v/>
      </c>
      <c r="J450" s="90" t="inlineStr">
        <is>
          <t>Julho/2026</t>
        </is>
      </c>
    </row>
    <row r="451" hidden="1" ht="14.25" customHeight="1" s="75">
      <c r="A451" s="105" t="inlineStr">
        <is>
          <t>RH</t>
        </is>
      </c>
      <c r="B451" s="94">
        <f>INDEX(SETORES!$B:$B,MATCH(A451,SETORES!$A:$A,0))</f>
        <v/>
      </c>
      <c r="C451" s="105" t="inlineStr">
        <is>
          <t>Empresa Licenciada SOARES E SILVA</t>
        </is>
      </c>
      <c r="D451" s="83">
        <f>IF(B451="Clientes",SUMIFS(PARÂMETROS!$D$8:$D$33,PARÂMETROS!$A$8:$A$33,C451,PARÂMETROS!$G$8:$G$33,J451),SUMIFS(PARÂMETROS!$E$8:$E$33,PARÂMETROS!$A$8:$A$33,C451,PARÂMETROS!$G$8:$G$33,J451))</f>
        <v/>
      </c>
      <c r="E451" s="107">
        <f>SUMIFS(SETORES!$D:$D,SETORES!$A:$A,A451,SETORES!$F:$F,J451)</f>
        <v/>
      </c>
      <c r="F451" s="107">
        <f>IFERROR(D451*E451,0)</f>
        <v/>
      </c>
      <c r="G451" s="83">
        <f>SUMIFS(PARÂMETROS!$F$8:$F$33,PARÂMETROS!$A$8:$A$33,C451,PARÂMETROS!$G$8:$G$33,J451)</f>
        <v/>
      </c>
      <c r="H451" s="107">
        <f>IFERROR(F451*G451,0)</f>
        <v/>
      </c>
      <c r="I451" s="107">
        <f>F451+H451</f>
        <v/>
      </c>
      <c r="J451" s="105" t="inlineStr">
        <is>
          <t>Julho/2026</t>
        </is>
      </c>
    </row>
    <row r="452" hidden="1" ht="14.25" customHeight="1" s="75">
      <c r="A452" s="90" t="inlineStr">
        <is>
          <t>RH</t>
        </is>
      </c>
      <c r="B452" s="90">
        <f>INDEX(SETORES!$B:$B,MATCH(A452,SETORES!$A:$A,0))</f>
        <v/>
      </c>
      <c r="C452" s="90" t="inlineStr">
        <is>
          <t>Empresa Licenciada SOUZA E SILVA</t>
        </is>
      </c>
      <c r="D452" s="88">
        <f>IF(B452="Clientes",SUMIFS(PARÂMETROS!$D$8:$D$33,PARÂMETROS!$A$8:$A$33,C452,PARÂMETROS!$G$8:$G$33,J452),SUMIFS(PARÂMETROS!$E$8:$E$33,PARÂMETROS!$A$8:$A$33,C452,PARÂMETROS!$G$8:$G$33,J452))</f>
        <v/>
      </c>
      <c r="E452" s="96">
        <f>SUMIFS(SETORES!$D:$D,SETORES!$A:$A,A452,SETORES!$F:$F,J452)</f>
        <v/>
      </c>
      <c r="F452" s="96">
        <f>IFERROR(D452*E452,0)</f>
        <v/>
      </c>
      <c r="G452" s="88">
        <f>SUMIFS(PARÂMETROS!$F$8:$F$33,PARÂMETROS!$A$8:$A$33,C452,PARÂMETROS!$G$8:$G$33,J452)</f>
        <v/>
      </c>
      <c r="H452" s="96">
        <f>IFERROR(F452*G452,0)</f>
        <v/>
      </c>
      <c r="I452" s="96">
        <f>F452+H452</f>
        <v/>
      </c>
      <c r="J452" s="90" t="inlineStr">
        <is>
          <t>Julho/2026</t>
        </is>
      </c>
    </row>
    <row r="453" hidden="1" ht="14.25" customHeight="1" s="75">
      <c r="A453" s="105" t="inlineStr">
        <is>
          <t>RH</t>
        </is>
      </c>
      <c r="B453" s="94">
        <f>INDEX(SETORES!$B:$B,MATCH(A453,SETORES!$A:$A,0))</f>
        <v/>
      </c>
      <c r="C453" s="105" t="inlineStr">
        <is>
          <t>Empresa Licenciada VOICENET</t>
        </is>
      </c>
      <c r="D453" s="83">
        <f>IF(B453="Clientes",SUMIFS(PARÂMETROS!$D$8:$D$33,PARÂMETROS!$A$8:$A$33,C453,PARÂMETROS!$G$8:$G$33,J453),SUMIFS(PARÂMETROS!$E$8:$E$33,PARÂMETROS!$A$8:$A$33,C453,PARÂMETROS!$G$8:$G$33,J453))</f>
        <v/>
      </c>
      <c r="E453" s="107">
        <f>SUMIFS(SETORES!$D:$D,SETORES!$A:$A,A453,SETORES!$F:$F,J453)</f>
        <v/>
      </c>
      <c r="F453" s="107">
        <f>IFERROR(D453*E453,0)</f>
        <v/>
      </c>
      <c r="G453" s="83">
        <f>SUMIFS(PARÂMETROS!$F$8:$F$33,PARÂMETROS!$A$8:$A$33,C453,PARÂMETROS!$G$8:$G$33,J453)</f>
        <v/>
      </c>
      <c r="H453" s="107">
        <f>IFERROR(F453*G453,0)</f>
        <v/>
      </c>
      <c r="I453" s="107">
        <f>F453+H453</f>
        <v/>
      </c>
      <c r="J453" s="105" t="inlineStr">
        <is>
          <t>Julho/2026</t>
        </is>
      </c>
    </row>
    <row r="454" hidden="1" ht="14.25" customHeight="1" s="75">
      <c r="A454" s="90" t="inlineStr">
        <is>
          <t>RH</t>
        </is>
      </c>
      <c r="B454" s="90">
        <f>INDEX(SETORES!$B:$B,MATCH(A454,SETORES!$A:$A,0))</f>
        <v/>
      </c>
      <c r="C454" s="90" t="inlineStr">
        <is>
          <t>DTEL (uso próprio)</t>
        </is>
      </c>
      <c r="D454" s="88">
        <f>IF(B454="Clientes",SUMIFS(PARÂMETROS!$D$8:$D$33,PARÂMETROS!$A$8:$A$33,C454,PARÂMETROS!$G$8:$G$33,J454),SUMIFS(PARÂMETROS!$E$8:$E$33,PARÂMETROS!$A$8:$A$33,C454,PARÂMETROS!$G$8:$G$33,J454))</f>
        <v/>
      </c>
      <c r="E454" s="96">
        <f>SUMIFS(SETORES!$D:$D,SETORES!$A:$A,A454,SETORES!$F:$F,J454)</f>
        <v/>
      </c>
      <c r="F454" s="96">
        <f>IFERROR(D454*E454,0)</f>
        <v/>
      </c>
      <c r="G454" s="88">
        <f>SUMIFS(PARÂMETROS!$F$8:$F$33,PARÂMETROS!$A$8:$A$33,C454,PARÂMETROS!$G$8:$G$33,J454)</f>
        <v/>
      </c>
      <c r="H454" s="96">
        <f>IFERROR(F454*G454,0)</f>
        <v/>
      </c>
      <c r="I454" s="96">
        <f>F454+H454</f>
        <v/>
      </c>
      <c r="J454" s="90" t="inlineStr">
        <is>
          <t>Julho/2026</t>
        </is>
      </c>
    </row>
    <row r="455" hidden="1" ht="14.25" customHeight="1" s="75">
      <c r="A455" s="105" t="inlineStr">
        <is>
          <t>DP</t>
        </is>
      </c>
      <c r="B455" s="94">
        <f>INDEX(SETORES!$B:$B,MATCH(A455,SETORES!$A:$A,0))</f>
        <v/>
      </c>
      <c r="C455" s="105" t="inlineStr">
        <is>
          <t>Empresa Licenciada DX2</t>
        </is>
      </c>
      <c r="D455" s="83">
        <f>IF(B455="Clientes",SUMIFS(PARÂMETROS!$D$8:$D$33,PARÂMETROS!$A$8:$A$33,C455,PARÂMETROS!$G$8:$G$33,J455),SUMIFS(PARÂMETROS!$E$8:$E$33,PARÂMETROS!$A$8:$A$33,C455,PARÂMETROS!$G$8:$G$33,J455))</f>
        <v/>
      </c>
      <c r="E455" s="107">
        <f>SUMIFS(SETORES!$D:$D,SETORES!$A:$A,A455,SETORES!$F:$F,J455)</f>
        <v/>
      </c>
      <c r="F455" s="107">
        <f>IFERROR(D455*E455,0)</f>
        <v/>
      </c>
      <c r="G455" s="83">
        <f>SUMIFS(PARÂMETROS!$F$8:$F$33,PARÂMETROS!$A$8:$A$33,C455,PARÂMETROS!$G$8:$G$33,J455)</f>
        <v/>
      </c>
      <c r="H455" s="107">
        <f>IFERROR(F455*G455,0)</f>
        <v/>
      </c>
      <c r="I455" s="107">
        <f>F455+H455</f>
        <v/>
      </c>
      <c r="J455" s="105" t="inlineStr">
        <is>
          <t>Julho/2026</t>
        </is>
      </c>
    </row>
    <row r="456" hidden="1" ht="14.25" customHeight="1" s="75">
      <c r="A456" s="90" t="inlineStr">
        <is>
          <t>DP</t>
        </is>
      </c>
      <c r="B456" s="90">
        <f>INDEX(SETORES!$B:$B,MATCH(A456,SETORES!$A:$A,0))</f>
        <v/>
      </c>
      <c r="C456" s="90" t="inlineStr">
        <is>
          <t>Empresa Licenciada H&amp;A</t>
        </is>
      </c>
      <c r="D456" s="88">
        <f>IF(B456="Clientes",SUMIFS(PARÂMETROS!$D$8:$D$33,PARÂMETROS!$A$8:$A$33,C456,PARÂMETROS!$G$8:$G$33,J456),SUMIFS(PARÂMETROS!$E$8:$E$33,PARÂMETROS!$A$8:$A$33,C456,PARÂMETROS!$G$8:$G$33,J456))</f>
        <v/>
      </c>
      <c r="E456" s="96">
        <f>SUMIFS(SETORES!$D:$D,SETORES!$A:$A,A456,SETORES!$F:$F,J456)</f>
        <v/>
      </c>
      <c r="F456" s="96">
        <f>IFERROR(D456*E456,0)</f>
        <v/>
      </c>
      <c r="G456" s="88">
        <f>SUMIFS(PARÂMETROS!$F$8:$F$33,PARÂMETROS!$A$8:$A$33,C456,PARÂMETROS!$G$8:$G$33,J456)</f>
        <v/>
      </c>
      <c r="H456" s="96">
        <f>IFERROR(F456*G456,0)</f>
        <v/>
      </c>
      <c r="I456" s="96">
        <f>F456+H456</f>
        <v/>
      </c>
      <c r="J456" s="90" t="inlineStr">
        <is>
          <t>Julho/2026</t>
        </is>
      </c>
    </row>
    <row r="457" hidden="1" ht="14.25" customHeight="1" s="75">
      <c r="A457" s="105" t="inlineStr">
        <is>
          <t>DP</t>
        </is>
      </c>
      <c r="B457" s="94">
        <f>INDEX(SETORES!$B:$B,MATCH(A457,SETORES!$A:$A,0))</f>
        <v/>
      </c>
      <c r="C457" s="105" t="inlineStr">
        <is>
          <t>Empresa Licenciada SOLON ARAUJO</t>
        </is>
      </c>
      <c r="D457" s="83">
        <f>IF(B457="Clientes",SUMIFS(PARÂMETROS!$D$8:$D$33,PARÂMETROS!$A$8:$A$33,C457,PARÂMETROS!$G$8:$G$33,J457),SUMIFS(PARÂMETROS!$E$8:$E$33,PARÂMETROS!$A$8:$A$33,C457,PARÂMETROS!$G$8:$G$33,J457))</f>
        <v/>
      </c>
      <c r="E457" s="107">
        <f>SUMIFS(SETORES!$D:$D,SETORES!$A:$A,A457,SETORES!$F:$F,J457)</f>
        <v/>
      </c>
      <c r="F457" s="107">
        <f>IFERROR(D457*E457,0)</f>
        <v/>
      </c>
      <c r="G457" s="83">
        <f>SUMIFS(PARÂMETROS!$F$8:$F$33,PARÂMETROS!$A$8:$A$33,C457,PARÂMETROS!$G$8:$G$33,J457)</f>
        <v/>
      </c>
      <c r="H457" s="107">
        <f>IFERROR(F457*G457,0)</f>
        <v/>
      </c>
      <c r="I457" s="107">
        <f>F457+H457</f>
        <v/>
      </c>
      <c r="J457" s="105" t="inlineStr">
        <is>
          <t>Julho/2026</t>
        </is>
      </c>
    </row>
    <row r="458" ht="14.25" customHeight="1" s="75">
      <c r="A458" s="90" t="inlineStr">
        <is>
          <t>DP</t>
        </is>
      </c>
      <c r="B458" s="90">
        <f>INDEX(SETORES!$B:$B,MATCH(A458,SETORES!$A:$A,0))</f>
        <v/>
      </c>
      <c r="C458" s="90" t="inlineStr">
        <is>
          <t>Empresa Licenciada SOARES E LINS</t>
        </is>
      </c>
      <c r="D458" s="88">
        <f>IF(B458="Clientes",SUMIFS(PARÂMETROS!$D$8:$D$33,PARÂMETROS!$A$8:$A$33,C458,PARÂMETROS!$G$8:$G$33,J458),SUMIFS(PARÂMETROS!$E$8:$E$33,PARÂMETROS!$A$8:$A$33,C458,PARÂMETROS!$G$8:$G$33,J458))</f>
        <v/>
      </c>
      <c r="E458" s="96">
        <f>SUMIFS(SETORES!$D:$D,SETORES!$A:$A,A458,SETORES!$F:$F,J458)</f>
        <v/>
      </c>
      <c r="F458" s="96">
        <f>IFERROR(D458*E458,0)</f>
        <v/>
      </c>
      <c r="G458" s="88">
        <f>SUMIFS(PARÂMETROS!$F$8:$F$33,PARÂMETROS!$A$8:$A$33,C458,PARÂMETROS!$G$8:$G$33,J458)</f>
        <v/>
      </c>
      <c r="H458" s="96">
        <f>IFERROR(F458*G458,0)</f>
        <v/>
      </c>
      <c r="I458" s="96">
        <f>F458+H458</f>
        <v/>
      </c>
      <c r="J458" s="90" t="inlineStr">
        <is>
          <t>Julho/2026</t>
        </is>
      </c>
    </row>
    <row r="459" hidden="1" ht="14.25" customHeight="1" s="75">
      <c r="A459" s="105" t="inlineStr">
        <is>
          <t>DP</t>
        </is>
      </c>
      <c r="B459" s="94">
        <f>INDEX(SETORES!$B:$B,MATCH(A459,SETORES!$A:$A,0))</f>
        <v/>
      </c>
      <c r="C459" s="105" t="inlineStr">
        <is>
          <t>Empresa Licenciada SOARES E SILVA</t>
        </is>
      </c>
      <c r="D459" s="83">
        <f>IF(B459="Clientes",SUMIFS(PARÂMETROS!$D$8:$D$33,PARÂMETROS!$A$8:$A$33,C459,PARÂMETROS!$G$8:$G$33,J459),SUMIFS(PARÂMETROS!$E$8:$E$33,PARÂMETROS!$A$8:$A$33,C459,PARÂMETROS!$G$8:$G$33,J459))</f>
        <v/>
      </c>
      <c r="E459" s="107">
        <f>SUMIFS(SETORES!$D:$D,SETORES!$A:$A,A459,SETORES!$F:$F,J459)</f>
        <v/>
      </c>
      <c r="F459" s="107">
        <f>IFERROR(D459*E459,0)</f>
        <v/>
      </c>
      <c r="G459" s="83">
        <f>SUMIFS(PARÂMETROS!$F$8:$F$33,PARÂMETROS!$A$8:$A$33,C459,PARÂMETROS!$G$8:$G$33,J459)</f>
        <v/>
      </c>
      <c r="H459" s="107">
        <f>IFERROR(F459*G459,0)</f>
        <v/>
      </c>
      <c r="I459" s="107">
        <f>F459+H459</f>
        <v/>
      </c>
      <c r="J459" s="105" t="inlineStr">
        <is>
          <t>Julho/2026</t>
        </is>
      </c>
    </row>
    <row r="460" hidden="1" ht="14.25" customHeight="1" s="75">
      <c r="A460" s="90" t="inlineStr">
        <is>
          <t>DP</t>
        </is>
      </c>
      <c r="B460" s="90">
        <f>INDEX(SETORES!$B:$B,MATCH(A460,SETORES!$A:$A,0))</f>
        <v/>
      </c>
      <c r="C460" s="90" t="inlineStr">
        <is>
          <t>Empresa Licenciada SOUZA E SILVA</t>
        </is>
      </c>
      <c r="D460" s="88">
        <f>IF(B460="Clientes",SUMIFS(PARÂMETROS!$D$8:$D$33,PARÂMETROS!$A$8:$A$33,C460,PARÂMETROS!$G$8:$G$33,J460),SUMIFS(PARÂMETROS!$E$8:$E$33,PARÂMETROS!$A$8:$A$33,C460,PARÂMETROS!$G$8:$G$33,J460))</f>
        <v/>
      </c>
      <c r="E460" s="96">
        <f>SUMIFS(SETORES!$D:$D,SETORES!$A:$A,A460,SETORES!$F:$F,J460)</f>
        <v/>
      </c>
      <c r="F460" s="96">
        <f>IFERROR(D460*E460,0)</f>
        <v/>
      </c>
      <c r="G460" s="88">
        <f>SUMIFS(PARÂMETROS!$F$8:$F$33,PARÂMETROS!$A$8:$A$33,C460,PARÂMETROS!$G$8:$G$33,J460)</f>
        <v/>
      </c>
      <c r="H460" s="96">
        <f>IFERROR(F460*G460,0)</f>
        <v/>
      </c>
      <c r="I460" s="96">
        <f>F460+H460</f>
        <v/>
      </c>
      <c r="J460" s="90" t="inlineStr">
        <is>
          <t>Julho/2026</t>
        </is>
      </c>
    </row>
    <row r="461" hidden="1" ht="14.25" customHeight="1" s="75">
      <c r="A461" s="105" t="inlineStr">
        <is>
          <t>DP</t>
        </is>
      </c>
      <c r="B461" s="94">
        <f>INDEX(SETORES!$B:$B,MATCH(A461,SETORES!$A:$A,0))</f>
        <v/>
      </c>
      <c r="C461" s="105" t="inlineStr">
        <is>
          <t>Empresa Licenciada VOICENET</t>
        </is>
      </c>
      <c r="D461" s="83">
        <f>IF(B461="Clientes",SUMIFS(PARÂMETROS!$D$8:$D$33,PARÂMETROS!$A$8:$A$33,C461,PARÂMETROS!$G$8:$G$33,J461),SUMIFS(PARÂMETROS!$E$8:$E$33,PARÂMETROS!$A$8:$A$33,C461,PARÂMETROS!$G$8:$G$33,J461))</f>
        <v/>
      </c>
      <c r="E461" s="107">
        <f>SUMIFS(SETORES!$D:$D,SETORES!$A:$A,A461,SETORES!$F:$F,J461)</f>
        <v/>
      </c>
      <c r="F461" s="107">
        <f>IFERROR(D461*E461,0)</f>
        <v/>
      </c>
      <c r="G461" s="83">
        <f>SUMIFS(PARÂMETROS!$F$8:$F$33,PARÂMETROS!$A$8:$A$33,C461,PARÂMETROS!$G$8:$G$33,J461)</f>
        <v/>
      </c>
      <c r="H461" s="107">
        <f>IFERROR(F461*G461,0)</f>
        <v/>
      </c>
      <c r="I461" s="107">
        <f>F461+H461</f>
        <v/>
      </c>
      <c r="J461" s="105" t="inlineStr">
        <is>
          <t>Julho/2026</t>
        </is>
      </c>
    </row>
    <row r="462" hidden="1" ht="14.25" customHeight="1" s="75">
      <c r="A462" s="90" t="inlineStr">
        <is>
          <t>DP</t>
        </is>
      </c>
      <c r="B462" s="90">
        <f>INDEX(SETORES!$B:$B,MATCH(A462,SETORES!$A:$A,0))</f>
        <v/>
      </c>
      <c r="C462" s="90" t="inlineStr">
        <is>
          <t>DTEL (uso próprio)</t>
        </is>
      </c>
      <c r="D462" s="88">
        <f>IF(B462="Clientes",SUMIFS(PARÂMETROS!$D$8:$D$33,PARÂMETROS!$A$8:$A$33,C462,PARÂMETROS!$G$8:$G$33,J462),SUMIFS(PARÂMETROS!$E$8:$E$33,PARÂMETROS!$A$8:$A$33,C462,PARÂMETROS!$G$8:$G$33,J462))</f>
        <v/>
      </c>
      <c r="E462" s="96">
        <f>SUMIFS(SETORES!$D:$D,SETORES!$A:$A,A462,SETORES!$F:$F,J462)</f>
        <v/>
      </c>
      <c r="F462" s="96">
        <f>IFERROR(D462*E462,0)</f>
        <v/>
      </c>
      <c r="G462" s="88">
        <f>SUMIFS(PARÂMETROS!$F$8:$F$33,PARÂMETROS!$A$8:$A$33,C462,PARÂMETROS!$G$8:$G$33,J462)</f>
        <v/>
      </c>
      <c r="H462" s="96">
        <f>IFERROR(F462*G462,0)</f>
        <v/>
      </c>
      <c r="I462" s="96">
        <f>F462+H462</f>
        <v/>
      </c>
      <c r="J462" s="90" t="inlineStr">
        <is>
          <t>Julho/2026</t>
        </is>
      </c>
    </row>
    <row r="463" hidden="1" ht="14.25" customHeight="1" s="75">
      <c r="A463" s="105" t="inlineStr">
        <is>
          <t>Gestão de Atendimento</t>
        </is>
      </c>
      <c r="B463" s="94">
        <f>INDEX(SETORES!$B:$B,MATCH(A463,SETORES!$A:$A,0))</f>
        <v/>
      </c>
      <c r="C463" s="105" t="inlineStr">
        <is>
          <t>Empresa Licenciada DX2</t>
        </is>
      </c>
      <c r="D463" s="83">
        <f>IF(B463="Clientes",SUMIFS(PARÂMETROS!$D$8:$D$33,PARÂMETROS!$A$8:$A$33,C463,PARÂMETROS!$G$8:$G$33,J463),SUMIFS(PARÂMETROS!$E$8:$E$33,PARÂMETROS!$A$8:$A$33,C463,PARÂMETROS!$G$8:$G$33,J463))</f>
        <v/>
      </c>
      <c r="E463" s="107">
        <f>SUMIFS(SETORES!$D:$D,SETORES!$A:$A,A463,SETORES!$F:$F,J463)</f>
        <v/>
      </c>
      <c r="F463" s="107">
        <f>IFERROR(D463*E463,0)</f>
        <v/>
      </c>
      <c r="G463" s="83">
        <f>SUMIFS(PARÂMETROS!$F$8:$F$33,PARÂMETROS!$A$8:$A$33,C463,PARÂMETROS!$G$8:$G$33,J463)</f>
        <v/>
      </c>
      <c r="H463" s="107">
        <f>IFERROR(F463*G463,0)</f>
        <v/>
      </c>
      <c r="I463" s="107">
        <f>F463+H463</f>
        <v/>
      </c>
      <c r="J463" s="105" t="inlineStr">
        <is>
          <t>Julho/2026</t>
        </is>
      </c>
    </row>
    <row r="464" hidden="1" ht="14.25" customHeight="1" s="75">
      <c r="A464" s="90" t="inlineStr">
        <is>
          <t>Gestão de Atendimento</t>
        </is>
      </c>
      <c r="B464" s="90">
        <f>INDEX(SETORES!$B:$B,MATCH(A464,SETORES!$A:$A,0))</f>
        <v/>
      </c>
      <c r="C464" s="90" t="inlineStr">
        <is>
          <t>Empresa Licenciada H&amp;A</t>
        </is>
      </c>
      <c r="D464" s="88">
        <f>IF(B464="Clientes",SUMIFS(PARÂMETROS!$D$8:$D$33,PARÂMETROS!$A$8:$A$33,C464,PARÂMETROS!$G$8:$G$33,J464),SUMIFS(PARÂMETROS!$E$8:$E$33,PARÂMETROS!$A$8:$A$33,C464,PARÂMETROS!$G$8:$G$33,J464))</f>
        <v/>
      </c>
      <c r="E464" s="96">
        <f>SUMIFS(SETORES!$D:$D,SETORES!$A:$A,A464,SETORES!$F:$F,J464)</f>
        <v/>
      </c>
      <c r="F464" s="96">
        <f>IFERROR(D464*E464,0)</f>
        <v/>
      </c>
      <c r="G464" s="88">
        <f>SUMIFS(PARÂMETROS!$F$8:$F$33,PARÂMETROS!$A$8:$A$33,C464,PARÂMETROS!$G$8:$G$33,J464)</f>
        <v/>
      </c>
      <c r="H464" s="96">
        <f>IFERROR(F464*G464,0)</f>
        <v/>
      </c>
      <c r="I464" s="96">
        <f>F464+H464</f>
        <v/>
      </c>
      <c r="J464" s="90" t="inlineStr">
        <is>
          <t>Julho/2026</t>
        </is>
      </c>
    </row>
    <row r="465" hidden="1" ht="14.25" customHeight="1" s="75">
      <c r="A465" s="105" t="inlineStr">
        <is>
          <t>Gestão de Atendimento</t>
        </is>
      </c>
      <c r="B465" s="94">
        <f>INDEX(SETORES!$B:$B,MATCH(A465,SETORES!$A:$A,0))</f>
        <v/>
      </c>
      <c r="C465" s="105" t="inlineStr">
        <is>
          <t>Empresa Licenciada SOLON ARAUJO</t>
        </is>
      </c>
      <c r="D465" s="83">
        <f>IF(B465="Clientes",SUMIFS(PARÂMETROS!$D$8:$D$33,PARÂMETROS!$A$8:$A$33,C465,PARÂMETROS!$G$8:$G$33,J465),SUMIFS(PARÂMETROS!$E$8:$E$33,PARÂMETROS!$A$8:$A$33,C465,PARÂMETROS!$G$8:$G$33,J465))</f>
        <v/>
      </c>
      <c r="E465" s="107">
        <f>SUMIFS(SETORES!$D:$D,SETORES!$A:$A,A465,SETORES!$F:$F,J465)</f>
        <v/>
      </c>
      <c r="F465" s="107">
        <f>IFERROR(D465*E465,0)</f>
        <v/>
      </c>
      <c r="G465" s="83">
        <f>SUMIFS(PARÂMETROS!$F$8:$F$33,PARÂMETROS!$A$8:$A$33,C465,PARÂMETROS!$G$8:$G$33,J465)</f>
        <v/>
      </c>
      <c r="H465" s="107">
        <f>IFERROR(F465*G465,0)</f>
        <v/>
      </c>
      <c r="I465" s="107">
        <f>F465+H465</f>
        <v/>
      </c>
      <c r="J465" s="105" t="inlineStr">
        <is>
          <t>Julho/2026</t>
        </is>
      </c>
    </row>
    <row r="466" ht="14.25" customHeight="1" s="75">
      <c r="A466" s="90" t="inlineStr">
        <is>
          <t>Gestão de Atendimento</t>
        </is>
      </c>
      <c r="B466" s="90">
        <f>INDEX(SETORES!$B:$B,MATCH(A466,SETORES!$A:$A,0))</f>
        <v/>
      </c>
      <c r="C466" s="90" t="inlineStr">
        <is>
          <t>Empresa Licenciada SOARES E LINS</t>
        </is>
      </c>
      <c r="D466" s="88">
        <f>IF(B466="Clientes",SUMIFS(PARÂMETROS!$D$8:$D$33,PARÂMETROS!$A$8:$A$33,C466,PARÂMETROS!$G$8:$G$33,J466),SUMIFS(PARÂMETROS!$E$8:$E$33,PARÂMETROS!$A$8:$A$33,C466,PARÂMETROS!$G$8:$G$33,J466))</f>
        <v/>
      </c>
      <c r="E466" s="96">
        <f>SUMIFS(SETORES!$D:$D,SETORES!$A:$A,A466,SETORES!$F:$F,J466)</f>
        <v/>
      </c>
      <c r="F466" s="96">
        <f>IFERROR(D466*E466,0)</f>
        <v/>
      </c>
      <c r="G466" s="88">
        <f>SUMIFS(PARÂMETROS!$F$8:$F$33,PARÂMETROS!$A$8:$A$33,C466,PARÂMETROS!$G$8:$G$33,J466)</f>
        <v/>
      </c>
      <c r="H466" s="96">
        <f>IFERROR(F466*G466,0)</f>
        <v/>
      </c>
      <c r="I466" s="96">
        <f>F466+H466</f>
        <v/>
      </c>
      <c r="J466" s="90" t="inlineStr">
        <is>
          <t>Julho/2026</t>
        </is>
      </c>
    </row>
    <row r="467" hidden="1" ht="14.25" customHeight="1" s="75">
      <c r="A467" s="105" t="inlineStr">
        <is>
          <t>Gestão de Atendimento</t>
        </is>
      </c>
      <c r="B467" s="94">
        <f>INDEX(SETORES!$B:$B,MATCH(A467,SETORES!$A:$A,0))</f>
        <v/>
      </c>
      <c r="C467" s="105" t="inlineStr">
        <is>
          <t>Empresa Licenciada SOARES E SILVA</t>
        </is>
      </c>
      <c r="D467" s="83">
        <f>IF(B467="Clientes",SUMIFS(PARÂMETROS!$D$8:$D$33,PARÂMETROS!$A$8:$A$33,C467,PARÂMETROS!$G$8:$G$33,J467),SUMIFS(PARÂMETROS!$E$8:$E$33,PARÂMETROS!$A$8:$A$33,C467,PARÂMETROS!$G$8:$G$33,J467))</f>
        <v/>
      </c>
      <c r="E467" s="107">
        <f>SUMIFS(SETORES!$D:$D,SETORES!$A:$A,A467,SETORES!$F:$F,J467)</f>
        <v/>
      </c>
      <c r="F467" s="107">
        <f>IFERROR(D467*E467,0)</f>
        <v/>
      </c>
      <c r="G467" s="83">
        <f>SUMIFS(PARÂMETROS!$F$8:$F$33,PARÂMETROS!$A$8:$A$33,C467,PARÂMETROS!$G$8:$G$33,J467)</f>
        <v/>
      </c>
      <c r="H467" s="107">
        <f>IFERROR(F467*G467,0)</f>
        <v/>
      </c>
      <c r="I467" s="107">
        <f>F467+H467</f>
        <v/>
      </c>
      <c r="J467" s="105" t="inlineStr">
        <is>
          <t>Julho/2026</t>
        </is>
      </c>
    </row>
    <row r="468" hidden="1" ht="14.25" customHeight="1" s="75">
      <c r="A468" s="90" t="inlineStr">
        <is>
          <t>Gestão de Atendimento</t>
        </is>
      </c>
      <c r="B468" s="90">
        <f>INDEX(SETORES!$B:$B,MATCH(A468,SETORES!$A:$A,0))</f>
        <v/>
      </c>
      <c r="C468" s="90" t="inlineStr">
        <is>
          <t>Empresa Licenciada SOUZA E SILVA</t>
        </is>
      </c>
      <c r="D468" s="88">
        <f>IF(B468="Clientes",SUMIFS(PARÂMETROS!$D$8:$D$33,PARÂMETROS!$A$8:$A$33,C468,PARÂMETROS!$G$8:$G$33,J468),SUMIFS(PARÂMETROS!$E$8:$E$33,PARÂMETROS!$A$8:$A$33,C468,PARÂMETROS!$G$8:$G$33,J468))</f>
        <v/>
      </c>
      <c r="E468" s="96">
        <f>SUMIFS(SETORES!$D:$D,SETORES!$A:$A,A468,SETORES!$F:$F,J468)</f>
        <v/>
      </c>
      <c r="F468" s="96">
        <f>IFERROR(D468*E468,0)</f>
        <v/>
      </c>
      <c r="G468" s="88">
        <f>SUMIFS(PARÂMETROS!$F$8:$F$33,PARÂMETROS!$A$8:$A$33,C468,PARÂMETROS!$G$8:$G$33,J468)</f>
        <v/>
      </c>
      <c r="H468" s="96">
        <f>IFERROR(F468*G468,0)</f>
        <v/>
      </c>
      <c r="I468" s="96">
        <f>F468+H468</f>
        <v/>
      </c>
      <c r="J468" s="90" t="inlineStr">
        <is>
          <t>Julho/2026</t>
        </is>
      </c>
    </row>
    <row r="469" hidden="1" ht="14.25" customHeight="1" s="75">
      <c r="A469" s="105" t="inlineStr">
        <is>
          <t>Gestão de Atendimento</t>
        </is>
      </c>
      <c r="B469" s="94">
        <f>INDEX(SETORES!$B:$B,MATCH(A469,SETORES!$A:$A,0))</f>
        <v/>
      </c>
      <c r="C469" s="105" t="inlineStr">
        <is>
          <t>Empresa Licenciada VOICENET</t>
        </is>
      </c>
      <c r="D469" s="83">
        <f>IF(B469="Clientes",SUMIFS(PARÂMETROS!$D$8:$D$33,PARÂMETROS!$A$8:$A$33,C469,PARÂMETROS!$G$8:$G$33,J469),SUMIFS(PARÂMETROS!$E$8:$E$33,PARÂMETROS!$A$8:$A$33,C469,PARÂMETROS!$G$8:$G$33,J469))</f>
        <v/>
      </c>
      <c r="E469" s="107">
        <f>SUMIFS(SETORES!$D:$D,SETORES!$A:$A,A469,SETORES!$F:$F,J469)</f>
        <v/>
      </c>
      <c r="F469" s="107">
        <f>IFERROR(D469*E469,0)</f>
        <v/>
      </c>
      <c r="G469" s="83">
        <f>SUMIFS(PARÂMETROS!$F$8:$F$33,PARÂMETROS!$A$8:$A$33,C469,PARÂMETROS!$G$8:$G$33,J469)</f>
        <v/>
      </c>
      <c r="H469" s="107">
        <f>IFERROR(F469*G469,0)</f>
        <v/>
      </c>
      <c r="I469" s="107">
        <f>F469+H469</f>
        <v/>
      </c>
      <c r="J469" s="105" t="inlineStr">
        <is>
          <t>Julho/2026</t>
        </is>
      </c>
    </row>
    <row r="470" hidden="1" ht="14.25" customHeight="1" s="75">
      <c r="A470" s="90" t="inlineStr">
        <is>
          <t>Gestão de Atendimento</t>
        </is>
      </c>
      <c r="B470" s="90">
        <f>INDEX(SETORES!$B:$B,MATCH(A470,SETORES!$A:$A,0))</f>
        <v/>
      </c>
      <c r="C470" s="90" t="inlineStr">
        <is>
          <t>DTEL (uso próprio)</t>
        </is>
      </c>
      <c r="D470" s="88">
        <f>IF(B470="Clientes",SUMIFS(PARÂMETROS!$D$8:$D$33,PARÂMETROS!$A$8:$A$33,C470,PARÂMETROS!$G$8:$G$33,J470),SUMIFS(PARÂMETROS!$E$8:$E$33,PARÂMETROS!$A$8:$A$33,C470,PARÂMETROS!$G$8:$G$33,J470))</f>
        <v/>
      </c>
      <c r="E470" s="96">
        <f>SUMIFS(SETORES!$D:$D,SETORES!$A:$A,A470,SETORES!$F:$F,J470)</f>
        <v/>
      </c>
      <c r="F470" s="96">
        <f>IFERROR(D470*E470,0)</f>
        <v/>
      </c>
      <c r="G470" s="88">
        <f>SUMIFS(PARÂMETROS!$F$8:$F$33,PARÂMETROS!$A$8:$A$33,C470,PARÂMETROS!$G$8:$G$33,J470)</f>
        <v/>
      </c>
      <c r="H470" s="96">
        <f>IFERROR(F470*G470,0)</f>
        <v/>
      </c>
      <c r="I470" s="96">
        <f>F470+H470</f>
        <v/>
      </c>
      <c r="J470" s="90" t="inlineStr">
        <is>
          <t>Julho/2026</t>
        </is>
      </c>
    </row>
    <row r="471" hidden="1" ht="14.25" customHeight="1" s="75">
      <c r="A471" s="105" t="inlineStr">
        <is>
          <t>CAC</t>
        </is>
      </c>
      <c r="B471" s="94">
        <f>INDEX(SETORES!$B:$B,MATCH(A471,SETORES!$A:$A,0))</f>
        <v/>
      </c>
      <c r="C471" s="105" t="inlineStr">
        <is>
          <t>Empresa Licenciada DX2</t>
        </is>
      </c>
      <c r="D471" s="83">
        <f>IF(B471="Clientes",SUMIFS(PARÂMETROS!$D$8:$D$33,PARÂMETROS!$A$8:$A$33,C471,PARÂMETROS!$G$8:$G$33,J471),SUMIFS(PARÂMETROS!$E$8:$E$33,PARÂMETROS!$A$8:$A$33,C471,PARÂMETROS!$G$8:$G$33,J471))</f>
        <v/>
      </c>
      <c r="E471" s="107">
        <f>SUMIFS(SETORES!$D:$D,SETORES!$A:$A,A471,SETORES!$F:$F,J471)</f>
        <v/>
      </c>
      <c r="F471" s="107">
        <f>IFERROR(D471*E471,0)</f>
        <v/>
      </c>
      <c r="G471" s="83">
        <f>SUMIFS(PARÂMETROS!$F$8:$F$33,PARÂMETROS!$A$8:$A$33,C471,PARÂMETROS!$G$8:$G$33,J471)</f>
        <v/>
      </c>
      <c r="H471" s="107">
        <f>IFERROR(F471*G471,0)</f>
        <v/>
      </c>
      <c r="I471" s="107">
        <f>F471+H471</f>
        <v/>
      </c>
      <c r="J471" s="105" t="inlineStr">
        <is>
          <t>Julho/2026</t>
        </is>
      </c>
    </row>
    <row r="472" hidden="1" ht="14.25" customHeight="1" s="75">
      <c r="A472" s="90" t="inlineStr">
        <is>
          <t>CAC</t>
        </is>
      </c>
      <c r="B472" s="90">
        <f>INDEX(SETORES!$B:$B,MATCH(A472,SETORES!$A:$A,0))</f>
        <v/>
      </c>
      <c r="C472" s="90" t="inlineStr">
        <is>
          <t>Empresa Licenciada H&amp;A</t>
        </is>
      </c>
      <c r="D472" s="88">
        <f>IF(B472="Clientes",SUMIFS(PARÂMETROS!$D$8:$D$33,PARÂMETROS!$A$8:$A$33,C472,PARÂMETROS!$G$8:$G$33,J472),SUMIFS(PARÂMETROS!$E$8:$E$33,PARÂMETROS!$A$8:$A$33,C472,PARÂMETROS!$G$8:$G$33,J472))</f>
        <v/>
      </c>
      <c r="E472" s="96">
        <f>SUMIFS(SETORES!$D:$D,SETORES!$A:$A,A472,SETORES!$F:$F,J472)</f>
        <v/>
      </c>
      <c r="F472" s="96">
        <f>IFERROR(D472*E472,0)</f>
        <v/>
      </c>
      <c r="G472" s="88">
        <f>SUMIFS(PARÂMETROS!$F$8:$F$33,PARÂMETROS!$A$8:$A$33,C472,PARÂMETROS!$G$8:$G$33,J472)</f>
        <v/>
      </c>
      <c r="H472" s="96">
        <f>IFERROR(F472*G472,0)</f>
        <v/>
      </c>
      <c r="I472" s="96">
        <f>F472+H472</f>
        <v/>
      </c>
      <c r="J472" s="90" t="inlineStr">
        <is>
          <t>Julho/2026</t>
        </is>
      </c>
    </row>
    <row r="473" hidden="1" ht="14.25" customHeight="1" s="75">
      <c r="A473" s="105" t="inlineStr">
        <is>
          <t>CAC</t>
        </is>
      </c>
      <c r="B473" s="94">
        <f>INDEX(SETORES!$B:$B,MATCH(A473,SETORES!$A:$A,0))</f>
        <v/>
      </c>
      <c r="C473" s="105" t="inlineStr">
        <is>
          <t>Empresa Licenciada SOLON ARAUJO</t>
        </is>
      </c>
      <c r="D473" s="83">
        <f>IF(B473="Clientes",SUMIFS(PARÂMETROS!$D$8:$D$33,PARÂMETROS!$A$8:$A$33,C473,PARÂMETROS!$G$8:$G$33,J473),SUMIFS(PARÂMETROS!$E$8:$E$33,PARÂMETROS!$A$8:$A$33,C473,PARÂMETROS!$G$8:$G$33,J473))</f>
        <v/>
      </c>
      <c r="E473" s="107">
        <f>SUMIFS(SETORES!$D:$D,SETORES!$A:$A,A473,SETORES!$F:$F,J473)</f>
        <v/>
      </c>
      <c r="F473" s="107">
        <f>IFERROR(D473*E473,0)</f>
        <v/>
      </c>
      <c r="G473" s="83">
        <f>SUMIFS(PARÂMETROS!$F$8:$F$33,PARÂMETROS!$A$8:$A$33,C473,PARÂMETROS!$G$8:$G$33,J473)</f>
        <v/>
      </c>
      <c r="H473" s="107">
        <f>IFERROR(F473*G473,0)</f>
        <v/>
      </c>
      <c r="I473" s="107">
        <f>F473+H473</f>
        <v/>
      </c>
      <c r="J473" s="105" t="inlineStr">
        <is>
          <t>Julho/2026</t>
        </is>
      </c>
    </row>
    <row r="474" ht="14.25" customHeight="1" s="75">
      <c r="A474" s="90" t="inlineStr">
        <is>
          <t>CAC</t>
        </is>
      </c>
      <c r="B474" s="90">
        <f>INDEX(SETORES!$B:$B,MATCH(A474,SETORES!$A:$A,0))</f>
        <v/>
      </c>
      <c r="C474" s="90" t="inlineStr">
        <is>
          <t>Empresa Licenciada SOARES E LINS</t>
        </is>
      </c>
      <c r="D474" s="88">
        <f>IF(B474="Clientes",SUMIFS(PARÂMETROS!$D$8:$D$33,PARÂMETROS!$A$8:$A$33,C474,PARÂMETROS!$G$8:$G$33,J474),SUMIFS(PARÂMETROS!$E$8:$E$33,PARÂMETROS!$A$8:$A$33,C474,PARÂMETROS!$G$8:$G$33,J474))</f>
        <v/>
      </c>
      <c r="E474" s="96">
        <f>SUMIFS(SETORES!$D:$D,SETORES!$A:$A,A474,SETORES!$F:$F,J474)</f>
        <v/>
      </c>
      <c r="F474" s="96">
        <f>IFERROR(D474*E474,0)</f>
        <v/>
      </c>
      <c r="G474" s="88">
        <f>SUMIFS(PARÂMETROS!$F$8:$F$33,PARÂMETROS!$A$8:$A$33,C474,PARÂMETROS!$G$8:$G$33,J474)</f>
        <v/>
      </c>
      <c r="H474" s="96">
        <f>IFERROR(F474*G474,0)</f>
        <v/>
      </c>
      <c r="I474" s="96">
        <f>F474+H474</f>
        <v/>
      </c>
      <c r="J474" s="90" t="inlineStr">
        <is>
          <t>Julho/2026</t>
        </is>
      </c>
    </row>
    <row r="475" hidden="1" ht="14.25" customHeight="1" s="75">
      <c r="A475" s="105" t="inlineStr">
        <is>
          <t>CAC</t>
        </is>
      </c>
      <c r="B475" s="94">
        <f>INDEX(SETORES!$B:$B,MATCH(A475,SETORES!$A:$A,0))</f>
        <v/>
      </c>
      <c r="C475" s="105" t="inlineStr">
        <is>
          <t>Empresa Licenciada SOARES E SILVA</t>
        </is>
      </c>
      <c r="D475" s="83">
        <f>IF(B475="Clientes",SUMIFS(PARÂMETROS!$D$8:$D$33,PARÂMETROS!$A$8:$A$33,C475,PARÂMETROS!$G$8:$G$33,J475),SUMIFS(PARÂMETROS!$E$8:$E$33,PARÂMETROS!$A$8:$A$33,C475,PARÂMETROS!$G$8:$G$33,J475))</f>
        <v/>
      </c>
      <c r="E475" s="107">
        <f>SUMIFS(SETORES!$D:$D,SETORES!$A:$A,A475,SETORES!$F:$F,J475)</f>
        <v/>
      </c>
      <c r="F475" s="107">
        <f>IFERROR(D475*E475,0)</f>
        <v/>
      </c>
      <c r="G475" s="83">
        <f>SUMIFS(PARÂMETROS!$F$8:$F$33,PARÂMETROS!$A$8:$A$33,C475,PARÂMETROS!$G$8:$G$33,J475)</f>
        <v/>
      </c>
      <c r="H475" s="107">
        <f>IFERROR(F475*G475,0)</f>
        <v/>
      </c>
      <c r="I475" s="107">
        <f>F475+H475</f>
        <v/>
      </c>
      <c r="J475" s="105" t="inlineStr">
        <is>
          <t>Julho/2026</t>
        </is>
      </c>
    </row>
    <row r="476" hidden="1" ht="14.25" customHeight="1" s="75">
      <c r="A476" s="90" t="inlineStr">
        <is>
          <t>CAC</t>
        </is>
      </c>
      <c r="B476" s="90">
        <f>INDEX(SETORES!$B:$B,MATCH(A476,SETORES!$A:$A,0))</f>
        <v/>
      </c>
      <c r="C476" s="90" t="inlineStr">
        <is>
          <t>Empresa Licenciada SOUZA E SILVA</t>
        </is>
      </c>
      <c r="D476" s="88">
        <f>IF(B476="Clientes",SUMIFS(PARÂMETROS!$D$8:$D$33,PARÂMETROS!$A$8:$A$33,C476,PARÂMETROS!$G$8:$G$33,J476),SUMIFS(PARÂMETROS!$E$8:$E$33,PARÂMETROS!$A$8:$A$33,C476,PARÂMETROS!$G$8:$G$33,J476))</f>
        <v/>
      </c>
      <c r="E476" s="96">
        <f>SUMIFS(SETORES!$D:$D,SETORES!$A:$A,A476,SETORES!$F:$F,J476)</f>
        <v/>
      </c>
      <c r="F476" s="96">
        <f>IFERROR(D476*E476,0)</f>
        <v/>
      </c>
      <c r="G476" s="88">
        <f>SUMIFS(PARÂMETROS!$F$8:$F$33,PARÂMETROS!$A$8:$A$33,C476,PARÂMETROS!$G$8:$G$33,J476)</f>
        <v/>
      </c>
      <c r="H476" s="96">
        <f>IFERROR(F476*G476,0)</f>
        <v/>
      </c>
      <c r="I476" s="96">
        <f>F476+H476</f>
        <v/>
      </c>
      <c r="J476" s="90" t="inlineStr">
        <is>
          <t>Julho/2026</t>
        </is>
      </c>
    </row>
    <row r="477" hidden="1" ht="14.25" customHeight="1" s="75">
      <c r="A477" s="105" t="inlineStr">
        <is>
          <t>CAC</t>
        </is>
      </c>
      <c r="B477" s="94">
        <f>INDEX(SETORES!$B:$B,MATCH(A477,SETORES!$A:$A,0))</f>
        <v/>
      </c>
      <c r="C477" s="105" t="inlineStr">
        <is>
          <t>Empresa Licenciada VOICENET</t>
        </is>
      </c>
      <c r="D477" s="83">
        <f>IF(B477="Clientes",SUMIFS(PARÂMETROS!$D$8:$D$33,PARÂMETROS!$A$8:$A$33,C477,PARÂMETROS!$G$8:$G$33,J477),SUMIFS(PARÂMETROS!$E$8:$E$33,PARÂMETROS!$A$8:$A$33,C477,PARÂMETROS!$G$8:$G$33,J477))</f>
        <v/>
      </c>
      <c r="E477" s="107">
        <f>SUMIFS(SETORES!$D:$D,SETORES!$A:$A,A477,SETORES!$F:$F,J477)</f>
        <v/>
      </c>
      <c r="F477" s="107">
        <f>IFERROR(D477*E477,0)</f>
        <v/>
      </c>
      <c r="G477" s="83">
        <f>SUMIFS(PARÂMETROS!$F$8:$F$33,PARÂMETROS!$A$8:$A$33,C477,PARÂMETROS!$G$8:$G$33,J477)</f>
        <v/>
      </c>
      <c r="H477" s="107">
        <f>IFERROR(F477*G477,0)</f>
        <v/>
      </c>
      <c r="I477" s="107">
        <f>F477+H477</f>
        <v/>
      </c>
      <c r="J477" s="105" t="inlineStr">
        <is>
          <t>Julho/2026</t>
        </is>
      </c>
    </row>
    <row r="478" hidden="1" ht="14.25" customHeight="1" s="75">
      <c r="A478" s="90" t="inlineStr">
        <is>
          <t>CAC</t>
        </is>
      </c>
      <c r="B478" s="90">
        <f>INDEX(SETORES!$B:$B,MATCH(A478,SETORES!$A:$A,0))</f>
        <v/>
      </c>
      <c r="C478" s="90" t="inlineStr">
        <is>
          <t>DTEL (uso próprio)</t>
        </is>
      </c>
      <c r="D478" s="88">
        <f>IF(B478="Clientes",SUMIFS(PARÂMETROS!$D$8:$D$33,PARÂMETROS!$A$8:$A$33,C478,PARÂMETROS!$G$8:$G$33,J478),SUMIFS(PARÂMETROS!$E$8:$E$33,PARÂMETROS!$A$8:$A$33,C478,PARÂMETROS!$G$8:$G$33,J478))</f>
        <v/>
      </c>
      <c r="E478" s="96">
        <f>SUMIFS(SETORES!$D:$D,SETORES!$A:$A,A478,SETORES!$F:$F,J478)</f>
        <v/>
      </c>
      <c r="F478" s="96">
        <f>IFERROR(D478*E478,0)</f>
        <v/>
      </c>
      <c r="G478" s="88">
        <f>SUMIFS(PARÂMETROS!$F$8:$F$33,PARÂMETROS!$A$8:$A$33,C478,PARÂMETROS!$G$8:$G$33,J478)</f>
        <v/>
      </c>
      <c r="H478" s="96">
        <f>IFERROR(F478*G478,0)</f>
        <v/>
      </c>
      <c r="I478" s="96">
        <f>F478+H478</f>
        <v/>
      </c>
      <c r="J478" s="90" t="inlineStr">
        <is>
          <t>Julho/2026</t>
        </is>
      </c>
    </row>
    <row r="479" hidden="1" ht="14.25" customHeight="1" s="75">
      <c r="A479" s="105" t="inlineStr">
        <is>
          <t>Financeiro</t>
        </is>
      </c>
      <c r="B479" s="94">
        <f>INDEX(SETORES!$B:$B,MATCH(A479,SETORES!$A:$A,0))</f>
        <v/>
      </c>
      <c r="C479" s="105" t="inlineStr">
        <is>
          <t>Empresa Licenciada DX2</t>
        </is>
      </c>
      <c r="D479" s="83">
        <f>IF(B479="Clientes",SUMIFS(PARÂMETROS!$D$8:$D$33,PARÂMETROS!$A$8:$A$33,C479,PARÂMETROS!$G$8:$G$33,J479),SUMIFS(PARÂMETROS!$E$8:$E$33,PARÂMETROS!$A$8:$A$33,C479,PARÂMETROS!$G$8:$G$33,J479))</f>
        <v/>
      </c>
      <c r="E479" s="107">
        <f>SUMIFS(SETORES!$D:$D,SETORES!$A:$A,A479,SETORES!$F:$F,J479)</f>
        <v/>
      </c>
      <c r="F479" s="107">
        <f>IFERROR(D479*E479,0)</f>
        <v/>
      </c>
      <c r="G479" s="83">
        <f>SUMIFS(PARÂMETROS!$F$8:$F$33,PARÂMETROS!$A$8:$A$33,C479,PARÂMETROS!$G$8:$G$33,J479)</f>
        <v/>
      </c>
      <c r="H479" s="107">
        <f>IFERROR(F479*G479,0)</f>
        <v/>
      </c>
      <c r="I479" s="107">
        <f>F479+H479</f>
        <v/>
      </c>
      <c r="J479" s="105" t="inlineStr">
        <is>
          <t>Julho/2026</t>
        </is>
      </c>
    </row>
    <row r="480" hidden="1" ht="14.25" customHeight="1" s="75">
      <c r="A480" s="90" t="inlineStr">
        <is>
          <t>Financeiro</t>
        </is>
      </c>
      <c r="B480" s="90">
        <f>INDEX(SETORES!$B:$B,MATCH(A480,SETORES!$A:$A,0))</f>
        <v/>
      </c>
      <c r="C480" s="90" t="inlineStr">
        <is>
          <t>Empresa Licenciada H&amp;A</t>
        </is>
      </c>
      <c r="D480" s="88">
        <f>IF(B480="Clientes",SUMIFS(PARÂMETROS!$D$8:$D$33,PARÂMETROS!$A$8:$A$33,C480,PARÂMETROS!$G$8:$G$33,J480),SUMIFS(PARÂMETROS!$E$8:$E$33,PARÂMETROS!$A$8:$A$33,C480,PARÂMETROS!$G$8:$G$33,J480))</f>
        <v/>
      </c>
      <c r="E480" s="96">
        <f>SUMIFS(SETORES!$D:$D,SETORES!$A:$A,A480,SETORES!$F:$F,J480)</f>
        <v/>
      </c>
      <c r="F480" s="96">
        <f>IFERROR(D480*E480,0)</f>
        <v/>
      </c>
      <c r="G480" s="88">
        <f>SUMIFS(PARÂMETROS!$F$8:$F$33,PARÂMETROS!$A$8:$A$33,C480,PARÂMETROS!$G$8:$G$33,J480)</f>
        <v/>
      </c>
      <c r="H480" s="96">
        <f>IFERROR(F480*G480,0)</f>
        <v/>
      </c>
      <c r="I480" s="96">
        <f>F480+H480</f>
        <v/>
      </c>
      <c r="J480" s="90" t="inlineStr">
        <is>
          <t>Julho/2026</t>
        </is>
      </c>
    </row>
    <row r="481" hidden="1" ht="14.25" customHeight="1" s="75">
      <c r="A481" s="105" t="inlineStr">
        <is>
          <t>Financeiro</t>
        </is>
      </c>
      <c r="B481" s="94">
        <f>INDEX(SETORES!$B:$B,MATCH(A481,SETORES!$A:$A,0))</f>
        <v/>
      </c>
      <c r="C481" s="105" t="inlineStr">
        <is>
          <t>Empresa Licenciada SOLON ARAUJO</t>
        </is>
      </c>
      <c r="D481" s="83">
        <f>IF(B481="Clientes",SUMIFS(PARÂMETROS!$D$8:$D$33,PARÂMETROS!$A$8:$A$33,C481,PARÂMETROS!$G$8:$G$33,J481),SUMIFS(PARÂMETROS!$E$8:$E$33,PARÂMETROS!$A$8:$A$33,C481,PARÂMETROS!$G$8:$G$33,J481))</f>
        <v/>
      </c>
      <c r="E481" s="107">
        <f>SUMIFS(SETORES!$D:$D,SETORES!$A:$A,A481,SETORES!$F:$F,J481)</f>
        <v/>
      </c>
      <c r="F481" s="107">
        <f>IFERROR(D481*E481,0)</f>
        <v/>
      </c>
      <c r="G481" s="83">
        <f>SUMIFS(PARÂMETROS!$F$8:$F$33,PARÂMETROS!$A$8:$A$33,C481,PARÂMETROS!$G$8:$G$33,J481)</f>
        <v/>
      </c>
      <c r="H481" s="107">
        <f>IFERROR(F481*G481,0)</f>
        <v/>
      </c>
      <c r="I481" s="107">
        <f>F481+H481</f>
        <v/>
      </c>
      <c r="J481" s="105" t="inlineStr">
        <is>
          <t>Julho/2026</t>
        </is>
      </c>
    </row>
    <row r="482" ht="14.25" customHeight="1" s="75">
      <c r="A482" s="90" t="inlineStr">
        <is>
          <t>Financeiro</t>
        </is>
      </c>
      <c r="B482" s="90">
        <f>INDEX(SETORES!$B:$B,MATCH(A482,SETORES!$A:$A,0))</f>
        <v/>
      </c>
      <c r="C482" s="90" t="inlineStr">
        <is>
          <t>Empresa Licenciada SOARES E LINS</t>
        </is>
      </c>
      <c r="D482" s="88">
        <f>IF(B482="Clientes",SUMIFS(PARÂMETROS!$D$8:$D$33,PARÂMETROS!$A$8:$A$33,C482,PARÂMETROS!$G$8:$G$33,J482),SUMIFS(PARÂMETROS!$E$8:$E$33,PARÂMETROS!$A$8:$A$33,C482,PARÂMETROS!$G$8:$G$33,J482))</f>
        <v/>
      </c>
      <c r="E482" s="96">
        <f>SUMIFS(SETORES!$D:$D,SETORES!$A:$A,A482,SETORES!$F:$F,J482)</f>
        <v/>
      </c>
      <c r="F482" s="96">
        <f>IFERROR(D482*E482,0)</f>
        <v/>
      </c>
      <c r="G482" s="88">
        <f>SUMIFS(PARÂMETROS!$F$8:$F$33,PARÂMETROS!$A$8:$A$33,C482,PARÂMETROS!$G$8:$G$33,J482)</f>
        <v/>
      </c>
      <c r="H482" s="96">
        <f>IFERROR(F482*G482,0)</f>
        <v/>
      </c>
      <c r="I482" s="96">
        <f>F482+H482</f>
        <v/>
      </c>
      <c r="J482" s="90" t="inlineStr">
        <is>
          <t>Julho/2026</t>
        </is>
      </c>
    </row>
    <row r="483" hidden="1" ht="14.25" customHeight="1" s="75">
      <c r="A483" s="105" t="inlineStr">
        <is>
          <t>Financeiro</t>
        </is>
      </c>
      <c r="B483" s="94">
        <f>INDEX(SETORES!$B:$B,MATCH(A483,SETORES!$A:$A,0))</f>
        <v/>
      </c>
      <c r="C483" s="105" t="inlineStr">
        <is>
          <t>Empresa Licenciada SOARES E SILVA</t>
        </is>
      </c>
      <c r="D483" s="83">
        <f>IF(B483="Clientes",SUMIFS(PARÂMETROS!$D$8:$D$33,PARÂMETROS!$A$8:$A$33,C483,PARÂMETROS!$G$8:$G$33,J483),SUMIFS(PARÂMETROS!$E$8:$E$33,PARÂMETROS!$A$8:$A$33,C483,PARÂMETROS!$G$8:$G$33,J483))</f>
        <v/>
      </c>
      <c r="E483" s="107">
        <f>SUMIFS(SETORES!$D:$D,SETORES!$A:$A,A483,SETORES!$F:$F,J483)</f>
        <v/>
      </c>
      <c r="F483" s="107">
        <f>IFERROR(D483*E483,0)</f>
        <v/>
      </c>
      <c r="G483" s="83">
        <f>SUMIFS(PARÂMETROS!$F$8:$F$33,PARÂMETROS!$A$8:$A$33,C483,PARÂMETROS!$G$8:$G$33,J483)</f>
        <v/>
      </c>
      <c r="H483" s="107">
        <f>IFERROR(F483*G483,0)</f>
        <v/>
      </c>
      <c r="I483" s="107">
        <f>F483+H483</f>
        <v/>
      </c>
      <c r="J483" s="105" t="inlineStr">
        <is>
          <t>Julho/2026</t>
        </is>
      </c>
    </row>
    <row r="484" hidden="1" ht="14.25" customHeight="1" s="75">
      <c r="A484" s="90" t="inlineStr">
        <is>
          <t>Financeiro</t>
        </is>
      </c>
      <c r="B484" s="90">
        <f>INDEX(SETORES!$B:$B,MATCH(A484,SETORES!$A:$A,0))</f>
        <v/>
      </c>
      <c r="C484" s="90" t="inlineStr">
        <is>
          <t>Empresa Licenciada SOUZA E SILVA</t>
        </is>
      </c>
      <c r="D484" s="88">
        <f>IF(B484="Clientes",SUMIFS(PARÂMETROS!$D$8:$D$33,PARÂMETROS!$A$8:$A$33,C484,PARÂMETROS!$G$8:$G$33,J484),SUMIFS(PARÂMETROS!$E$8:$E$33,PARÂMETROS!$A$8:$A$33,C484,PARÂMETROS!$G$8:$G$33,J484))</f>
        <v/>
      </c>
      <c r="E484" s="96">
        <f>SUMIFS(SETORES!$D:$D,SETORES!$A:$A,A484,SETORES!$F:$F,J484)</f>
        <v/>
      </c>
      <c r="F484" s="96">
        <f>IFERROR(D484*E484,0)</f>
        <v/>
      </c>
      <c r="G484" s="88">
        <f>SUMIFS(PARÂMETROS!$F$8:$F$33,PARÂMETROS!$A$8:$A$33,C484,PARÂMETROS!$G$8:$G$33,J484)</f>
        <v/>
      </c>
      <c r="H484" s="96">
        <f>IFERROR(F484*G484,0)</f>
        <v/>
      </c>
      <c r="I484" s="96">
        <f>F484+H484</f>
        <v/>
      </c>
      <c r="J484" s="90" t="inlineStr">
        <is>
          <t>Julho/2026</t>
        </is>
      </c>
    </row>
    <row r="485" hidden="1" ht="14.25" customHeight="1" s="75">
      <c r="A485" s="105" t="inlineStr">
        <is>
          <t>Financeiro</t>
        </is>
      </c>
      <c r="B485" s="94">
        <f>INDEX(SETORES!$B:$B,MATCH(A485,SETORES!$A:$A,0))</f>
        <v/>
      </c>
      <c r="C485" s="105" t="inlineStr">
        <is>
          <t>Empresa Licenciada VOICENET</t>
        </is>
      </c>
      <c r="D485" s="83">
        <f>IF(B485="Clientes",SUMIFS(PARÂMETROS!$D$8:$D$33,PARÂMETROS!$A$8:$A$33,C485,PARÂMETROS!$G$8:$G$33,J485),SUMIFS(PARÂMETROS!$E$8:$E$33,PARÂMETROS!$A$8:$A$33,C485,PARÂMETROS!$G$8:$G$33,J485))</f>
        <v/>
      </c>
      <c r="E485" s="107">
        <f>SUMIFS(SETORES!$D:$D,SETORES!$A:$A,A485,SETORES!$F:$F,J485)</f>
        <v/>
      </c>
      <c r="F485" s="107">
        <f>IFERROR(D485*E485,0)</f>
        <v/>
      </c>
      <c r="G485" s="83">
        <f>SUMIFS(PARÂMETROS!$F$8:$F$33,PARÂMETROS!$A$8:$A$33,C485,PARÂMETROS!$G$8:$G$33,J485)</f>
        <v/>
      </c>
      <c r="H485" s="107">
        <f>IFERROR(F485*G485,0)</f>
        <v/>
      </c>
      <c r="I485" s="107">
        <f>F485+H485</f>
        <v/>
      </c>
      <c r="J485" s="105" t="inlineStr">
        <is>
          <t>Julho/2026</t>
        </is>
      </c>
    </row>
    <row r="486" hidden="1" ht="14.25" customHeight="1" s="75">
      <c r="A486" s="90" t="inlineStr">
        <is>
          <t>Financeiro</t>
        </is>
      </c>
      <c r="B486" s="90">
        <f>INDEX(SETORES!$B:$B,MATCH(A486,SETORES!$A:$A,0))</f>
        <v/>
      </c>
      <c r="C486" s="90" t="inlineStr">
        <is>
          <t>DTEL (uso próprio)</t>
        </is>
      </c>
      <c r="D486" s="88">
        <f>IF(B486="Clientes",SUMIFS(PARÂMETROS!$D$8:$D$33,PARÂMETROS!$A$8:$A$33,C486,PARÂMETROS!$G$8:$G$33,J486),SUMIFS(PARÂMETROS!$E$8:$E$33,PARÂMETROS!$A$8:$A$33,C486,PARÂMETROS!$G$8:$G$33,J486))</f>
        <v/>
      </c>
      <c r="E486" s="96">
        <f>SUMIFS(SETORES!$D:$D,SETORES!$A:$A,A486,SETORES!$F:$F,J486)</f>
        <v/>
      </c>
      <c r="F486" s="96">
        <f>IFERROR(D486*E486,0)</f>
        <v/>
      </c>
      <c r="G486" s="88">
        <f>SUMIFS(PARÂMETROS!$F$8:$F$33,PARÂMETROS!$A$8:$A$33,C486,PARÂMETROS!$G$8:$G$33,J486)</f>
        <v/>
      </c>
      <c r="H486" s="96">
        <f>IFERROR(F486*G486,0)</f>
        <v/>
      </c>
      <c r="I486" s="96">
        <f>F486+H486</f>
        <v/>
      </c>
      <c r="J486" s="90" t="inlineStr">
        <is>
          <t>Julho/2026</t>
        </is>
      </c>
    </row>
    <row r="487" hidden="1" ht="14.25" customHeight="1" s="75">
      <c r="A487" s="105" t="inlineStr">
        <is>
          <t>NRC</t>
        </is>
      </c>
      <c r="B487" s="94">
        <f>INDEX(SETORES!$B:$B,MATCH(A487,SETORES!$A:$A,0))</f>
        <v/>
      </c>
      <c r="C487" s="105" t="inlineStr">
        <is>
          <t>Empresa Licenciada DX2</t>
        </is>
      </c>
      <c r="D487" s="83">
        <f>IF(B487="Clientes",SUMIFS(PARÂMETROS!$D$8:$D$33,PARÂMETROS!$A$8:$A$33,C487,PARÂMETROS!$G$8:$G$33,J487),SUMIFS(PARÂMETROS!$E$8:$E$33,PARÂMETROS!$A$8:$A$33,C487,PARÂMETROS!$G$8:$G$33,J487))</f>
        <v/>
      </c>
      <c r="E487" s="107">
        <f>SUMIFS(SETORES!$D:$D,SETORES!$A:$A,A487,SETORES!$F:$F,J487)</f>
        <v/>
      </c>
      <c r="F487" s="107">
        <f>IFERROR(D487*E487,0)</f>
        <v/>
      </c>
      <c r="G487" s="83">
        <f>SUMIFS(PARÂMETROS!$F$8:$F$33,PARÂMETROS!$A$8:$A$33,C487,PARÂMETROS!$G$8:$G$33,J487)</f>
        <v/>
      </c>
      <c r="H487" s="107">
        <f>IFERROR(F487*G487,0)</f>
        <v/>
      </c>
      <c r="I487" s="107">
        <f>F487+H487</f>
        <v/>
      </c>
      <c r="J487" s="105" t="inlineStr">
        <is>
          <t>Julho/2026</t>
        </is>
      </c>
    </row>
    <row r="488" hidden="1" ht="14.25" customHeight="1" s="75">
      <c r="A488" s="90" t="inlineStr">
        <is>
          <t>NRC</t>
        </is>
      </c>
      <c r="B488" s="90">
        <f>INDEX(SETORES!$B:$B,MATCH(A488,SETORES!$A:$A,0))</f>
        <v/>
      </c>
      <c r="C488" s="90" t="inlineStr">
        <is>
          <t>Empresa Licenciada H&amp;A</t>
        </is>
      </c>
      <c r="D488" s="88">
        <f>IF(B488="Clientes",SUMIFS(PARÂMETROS!$D$8:$D$33,PARÂMETROS!$A$8:$A$33,C488,PARÂMETROS!$G$8:$G$33,J488),SUMIFS(PARÂMETROS!$E$8:$E$33,PARÂMETROS!$A$8:$A$33,C488,PARÂMETROS!$G$8:$G$33,J488))</f>
        <v/>
      </c>
      <c r="E488" s="96">
        <f>SUMIFS(SETORES!$D:$D,SETORES!$A:$A,A488,SETORES!$F:$F,J488)</f>
        <v/>
      </c>
      <c r="F488" s="96">
        <f>IFERROR(D488*E488,0)</f>
        <v/>
      </c>
      <c r="G488" s="88">
        <f>SUMIFS(PARÂMETROS!$F$8:$F$33,PARÂMETROS!$A$8:$A$33,C488,PARÂMETROS!$G$8:$G$33,J488)</f>
        <v/>
      </c>
      <c r="H488" s="96">
        <f>IFERROR(F488*G488,0)</f>
        <v/>
      </c>
      <c r="I488" s="96">
        <f>F488+H488</f>
        <v/>
      </c>
      <c r="J488" s="90" t="inlineStr">
        <is>
          <t>Julho/2026</t>
        </is>
      </c>
    </row>
    <row r="489" hidden="1" ht="14.25" customHeight="1" s="75">
      <c r="A489" s="105" t="inlineStr">
        <is>
          <t>NRC</t>
        </is>
      </c>
      <c r="B489" s="94">
        <f>INDEX(SETORES!$B:$B,MATCH(A489,SETORES!$A:$A,0))</f>
        <v/>
      </c>
      <c r="C489" s="105" t="inlineStr">
        <is>
          <t>Empresa Licenciada SOLON ARAUJO</t>
        </is>
      </c>
      <c r="D489" s="83">
        <f>IF(B489="Clientes",SUMIFS(PARÂMETROS!$D$8:$D$33,PARÂMETROS!$A$8:$A$33,C489,PARÂMETROS!$G$8:$G$33,J489),SUMIFS(PARÂMETROS!$E$8:$E$33,PARÂMETROS!$A$8:$A$33,C489,PARÂMETROS!$G$8:$G$33,J489))</f>
        <v/>
      </c>
      <c r="E489" s="107">
        <f>SUMIFS(SETORES!$D:$D,SETORES!$A:$A,A489,SETORES!$F:$F,J489)</f>
        <v/>
      </c>
      <c r="F489" s="107">
        <f>IFERROR(D489*E489,0)</f>
        <v/>
      </c>
      <c r="G489" s="83">
        <f>SUMIFS(PARÂMETROS!$F$8:$F$33,PARÂMETROS!$A$8:$A$33,C489,PARÂMETROS!$G$8:$G$33,J489)</f>
        <v/>
      </c>
      <c r="H489" s="107">
        <f>IFERROR(F489*G489,0)</f>
        <v/>
      </c>
      <c r="I489" s="107">
        <f>F489+H489</f>
        <v/>
      </c>
      <c r="J489" s="105" t="inlineStr">
        <is>
          <t>Julho/2026</t>
        </is>
      </c>
    </row>
    <row r="490" ht="14.25" customHeight="1" s="75">
      <c r="A490" s="90" t="inlineStr">
        <is>
          <t>NRC</t>
        </is>
      </c>
      <c r="B490" s="90">
        <f>INDEX(SETORES!$B:$B,MATCH(A490,SETORES!$A:$A,0))</f>
        <v/>
      </c>
      <c r="C490" s="90" t="inlineStr">
        <is>
          <t>Empresa Licenciada SOARES E LINS</t>
        </is>
      </c>
      <c r="D490" s="88">
        <f>IF(B490="Clientes",SUMIFS(PARÂMETROS!$D$8:$D$33,PARÂMETROS!$A$8:$A$33,C490,PARÂMETROS!$G$8:$G$33,J490),SUMIFS(PARÂMETROS!$E$8:$E$33,PARÂMETROS!$A$8:$A$33,C490,PARÂMETROS!$G$8:$G$33,J490))</f>
        <v/>
      </c>
      <c r="E490" s="96">
        <f>SUMIFS(SETORES!$D:$D,SETORES!$A:$A,A490,SETORES!$F:$F,J490)</f>
        <v/>
      </c>
      <c r="F490" s="96">
        <f>IFERROR(D490*E490,0)</f>
        <v/>
      </c>
      <c r="G490" s="88">
        <f>SUMIFS(PARÂMETROS!$F$8:$F$33,PARÂMETROS!$A$8:$A$33,C490,PARÂMETROS!$G$8:$G$33,J490)</f>
        <v/>
      </c>
      <c r="H490" s="96">
        <f>IFERROR(F490*G490,0)</f>
        <v/>
      </c>
      <c r="I490" s="96">
        <f>F490+H490</f>
        <v/>
      </c>
      <c r="J490" s="90" t="inlineStr">
        <is>
          <t>Julho/2026</t>
        </is>
      </c>
    </row>
    <row r="491" hidden="1" ht="14.25" customHeight="1" s="75">
      <c r="A491" s="105" t="inlineStr">
        <is>
          <t>NRC</t>
        </is>
      </c>
      <c r="B491" s="94">
        <f>INDEX(SETORES!$B:$B,MATCH(A491,SETORES!$A:$A,0))</f>
        <v/>
      </c>
      <c r="C491" s="105" t="inlineStr">
        <is>
          <t>Empresa Licenciada SOARES E SILVA</t>
        </is>
      </c>
      <c r="D491" s="83">
        <f>IF(B491="Clientes",SUMIFS(PARÂMETROS!$D$8:$D$33,PARÂMETROS!$A$8:$A$33,C491,PARÂMETROS!$G$8:$G$33,J491),SUMIFS(PARÂMETROS!$E$8:$E$33,PARÂMETROS!$A$8:$A$33,C491,PARÂMETROS!$G$8:$G$33,J491))</f>
        <v/>
      </c>
      <c r="E491" s="107">
        <f>SUMIFS(SETORES!$D:$D,SETORES!$A:$A,A491,SETORES!$F:$F,J491)</f>
        <v/>
      </c>
      <c r="F491" s="107">
        <f>IFERROR(D491*E491,0)</f>
        <v/>
      </c>
      <c r="G491" s="83">
        <f>SUMIFS(PARÂMETROS!$F$8:$F$33,PARÂMETROS!$A$8:$A$33,C491,PARÂMETROS!$G$8:$G$33,J491)</f>
        <v/>
      </c>
      <c r="H491" s="107">
        <f>IFERROR(F491*G491,0)</f>
        <v/>
      </c>
      <c r="I491" s="107">
        <f>F491+H491</f>
        <v/>
      </c>
      <c r="J491" s="105" t="inlineStr">
        <is>
          <t>Julho/2026</t>
        </is>
      </c>
    </row>
    <row r="492" hidden="1" ht="14.25" customHeight="1" s="75">
      <c r="A492" s="90" t="inlineStr">
        <is>
          <t>NRC</t>
        </is>
      </c>
      <c r="B492" s="90">
        <f>INDEX(SETORES!$B:$B,MATCH(A492,SETORES!$A:$A,0))</f>
        <v/>
      </c>
      <c r="C492" s="90" t="inlineStr">
        <is>
          <t>Empresa Licenciada SOUZA E SILVA</t>
        </is>
      </c>
      <c r="D492" s="88">
        <f>IF(B492="Clientes",SUMIFS(PARÂMETROS!$D$8:$D$33,PARÂMETROS!$A$8:$A$33,C492,PARÂMETROS!$G$8:$G$33,J492),SUMIFS(PARÂMETROS!$E$8:$E$33,PARÂMETROS!$A$8:$A$33,C492,PARÂMETROS!$G$8:$G$33,J492))</f>
        <v/>
      </c>
      <c r="E492" s="96">
        <f>SUMIFS(SETORES!$D:$D,SETORES!$A:$A,A492,SETORES!$F:$F,J492)</f>
        <v/>
      </c>
      <c r="F492" s="96">
        <f>IFERROR(D492*E492,0)</f>
        <v/>
      </c>
      <c r="G492" s="88">
        <f>SUMIFS(PARÂMETROS!$F$8:$F$33,PARÂMETROS!$A$8:$A$33,C492,PARÂMETROS!$G$8:$G$33,J492)</f>
        <v/>
      </c>
      <c r="H492" s="96">
        <f>IFERROR(F492*G492,0)</f>
        <v/>
      </c>
      <c r="I492" s="96">
        <f>F492+H492</f>
        <v/>
      </c>
      <c r="J492" s="90" t="inlineStr">
        <is>
          <t>Julho/2026</t>
        </is>
      </c>
    </row>
    <row r="493" hidden="1" ht="14.25" customHeight="1" s="75">
      <c r="A493" s="105" t="inlineStr">
        <is>
          <t>NRC</t>
        </is>
      </c>
      <c r="B493" s="94">
        <f>INDEX(SETORES!$B:$B,MATCH(A493,SETORES!$A:$A,0))</f>
        <v/>
      </c>
      <c r="C493" s="105" t="inlineStr">
        <is>
          <t>Empresa Licenciada VOICENET</t>
        </is>
      </c>
      <c r="D493" s="83">
        <f>IF(B493="Clientes",SUMIFS(PARÂMETROS!$D$8:$D$33,PARÂMETROS!$A$8:$A$33,C493,PARÂMETROS!$G$8:$G$33,J493),SUMIFS(PARÂMETROS!$E$8:$E$33,PARÂMETROS!$A$8:$A$33,C493,PARÂMETROS!$G$8:$G$33,J493))</f>
        <v/>
      </c>
      <c r="E493" s="107">
        <f>SUMIFS(SETORES!$D:$D,SETORES!$A:$A,A493,SETORES!$F:$F,J493)</f>
        <v/>
      </c>
      <c r="F493" s="107">
        <f>IFERROR(D493*E493,0)</f>
        <v/>
      </c>
      <c r="G493" s="83">
        <f>SUMIFS(PARÂMETROS!$F$8:$F$33,PARÂMETROS!$A$8:$A$33,C493,PARÂMETROS!$G$8:$G$33,J493)</f>
        <v/>
      </c>
      <c r="H493" s="107">
        <f>IFERROR(F493*G493,0)</f>
        <v/>
      </c>
      <c r="I493" s="107">
        <f>F493+H493</f>
        <v/>
      </c>
      <c r="J493" s="105" t="inlineStr">
        <is>
          <t>Julho/2026</t>
        </is>
      </c>
    </row>
    <row r="494" hidden="1" ht="14.25" customHeight="1" s="75">
      <c r="A494" s="90" t="inlineStr">
        <is>
          <t>NRC</t>
        </is>
      </c>
      <c r="B494" s="90">
        <f>INDEX(SETORES!$B:$B,MATCH(A494,SETORES!$A:$A,0))</f>
        <v/>
      </c>
      <c r="C494" s="90" t="inlineStr">
        <is>
          <t>DTEL (uso próprio)</t>
        </is>
      </c>
      <c r="D494" s="88">
        <f>IF(B494="Clientes",SUMIFS(PARÂMETROS!$D$8:$D$33,PARÂMETROS!$A$8:$A$33,C494,PARÂMETROS!$G$8:$G$33,J494),SUMIFS(PARÂMETROS!$E$8:$E$33,PARÂMETROS!$A$8:$A$33,C494,PARÂMETROS!$G$8:$G$33,J494))</f>
        <v/>
      </c>
      <c r="E494" s="96">
        <f>SUMIFS(SETORES!$D:$D,SETORES!$A:$A,A494,SETORES!$F:$F,J494)</f>
        <v/>
      </c>
      <c r="F494" s="96">
        <f>IFERROR(D494*E494,0)</f>
        <v/>
      </c>
      <c r="G494" s="88">
        <f>SUMIFS(PARÂMETROS!$F$8:$F$33,PARÂMETROS!$A$8:$A$33,C494,PARÂMETROS!$G$8:$G$33,J494)</f>
        <v/>
      </c>
      <c r="H494" s="96">
        <f>IFERROR(F494*G494,0)</f>
        <v/>
      </c>
      <c r="I494" s="96">
        <f>F494+H494</f>
        <v/>
      </c>
      <c r="J494" s="90" t="inlineStr">
        <is>
          <t>Julho/2026</t>
        </is>
      </c>
    </row>
    <row r="495" hidden="1" ht="14.25" customHeight="1" s="75">
      <c r="A495" s="105" t="inlineStr">
        <is>
          <t>Cobrança</t>
        </is>
      </c>
      <c r="B495" s="94">
        <f>INDEX(SETORES!$B:$B,MATCH(A495,SETORES!$A:$A,0))</f>
        <v/>
      </c>
      <c r="C495" s="105" t="inlineStr">
        <is>
          <t>Empresa Licenciada DX2</t>
        </is>
      </c>
      <c r="D495" s="83">
        <f>IF(B495="Clientes",SUMIFS(PARÂMETROS!$D$8:$D$33,PARÂMETROS!$A$8:$A$33,C495,PARÂMETROS!$G$8:$G$33,J495),SUMIFS(PARÂMETROS!$E$8:$E$33,PARÂMETROS!$A$8:$A$33,C495,PARÂMETROS!$G$8:$G$33,J495))</f>
        <v/>
      </c>
      <c r="E495" s="107">
        <f>SUMIFS(SETORES!$D:$D,SETORES!$A:$A,A495,SETORES!$F:$F,J495)</f>
        <v/>
      </c>
      <c r="F495" s="107">
        <f>IFERROR(D495*E495,0)</f>
        <v/>
      </c>
      <c r="G495" s="83">
        <f>SUMIFS(PARÂMETROS!$F$8:$F$33,PARÂMETROS!$A$8:$A$33,C495,PARÂMETROS!$G$8:$G$33,J495)</f>
        <v/>
      </c>
      <c r="H495" s="107">
        <f>IFERROR(F495*G495,0)</f>
        <v/>
      </c>
      <c r="I495" s="107">
        <f>F495+H495</f>
        <v/>
      </c>
      <c r="J495" s="105" t="inlineStr">
        <is>
          <t>Julho/2026</t>
        </is>
      </c>
    </row>
    <row r="496" hidden="1" ht="14.25" customHeight="1" s="75">
      <c r="A496" s="90" t="inlineStr">
        <is>
          <t>Cobrança</t>
        </is>
      </c>
      <c r="B496" s="90">
        <f>INDEX(SETORES!$B:$B,MATCH(A496,SETORES!$A:$A,0))</f>
        <v/>
      </c>
      <c r="C496" s="90" t="inlineStr">
        <is>
          <t>Empresa Licenciada H&amp;A</t>
        </is>
      </c>
      <c r="D496" s="88">
        <f>IF(B496="Clientes",SUMIFS(PARÂMETROS!$D$8:$D$33,PARÂMETROS!$A$8:$A$33,C496,PARÂMETROS!$G$8:$G$33,J496),SUMIFS(PARÂMETROS!$E$8:$E$33,PARÂMETROS!$A$8:$A$33,C496,PARÂMETROS!$G$8:$G$33,J496))</f>
        <v/>
      </c>
      <c r="E496" s="96">
        <f>SUMIFS(SETORES!$D:$D,SETORES!$A:$A,A496,SETORES!$F:$F,J496)</f>
        <v/>
      </c>
      <c r="F496" s="96">
        <f>IFERROR(D496*E496,0)</f>
        <v/>
      </c>
      <c r="G496" s="88">
        <f>SUMIFS(PARÂMETROS!$F$8:$F$33,PARÂMETROS!$A$8:$A$33,C496,PARÂMETROS!$G$8:$G$33,J496)</f>
        <v/>
      </c>
      <c r="H496" s="96">
        <f>IFERROR(F496*G496,0)</f>
        <v/>
      </c>
      <c r="I496" s="96">
        <f>F496+H496</f>
        <v/>
      </c>
      <c r="J496" s="90" t="inlineStr">
        <is>
          <t>Julho/2026</t>
        </is>
      </c>
    </row>
    <row r="497" hidden="1" ht="14.25" customHeight="1" s="75">
      <c r="A497" s="105" t="inlineStr">
        <is>
          <t>Cobrança</t>
        </is>
      </c>
      <c r="B497" s="94">
        <f>INDEX(SETORES!$B:$B,MATCH(A497,SETORES!$A:$A,0))</f>
        <v/>
      </c>
      <c r="C497" s="105" t="inlineStr">
        <is>
          <t>Empresa Licenciada SOLON ARAUJO</t>
        </is>
      </c>
      <c r="D497" s="83">
        <f>IF(B497="Clientes",SUMIFS(PARÂMETROS!$D$8:$D$33,PARÂMETROS!$A$8:$A$33,C497,PARÂMETROS!$G$8:$G$33,J497),SUMIFS(PARÂMETROS!$E$8:$E$33,PARÂMETROS!$A$8:$A$33,C497,PARÂMETROS!$G$8:$G$33,J497))</f>
        <v/>
      </c>
      <c r="E497" s="107">
        <f>SUMIFS(SETORES!$D:$D,SETORES!$A:$A,A497,SETORES!$F:$F,J497)</f>
        <v/>
      </c>
      <c r="F497" s="107">
        <f>IFERROR(D497*E497,0)</f>
        <v/>
      </c>
      <c r="G497" s="83">
        <f>SUMIFS(PARÂMETROS!$F$8:$F$33,PARÂMETROS!$A$8:$A$33,C497,PARÂMETROS!$G$8:$G$33,J497)</f>
        <v/>
      </c>
      <c r="H497" s="107">
        <f>IFERROR(F497*G497,0)</f>
        <v/>
      </c>
      <c r="I497" s="107">
        <f>F497+H497</f>
        <v/>
      </c>
      <c r="J497" s="105" t="inlineStr">
        <is>
          <t>Julho/2026</t>
        </is>
      </c>
    </row>
    <row r="498" ht="14.25" customHeight="1" s="75">
      <c r="A498" s="90" t="inlineStr">
        <is>
          <t>Cobrança</t>
        </is>
      </c>
      <c r="B498" s="90">
        <f>INDEX(SETORES!$B:$B,MATCH(A498,SETORES!$A:$A,0))</f>
        <v/>
      </c>
      <c r="C498" s="90" t="inlineStr">
        <is>
          <t>Empresa Licenciada SOARES E LINS</t>
        </is>
      </c>
      <c r="D498" s="88">
        <f>IF(B498="Clientes",SUMIFS(PARÂMETROS!$D$8:$D$33,PARÂMETROS!$A$8:$A$33,C498,PARÂMETROS!$G$8:$G$33,J498),SUMIFS(PARÂMETROS!$E$8:$E$33,PARÂMETROS!$A$8:$A$33,C498,PARÂMETROS!$G$8:$G$33,J498))</f>
        <v/>
      </c>
      <c r="E498" s="96">
        <f>SUMIFS(SETORES!$D:$D,SETORES!$A:$A,A498,SETORES!$F:$F,J498)</f>
        <v/>
      </c>
      <c r="F498" s="96">
        <f>IFERROR(D498*E498,0)</f>
        <v/>
      </c>
      <c r="G498" s="88">
        <f>SUMIFS(PARÂMETROS!$F$8:$F$33,PARÂMETROS!$A$8:$A$33,C498,PARÂMETROS!$G$8:$G$33,J498)</f>
        <v/>
      </c>
      <c r="H498" s="96">
        <f>IFERROR(F498*G498,0)</f>
        <v/>
      </c>
      <c r="I498" s="96">
        <f>F498+H498</f>
        <v/>
      </c>
      <c r="J498" s="90" t="inlineStr">
        <is>
          <t>Julho/2026</t>
        </is>
      </c>
    </row>
    <row r="499" hidden="1" ht="14.25" customHeight="1" s="75">
      <c r="A499" s="105" t="inlineStr">
        <is>
          <t>Cobrança</t>
        </is>
      </c>
      <c r="B499" s="94">
        <f>INDEX(SETORES!$B:$B,MATCH(A499,SETORES!$A:$A,0))</f>
        <v/>
      </c>
      <c r="C499" s="105" t="inlineStr">
        <is>
          <t>Empresa Licenciada SOARES E SILVA</t>
        </is>
      </c>
      <c r="D499" s="83">
        <f>IF(B499="Clientes",SUMIFS(PARÂMETROS!$D$8:$D$33,PARÂMETROS!$A$8:$A$33,C499,PARÂMETROS!$G$8:$G$33,J499),SUMIFS(PARÂMETROS!$E$8:$E$33,PARÂMETROS!$A$8:$A$33,C499,PARÂMETROS!$G$8:$G$33,J499))</f>
        <v/>
      </c>
      <c r="E499" s="107">
        <f>SUMIFS(SETORES!$D:$D,SETORES!$A:$A,A499,SETORES!$F:$F,J499)</f>
        <v/>
      </c>
      <c r="F499" s="107">
        <f>IFERROR(D499*E499,0)</f>
        <v/>
      </c>
      <c r="G499" s="83">
        <f>SUMIFS(PARÂMETROS!$F$8:$F$33,PARÂMETROS!$A$8:$A$33,C499,PARÂMETROS!$G$8:$G$33,J499)</f>
        <v/>
      </c>
      <c r="H499" s="107">
        <f>IFERROR(F499*G499,0)</f>
        <v/>
      </c>
      <c r="I499" s="107">
        <f>F499+H499</f>
        <v/>
      </c>
      <c r="J499" s="105" t="inlineStr">
        <is>
          <t>Julho/2026</t>
        </is>
      </c>
    </row>
    <row r="500" hidden="1" ht="14.25" customHeight="1" s="75">
      <c r="A500" s="90" t="inlineStr">
        <is>
          <t>Cobrança</t>
        </is>
      </c>
      <c r="B500" s="90">
        <f>INDEX(SETORES!$B:$B,MATCH(A500,SETORES!$A:$A,0))</f>
        <v/>
      </c>
      <c r="C500" s="90" t="inlineStr">
        <is>
          <t>Empresa Licenciada SOUZA E SILVA</t>
        </is>
      </c>
      <c r="D500" s="88">
        <f>IF(B500="Clientes",SUMIFS(PARÂMETROS!$D$8:$D$33,PARÂMETROS!$A$8:$A$33,C500,PARÂMETROS!$G$8:$G$33,J500),SUMIFS(PARÂMETROS!$E$8:$E$33,PARÂMETROS!$A$8:$A$33,C500,PARÂMETROS!$G$8:$G$33,J500))</f>
        <v/>
      </c>
      <c r="E500" s="96">
        <f>SUMIFS(SETORES!$D:$D,SETORES!$A:$A,A500,SETORES!$F:$F,J500)</f>
        <v/>
      </c>
      <c r="F500" s="96">
        <f>IFERROR(D500*E500,0)</f>
        <v/>
      </c>
      <c r="G500" s="88">
        <f>SUMIFS(PARÂMETROS!$F$8:$F$33,PARÂMETROS!$A$8:$A$33,C500,PARÂMETROS!$G$8:$G$33,J500)</f>
        <v/>
      </c>
      <c r="H500" s="96">
        <f>IFERROR(F500*G500,0)</f>
        <v/>
      </c>
      <c r="I500" s="96">
        <f>F500+H500</f>
        <v/>
      </c>
      <c r="J500" s="90" t="inlineStr">
        <is>
          <t>Julho/2026</t>
        </is>
      </c>
    </row>
    <row r="501" hidden="1" ht="14.25" customHeight="1" s="75">
      <c r="A501" s="105" t="inlineStr">
        <is>
          <t>Cobrança</t>
        </is>
      </c>
      <c r="B501" s="94">
        <f>INDEX(SETORES!$B:$B,MATCH(A501,SETORES!$A:$A,0))</f>
        <v/>
      </c>
      <c r="C501" s="105" t="inlineStr">
        <is>
          <t>Empresa Licenciada VOICENET</t>
        </is>
      </c>
      <c r="D501" s="83">
        <f>IF(B501="Clientes",SUMIFS(PARÂMETROS!$D$8:$D$33,PARÂMETROS!$A$8:$A$33,C501,PARÂMETROS!$G$8:$G$33,J501),SUMIFS(PARÂMETROS!$E$8:$E$33,PARÂMETROS!$A$8:$A$33,C501,PARÂMETROS!$G$8:$G$33,J501))</f>
        <v/>
      </c>
      <c r="E501" s="107">
        <f>SUMIFS(SETORES!$D:$D,SETORES!$A:$A,A501,SETORES!$F:$F,J501)</f>
        <v/>
      </c>
      <c r="F501" s="107">
        <f>IFERROR(D501*E501,0)</f>
        <v/>
      </c>
      <c r="G501" s="83">
        <f>SUMIFS(PARÂMETROS!$F$8:$F$33,PARÂMETROS!$A$8:$A$33,C501,PARÂMETROS!$G$8:$G$33,J501)</f>
        <v/>
      </c>
      <c r="H501" s="107">
        <f>IFERROR(F501*G501,0)</f>
        <v/>
      </c>
      <c r="I501" s="107">
        <f>F501+H501</f>
        <v/>
      </c>
      <c r="J501" s="105" t="inlineStr">
        <is>
          <t>Julho/2026</t>
        </is>
      </c>
    </row>
    <row r="502" hidden="1" ht="14.25" customHeight="1" s="75">
      <c r="A502" s="90" t="inlineStr">
        <is>
          <t>Cobrança</t>
        </is>
      </c>
      <c r="B502" s="90">
        <f>INDEX(SETORES!$B:$B,MATCH(A502,SETORES!$A:$A,0))</f>
        <v/>
      </c>
      <c r="C502" s="90" t="inlineStr">
        <is>
          <t>DTEL (uso próprio)</t>
        </is>
      </c>
      <c r="D502" s="88">
        <f>IF(B502="Clientes",SUMIFS(PARÂMETROS!$D$8:$D$33,PARÂMETROS!$A$8:$A$33,C502,PARÂMETROS!$G$8:$G$33,J502),SUMIFS(PARÂMETROS!$E$8:$E$33,PARÂMETROS!$A$8:$A$33,C502,PARÂMETROS!$G$8:$G$33,J502))</f>
        <v/>
      </c>
      <c r="E502" s="96">
        <f>SUMIFS(SETORES!$D:$D,SETORES!$A:$A,A502,SETORES!$F:$F,J502)</f>
        <v/>
      </c>
      <c r="F502" s="96">
        <f>IFERROR(D502*E502,0)</f>
        <v/>
      </c>
      <c r="G502" s="88">
        <f>SUMIFS(PARÂMETROS!$F$8:$F$33,PARÂMETROS!$A$8:$A$33,C502,PARÂMETROS!$G$8:$G$33,J502)</f>
        <v/>
      </c>
      <c r="H502" s="96">
        <f>IFERROR(F502*G502,0)</f>
        <v/>
      </c>
      <c r="I502" s="96">
        <f>F502+H502</f>
        <v/>
      </c>
      <c r="J502" s="90" t="inlineStr">
        <is>
          <t>Julho/2026</t>
        </is>
      </c>
    </row>
    <row r="503" hidden="1" ht="14.25" customHeight="1" s="75">
      <c r="A503" s="105" t="inlineStr">
        <is>
          <t>Retenção</t>
        </is>
      </c>
      <c r="B503" s="94">
        <f>INDEX(SETORES!$B:$B,MATCH(A503,SETORES!$A:$A,0))</f>
        <v/>
      </c>
      <c r="C503" s="105" t="inlineStr">
        <is>
          <t>Empresa Licenciada DX2</t>
        </is>
      </c>
      <c r="D503" s="83">
        <f>IF(B503="Clientes",SUMIFS(PARÂMETROS!$D$8:$D$33,PARÂMETROS!$A$8:$A$33,C503,PARÂMETROS!$G$8:$G$33,J503),SUMIFS(PARÂMETROS!$E$8:$E$33,PARÂMETROS!$A$8:$A$33,C503,PARÂMETROS!$G$8:$G$33,J503))</f>
        <v/>
      </c>
      <c r="E503" s="107">
        <f>SUMIFS(SETORES!$D:$D,SETORES!$A:$A,A503,SETORES!$F:$F,J503)</f>
        <v/>
      </c>
      <c r="F503" s="107">
        <f>IFERROR(D503*E503,0)</f>
        <v/>
      </c>
      <c r="G503" s="83">
        <f>SUMIFS(PARÂMETROS!$F$8:$F$33,PARÂMETROS!$A$8:$A$33,C503,PARÂMETROS!$G$8:$G$33,J503)</f>
        <v/>
      </c>
      <c r="H503" s="107">
        <f>IFERROR(F503*G503,0)</f>
        <v/>
      </c>
      <c r="I503" s="107">
        <f>F503+H503</f>
        <v/>
      </c>
      <c r="J503" s="105" t="inlineStr">
        <is>
          <t>Julho/2026</t>
        </is>
      </c>
    </row>
    <row r="504" hidden="1" ht="14.25" customHeight="1" s="75">
      <c r="A504" s="90" t="inlineStr">
        <is>
          <t>Retenção</t>
        </is>
      </c>
      <c r="B504" s="90">
        <f>INDEX(SETORES!$B:$B,MATCH(A504,SETORES!$A:$A,0))</f>
        <v/>
      </c>
      <c r="C504" s="90" t="inlineStr">
        <is>
          <t>Empresa Licenciada H&amp;A</t>
        </is>
      </c>
      <c r="D504" s="88">
        <f>IF(B504="Clientes",SUMIFS(PARÂMETROS!$D$8:$D$33,PARÂMETROS!$A$8:$A$33,C504,PARÂMETROS!$G$8:$G$33,J504),SUMIFS(PARÂMETROS!$E$8:$E$33,PARÂMETROS!$A$8:$A$33,C504,PARÂMETROS!$G$8:$G$33,J504))</f>
        <v/>
      </c>
      <c r="E504" s="96">
        <f>SUMIFS(SETORES!$D:$D,SETORES!$A:$A,A504,SETORES!$F:$F,J504)</f>
        <v/>
      </c>
      <c r="F504" s="96">
        <f>IFERROR(D504*E504,0)</f>
        <v/>
      </c>
      <c r="G504" s="88">
        <f>SUMIFS(PARÂMETROS!$F$8:$F$33,PARÂMETROS!$A$8:$A$33,C504,PARÂMETROS!$G$8:$G$33,J504)</f>
        <v/>
      </c>
      <c r="H504" s="96">
        <f>IFERROR(F504*G504,0)</f>
        <v/>
      </c>
      <c r="I504" s="96">
        <f>F504+H504</f>
        <v/>
      </c>
      <c r="J504" s="90" t="inlineStr">
        <is>
          <t>Julho/2026</t>
        </is>
      </c>
    </row>
    <row r="505" hidden="1" ht="14.25" customHeight="1" s="75">
      <c r="A505" s="105" t="inlineStr">
        <is>
          <t>Retenção</t>
        </is>
      </c>
      <c r="B505" s="94">
        <f>INDEX(SETORES!$B:$B,MATCH(A505,SETORES!$A:$A,0))</f>
        <v/>
      </c>
      <c r="C505" s="105" t="inlineStr">
        <is>
          <t>Empresa Licenciada SOLON ARAUJO</t>
        </is>
      </c>
      <c r="D505" s="83">
        <f>IF(B505="Clientes",SUMIFS(PARÂMETROS!$D$8:$D$33,PARÂMETROS!$A$8:$A$33,C505,PARÂMETROS!$G$8:$G$33,J505),SUMIFS(PARÂMETROS!$E$8:$E$33,PARÂMETROS!$A$8:$A$33,C505,PARÂMETROS!$G$8:$G$33,J505))</f>
        <v/>
      </c>
      <c r="E505" s="107">
        <f>SUMIFS(SETORES!$D:$D,SETORES!$A:$A,A505,SETORES!$F:$F,J505)</f>
        <v/>
      </c>
      <c r="F505" s="107">
        <f>IFERROR(D505*E505,0)</f>
        <v/>
      </c>
      <c r="G505" s="83">
        <f>SUMIFS(PARÂMETROS!$F$8:$F$33,PARÂMETROS!$A$8:$A$33,C505,PARÂMETROS!$G$8:$G$33,J505)</f>
        <v/>
      </c>
      <c r="H505" s="107">
        <f>IFERROR(F505*G505,0)</f>
        <v/>
      </c>
      <c r="I505" s="107">
        <f>F505+H505</f>
        <v/>
      </c>
      <c r="J505" s="105" t="inlineStr">
        <is>
          <t>Julho/2026</t>
        </is>
      </c>
    </row>
    <row r="506" ht="14.25" customHeight="1" s="75">
      <c r="A506" s="90" t="inlineStr">
        <is>
          <t>Retenção</t>
        </is>
      </c>
      <c r="B506" s="90">
        <f>INDEX(SETORES!$B:$B,MATCH(A506,SETORES!$A:$A,0))</f>
        <v/>
      </c>
      <c r="C506" s="90" t="inlineStr">
        <is>
          <t>Empresa Licenciada SOARES E LINS</t>
        </is>
      </c>
      <c r="D506" s="88">
        <f>IF(B506="Clientes",SUMIFS(PARÂMETROS!$D$8:$D$33,PARÂMETROS!$A$8:$A$33,C506,PARÂMETROS!$G$8:$G$33,J506),SUMIFS(PARÂMETROS!$E$8:$E$33,PARÂMETROS!$A$8:$A$33,C506,PARÂMETROS!$G$8:$G$33,J506))</f>
        <v/>
      </c>
      <c r="E506" s="96">
        <f>SUMIFS(SETORES!$D:$D,SETORES!$A:$A,A506,SETORES!$F:$F,J506)</f>
        <v/>
      </c>
      <c r="F506" s="96">
        <f>IFERROR(D506*E506,0)</f>
        <v/>
      </c>
      <c r="G506" s="88">
        <f>SUMIFS(PARÂMETROS!$F$8:$F$33,PARÂMETROS!$A$8:$A$33,C506,PARÂMETROS!$G$8:$G$33,J506)</f>
        <v/>
      </c>
      <c r="H506" s="96">
        <f>IFERROR(F506*G506,0)</f>
        <v/>
      </c>
      <c r="I506" s="96">
        <f>F506+H506</f>
        <v/>
      </c>
      <c r="J506" s="90" t="inlineStr">
        <is>
          <t>Julho/2026</t>
        </is>
      </c>
    </row>
    <row r="507" hidden="1" ht="14.25" customHeight="1" s="75">
      <c r="A507" s="105" t="inlineStr">
        <is>
          <t>Retenção</t>
        </is>
      </c>
      <c r="B507" s="94">
        <f>INDEX(SETORES!$B:$B,MATCH(A507,SETORES!$A:$A,0))</f>
        <v/>
      </c>
      <c r="C507" s="105" t="inlineStr">
        <is>
          <t>Empresa Licenciada SOARES E SILVA</t>
        </is>
      </c>
      <c r="D507" s="83">
        <f>IF(B507="Clientes",SUMIFS(PARÂMETROS!$D$8:$D$33,PARÂMETROS!$A$8:$A$33,C507,PARÂMETROS!$G$8:$G$33,J507),SUMIFS(PARÂMETROS!$E$8:$E$33,PARÂMETROS!$A$8:$A$33,C507,PARÂMETROS!$G$8:$G$33,J507))</f>
        <v/>
      </c>
      <c r="E507" s="107">
        <f>SUMIFS(SETORES!$D:$D,SETORES!$A:$A,A507,SETORES!$F:$F,J507)</f>
        <v/>
      </c>
      <c r="F507" s="107">
        <f>IFERROR(D507*E507,0)</f>
        <v/>
      </c>
      <c r="G507" s="83">
        <f>SUMIFS(PARÂMETROS!$F$8:$F$33,PARÂMETROS!$A$8:$A$33,C507,PARÂMETROS!$G$8:$G$33,J507)</f>
        <v/>
      </c>
      <c r="H507" s="107">
        <f>IFERROR(F507*G507,0)</f>
        <v/>
      </c>
      <c r="I507" s="107">
        <f>F507+H507</f>
        <v/>
      </c>
      <c r="J507" s="105" t="inlineStr">
        <is>
          <t>Julho/2026</t>
        </is>
      </c>
    </row>
    <row r="508" hidden="1" ht="14.25" customHeight="1" s="75">
      <c r="A508" s="90" t="inlineStr">
        <is>
          <t>Retenção</t>
        </is>
      </c>
      <c r="B508" s="90">
        <f>INDEX(SETORES!$B:$B,MATCH(A508,SETORES!$A:$A,0))</f>
        <v/>
      </c>
      <c r="C508" s="90" t="inlineStr">
        <is>
          <t>Empresa Licenciada SOUZA E SILVA</t>
        </is>
      </c>
      <c r="D508" s="88">
        <f>IF(B508="Clientes",SUMIFS(PARÂMETROS!$D$8:$D$33,PARÂMETROS!$A$8:$A$33,C508,PARÂMETROS!$G$8:$G$33,J508),SUMIFS(PARÂMETROS!$E$8:$E$33,PARÂMETROS!$A$8:$A$33,C508,PARÂMETROS!$G$8:$G$33,J508))</f>
        <v/>
      </c>
      <c r="E508" s="96">
        <f>SUMIFS(SETORES!$D:$D,SETORES!$A:$A,A508,SETORES!$F:$F,J508)</f>
        <v/>
      </c>
      <c r="F508" s="96">
        <f>IFERROR(D508*E508,0)</f>
        <v/>
      </c>
      <c r="G508" s="88">
        <f>SUMIFS(PARÂMETROS!$F$8:$F$33,PARÂMETROS!$A$8:$A$33,C508,PARÂMETROS!$G$8:$G$33,J508)</f>
        <v/>
      </c>
      <c r="H508" s="96">
        <f>IFERROR(F508*G508,0)</f>
        <v/>
      </c>
      <c r="I508" s="96">
        <f>F508+H508</f>
        <v/>
      </c>
      <c r="J508" s="90" t="inlineStr">
        <is>
          <t>Julho/2026</t>
        </is>
      </c>
    </row>
    <row r="509" hidden="1" ht="14.25" customHeight="1" s="75">
      <c r="A509" s="105" t="inlineStr">
        <is>
          <t>Retenção</t>
        </is>
      </c>
      <c r="B509" s="94">
        <f>INDEX(SETORES!$B:$B,MATCH(A509,SETORES!$A:$A,0))</f>
        <v/>
      </c>
      <c r="C509" s="105" t="inlineStr">
        <is>
          <t>Empresa Licenciada VOICENET</t>
        </is>
      </c>
      <c r="D509" s="83">
        <f>IF(B509="Clientes",SUMIFS(PARÂMETROS!$D$8:$D$33,PARÂMETROS!$A$8:$A$33,C509,PARÂMETROS!$G$8:$G$33,J509),SUMIFS(PARÂMETROS!$E$8:$E$33,PARÂMETROS!$A$8:$A$33,C509,PARÂMETROS!$G$8:$G$33,J509))</f>
        <v/>
      </c>
      <c r="E509" s="107">
        <f>SUMIFS(SETORES!$D:$D,SETORES!$A:$A,A509,SETORES!$F:$F,J509)</f>
        <v/>
      </c>
      <c r="F509" s="107">
        <f>IFERROR(D509*E509,0)</f>
        <v/>
      </c>
      <c r="G509" s="83">
        <f>SUMIFS(PARÂMETROS!$F$8:$F$33,PARÂMETROS!$A$8:$A$33,C509,PARÂMETROS!$G$8:$G$33,J509)</f>
        <v/>
      </c>
      <c r="H509" s="107">
        <f>IFERROR(F509*G509,0)</f>
        <v/>
      </c>
      <c r="I509" s="107">
        <f>F509+H509</f>
        <v/>
      </c>
      <c r="J509" s="105" t="inlineStr">
        <is>
          <t>Julho/2026</t>
        </is>
      </c>
    </row>
    <row r="510" hidden="1" ht="14.25" customHeight="1" s="75">
      <c r="A510" s="90" t="inlineStr">
        <is>
          <t>Retenção</t>
        </is>
      </c>
      <c r="B510" s="90">
        <f>INDEX(SETORES!$B:$B,MATCH(A510,SETORES!$A:$A,0))</f>
        <v/>
      </c>
      <c r="C510" s="90" t="inlineStr">
        <is>
          <t>DTEL (uso próprio)</t>
        </is>
      </c>
      <c r="D510" s="88">
        <f>IF(B510="Clientes",SUMIFS(PARÂMETROS!$D$8:$D$33,PARÂMETROS!$A$8:$A$33,C510,PARÂMETROS!$G$8:$G$33,J510),SUMIFS(PARÂMETROS!$E$8:$E$33,PARÂMETROS!$A$8:$A$33,C510,PARÂMETROS!$G$8:$G$33,J510))</f>
        <v/>
      </c>
      <c r="E510" s="96">
        <f>SUMIFS(SETORES!$D:$D,SETORES!$A:$A,A510,SETORES!$F:$F,J510)</f>
        <v/>
      </c>
      <c r="F510" s="96">
        <f>IFERROR(D510*E510,0)</f>
        <v/>
      </c>
      <c r="G510" s="88">
        <f>SUMIFS(PARÂMETROS!$F$8:$F$33,PARÂMETROS!$A$8:$A$33,C510,PARÂMETROS!$G$8:$G$33,J510)</f>
        <v/>
      </c>
      <c r="H510" s="96">
        <f>IFERROR(F510*G510,0)</f>
        <v/>
      </c>
      <c r="I510" s="96">
        <f>F510+H510</f>
        <v/>
      </c>
      <c r="J510" s="90" t="inlineStr">
        <is>
          <t>Julho/2026</t>
        </is>
      </c>
    </row>
    <row r="511" hidden="1" ht="14.25" customHeight="1" s="75">
      <c r="A511" s="105" t="inlineStr">
        <is>
          <t>Contabilidade</t>
        </is>
      </c>
      <c r="B511" s="94">
        <f>INDEX(SETORES!$B:$B,MATCH(A511,SETORES!$A:$A,0))</f>
        <v/>
      </c>
      <c r="C511" s="105" t="inlineStr">
        <is>
          <t>Empresa Licenciada DX2</t>
        </is>
      </c>
      <c r="D511" s="83">
        <f>IF(B511="Clientes",SUMIFS(PARÂMETROS!$D$8:$D$33,PARÂMETROS!$A$8:$A$33,C511,PARÂMETROS!$G$8:$G$33,J511),SUMIFS(PARÂMETROS!$E$8:$E$33,PARÂMETROS!$A$8:$A$33,C511,PARÂMETROS!$G$8:$G$33,J511))</f>
        <v/>
      </c>
      <c r="E511" s="107">
        <f>SUMIFS(SETORES!$D:$D,SETORES!$A:$A,A511,SETORES!$F:$F,J511)</f>
        <v/>
      </c>
      <c r="F511" s="107">
        <f>IFERROR(D511*E511,0)</f>
        <v/>
      </c>
      <c r="G511" s="83">
        <f>SUMIFS(PARÂMETROS!$F$8:$F$33,PARÂMETROS!$A$8:$A$33,C511,PARÂMETROS!$G$8:$G$33,J511)</f>
        <v/>
      </c>
      <c r="H511" s="107">
        <f>IFERROR(F511*G511,0)</f>
        <v/>
      </c>
      <c r="I511" s="107">
        <f>F511+H511</f>
        <v/>
      </c>
      <c r="J511" s="105" t="inlineStr">
        <is>
          <t>Julho/2026</t>
        </is>
      </c>
    </row>
    <row r="512" hidden="1" ht="14.25" customHeight="1" s="75">
      <c r="A512" s="90" t="inlineStr">
        <is>
          <t>Contabilidade</t>
        </is>
      </c>
      <c r="B512" s="90">
        <f>INDEX(SETORES!$B:$B,MATCH(A512,SETORES!$A:$A,0))</f>
        <v/>
      </c>
      <c r="C512" s="90" t="inlineStr">
        <is>
          <t>Empresa Licenciada H&amp;A</t>
        </is>
      </c>
      <c r="D512" s="88">
        <f>IF(B512="Clientes",SUMIFS(PARÂMETROS!$D$8:$D$33,PARÂMETROS!$A$8:$A$33,C512,PARÂMETROS!$G$8:$G$33,J512),SUMIFS(PARÂMETROS!$E$8:$E$33,PARÂMETROS!$A$8:$A$33,C512,PARÂMETROS!$G$8:$G$33,J512))</f>
        <v/>
      </c>
      <c r="E512" s="96">
        <f>SUMIFS(SETORES!$D:$D,SETORES!$A:$A,A512,SETORES!$F:$F,J512)</f>
        <v/>
      </c>
      <c r="F512" s="96">
        <f>IFERROR(D512*E512,0)</f>
        <v/>
      </c>
      <c r="G512" s="88">
        <f>SUMIFS(PARÂMETROS!$F$8:$F$33,PARÂMETROS!$A$8:$A$33,C512,PARÂMETROS!$G$8:$G$33,J512)</f>
        <v/>
      </c>
      <c r="H512" s="96">
        <f>IFERROR(F512*G512,0)</f>
        <v/>
      </c>
      <c r="I512" s="96">
        <f>F512+H512</f>
        <v/>
      </c>
      <c r="J512" s="90" t="inlineStr">
        <is>
          <t>Julho/2026</t>
        </is>
      </c>
    </row>
    <row r="513" hidden="1" ht="14.25" customHeight="1" s="75">
      <c r="A513" s="105" t="inlineStr">
        <is>
          <t>Contabilidade</t>
        </is>
      </c>
      <c r="B513" s="94">
        <f>INDEX(SETORES!$B:$B,MATCH(A513,SETORES!$A:$A,0))</f>
        <v/>
      </c>
      <c r="C513" s="105" t="inlineStr">
        <is>
          <t>Empresa Licenciada SOLON ARAUJO</t>
        </is>
      </c>
      <c r="D513" s="83">
        <f>IF(B513="Clientes",SUMIFS(PARÂMETROS!$D$8:$D$33,PARÂMETROS!$A$8:$A$33,C513,PARÂMETROS!$G$8:$G$33,J513),SUMIFS(PARÂMETROS!$E$8:$E$33,PARÂMETROS!$A$8:$A$33,C513,PARÂMETROS!$G$8:$G$33,J513))</f>
        <v/>
      </c>
      <c r="E513" s="107">
        <f>SUMIFS(SETORES!$D:$D,SETORES!$A:$A,A513,SETORES!$F:$F,J513)</f>
        <v/>
      </c>
      <c r="F513" s="107">
        <f>IFERROR(D513*E513,0)</f>
        <v/>
      </c>
      <c r="G513" s="83">
        <f>SUMIFS(PARÂMETROS!$F$8:$F$33,PARÂMETROS!$A$8:$A$33,C513,PARÂMETROS!$G$8:$G$33,J513)</f>
        <v/>
      </c>
      <c r="H513" s="107">
        <f>IFERROR(F513*G513,0)</f>
        <v/>
      </c>
      <c r="I513" s="107">
        <f>F513+H513</f>
        <v/>
      </c>
      <c r="J513" s="105" t="inlineStr">
        <is>
          <t>Julho/2026</t>
        </is>
      </c>
    </row>
    <row r="514" ht="14.25" customHeight="1" s="75">
      <c r="A514" s="90" t="inlineStr">
        <is>
          <t>Contabilidade</t>
        </is>
      </c>
      <c r="B514" s="90">
        <f>INDEX(SETORES!$B:$B,MATCH(A514,SETORES!$A:$A,0))</f>
        <v/>
      </c>
      <c r="C514" s="90" t="inlineStr">
        <is>
          <t>Empresa Licenciada SOARES E LINS</t>
        </is>
      </c>
      <c r="D514" s="88">
        <f>IF(B514="Clientes",SUMIFS(PARÂMETROS!$D$8:$D$33,PARÂMETROS!$A$8:$A$33,C514,PARÂMETROS!$G$8:$G$33,J514),SUMIFS(PARÂMETROS!$E$8:$E$33,PARÂMETROS!$A$8:$A$33,C514,PARÂMETROS!$G$8:$G$33,J514))</f>
        <v/>
      </c>
      <c r="E514" s="96">
        <f>SUMIFS(SETORES!$D:$D,SETORES!$A:$A,A514,SETORES!$F:$F,J514)</f>
        <v/>
      </c>
      <c r="F514" s="96">
        <f>IFERROR(D514*E514,0)</f>
        <v/>
      </c>
      <c r="G514" s="88">
        <f>SUMIFS(PARÂMETROS!$F$8:$F$33,PARÂMETROS!$A$8:$A$33,C514,PARÂMETROS!$G$8:$G$33,J514)</f>
        <v/>
      </c>
      <c r="H514" s="96">
        <f>IFERROR(F514*G514,0)</f>
        <v/>
      </c>
      <c r="I514" s="96">
        <f>F514+H514</f>
        <v/>
      </c>
      <c r="J514" s="90" t="inlineStr">
        <is>
          <t>Julho/2026</t>
        </is>
      </c>
    </row>
    <row r="515" hidden="1" ht="14.25" customHeight="1" s="75">
      <c r="A515" s="105" t="inlineStr">
        <is>
          <t>Contabilidade</t>
        </is>
      </c>
      <c r="B515" s="94">
        <f>INDEX(SETORES!$B:$B,MATCH(A515,SETORES!$A:$A,0))</f>
        <v/>
      </c>
      <c r="C515" s="105" t="inlineStr">
        <is>
          <t>Empresa Licenciada SOARES E SILVA</t>
        </is>
      </c>
      <c r="D515" s="83">
        <f>IF(B515="Clientes",SUMIFS(PARÂMETROS!$D$8:$D$33,PARÂMETROS!$A$8:$A$33,C515,PARÂMETROS!$G$8:$G$33,J515),SUMIFS(PARÂMETROS!$E$8:$E$33,PARÂMETROS!$A$8:$A$33,C515,PARÂMETROS!$G$8:$G$33,J515))</f>
        <v/>
      </c>
      <c r="E515" s="107">
        <f>SUMIFS(SETORES!$D:$D,SETORES!$A:$A,A515,SETORES!$F:$F,J515)</f>
        <v/>
      </c>
      <c r="F515" s="107">
        <f>IFERROR(D515*E515,0)</f>
        <v/>
      </c>
      <c r="G515" s="83">
        <f>SUMIFS(PARÂMETROS!$F$8:$F$33,PARÂMETROS!$A$8:$A$33,C515,PARÂMETROS!$G$8:$G$33,J515)</f>
        <v/>
      </c>
      <c r="H515" s="107">
        <f>IFERROR(F515*G515,0)</f>
        <v/>
      </c>
      <c r="I515" s="107">
        <f>F515+H515</f>
        <v/>
      </c>
      <c r="J515" s="105" t="inlineStr">
        <is>
          <t>Julho/2026</t>
        </is>
      </c>
    </row>
    <row r="516" hidden="1" ht="14.25" customHeight="1" s="75">
      <c r="A516" s="90" t="inlineStr">
        <is>
          <t>Contabilidade</t>
        </is>
      </c>
      <c r="B516" s="90">
        <f>INDEX(SETORES!$B:$B,MATCH(A516,SETORES!$A:$A,0))</f>
        <v/>
      </c>
      <c r="C516" s="90" t="inlineStr">
        <is>
          <t>Empresa Licenciada SOUZA E SILVA</t>
        </is>
      </c>
      <c r="D516" s="88">
        <f>IF(B516="Clientes",SUMIFS(PARÂMETROS!$D$8:$D$33,PARÂMETROS!$A$8:$A$33,C516,PARÂMETROS!$G$8:$G$33,J516),SUMIFS(PARÂMETROS!$E$8:$E$33,PARÂMETROS!$A$8:$A$33,C516,PARÂMETROS!$G$8:$G$33,J516))</f>
        <v/>
      </c>
      <c r="E516" s="96">
        <f>SUMIFS(SETORES!$D:$D,SETORES!$A:$A,A516,SETORES!$F:$F,J516)</f>
        <v/>
      </c>
      <c r="F516" s="96">
        <f>IFERROR(D516*E516,0)</f>
        <v/>
      </c>
      <c r="G516" s="88">
        <f>SUMIFS(PARÂMETROS!$F$8:$F$33,PARÂMETROS!$A$8:$A$33,C516,PARÂMETROS!$G$8:$G$33,J516)</f>
        <v/>
      </c>
      <c r="H516" s="96">
        <f>IFERROR(F516*G516,0)</f>
        <v/>
      </c>
      <c r="I516" s="96">
        <f>F516+H516</f>
        <v/>
      </c>
      <c r="J516" s="90" t="inlineStr">
        <is>
          <t>Julho/2026</t>
        </is>
      </c>
    </row>
    <row r="517" hidden="1" ht="14.25" customHeight="1" s="75">
      <c r="A517" s="105" t="inlineStr">
        <is>
          <t>Contabilidade</t>
        </is>
      </c>
      <c r="B517" s="94">
        <f>INDEX(SETORES!$B:$B,MATCH(A517,SETORES!$A:$A,0))</f>
        <v/>
      </c>
      <c r="C517" s="105" t="inlineStr">
        <is>
          <t>Empresa Licenciada VOICENET</t>
        </is>
      </c>
      <c r="D517" s="83">
        <f>IF(B517="Clientes",SUMIFS(PARÂMETROS!$D$8:$D$33,PARÂMETROS!$A$8:$A$33,C517,PARÂMETROS!$G$8:$G$33,J517),SUMIFS(PARÂMETROS!$E$8:$E$33,PARÂMETROS!$A$8:$A$33,C517,PARÂMETROS!$G$8:$G$33,J517))</f>
        <v/>
      </c>
      <c r="E517" s="107">
        <f>SUMIFS(SETORES!$D:$D,SETORES!$A:$A,A517,SETORES!$F:$F,J517)</f>
        <v/>
      </c>
      <c r="F517" s="107">
        <f>IFERROR(D517*E517,0)</f>
        <v/>
      </c>
      <c r="G517" s="83">
        <f>SUMIFS(PARÂMETROS!$F$8:$F$33,PARÂMETROS!$A$8:$A$33,C517,PARÂMETROS!$G$8:$G$33,J517)</f>
        <v/>
      </c>
      <c r="H517" s="107">
        <f>IFERROR(F517*G517,0)</f>
        <v/>
      </c>
      <c r="I517" s="107">
        <f>F517+H517</f>
        <v/>
      </c>
      <c r="J517" s="105" t="inlineStr">
        <is>
          <t>Julho/2026</t>
        </is>
      </c>
    </row>
    <row r="518" hidden="1" ht="14.25" customHeight="1" s="75">
      <c r="A518" s="90" t="inlineStr">
        <is>
          <t>Contabilidade</t>
        </is>
      </c>
      <c r="B518" s="90">
        <f>INDEX(SETORES!$B:$B,MATCH(A518,SETORES!$A:$A,0))</f>
        <v/>
      </c>
      <c r="C518" s="90" t="inlineStr">
        <is>
          <t>DTEL (uso próprio)</t>
        </is>
      </c>
      <c r="D518" s="88">
        <f>IF(B518="Clientes",SUMIFS(PARÂMETROS!$D$8:$D$33,PARÂMETROS!$A$8:$A$33,C518,PARÂMETROS!$G$8:$G$33,J518),SUMIFS(PARÂMETROS!$E$8:$E$33,PARÂMETROS!$A$8:$A$33,C518,PARÂMETROS!$G$8:$G$33,J518))</f>
        <v/>
      </c>
      <c r="E518" s="96">
        <f>SUMIFS(SETORES!$D:$D,SETORES!$A:$A,A518,SETORES!$F:$F,J518)</f>
        <v/>
      </c>
      <c r="F518" s="96">
        <f>IFERROR(D518*E518,0)</f>
        <v/>
      </c>
      <c r="G518" s="88">
        <f>SUMIFS(PARÂMETROS!$F$8:$F$33,PARÂMETROS!$A$8:$A$33,C518,PARÂMETROS!$G$8:$G$33,J518)</f>
        <v/>
      </c>
      <c r="H518" s="96">
        <f>IFERROR(F518*G518,0)</f>
        <v/>
      </c>
      <c r="I518" s="96">
        <f>F518+H518</f>
        <v/>
      </c>
      <c r="J518" s="90" t="inlineStr">
        <is>
          <t>Julho/2026</t>
        </is>
      </c>
    </row>
    <row r="519" hidden="1" ht="14.25" customHeight="1" s="75">
      <c r="A519" s="105" t="inlineStr">
        <is>
          <t>Controladoria</t>
        </is>
      </c>
      <c r="B519" s="94">
        <f>INDEX(SETORES!$B:$B,MATCH(A519,SETORES!$A:$A,0))</f>
        <v/>
      </c>
      <c r="C519" s="105" t="inlineStr">
        <is>
          <t>Empresa Licenciada DX2</t>
        </is>
      </c>
      <c r="D519" s="83">
        <f>IF(B519="Clientes",SUMIFS(PARÂMETROS!$D$8:$D$33,PARÂMETROS!$A$8:$A$33,C519,PARÂMETROS!$G$8:$G$33,J519),SUMIFS(PARÂMETROS!$E$8:$E$33,PARÂMETROS!$A$8:$A$33,C519,PARÂMETROS!$G$8:$G$33,J519))</f>
        <v/>
      </c>
      <c r="E519" s="107">
        <f>SUMIFS(SETORES!$D:$D,SETORES!$A:$A,A519,SETORES!$F:$F,J519)</f>
        <v/>
      </c>
      <c r="F519" s="107">
        <f>IFERROR(D519*E519,0)</f>
        <v/>
      </c>
      <c r="G519" s="83">
        <f>SUMIFS(PARÂMETROS!$F$8:$F$33,PARÂMETROS!$A$8:$A$33,C519,PARÂMETROS!$G$8:$G$33,J519)</f>
        <v/>
      </c>
      <c r="H519" s="107">
        <f>IFERROR(F519*G519,0)</f>
        <v/>
      </c>
      <c r="I519" s="107">
        <f>F519+H519</f>
        <v/>
      </c>
      <c r="J519" s="105" t="inlineStr">
        <is>
          <t>Julho/2026</t>
        </is>
      </c>
    </row>
    <row r="520" hidden="1" ht="14.25" customHeight="1" s="75">
      <c r="A520" s="90" t="inlineStr">
        <is>
          <t>Controladoria</t>
        </is>
      </c>
      <c r="B520" s="90">
        <f>INDEX(SETORES!$B:$B,MATCH(A520,SETORES!$A:$A,0))</f>
        <v/>
      </c>
      <c r="C520" s="90" t="inlineStr">
        <is>
          <t>Empresa Licenciada H&amp;A</t>
        </is>
      </c>
      <c r="D520" s="88">
        <f>IF(B520="Clientes",SUMIFS(PARÂMETROS!$D$8:$D$33,PARÂMETROS!$A$8:$A$33,C520,PARÂMETROS!$G$8:$G$33,J520),SUMIFS(PARÂMETROS!$E$8:$E$33,PARÂMETROS!$A$8:$A$33,C520,PARÂMETROS!$G$8:$G$33,J520))</f>
        <v/>
      </c>
      <c r="E520" s="96">
        <f>SUMIFS(SETORES!$D:$D,SETORES!$A:$A,A520,SETORES!$F:$F,J520)</f>
        <v/>
      </c>
      <c r="F520" s="96">
        <f>IFERROR(D520*E520,0)</f>
        <v/>
      </c>
      <c r="G520" s="88">
        <f>SUMIFS(PARÂMETROS!$F$8:$F$33,PARÂMETROS!$A$8:$A$33,C520,PARÂMETROS!$G$8:$G$33,J520)</f>
        <v/>
      </c>
      <c r="H520" s="96">
        <f>IFERROR(F520*G520,0)</f>
        <v/>
      </c>
      <c r="I520" s="96">
        <f>F520+H520</f>
        <v/>
      </c>
      <c r="J520" s="90" t="inlineStr">
        <is>
          <t>Julho/2026</t>
        </is>
      </c>
    </row>
    <row r="521" hidden="1" ht="14.25" customHeight="1" s="75">
      <c r="A521" s="105" t="inlineStr">
        <is>
          <t>Controladoria</t>
        </is>
      </c>
      <c r="B521" s="94">
        <f>INDEX(SETORES!$B:$B,MATCH(A521,SETORES!$A:$A,0))</f>
        <v/>
      </c>
      <c r="C521" s="105" t="inlineStr">
        <is>
          <t>Empresa Licenciada SOLON ARAUJO</t>
        </is>
      </c>
      <c r="D521" s="83">
        <f>IF(B521="Clientes",SUMIFS(PARÂMETROS!$D$8:$D$33,PARÂMETROS!$A$8:$A$33,C521,PARÂMETROS!$G$8:$G$33,J521),SUMIFS(PARÂMETROS!$E$8:$E$33,PARÂMETROS!$A$8:$A$33,C521,PARÂMETROS!$G$8:$G$33,J521))</f>
        <v/>
      </c>
      <c r="E521" s="107">
        <f>SUMIFS(SETORES!$D:$D,SETORES!$A:$A,A521,SETORES!$F:$F,J521)</f>
        <v/>
      </c>
      <c r="F521" s="107">
        <f>IFERROR(D521*E521,0)</f>
        <v/>
      </c>
      <c r="G521" s="83">
        <f>SUMIFS(PARÂMETROS!$F$8:$F$33,PARÂMETROS!$A$8:$A$33,C521,PARÂMETROS!$G$8:$G$33,J521)</f>
        <v/>
      </c>
      <c r="H521" s="107">
        <f>IFERROR(F521*G521,0)</f>
        <v/>
      </c>
      <c r="I521" s="107">
        <f>F521+H521</f>
        <v/>
      </c>
      <c r="J521" s="105" t="inlineStr">
        <is>
          <t>Julho/2026</t>
        </is>
      </c>
    </row>
    <row r="522" ht="14.25" customHeight="1" s="75">
      <c r="A522" s="90" t="inlineStr">
        <is>
          <t>Controladoria</t>
        </is>
      </c>
      <c r="B522" s="90">
        <f>INDEX(SETORES!$B:$B,MATCH(A522,SETORES!$A:$A,0))</f>
        <v/>
      </c>
      <c r="C522" s="90" t="inlineStr">
        <is>
          <t>Empresa Licenciada SOARES E LINS</t>
        </is>
      </c>
      <c r="D522" s="88">
        <f>IF(B522="Clientes",SUMIFS(PARÂMETROS!$D$8:$D$33,PARÂMETROS!$A$8:$A$33,C522,PARÂMETROS!$G$8:$G$33,J522),SUMIFS(PARÂMETROS!$E$8:$E$33,PARÂMETROS!$A$8:$A$33,C522,PARÂMETROS!$G$8:$G$33,J522))</f>
        <v/>
      </c>
      <c r="E522" s="96">
        <f>SUMIFS(SETORES!$D:$D,SETORES!$A:$A,A522,SETORES!$F:$F,J522)</f>
        <v/>
      </c>
      <c r="F522" s="96">
        <f>IFERROR(D522*E522,0)</f>
        <v/>
      </c>
      <c r="G522" s="88">
        <f>SUMIFS(PARÂMETROS!$F$8:$F$33,PARÂMETROS!$A$8:$A$33,C522,PARÂMETROS!$G$8:$G$33,J522)</f>
        <v/>
      </c>
      <c r="H522" s="96">
        <f>IFERROR(F522*G522,0)</f>
        <v/>
      </c>
      <c r="I522" s="96">
        <f>F522+H522</f>
        <v/>
      </c>
      <c r="J522" s="90" t="inlineStr">
        <is>
          <t>Julho/2026</t>
        </is>
      </c>
    </row>
    <row r="523" hidden="1" ht="14.25" customHeight="1" s="75">
      <c r="A523" s="105" t="inlineStr">
        <is>
          <t>Controladoria</t>
        </is>
      </c>
      <c r="B523" s="94">
        <f>INDEX(SETORES!$B:$B,MATCH(A523,SETORES!$A:$A,0))</f>
        <v/>
      </c>
      <c r="C523" s="105" t="inlineStr">
        <is>
          <t>Empresa Licenciada SOARES E SILVA</t>
        </is>
      </c>
      <c r="D523" s="83">
        <f>IF(B523="Clientes",SUMIFS(PARÂMETROS!$D$8:$D$33,PARÂMETROS!$A$8:$A$33,C523,PARÂMETROS!$G$8:$G$33,J523),SUMIFS(PARÂMETROS!$E$8:$E$33,PARÂMETROS!$A$8:$A$33,C523,PARÂMETROS!$G$8:$G$33,J523))</f>
        <v/>
      </c>
      <c r="E523" s="107">
        <f>SUMIFS(SETORES!$D:$D,SETORES!$A:$A,A523,SETORES!$F:$F,J523)</f>
        <v/>
      </c>
      <c r="F523" s="107">
        <f>IFERROR(D523*E523,0)</f>
        <v/>
      </c>
      <c r="G523" s="83">
        <f>SUMIFS(PARÂMETROS!$F$8:$F$33,PARÂMETROS!$A$8:$A$33,C523,PARÂMETROS!$G$8:$G$33,J523)</f>
        <v/>
      </c>
      <c r="H523" s="107">
        <f>IFERROR(F523*G523,0)</f>
        <v/>
      </c>
      <c r="I523" s="107">
        <f>F523+H523</f>
        <v/>
      </c>
      <c r="J523" s="105" t="inlineStr">
        <is>
          <t>Julho/2026</t>
        </is>
      </c>
    </row>
    <row r="524" hidden="1" ht="14.25" customHeight="1" s="75">
      <c r="A524" s="90" t="inlineStr">
        <is>
          <t>Controladoria</t>
        </is>
      </c>
      <c r="B524" s="90">
        <f>INDEX(SETORES!$B:$B,MATCH(A524,SETORES!$A:$A,0))</f>
        <v/>
      </c>
      <c r="C524" s="90" t="inlineStr">
        <is>
          <t>Empresa Licenciada SOUZA E SILVA</t>
        </is>
      </c>
      <c r="D524" s="88">
        <f>IF(B524="Clientes",SUMIFS(PARÂMETROS!$D$8:$D$33,PARÂMETROS!$A$8:$A$33,C524,PARÂMETROS!$G$8:$G$33,J524),SUMIFS(PARÂMETROS!$E$8:$E$33,PARÂMETROS!$A$8:$A$33,C524,PARÂMETROS!$G$8:$G$33,J524))</f>
        <v/>
      </c>
      <c r="E524" s="96">
        <f>SUMIFS(SETORES!$D:$D,SETORES!$A:$A,A524,SETORES!$F:$F,J524)</f>
        <v/>
      </c>
      <c r="F524" s="96">
        <f>IFERROR(D524*E524,0)</f>
        <v/>
      </c>
      <c r="G524" s="88">
        <f>SUMIFS(PARÂMETROS!$F$8:$F$33,PARÂMETROS!$A$8:$A$33,C524,PARÂMETROS!$G$8:$G$33,J524)</f>
        <v/>
      </c>
      <c r="H524" s="96">
        <f>IFERROR(F524*G524,0)</f>
        <v/>
      </c>
      <c r="I524" s="96">
        <f>F524+H524</f>
        <v/>
      </c>
      <c r="J524" s="90" t="inlineStr">
        <is>
          <t>Julho/2026</t>
        </is>
      </c>
    </row>
    <row r="525" hidden="1" ht="14.25" customHeight="1" s="75">
      <c r="A525" s="105" t="inlineStr">
        <is>
          <t>Controladoria</t>
        </is>
      </c>
      <c r="B525" s="94">
        <f>INDEX(SETORES!$B:$B,MATCH(A525,SETORES!$A:$A,0))</f>
        <v/>
      </c>
      <c r="C525" s="105" t="inlineStr">
        <is>
          <t>Empresa Licenciada VOICENET</t>
        </is>
      </c>
      <c r="D525" s="83">
        <f>IF(B525="Clientes",SUMIFS(PARÂMETROS!$D$8:$D$33,PARÂMETROS!$A$8:$A$33,C525,PARÂMETROS!$G$8:$G$33,J525),SUMIFS(PARÂMETROS!$E$8:$E$33,PARÂMETROS!$A$8:$A$33,C525,PARÂMETROS!$G$8:$G$33,J525))</f>
        <v/>
      </c>
      <c r="E525" s="107">
        <f>SUMIFS(SETORES!$D:$D,SETORES!$A:$A,A525,SETORES!$F:$F,J525)</f>
        <v/>
      </c>
      <c r="F525" s="107">
        <f>IFERROR(D525*E525,0)</f>
        <v/>
      </c>
      <c r="G525" s="83">
        <f>SUMIFS(PARÂMETROS!$F$8:$F$33,PARÂMETROS!$A$8:$A$33,C525,PARÂMETROS!$G$8:$G$33,J525)</f>
        <v/>
      </c>
      <c r="H525" s="107">
        <f>IFERROR(F525*G525,0)</f>
        <v/>
      </c>
      <c r="I525" s="107">
        <f>F525+H525</f>
        <v/>
      </c>
      <c r="J525" s="105" t="inlineStr">
        <is>
          <t>Julho/2026</t>
        </is>
      </c>
    </row>
    <row r="526" hidden="1" ht="14.25" customHeight="1" s="75">
      <c r="A526" s="90" t="inlineStr">
        <is>
          <t>Controladoria</t>
        </is>
      </c>
      <c r="B526" s="90">
        <f>INDEX(SETORES!$B:$B,MATCH(A526,SETORES!$A:$A,0))</f>
        <v/>
      </c>
      <c r="C526" s="90" t="inlineStr">
        <is>
          <t>DTEL (uso próprio)</t>
        </is>
      </c>
      <c r="D526" s="88">
        <f>IF(B526="Clientes",SUMIFS(PARÂMETROS!$D$8:$D$33,PARÂMETROS!$A$8:$A$33,C526,PARÂMETROS!$G$8:$G$33,J526),SUMIFS(PARÂMETROS!$E$8:$E$33,PARÂMETROS!$A$8:$A$33,C526,PARÂMETROS!$G$8:$G$33,J526))</f>
        <v/>
      </c>
      <c r="E526" s="96">
        <f>SUMIFS(SETORES!$D:$D,SETORES!$A:$A,A526,SETORES!$F:$F,J526)</f>
        <v/>
      </c>
      <c r="F526" s="96">
        <f>IFERROR(D526*E526,0)</f>
        <v/>
      </c>
      <c r="G526" s="88">
        <f>SUMIFS(PARÂMETROS!$F$8:$F$33,PARÂMETROS!$A$8:$A$33,C526,PARÂMETROS!$G$8:$G$33,J526)</f>
        <v/>
      </c>
      <c r="H526" s="96">
        <f>IFERROR(F526*G526,0)</f>
        <v/>
      </c>
      <c r="I526" s="96">
        <f>F526+H526</f>
        <v/>
      </c>
      <c r="J526" s="90" t="inlineStr">
        <is>
          <t>Julho/2026</t>
        </is>
      </c>
    </row>
    <row r="527" hidden="1" ht="14.25" customHeight="1" s="75">
      <c r="A527" s="105" t="inlineStr">
        <is>
          <t>Diretoria Operacional</t>
        </is>
      </c>
      <c r="B527" s="94">
        <f>INDEX(SETORES!$B:$B,MATCH(A527,SETORES!$A:$A,0))</f>
        <v/>
      </c>
      <c r="C527" s="105" t="inlineStr">
        <is>
          <t>Empresa Licenciada DX2</t>
        </is>
      </c>
      <c r="D527" s="83">
        <f>IF(B527="Clientes",SUMIFS(PARÂMETROS!$D$8:$D$33,PARÂMETROS!$A$8:$A$33,C527,PARÂMETROS!$G$8:$G$33,J527),SUMIFS(PARÂMETROS!$E$8:$E$33,PARÂMETROS!$A$8:$A$33,C527,PARÂMETROS!$G$8:$G$33,J527))</f>
        <v/>
      </c>
      <c r="E527" s="107">
        <f>SUMIFS(SETORES!$D:$D,SETORES!$A:$A,A527,SETORES!$F:$F,J527)</f>
        <v/>
      </c>
      <c r="F527" s="107">
        <f>IFERROR(D527*E527,0)</f>
        <v/>
      </c>
      <c r="G527" s="83">
        <f>SUMIFS(PARÂMETROS!$F$8:$F$33,PARÂMETROS!$A$8:$A$33,C527,PARÂMETROS!$G$8:$G$33,J527)</f>
        <v/>
      </c>
      <c r="H527" s="107">
        <f>IFERROR(F527*G527,0)</f>
        <v/>
      </c>
      <c r="I527" s="107">
        <f>F527+H527</f>
        <v/>
      </c>
      <c r="J527" s="105" t="inlineStr">
        <is>
          <t>Julho/2026</t>
        </is>
      </c>
    </row>
    <row r="528" hidden="1" ht="14.25" customHeight="1" s="75">
      <c r="A528" s="90" t="inlineStr">
        <is>
          <t>Diretoria Operacional</t>
        </is>
      </c>
      <c r="B528" s="90">
        <f>INDEX(SETORES!$B:$B,MATCH(A528,SETORES!$A:$A,0))</f>
        <v/>
      </c>
      <c r="C528" s="90" t="inlineStr">
        <is>
          <t>Empresa Licenciada H&amp;A</t>
        </is>
      </c>
      <c r="D528" s="88">
        <f>IF(B528="Clientes",SUMIFS(PARÂMETROS!$D$8:$D$33,PARÂMETROS!$A$8:$A$33,C528,PARÂMETROS!$G$8:$G$33,J528),SUMIFS(PARÂMETROS!$E$8:$E$33,PARÂMETROS!$A$8:$A$33,C528,PARÂMETROS!$G$8:$G$33,J528))</f>
        <v/>
      </c>
      <c r="E528" s="96">
        <f>SUMIFS(SETORES!$D:$D,SETORES!$A:$A,A528,SETORES!$F:$F,J528)</f>
        <v/>
      </c>
      <c r="F528" s="96">
        <f>IFERROR(D528*E528,0)</f>
        <v/>
      </c>
      <c r="G528" s="88">
        <f>SUMIFS(PARÂMETROS!$F$8:$F$33,PARÂMETROS!$A$8:$A$33,C528,PARÂMETROS!$G$8:$G$33,J528)</f>
        <v/>
      </c>
      <c r="H528" s="96">
        <f>IFERROR(F528*G528,0)</f>
        <v/>
      </c>
      <c r="I528" s="96">
        <f>F528+H528</f>
        <v/>
      </c>
      <c r="J528" s="90" t="inlineStr">
        <is>
          <t>Julho/2026</t>
        </is>
      </c>
    </row>
    <row r="529" hidden="1" ht="14.25" customHeight="1" s="75">
      <c r="A529" s="105" t="inlineStr">
        <is>
          <t>Diretoria Operacional</t>
        </is>
      </c>
      <c r="B529" s="94">
        <f>INDEX(SETORES!$B:$B,MATCH(A529,SETORES!$A:$A,0))</f>
        <v/>
      </c>
      <c r="C529" s="105" t="inlineStr">
        <is>
          <t>Empresa Licenciada SOLON ARAUJO</t>
        </is>
      </c>
      <c r="D529" s="83">
        <f>IF(B529="Clientes",SUMIFS(PARÂMETROS!$D$8:$D$33,PARÂMETROS!$A$8:$A$33,C529,PARÂMETROS!$G$8:$G$33,J529),SUMIFS(PARÂMETROS!$E$8:$E$33,PARÂMETROS!$A$8:$A$33,C529,PARÂMETROS!$G$8:$G$33,J529))</f>
        <v/>
      </c>
      <c r="E529" s="107">
        <f>SUMIFS(SETORES!$D:$D,SETORES!$A:$A,A529,SETORES!$F:$F,J529)</f>
        <v/>
      </c>
      <c r="F529" s="107">
        <f>IFERROR(D529*E529,0)</f>
        <v/>
      </c>
      <c r="G529" s="83">
        <f>SUMIFS(PARÂMETROS!$F$8:$F$33,PARÂMETROS!$A$8:$A$33,C529,PARÂMETROS!$G$8:$G$33,J529)</f>
        <v/>
      </c>
      <c r="H529" s="107">
        <f>IFERROR(F529*G529,0)</f>
        <v/>
      </c>
      <c r="I529" s="107">
        <f>F529+H529</f>
        <v/>
      </c>
      <c r="J529" s="105" t="inlineStr">
        <is>
          <t>Julho/2026</t>
        </is>
      </c>
    </row>
    <row r="530" ht="14.25" customHeight="1" s="75">
      <c r="A530" s="90" t="inlineStr">
        <is>
          <t>Diretoria Operacional</t>
        </is>
      </c>
      <c r="B530" s="90">
        <f>INDEX(SETORES!$B:$B,MATCH(A530,SETORES!$A:$A,0))</f>
        <v/>
      </c>
      <c r="C530" s="90" t="inlineStr">
        <is>
          <t>Empresa Licenciada SOARES E LINS</t>
        </is>
      </c>
      <c r="D530" s="88">
        <f>IF(B530="Clientes",SUMIFS(PARÂMETROS!$D$8:$D$33,PARÂMETROS!$A$8:$A$33,C530,PARÂMETROS!$G$8:$G$33,J530),SUMIFS(PARÂMETROS!$E$8:$E$33,PARÂMETROS!$A$8:$A$33,C530,PARÂMETROS!$G$8:$G$33,J530))</f>
        <v/>
      </c>
      <c r="E530" s="96">
        <f>SUMIFS(SETORES!$D:$D,SETORES!$A:$A,A530,SETORES!$F:$F,J530)</f>
        <v/>
      </c>
      <c r="F530" s="96">
        <f>IFERROR(D530*E530,0)</f>
        <v/>
      </c>
      <c r="G530" s="88">
        <f>SUMIFS(PARÂMETROS!$F$8:$F$33,PARÂMETROS!$A$8:$A$33,C530,PARÂMETROS!$G$8:$G$33,J530)</f>
        <v/>
      </c>
      <c r="H530" s="96">
        <f>IFERROR(F530*G530,0)</f>
        <v/>
      </c>
      <c r="I530" s="96">
        <f>F530+H530</f>
        <v/>
      </c>
      <c r="J530" s="90" t="inlineStr">
        <is>
          <t>Julho/2026</t>
        </is>
      </c>
    </row>
    <row r="531" hidden="1" ht="14.25" customHeight="1" s="75">
      <c r="A531" s="105" t="inlineStr">
        <is>
          <t>Diretoria Operacional</t>
        </is>
      </c>
      <c r="B531" s="94">
        <f>INDEX(SETORES!$B:$B,MATCH(A531,SETORES!$A:$A,0))</f>
        <v/>
      </c>
      <c r="C531" s="105" t="inlineStr">
        <is>
          <t>Empresa Licenciada SOARES E SILVA</t>
        </is>
      </c>
      <c r="D531" s="83">
        <f>IF(B531="Clientes",SUMIFS(PARÂMETROS!$D$8:$D$33,PARÂMETROS!$A$8:$A$33,C531,PARÂMETROS!$G$8:$G$33,J531),SUMIFS(PARÂMETROS!$E$8:$E$33,PARÂMETROS!$A$8:$A$33,C531,PARÂMETROS!$G$8:$G$33,J531))</f>
        <v/>
      </c>
      <c r="E531" s="107">
        <f>SUMIFS(SETORES!$D:$D,SETORES!$A:$A,A531,SETORES!$F:$F,J531)</f>
        <v/>
      </c>
      <c r="F531" s="107">
        <f>IFERROR(D531*E531,0)</f>
        <v/>
      </c>
      <c r="G531" s="83">
        <f>SUMIFS(PARÂMETROS!$F$8:$F$33,PARÂMETROS!$A$8:$A$33,C531,PARÂMETROS!$G$8:$G$33,J531)</f>
        <v/>
      </c>
      <c r="H531" s="107">
        <f>IFERROR(F531*G531,0)</f>
        <v/>
      </c>
      <c r="I531" s="107">
        <f>F531+H531</f>
        <v/>
      </c>
      <c r="J531" s="105" t="inlineStr">
        <is>
          <t>Julho/2026</t>
        </is>
      </c>
    </row>
    <row r="532" hidden="1" ht="14.25" customHeight="1" s="75">
      <c r="A532" s="90" t="inlineStr">
        <is>
          <t>Diretoria Operacional</t>
        </is>
      </c>
      <c r="B532" s="90">
        <f>INDEX(SETORES!$B:$B,MATCH(A532,SETORES!$A:$A,0))</f>
        <v/>
      </c>
      <c r="C532" s="90" t="inlineStr">
        <is>
          <t>Empresa Licenciada SOUZA E SILVA</t>
        </is>
      </c>
      <c r="D532" s="88">
        <f>IF(B532="Clientes",SUMIFS(PARÂMETROS!$D$8:$D$33,PARÂMETROS!$A$8:$A$33,C532,PARÂMETROS!$G$8:$G$33,J532),SUMIFS(PARÂMETROS!$E$8:$E$33,PARÂMETROS!$A$8:$A$33,C532,PARÂMETROS!$G$8:$G$33,J532))</f>
        <v/>
      </c>
      <c r="E532" s="96">
        <f>SUMIFS(SETORES!$D:$D,SETORES!$A:$A,A532,SETORES!$F:$F,J532)</f>
        <v/>
      </c>
      <c r="F532" s="96">
        <f>IFERROR(D532*E532,0)</f>
        <v/>
      </c>
      <c r="G532" s="88">
        <f>SUMIFS(PARÂMETROS!$F$8:$F$33,PARÂMETROS!$A$8:$A$33,C532,PARÂMETROS!$G$8:$G$33,J532)</f>
        <v/>
      </c>
      <c r="H532" s="96">
        <f>IFERROR(F532*G532,0)</f>
        <v/>
      </c>
      <c r="I532" s="96">
        <f>F532+H532</f>
        <v/>
      </c>
      <c r="J532" s="90" t="inlineStr">
        <is>
          <t>Julho/2026</t>
        </is>
      </c>
    </row>
    <row r="533" hidden="1" ht="14.25" customHeight="1" s="75">
      <c r="A533" s="105" t="inlineStr">
        <is>
          <t>Diretoria Operacional</t>
        </is>
      </c>
      <c r="B533" s="94">
        <f>INDEX(SETORES!$B:$B,MATCH(A533,SETORES!$A:$A,0))</f>
        <v/>
      </c>
      <c r="C533" s="105" t="inlineStr">
        <is>
          <t>Empresa Licenciada VOICENET</t>
        </is>
      </c>
      <c r="D533" s="83">
        <f>IF(B533="Clientes",SUMIFS(PARÂMETROS!$D$8:$D$33,PARÂMETROS!$A$8:$A$33,C533,PARÂMETROS!$G$8:$G$33,J533),SUMIFS(PARÂMETROS!$E$8:$E$33,PARÂMETROS!$A$8:$A$33,C533,PARÂMETROS!$G$8:$G$33,J533))</f>
        <v/>
      </c>
      <c r="E533" s="107">
        <f>SUMIFS(SETORES!$D:$D,SETORES!$A:$A,A533,SETORES!$F:$F,J533)</f>
        <v/>
      </c>
      <c r="F533" s="107">
        <f>IFERROR(D533*E533,0)</f>
        <v/>
      </c>
      <c r="G533" s="83">
        <f>SUMIFS(PARÂMETROS!$F$8:$F$33,PARÂMETROS!$A$8:$A$33,C533,PARÂMETROS!$G$8:$G$33,J533)</f>
        <v/>
      </c>
      <c r="H533" s="107">
        <f>IFERROR(F533*G533,0)</f>
        <v/>
      </c>
      <c r="I533" s="107">
        <f>F533+H533</f>
        <v/>
      </c>
      <c r="J533" s="105" t="inlineStr">
        <is>
          <t>Julho/2026</t>
        </is>
      </c>
    </row>
    <row r="534" hidden="1" ht="14.25" customHeight="1" s="75">
      <c r="A534" s="90" t="inlineStr">
        <is>
          <t>Diretoria Operacional</t>
        </is>
      </c>
      <c r="B534" s="90">
        <f>INDEX(SETORES!$B:$B,MATCH(A534,SETORES!$A:$A,0))</f>
        <v/>
      </c>
      <c r="C534" s="90" t="inlineStr">
        <is>
          <t>DTEL (uso próprio)</t>
        </is>
      </c>
      <c r="D534" s="88">
        <f>IF(B534="Clientes",SUMIFS(PARÂMETROS!$D$8:$D$33,PARÂMETROS!$A$8:$A$33,C534,PARÂMETROS!$G$8:$G$33,J534),SUMIFS(PARÂMETROS!$E$8:$E$33,PARÂMETROS!$A$8:$A$33,C534,PARÂMETROS!$G$8:$G$33,J534))</f>
        <v/>
      </c>
      <c r="E534" s="96">
        <f>SUMIFS(SETORES!$D:$D,SETORES!$A:$A,A534,SETORES!$F:$F,J534)</f>
        <v/>
      </c>
      <c r="F534" s="96">
        <f>IFERROR(D534*E534,0)</f>
        <v/>
      </c>
      <c r="G534" s="88">
        <f>SUMIFS(PARÂMETROS!$F$8:$F$33,PARÂMETROS!$A$8:$A$33,C534,PARÂMETROS!$G$8:$G$33,J534)</f>
        <v/>
      </c>
      <c r="H534" s="96">
        <f>IFERROR(F534*G534,0)</f>
        <v/>
      </c>
      <c r="I534" s="96">
        <f>F534+H534</f>
        <v/>
      </c>
      <c r="J534" s="90" t="inlineStr">
        <is>
          <t>Julho/2026</t>
        </is>
      </c>
    </row>
    <row r="535" hidden="1" ht="14.25" customHeight="1" s="75">
      <c r="A535" s="105" t="inlineStr">
        <is>
          <t>Compras</t>
        </is>
      </c>
      <c r="B535" s="94">
        <f>INDEX(SETORES!$B:$B,MATCH(A535,SETORES!$A:$A,0))</f>
        <v/>
      </c>
      <c r="C535" s="105" t="inlineStr">
        <is>
          <t>Empresa Licenciada DX2</t>
        </is>
      </c>
      <c r="D535" s="83">
        <f>IF(B535="Clientes",SUMIFS(PARÂMETROS!$D$8:$D$33,PARÂMETROS!$A$8:$A$33,C535,PARÂMETROS!$G$8:$G$33,J535),SUMIFS(PARÂMETROS!$E$8:$E$33,PARÂMETROS!$A$8:$A$33,C535,PARÂMETROS!$G$8:$G$33,J535))</f>
        <v/>
      </c>
      <c r="E535" s="107">
        <f>SUMIFS(SETORES!$D:$D,SETORES!$A:$A,A535,SETORES!$F:$F,J535)</f>
        <v/>
      </c>
      <c r="F535" s="107">
        <f>IFERROR(D535*E535,0)</f>
        <v/>
      </c>
      <c r="G535" s="83">
        <f>SUMIFS(PARÂMETROS!$F$8:$F$33,PARÂMETROS!$A$8:$A$33,C535,PARÂMETROS!$G$8:$G$33,J535)</f>
        <v/>
      </c>
      <c r="H535" s="107">
        <f>IFERROR(F535*G535,0)</f>
        <v/>
      </c>
      <c r="I535" s="107">
        <f>F535+H535</f>
        <v/>
      </c>
      <c r="J535" s="105" t="inlineStr">
        <is>
          <t>Julho/2026</t>
        </is>
      </c>
    </row>
    <row r="536" hidden="1" ht="14.25" customHeight="1" s="75">
      <c r="A536" s="90" t="inlineStr">
        <is>
          <t>Compras</t>
        </is>
      </c>
      <c r="B536" s="90">
        <f>INDEX(SETORES!$B:$B,MATCH(A536,SETORES!$A:$A,0))</f>
        <v/>
      </c>
      <c r="C536" s="90" t="inlineStr">
        <is>
          <t>Empresa Licenciada H&amp;A</t>
        </is>
      </c>
      <c r="D536" s="88">
        <f>IF(B536="Clientes",SUMIFS(PARÂMETROS!$D$8:$D$33,PARÂMETROS!$A$8:$A$33,C536,PARÂMETROS!$G$8:$G$33,J536),SUMIFS(PARÂMETROS!$E$8:$E$33,PARÂMETROS!$A$8:$A$33,C536,PARÂMETROS!$G$8:$G$33,J536))</f>
        <v/>
      </c>
      <c r="E536" s="96">
        <f>SUMIFS(SETORES!$D:$D,SETORES!$A:$A,A536,SETORES!$F:$F,J536)</f>
        <v/>
      </c>
      <c r="F536" s="96">
        <f>IFERROR(D536*E536,0)</f>
        <v/>
      </c>
      <c r="G536" s="88">
        <f>SUMIFS(PARÂMETROS!$F$8:$F$33,PARÂMETROS!$A$8:$A$33,C536,PARÂMETROS!$G$8:$G$33,J536)</f>
        <v/>
      </c>
      <c r="H536" s="96">
        <f>IFERROR(F536*G536,0)</f>
        <v/>
      </c>
      <c r="I536" s="96">
        <f>F536+H536</f>
        <v/>
      </c>
      <c r="J536" s="90" t="inlineStr">
        <is>
          <t>Julho/2026</t>
        </is>
      </c>
    </row>
    <row r="537" hidden="1" ht="14.25" customHeight="1" s="75">
      <c r="A537" s="105" t="inlineStr">
        <is>
          <t>Compras</t>
        </is>
      </c>
      <c r="B537" s="94">
        <f>INDEX(SETORES!$B:$B,MATCH(A537,SETORES!$A:$A,0))</f>
        <v/>
      </c>
      <c r="C537" s="105" t="inlineStr">
        <is>
          <t>Empresa Licenciada SOLON ARAUJO</t>
        </is>
      </c>
      <c r="D537" s="83">
        <f>IF(B537="Clientes",SUMIFS(PARÂMETROS!$D$8:$D$33,PARÂMETROS!$A$8:$A$33,C537,PARÂMETROS!$G$8:$G$33,J537),SUMIFS(PARÂMETROS!$E$8:$E$33,PARÂMETROS!$A$8:$A$33,C537,PARÂMETROS!$G$8:$G$33,J537))</f>
        <v/>
      </c>
      <c r="E537" s="107">
        <f>SUMIFS(SETORES!$D:$D,SETORES!$A:$A,A537,SETORES!$F:$F,J537)</f>
        <v/>
      </c>
      <c r="F537" s="107">
        <f>IFERROR(D537*E537,0)</f>
        <v/>
      </c>
      <c r="G537" s="83">
        <f>SUMIFS(PARÂMETROS!$F$8:$F$33,PARÂMETROS!$A$8:$A$33,C537,PARÂMETROS!$G$8:$G$33,J537)</f>
        <v/>
      </c>
      <c r="H537" s="107">
        <f>IFERROR(F537*G537,0)</f>
        <v/>
      </c>
      <c r="I537" s="107">
        <f>F537+H537</f>
        <v/>
      </c>
      <c r="J537" s="105" t="inlineStr">
        <is>
          <t>Julho/2026</t>
        </is>
      </c>
    </row>
    <row r="538" ht="14.25" customHeight="1" s="75">
      <c r="A538" s="90" t="inlineStr">
        <is>
          <t>Compras</t>
        </is>
      </c>
      <c r="B538" s="90">
        <f>INDEX(SETORES!$B:$B,MATCH(A538,SETORES!$A:$A,0))</f>
        <v/>
      </c>
      <c r="C538" s="90" t="inlineStr">
        <is>
          <t>Empresa Licenciada SOARES E LINS</t>
        </is>
      </c>
      <c r="D538" s="88">
        <f>IF(B538="Clientes",SUMIFS(PARÂMETROS!$D$8:$D$33,PARÂMETROS!$A$8:$A$33,C538,PARÂMETROS!$G$8:$G$33,J538),SUMIFS(PARÂMETROS!$E$8:$E$33,PARÂMETROS!$A$8:$A$33,C538,PARÂMETROS!$G$8:$G$33,J538))</f>
        <v/>
      </c>
      <c r="E538" s="96">
        <f>SUMIFS(SETORES!$D:$D,SETORES!$A:$A,A538,SETORES!$F:$F,J538)</f>
        <v/>
      </c>
      <c r="F538" s="96">
        <f>IFERROR(D538*E538,0)</f>
        <v/>
      </c>
      <c r="G538" s="88">
        <f>SUMIFS(PARÂMETROS!$F$8:$F$33,PARÂMETROS!$A$8:$A$33,C538,PARÂMETROS!$G$8:$G$33,J538)</f>
        <v/>
      </c>
      <c r="H538" s="96">
        <f>IFERROR(F538*G538,0)</f>
        <v/>
      </c>
      <c r="I538" s="96">
        <f>F538+H538</f>
        <v/>
      </c>
      <c r="J538" s="90" t="inlineStr">
        <is>
          <t>Julho/2026</t>
        </is>
      </c>
    </row>
    <row r="539" hidden="1" ht="14.25" customHeight="1" s="75">
      <c r="A539" s="105" t="inlineStr">
        <is>
          <t>Compras</t>
        </is>
      </c>
      <c r="B539" s="94">
        <f>INDEX(SETORES!$B:$B,MATCH(A539,SETORES!$A:$A,0))</f>
        <v/>
      </c>
      <c r="C539" s="105" t="inlineStr">
        <is>
          <t>Empresa Licenciada SOARES E SILVA</t>
        </is>
      </c>
      <c r="D539" s="83">
        <f>IF(B539="Clientes",SUMIFS(PARÂMETROS!$D$8:$D$33,PARÂMETROS!$A$8:$A$33,C539,PARÂMETROS!$G$8:$G$33,J539),SUMIFS(PARÂMETROS!$E$8:$E$33,PARÂMETROS!$A$8:$A$33,C539,PARÂMETROS!$G$8:$G$33,J539))</f>
        <v/>
      </c>
      <c r="E539" s="107">
        <f>SUMIFS(SETORES!$D:$D,SETORES!$A:$A,A539,SETORES!$F:$F,J539)</f>
        <v/>
      </c>
      <c r="F539" s="107">
        <f>IFERROR(D539*E539,0)</f>
        <v/>
      </c>
      <c r="G539" s="83">
        <f>SUMIFS(PARÂMETROS!$F$8:$F$33,PARÂMETROS!$A$8:$A$33,C539,PARÂMETROS!$G$8:$G$33,J539)</f>
        <v/>
      </c>
      <c r="H539" s="107">
        <f>IFERROR(F539*G539,0)</f>
        <v/>
      </c>
      <c r="I539" s="107">
        <f>F539+H539</f>
        <v/>
      </c>
      <c r="J539" s="105" t="inlineStr">
        <is>
          <t>Julho/2026</t>
        </is>
      </c>
    </row>
    <row r="540" hidden="1" ht="14.25" customHeight="1" s="75">
      <c r="A540" s="90" t="inlineStr">
        <is>
          <t>Compras</t>
        </is>
      </c>
      <c r="B540" s="90">
        <f>INDEX(SETORES!$B:$B,MATCH(A540,SETORES!$A:$A,0))</f>
        <v/>
      </c>
      <c r="C540" s="90" t="inlineStr">
        <is>
          <t>Empresa Licenciada SOUZA E SILVA</t>
        </is>
      </c>
      <c r="D540" s="88">
        <f>IF(B540="Clientes",SUMIFS(PARÂMETROS!$D$8:$D$33,PARÂMETROS!$A$8:$A$33,C540,PARÂMETROS!$G$8:$G$33,J540),SUMIFS(PARÂMETROS!$E$8:$E$33,PARÂMETROS!$A$8:$A$33,C540,PARÂMETROS!$G$8:$G$33,J540))</f>
        <v/>
      </c>
      <c r="E540" s="96">
        <f>SUMIFS(SETORES!$D:$D,SETORES!$A:$A,A540,SETORES!$F:$F,J540)</f>
        <v/>
      </c>
      <c r="F540" s="96">
        <f>IFERROR(D540*E540,0)</f>
        <v/>
      </c>
      <c r="G540" s="88">
        <f>SUMIFS(PARÂMETROS!$F$8:$F$33,PARÂMETROS!$A$8:$A$33,C540,PARÂMETROS!$G$8:$G$33,J540)</f>
        <v/>
      </c>
      <c r="H540" s="96">
        <f>IFERROR(F540*G540,0)</f>
        <v/>
      </c>
      <c r="I540" s="96">
        <f>F540+H540</f>
        <v/>
      </c>
      <c r="J540" s="90" t="inlineStr">
        <is>
          <t>Julho/2026</t>
        </is>
      </c>
    </row>
    <row r="541" hidden="1" ht="14.25" customHeight="1" s="75">
      <c r="A541" s="105" t="inlineStr">
        <is>
          <t>Compras</t>
        </is>
      </c>
      <c r="B541" s="94">
        <f>INDEX(SETORES!$B:$B,MATCH(A541,SETORES!$A:$A,0))</f>
        <v/>
      </c>
      <c r="C541" s="105" t="inlineStr">
        <is>
          <t>Empresa Licenciada VOICENET</t>
        </is>
      </c>
      <c r="D541" s="83">
        <f>IF(B541="Clientes",SUMIFS(PARÂMETROS!$D$8:$D$33,PARÂMETROS!$A$8:$A$33,C541,PARÂMETROS!$G$8:$G$33,J541),SUMIFS(PARÂMETROS!$E$8:$E$33,PARÂMETROS!$A$8:$A$33,C541,PARÂMETROS!$G$8:$G$33,J541))</f>
        <v/>
      </c>
      <c r="E541" s="107">
        <f>SUMIFS(SETORES!$D:$D,SETORES!$A:$A,A541,SETORES!$F:$F,J541)</f>
        <v/>
      </c>
      <c r="F541" s="107">
        <f>IFERROR(D541*E541,0)</f>
        <v/>
      </c>
      <c r="G541" s="83">
        <f>SUMIFS(PARÂMETROS!$F$8:$F$33,PARÂMETROS!$A$8:$A$33,C541,PARÂMETROS!$G$8:$G$33,J541)</f>
        <v/>
      </c>
      <c r="H541" s="107">
        <f>IFERROR(F541*G541,0)</f>
        <v/>
      </c>
      <c r="I541" s="107">
        <f>F541+H541</f>
        <v/>
      </c>
      <c r="J541" s="105" t="inlineStr">
        <is>
          <t>Julho/2026</t>
        </is>
      </c>
    </row>
    <row r="542" hidden="1" ht="14.25" customHeight="1" s="75">
      <c r="A542" s="90" t="inlineStr">
        <is>
          <t>Compras</t>
        </is>
      </c>
      <c r="B542" s="90">
        <f>INDEX(SETORES!$B:$B,MATCH(A542,SETORES!$A:$A,0))</f>
        <v/>
      </c>
      <c r="C542" s="90" t="inlineStr">
        <is>
          <t>DTEL (uso próprio)</t>
        </is>
      </c>
      <c r="D542" s="88">
        <f>IF(B542="Clientes",SUMIFS(PARÂMETROS!$D$8:$D$33,PARÂMETROS!$A$8:$A$33,C542,PARÂMETROS!$G$8:$G$33,J542),SUMIFS(PARÂMETROS!$E$8:$E$33,PARÂMETROS!$A$8:$A$33,C542,PARÂMETROS!$G$8:$G$33,J542))</f>
        <v/>
      </c>
      <c r="E542" s="96">
        <f>SUMIFS(SETORES!$D:$D,SETORES!$A:$A,A542,SETORES!$F:$F,J542)</f>
        <v/>
      </c>
      <c r="F542" s="96">
        <f>IFERROR(D542*E542,0)</f>
        <v/>
      </c>
      <c r="G542" s="88">
        <f>SUMIFS(PARÂMETROS!$F$8:$F$33,PARÂMETROS!$A$8:$A$33,C542,PARÂMETROS!$G$8:$G$33,J542)</f>
        <v/>
      </c>
      <c r="H542" s="96">
        <f>IFERROR(F542*G542,0)</f>
        <v/>
      </c>
      <c r="I542" s="96">
        <f>F542+H542</f>
        <v/>
      </c>
      <c r="J542" s="90" t="inlineStr">
        <is>
          <t>Julho/2026</t>
        </is>
      </c>
    </row>
    <row r="543" hidden="1" ht="14.25" customHeight="1" s="75">
      <c r="A543" s="105" t="inlineStr">
        <is>
          <t>Segurança do Trabalho</t>
        </is>
      </c>
      <c r="B543" s="94">
        <f>INDEX(SETORES!$B:$B,MATCH(A543,SETORES!$A:$A,0))</f>
        <v/>
      </c>
      <c r="C543" s="105" t="inlineStr">
        <is>
          <t>Empresa Licenciada DX2</t>
        </is>
      </c>
      <c r="D543" s="83">
        <f>IF(B543="Clientes",SUMIFS(PARÂMETROS!$D$8:$D$33,PARÂMETROS!$A$8:$A$33,C543,PARÂMETROS!$G$8:$G$33,J543),SUMIFS(PARÂMETROS!$E$8:$E$33,PARÂMETROS!$A$8:$A$33,C543,PARÂMETROS!$G$8:$G$33,J543))</f>
        <v/>
      </c>
      <c r="E543" s="107">
        <f>SUMIFS(SETORES!$D:$D,SETORES!$A:$A,A543,SETORES!$F:$F,J543)</f>
        <v/>
      </c>
      <c r="F543" s="107">
        <f>IFERROR(D543*E543,0)</f>
        <v/>
      </c>
      <c r="G543" s="83">
        <f>SUMIFS(PARÂMETROS!$F$8:$F$33,PARÂMETROS!$A$8:$A$33,C543,PARÂMETROS!$G$8:$G$33,J543)</f>
        <v/>
      </c>
      <c r="H543" s="107">
        <f>IFERROR(F543*G543,0)</f>
        <v/>
      </c>
      <c r="I543" s="107">
        <f>F543+H543</f>
        <v/>
      </c>
      <c r="J543" s="105" t="inlineStr">
        <is>
          <t>Julho/2026</t>
        </is>
      </c>
    </row>
    <row r="544" hidden="1" ht="14.25" customHeight="1" s="75">
      <c r="A544" s="90" t="inlineStr">
        <is>
          <t>Segurança do Trabalho</t>
        </is>
      </c>
      <c r="B544" s="90">
        <f>INDEX(SETORES!$B:$B,MATCH(A544,SETORES!$A:$A,0))</f>
        <v/>
      </c>
      <c r="C544" s="90" t="inlineStr">
        <is>
          <t>Empresa Licenciada H&amp;A</t>
        </is>
      </c>
      <c r="D544" s="88">
        <f>IF(B544="Clientes",SUMIFS(PARÂMETROS!$D$8:$D$33,PARÂMETROS!$A$8:$A$33,C544,PARÂMETROS!$G$8:$G$33,J544),SUMIFS(PARÂMETROS!$E$8:$E$33,PARÂMETROS!$A$8:$A$33,C544,PARÂMETROS!$G$8:$G$33,J544))</f>
        <v/>
      </c>
      <c r="E544" s="96">
        <f>SUMIFS(SETORES!$D:$D,SETORES!$A:$A,A544,SETORES!$F:$F,J544)</f>
        <v/>
      </c>
      <c r="F544" s="96">
        <f>IFERROR(D544*E544,0)</f>
        <v/>
      </c>
      <c r="G544" s="88">
        <f>SUMIFS(PARÂMETROS!$F$8:$F$33,PARÂMETROS!$A$8:$A$33,C544,PARÂMETROS!$G$8:$G$33,J544)</f>
        <v/>
      </c>
      <c r="H544" s="96">
        <f>IFERROR(F544*G544,0)</f>
        <v/>
      </c>
      <c r="I544" s="96">
        <f>F544+H544</f>
        <v/>
      </c>
      <c r="J544" s="90" t="inlineStr">
        <is>
          <t>Julho/2026</t>
        </is>
      </c>
    </row>
    <row r="545" hidden="1" ht="14.25" customHeight="1" s="75">
      <c r="A545" s="105" t="inlineStr">
        <is>
          <t>Segurança do Trabalho</t>
        </is>
      </c>
      <c r="B545" s="94">
        <f>INDEX(SETORES!$B:$B,MATCH(A545,SETORES!$A:$A,0))</f>
        <v/>
      </c>
      <c r="C545" s="105" t="inlineStr">
        <is>
          <t>Empresa Licenciada SOLON ARAUJO</t>
        </is>
      </c>
      <c r="D545" s="83">
        <f>IF(B545="Clientes",SUMIFS(PARÂMETROS!$D$8:$D$33,PARÂMETROS!$A$8:$A$33,C545,PARÂMETROS!$G$8:$G$33,J545),SUMIFS(PARÂMETROS!$E$8:$E$33,PARÂMETROS!$A$8:$A$33,C545,PARÂMETROS!$G$8:$G$33,J545))</f>
        <v/>
      </c>
      <c r="E545" s="107">
        <f>SUMIFS(SETORES!$D:$D,SETORES!$A:$A,A545,SETORES!$F:$F,J545)</f>
        <v/>
      </c>
      <c r="F545" s="107">
        <f>IFERROR(D545*E545,0)</f>
        <v/>
      </c>
      <c r="G545" s="83">
        <f>SUMIFS(PARÂMETROS!$F$8:$F$33,PARÂMETROS!$A$8:$A$33,C545,PARÂMETROS!$G$8:$G$33,J545)</f>
        <v/>
      </c>
      <c r="H545" s="107">
        <f>IFERROR(F545*G545,0)</f>
        <v/>
      </c>
      <c r="I545" s="107">
        <f>F545+H545</f>
        <v/>
      </c>
      <c r="J545" s="105" t="inlineStr">
        <is>
          <t>Julho/2026</t>
        </is>
      </c>
    </row>
    <row r="546" ht="14.25" customHeight="1" s="75">
      <c r="A546" s="90" t="inlineStr">
        <is>
          <t>Segurança do Trabalho</t>
        </is>
      </c>
      <c r="B546" s="90">
        <f>INDEX(SETORES!$B:$B,MATCH(A546,SETORES!$A:$A,0))</f>
        <v/>
      </c>
      <c r="C546" s="90" t="inlineStr">
        <is>
          <t>Empresa Licenciada SOARES E LINS</t>
        </is>
      </c>
      <c r="D546" s="88">
        <f>IF(B546="Clientes",SUMIFS(PARÂMETROS!$D$8:$D$33,PARÂMETROS!$A$8:$A$33,C546,PARÂMETROS!$G$8:$G$33,J546),SUMIFS(PARÂMETROS!$E$8:$E$33,PARÂMETROS!$A$8:$A$33,C546,PARÂMETROS!$G$8:$G$33,J546))</f>
        <v/>
      </c>
      <c r="E546" s="96">
        <f>SUMIFS(SETORES!$D:$D,SETORES!$A:$A,A546,SETORES!$F:$F,J546)</f>
        <v/>
      </c>
      <c r="F546" s="96">
        <f>IFERROR(D546*E546,0)</f>
        <v/>
      </c>
      <c r="G546" s="88">
        <f>SUMIFS(PARÂMETROS!$F$8:$F$33,PARÂMETROS!$A$8:$A$33,C546,PARÂMETROS!$G$8:$G$33,J546)</f>
        <v/>
      </c>
      <c r="H546" s="96">
        <f>IFERROR(F546*G546,0)</f>
        <v/>
      </c>
      <c r="I546" s="96">
        <f>F546+H546</f>
        <v/>
      </c>
      <c r="J546" s="90" t="inlineStr">
        <is>
          <t>Julho/2026</t>
        </is>
      </c>
    </row>
    <row r="547" hidden="1" ht="14.25" customHeight="1" s="75">
      <c r="A547" s="105" t="inlineStr">
        <is>
          <t>Segurança do Trabalho</t>
        </is>
      </c>
      <c r="B547" s="94">
        <f>INDEX(SETORES!$B:$B,MATCH(A547,SETORES!$A:$A,0))</f>
        <v/>
      </c>
      <c r="C547" s="105" t="inlineStr">
        <is>
          <t>Empresa Licenciada SOARES E SILVA</t>
        </is>
      </c>
      <c r="D547" s="83">
        <f>IF(B547="Clientes",SUMIFS(PARÂMETROS!$D$8:$D$33,PARÂMETROS!$A$8:$A$33,C547,PARÂMETROS!$G$8:$G$33,J547),SUMIFS(PARÂMETROS!$E$8:$E$33,PARÂMETROS!$A$8:$A$33,C547,PARÂMETROS!$G$8:$G$33,J547))</f>
        <v/>
      </c>
      <c r="E547" s="107">
        <f>SUMIFS(SETORES!$D:$D,SETORES!$A:$A,A547,SETORES!$F:$F,J547)</f>
        <v/>
      </c>
      <c r="F547" s="107">
        <f>IFERROR(D547*E547,0)</f>
        <v/>
      </c>
      <c r="G547" s="83">
        <f>SUMIFS(PARÂMETROS!$F$8:$F$33,PARÂMETROS!$A$8:$A$33,C547,PARÂMETROS!$G$8:$G$33,J547)</f>
        <v/>
      </c>
      <c r="H547" s="107">
        <f>IFERROR(F547*G547,0)</f>
        <v/>
      </c>
      <c r="I547" s="107">
        <f>F547+H547</f>
        <v/>
      </c>
      <c r="J547" s="105" t="inlineStr">
        <is>
          <t>Julho/2026</t>
        </is>
      </c>
    </row>
    <row r="548" hidden="1" ht="14.25" customHeight="1" s="75">
      <c r="A548" s="90" t="inlineStr">
        <is>
          <t>Segurança do Trabalho</t>
        </is>
      </c>
      <c r="B548" s="90">
        <f>INDEX(SETORES!$B:$B,MATCH(A548,SETORES!$A:$A,0))</f>
        <v/>
      </c>
      <c r="C548" s="90" t="inlineStr">
        <is>
          <t>Empresa Licenciada SOUZA E SILVA</t>
        </is>
      </c>
      <c r="D548" s="88">
        <f>IF(B548="Clientes",SUMIFS(PARÂMETROS!$D$8:$D$33,PARÂMETROS!$A$8:$A$33,C548,PARÂMETROS!$G$8:$G$33,J548),SUMIFS(PARÂMETROS!$E$8:$E$33,PARÂMETROS!$A$8:$A$33,C548,PARÂMETROS!$G$8:$G$33,J548))</f>
        <v/>
      </c>
      <c r="E548" s="96">
        <f>SUMIFS(SETORES!$D:$D,SETORES!$A:$A,A548,SETORES!$F:$F,J548)</f>
        <v/>
      </c>
      <c r="F548" s="96">
        <f>IFERROR(D548*E548,0)</f>
        <v/>
      </c>
      <c r="G548" s="88">
        <f>SUMIFS(PARÂMETROS!$F$8:$F$33,PARÂMETROS!$A$8:$A$33,C548,PARÂMETROS!$G$8:$G$33,J548)</f>
        <v/>
      </c>
      <c r="H548" s="96">
        <f>IFERROR(F548*G548,0)</f>
        <v/>
      </c>
      <c r="I548" s="96">
        <f>F548+H548</f>
        <v/>
      </c>
      <c r="J548" s="90" t="inlineStr">
        <is>
          <t>Julho/2026</t>
        </is>
      </c>
    </row>
    <row r="549" hidden="1" ht="14.25" customHeight="1" s="75">
      <c r="A549" s="105" t="inlineStr">
        <is>
          <t>Segurança do Trabalho</t>
        </is>
      </c>
      <c r="B549" s="94">
        <f>INDEX(SETORES!$B:$B,MATCH(A549,SETORES!$A:$A,0))</f>
        <v/>
      </c>
      <c r="C549" s="105" t="inlineStr">
        <is>
          <t>Empresa Licenciada VOICENET</t>
        </is>
      </c>
      <c r="D549" s="83">
        <f>IF(B549="Clientes",SUMIFS(PARÂMETROS!$D$8:$D$33,PARÂMETROS!$A$8:$A$33,C549,PARÂMETROS!$G$8:$G$33,J549),SUMIFS(PARÂMETROS!$E$8:$E$33,PARÂMETROS!$A$8:$A$33,C549,PARÂMETROS!$G$8:$G$33,J549))</f>
        <v/>
      </c>
      <c r="E549" s="107">
        <f>SUMIFS(SETORES!$D:$D,SETORES!$A:$A,A549,SETORES!$F:$F,J549)</f>
        <v/>
      </c>
      <c r="F549" s="107">
        <f>IFERROR(D549*E549,0)</f>
        <v/>
      </c>
      <c r="G549" s="83">
        <f>SUMIFS(PARÂMETROS!$F$8:$F$33,PARÂMETROS!$A$8:$A$33,C549,PARÂMETROS!$G$8:$G$33,J549)</f>
        <v/>
      </c>
      <c r="H549" s="107">
        <f>IFERROR(F549*G549,0)</f>
        <v/>
      </c>
      <c r="I549" s="107">
        <f>F549+H549</f>
        <v/>
      </c>
      <c r="J549" s="105" t="inlineStr">
        <is>
          <t>Julho/2026</t>
        </is>
      </c>
    </row>
    <row r="550" hidden="1" ht="14.25" customHeight="1" s="75">
      <c r="A550" s="90" t="inlineStr">
        <is>
          <t>Segurança do Trabalho</t>
        </is>
      </c>
      <c r="B550" s="90">
        <f>INDEX(SETORES!$B:$B,MATCH(A550,SETORES!$A:$A,0))</f>
        <v/>
      </c>
      <c r="C550" s="90" t="inlineStr">
        <is>
          <t>DTEL (uso próprio)</t>
        </is>
      </c>
      <c r="D550" s="88">
        <f>IF(B550="Clientes",SUMIFS(PARÂMETROS!$D$8:$D$33,PARÂMETROS!$A$8:$A$33,C550,PARÂMETROS!$G$8:$G$33,J550),SUMIFS(PARÂMETROS!$E$8:$E$33,PARÂMETROS!$A$8:$A$33,C550,PARÂMETROS!$G$8:$G$33,J550))</f>
        <v/>
      </c>
      <c r="E550" s="96">
        <f>SUMIFS(SETORES!$D:$D,SETORES!$A:$A,A550,SETORES!$F:$F,J550)</f>
        <v/>
      </c>
      <c r="F550" s="96">
        <f>IFERROR(D550*E550,0)</f>
        <v/>
      </c>
      <c r="G550" s="88">
        <f>SUMIFS(PARÂMETROS!$F$8:$F$33,PARÂMETROS!$A$8:$A$33,C550,PARÂMETROS!$G$8:$G$33,J550)</f>
        <v/>
      </c>
      <c r="H550" s="96">
        <f>IFERROR(F550*G550,0)</f>
        <v/>
      </c>
      <c r="I550" s="96">
        <f>F550+H550</f>
        <v/>
      </c>
      <c r="J550" s="90" t="inlineStr">
        <is>
          <t>Julho/2026</t>
        </is>
      </c>
    </row>
    <row r="551" hidden="1" ht="14.25" customHeight="1" s="75">
      <c r="A551" s="105" t="inlineStr">
        <is>
          <t>Engenharia</t>
        </is>
      </c>
      <c r="B551" s="94">
        <f>INDEX(SETORES!$B:$B,MATCH(A551,SETORES!$A:$A,0))</f>
        <v/>
      </c>
      <c r="C551" s="105" t="inlineStr">
        <is>
          <t>Empresa Licenciada DX2</t>
        </is>
      </c>
      <c r="D551" s="83">
        <f>IF(B551="Clientes",SUMIFS(PARÂMETROS!$D$8:$D$33,PARÂMETROS!$A$8:$A$33,C551,PARÂMETROS!$G$8:$G$33,J551),SUMIFS(PARÂMETROS!$E$8:$E$33,PARÂMETROS!$A$8:$A$33,C551,PARÂMETROS!$G$8:$G$33,J551))</f>
        <v/>
      </c>
      <c r="E551" s="107">
        <f>SUMIFS(SETORES!$D:$D,SETORES!$A:$A,A551,SETORES!$F:$F,J551)</f>
        <v/>
      </c>
      <c r="F551" s="107">
        <f>IFERROR(D551*E551,0)</f>
        <v/>
      </c>
      <c r="G551" s="83">
        <f>SUMIFS(PARÂMETROS!$F$8:$F$33,PARÂMETROS!$A$8:$A$33,C551,PARÂMETROS!$G$8:$G$33,J551)</f>
        <v/>
      </c>
      <c r="H551" s="107">
        <f>IFERROR(F551*G551,0)</f>
        <v/>
      </c>
      <c r="I551" s="107">
        <f>F551+H551</f>
        <v/>
      </c>
      <c r="J551" s="105" t="inlineStr">
        <is>
          <t>Julho/2026</t>
        </is>
      </c>
    </row>
    <row r="552" hidden="1" ht="14.25" customHeight="1" s="75">
      <c r="A552" s="90" t="inlineStr">
        <is>
          <t>Engenharia</t>
        </is>
      </c>
      <c r="B552" s="90">
        <f>INDEX(SETORES!$B:$B,MATCH(A552,SETORES!$A:$A,0))</f>
        <v/>
      </c>
      <c r="C552" s="90" t="inlineStr">
        <is>
          <t>Empresa Licenciada H&amp;A</t>
        </is>
      </c>
      <c r="D552" s="88">
        <f>IF(B552="Clientes",SUMIFS(PARÂMETROS!$D$8:$D$33,PARÂMETROS!$A$8:$A$33,C552,PARÂMETROS!$G$8:$G$33,J552),SUMIFS(PARÂMETROS!$E$8:$E$33,PARÂMETROS!$A$8:$A$33,C552,PARÂMETROS!$G$8:$G$33,J552))</f>
        <v/>
      </c>
      <c r="E552" s="96">
        <f>SUMIFS(SETORES!$D:$D,SETORES!$A:$A,A552,SETORES!$F:$F,J552)</f>
        <v/>
      </c>
      <c r="F552" s="96">
        <f>IFERROR(D552*E552,0)</f>
        <v/>
      </c>
      <c r="G552" s="88">
        <f>SUMIFS(PARÂMETROS!$F$8:$F$33,PARÂMETROS!$A$8:$A$33,C552,PARÂMETROS!$G$8:$G$33,J552)</f>
        <v/>
      </c>
      <c r="H552" s="96">
        <f>IFERROR(F552*G552,0)</f>
        <v/>
      </c>
      <c r="I552" s="96">
        <f>F552+H552</f>
        <v/>
      </c>
      <c r="J552" s="90" t="inlineStr">
        <is>
          <t>Julho/2026</t>
        </is>
      </c>
    </row>
    <row r="553" hidden="1" ht="14.25" customHeight="1" s="75">
      <c r="A553" s="105" t="inlineStr">
        <is>
          <t>Engenharia</t>
        </is>
      </c>
      <c r="B553" s="94">
        <f>INDEX(SETORES!$B:$B,MATCH(A553,SETORES!$A:$A,0))</f>
        <v/>
      </c>
      <c r="C553" s="105" t="inlineStr">
        <is>
          <t>Empresa Licenciada SOLON ARAUJO</t>
        </is>
      </c>
      <c r="D553" s="83">
        <f>IF(B553="Clientes",SUMIFS(PARÂMETROS!$D$8:$D$33,PARÂMETROS!$A$8:$A$33,C553,PARÂMETROS!$G$8:$G$33,J553),SUMIFS(PARÂMETROS!$E$8:$E$33,PARÂMETROS!$A$8:$A$33,C553,PARÂMETROS!$G$8:$G$33,J553))</f>
        <v/>
      </c>
      <c r="E553" s="107">
        <f>SUMIFS(SETORES!$D:$D,SETORES!$A:$A,A553,SETORES!$F:$F,J553)</f>
        <v/>
      </c>
      <c r="F553" s="107">
        <f>IFERROR(D553*E553,0)</f>
        <v/>
      </c>
      <c r="G553" s="83">
        <f>SUMIFS(PARÂMETROS!$F$8:$F$33,PARÂMETROS!$A$8:$A$33,C553,PARÂMETROS!$G$8:$G$33,J553)</f>
        <v/>
      </c>
      <c r="H553" s="107">
        <f>IFERROR(F553*G553,0)</f>
        <v/>
      </c>
      <c r="I553" s="107">
        <f>F553+H553</f>
        <v/>
      </c>
      <c r="J553" s="105" t="inlineStr">
        <is>
          <t>Julho/2026</t>
        </is>
      </c>
    </row>
    <row r="554" ht="14.25" customHeight="1" s="75">
      <c r="A554" s="90" t="inlineStr">
        <is>
          <t>Engenharia</t>
        </is>
      </c>
      <c r="B554" s="90">
        <f>INDEX(SETORES!$B:$B,MATCH(A554,SETORES!$A:$A,0))</f>
        <v/>
      </c>
      <c r="C554" s="90" t="inlineStr">
        <is>
          <t>Empresa Licenciada SOARES E LINS</t>
        </is>
      </c>
      <c r="D554" s="88">
        <f>IF(B554="Clientes",SUMIFS(PARÂMETROS!$D$8:$D$33,PARÂMETROS!$A$8:$A$33,C554,PARÂMETROS!$G$8:$G$33,J554),SUMIFS(PARÂMETROS!$E$8:$E$33,PARÂMETROS!$A$8:$A$33,C554,PARÂMETROS!$G$8:$G$33,J554))</f>
        <v/>
      </c>
      <c r="E554" s="96">
        <f>SUMIFS(SETORES!$D:$D,SETORES!$A:$A,A554,SETORES!$F:$F,J554)</f>
        <v/>
      </c>
      <c r="F554" s="96">
        <f>IFERROR(D554*E554,0)</f>
        <v/>
      </c>
      <c r="G554" s="88">
        <f>SUMIFS(PARÂMETROS!$F$8:$F$33,PARÂMETROS!$A$8:$A$33,C554,PARÂMETROS!$G$8:$G$33,J554)</f>
        <v/>
      </c>
      <c r="H554" s="96">
        <f>IFERROR(F554*G554,0)</f>
        <v/>
      </c>
      <c r="I554" s="96">
        <f>F554+H554</f>
        <v/>
      </c>
      <c r="J554" s="90" t="inlineStr">
        <is>
          <t>Julho/2026</t>
        </is>
      </c>
    </row>
    <row r="555" hidden="1" ht="14.25" customHeight="1" s="75">
      <c r="A555" s="105" t="inlineStr">
        <is>
          <t>Engenharia</t>
        </is>
      </c>
      <c r="B555" s="94">
        <f>INDEX(SETORES!$B:$B,MATCH(A555,SETORES!$A:$A,0))</f>
        <v/>
      </c>
      <c r="C555" s="105" t="inlineStr">
        <is>
          <t>Empresa Licenciada SOARES E SILVA</t>
        </is>
      </c>
      <c r="D555" s="83">
        <f>IF(B555="Clientes",SUMIFS(PARÂMETROS!$D$8:$D$33,PARÂMETROS!$A$8:$A$33,C555,PARÂMETROS!$G$8:$G$33,J555),SUMIFS(PARÂMETROS!$E$8:$E$33,PARÂMETROS!$A$8:$A$33,C555,PARÂMETROS!$G$8:$G$33,J555))</f>
        <v/>
      </c>
      <c r="E555" s="107">
        <f>SUMIFS(SETORES!$D:$D,SETORES!$A:$A,A555,SETORES!$F:$F,J555)</f>
        <v/>
      </c>
      <c r="F555" s="107">
        <f>IFERROR(D555*E555,0)</f>
        <v/>
      </c>
      <c r="G555" s="83">
        <f>SUMIFS(PARÂMETROS!$F$8:$F$33,PARÂMETROS!$A$8:$A$33,C555,PARÂMETROS!$G$8:$G$33,J555)</f>
        <v/>
      </c>
      <c r="H555" s="107">
        <f>IFERROR(F555*G555,0)</f>
        <v/>
      </c>
      <c r="I555" s="107">
        <f>F555+H555</f>
        <v/>
      </c>
      <c r="J555" s="105" t="inlineStr">
        <is>
          <t>Julho/2026</t>
        </is>
      </c>
    </row>
    <row r="556" hidden="1" ht="14.25" customHeight="1" s="75">
      <c r="A556" s="90" t="inlineStr">
        <is>
          <t>Engenharia</t>
        </is>
      </c>
      <c r="B556" s="90">
        <f>INDEX(SETORES!$B:$B,MATCH(A556,SETORES!$A:$A,0))</f>
        <v/>
      </c>
      <c r="C556" s="90" t="inlineStr">
        <is>
          <t>Empresa Licenciada SOUZA E SILVA</t>
        </is>
      </c>
      <c r="D556" s="88">
        <f>IF(B556="Clientes",SUMIFS(PARÂMETROS!$D$8:$D$33,PARÂMETROS!$A$8:$A$33,C556,PARÂMETROS!$G$8:$G$33,J556),SUMIFS(PARÂMETROS!$E$8:$E$33,PARÂMETROS!$A$8:$A$33,C556,PARÂMETROS!$G$8:$G$33,J556))</f>
        <v/>
      </c>
      <c r="E556" s="96">
        <f>SUMIFS(SETORES!$D:$D,SETORES!$A:$A,A556,SETORES!$F:$F,J556)</f>
        <v/>
      </c>
      <c r="F556" s="96">
        <f>IFERROR(D556*E556,0)</f>
        <v/>
      </c>
      <c r="G556" s="88">
        <f>SUMIFS(PARÂMETROS!$F$8:$F$33,PARÂMETROS!$A$8:$A$33,C556,PARÂMETROS!$G$8:$G$33,J556)</f>
        <v/>
      </c>
      <c r="H556" s="96">
        <f>IFERROR(F556*G556,0)</f>
        <v/>
      </c>
      <c r="I556" s="96">
        <f>F556+H556</f>
        <v/>
      </c>
      <c r="J556" s="90" t="inlineStr">
        <is>
          <t>Julho/2026</t>
        </is>
      </c>
    </row>
    <row r="557" hidden="1" ht="14.25" customHeight="1" s="75">
      <c r="A557" s="105" t="inlineStr">
        <is>
          <t>Engenharia</t>
        </is>
      </c>
      <c r="B557" s="94">
        <f>INDEX(SETORES!$B:$B,MATCH(A557,SETORES!$A:$A,0))</f>
        <v/>
      </c>
      <c r="C557" s="105" t="inlineStr">
        <is>
          <t>Empresa Licenciada VOICENET</t>
        </is>
      </c>
      <c r="D557" s="83">
        <f>IF(B557="Clientes",SUMIFS(PARÂMETROS!$D$8:$D$33,PARÂMETROS!$A$8:$A$33,C557,PARÂMETROS!$G$8:$G$33,J557),SUMIFS(PARÂMETROS!$E$8:$E$33,PARÂMETROS!$A$8:$A$33,C557,PARÂMETROS!$G$8:$G$33,J557))</f>
        <v/>
      </c>
      <c r="E557" s="107">
        <f>SUMIFS(SETORES!$D:$D,SETORES!$A:$A,A557,SETORES!$F:$F,J557)</f>
        <v/>
      </c>
      <c r="F557" s="107">
        <f>IFERROR(D557*E557,0)</f>
        <v/>
      </c>
      <c r="G557" s="83">
        <f>SUMIFS(PARÂMETROS!$F$8:$F$33,PARÂMETROS!$A$8:$A$33,C557,PARÂMETROS!$G$8:$G$33,J557)</f>
        <v/>
      </c>
      <c r="H557" s="107">
        <f>IFERROR(F557*G557,0)</f>
        <v/>
      </c>
      <c r="I557" s="107">
        <f>F557+H557</f>
        <v/>
      </c>
      <c r="J557" s="105" t="inlineStr">
        <is>
          <t>Julho/2026</t>
        </is>
      </c>
    </row>
    <row r="558" hidden="1" ht="14.25" customHeight="1" s="75">
      <c r="A558" s="90" t="inlineStr">
        <is>
          <t>Engenharia</t>
        </is>
      </c>
      <c r="B558" s="90">
        <f>INDEX(SETORES!$B:$B,MATCH(A558,SETORES!$A:$A,0))</f>
        <v/>
      </c>
      <c r="C558" s="90" t="inlineStr">
        <is>
          <t>DTEL (uso próprio)</t>
        </is>
      </c>
      <c r="D558" s="88">
        <f>IF(B558="Clientes",SUMIFS(PARÂMETROS!$D$8:$D$33,PARÂMETROS!$A$8:$A$33,C558,PARÂMETROS!$G$8:$G$33,J558),SUMIFS(PARÂMETROS!$E$8:$E$33,PARÂMETROS!$A$8:$A$33,C558,PARÂMETROS!$G$8:$G$33,J558))</f>
        <v/>
      </c>
      <c r="E558" s="96">
        <f>SUMIFS(SETORES!$D:$D,SETORES!$A:$A,A558,SETORES!$F:$F,J558)</f>
        <v/>
      </c>
      <c r="F558" s="96">
        <f>IFERROR(D558*E558,0)</f>
        <v/>
      </c>
      <c r="G558" s="88">
        <f>SUMIFS(PARÂMETROS!$F$8:$F$33,PARÂMETROS!$A$8:$A$33,C558,PARÂMETROS!$G$8:$G$33,J558)</f>
        <v/>
      </c>
      <c r="H558" s="96">
        <f>IFERROR(F558*G558,0)</f>
        <v/>
      </c>
      <c r="I558" s="96">
        <f>F558+H558</f>
        <v/>
      </c>
      <c r="J558" s="90" t="inlineStr">
        <is>
          <t>Julho/2026</t>
        </is>
      </c>
    </row>
    <row r="559" hidden="1" ht="14.25" customHeight="1" s="75">
      <c r="A559" s="105" t="inlineStr">
        <is>
          <t>Obras</t>
        </is>
      </c>
      <c r="B559" s="94">
        <f>INDEX(SETORES!$B:$B,MATCH(A559,SETORES!$A:$A,0))</f>
        <v/>
      </c>
      <c r="C559" s="105" t="inlineStr">
        <is>
          <t>Empresa Licenciada DX2</t>
        </is>
      </c>
      <c r="D559" s="83">
        <f>IF(B559="Clientes",SUMIFS(PARÂMETROS!$D$8:$D$33,PARÂMETROS!$A$8:$A$33,C559,PARÂMETROS!$G$8:$G$33,J559),SUMIFS(PARÂMETROS!$E$8:$E$33,PARÂMETROS!$A$8:$A$33,C559,PARÂMETROS!$G$8:$G$33,J559))</f>
        <v/>
      </c>
      <c r="E559" s="107">
        <f>SUMIFS(SETORES!$D:$D,SETORES!$A:$A,A559,SETORES!$F:$F,J559)</f>
        <v/>
      </c>
      <c r="F559" s="107">
        <f>IFERROR(D559*E559,0)</f>
        <v/>
      </c>
      <c r="G559" s="83">
        <f>SUMIFS(PARÂMETROS!$F$8:$F$33,PARÂMETROS!$A$8:$A$33,C559,PARÂMETROS!$G$8:$G$33,J559)</f>
        <v/>
      </c>
      <c r="H559" s="107">
        <f>IFERROR(F559*G559,0)</f>
        <v/>
      </c>
      <c r="I559" s="107">
        <f>F559+H559</f>
        <v/>
      </c>
      <c r="J559" s="105" t="inlineStr">
        <is>
          <t>Julho/2026</t>
        </is>
      </c>
    </row>
    <row r="560" hidden="1" ht="14.25" customHeight="1" s="75">
      <c r="A560" s="90" t="inlineStr">
        <is>
          <t>Obras</t>
        </is>
      </c>
      <c r="B560" s="90">
        <f>INDEX(SETORES!$B:$B,MATCH(A560,SETORES!$A:$A,0))</f>
        <v/>
      </c>
      <c r="C560" s="90" t="inlineStr">
        <is>
          <t>Empresa Licenciada H&amp;A</t>
        </is>
      </c>
      <c r="D560" s="88">
        <f>IF(B560="Clientes",SUMIFS(PARÂMETROS!$D$8:$D$33,PARÂMETROS!$A$8:$A$33,C560,PARÂMETROS!$G$8:$G$33,J560),SUMIFS(PARÂMETROS!$E$8:$E$33,PARÂMETROS!$A$8:$A$33,C560,PARÂMETROS!$G$8:$G$33,J560))</f>
        <v/>
      </c>
      <c r="E560" s="96">
        <f>SUMIFS(SETORES!$D:$D,SETORES!$A:$A,A560,SETORES!$F:$F,J560)</f>
        <v/>
      </c>
      <c r="F560" s="96">
        <f>IFERROR(D560*E560,0)</f>
        <v/>
      </c>
      <c r="G560" s="88">
        <f>SUMIFS(PARÂMETROS!$F$8:$F$33,PARÂMETROS!$A$8:$A$33,C560,PARÂMETROS!$G$8:$G$33,J560)</f>
        <v/>
      </c>
      <c r="H560" s="96">
        <f>IFERROR(F560*G560,0)</f>
        <v/>
      </c>
      <c r="I560" s="96">
        <f>F560+H560</f>
        <v/>
      </c>
      <c r="J560" s="90" t="inlineStr">
        <is>
          <t>Julho/2026</t>
        </is>
      </c>
    </row>
    <row r="561" hidden="1" ht="14.25" customHeight="1" s="75">
      <c r="A561" s="105" t="inlineStr">
        <is>
          <t>Obras</t>
        </is>
      </c>
      <c r="B561" s="94">
        <f>INDEX(SETORES!$B:$B,MATCH(A561,SETORES!$A:$A,0))</f>
        <v/>
      </c>
      <c r="C561" s="105" t="inlineStr">
        <is>
          <t>Empresa Licenciada SOLON ARAUJO</t>
        </is>
      </c>
      <c r="D561" s="83">
        <f>IF(B561="Clientes",SUMIFS(PARÂMETROS!$D$8:$D$33,PARÂMETROS!$A$8:$A$33,C561,PARÂMETROS!$G$8:$G$33,J561),SUMIFS(PARÂMETROS!$E$8:$E$33,PARÂMETROS!$A$8:$A$33,C561,PARÂMETROS!$G$8:$G$33,J561))</f>
        <v/>
      </c>
      <c r="E561" s="107">
        <f>SUMIFS(SETORES!$D:$D,SETORES!$A:$A,A561,SETORES!$F:$F,J561)</f>
        <v/>
      </c>
      <c r="F561" s="107">
        <f>IFERROR(D561*E561,0)</f>
        <v/>
      </c>
      <c r="G561" s="83">
        <f>SUMIFS(PARÂMETROS!$F$8:$F$33,PARÂMETROS!$A$8:$A$33,C561,PARÂMETROS!$G$8:$G$33,J561)</f>
        <v/>
      </c>
      <c r="H561" s="107">
        <f>IFERROR(F561*G561,0)</f>
        <v/>
      </c>
      <c r="I561" s="107">
        <f>F561+H561</f>
        <v/>
      </c>
      <c r="J561" s="105" t="inlineStr">
        <is>
          <t>Julho/2026</t>
        </is>
      </c>
    </row>
    <row r="562" ht="14.25" customHeight="1" s="75">
      <c r="A562" s="90" t="inlineStr">
        <is>
          <t>Obras</t>
        </is>
      </c>
      <c r="B562" s="90">
        <f>INDEX(SETORES!$B:$B,MATCH(A562,SETORES!$A:$A,0))</f>
        <v/>
      </c>
      <c r="C562" s="90" t="inlineStr">
        <is>
          <t>Empresa Licenciada SOARES E LINS</t>
        </is>
      </c>
      <c r="D562" s="88">
        <f>IF(B562="Clientes",SUMIFS(PARÂMETROS!$D$8:$D$33,PARÂMETROS!$A$8:$A$33,C562,PARÂMETROS!$G$8:$G$33,J562),SUMIFS(PARÂMETROS!$E$8:$E$33,PARÂMETROS!$A$8:$A$33,C562,PARÂMETROS!$G$8:$G$33,J562))</f>
        <v/>
      </c>
      <c r="E562" s="96">
        <f>SUMIFS(SETORES!$D:$D,SETORES!$A:$A,A562,SETORES!$F:$F,J562)</f>
        <v/>
      </c>
      <c r="F562" s="96">
        <f>IFERROR(D562*E562,0)</f>
        <v/>
      </c>
      <c r="G562" s="88">
        <f>SUMIFS(PARÂMETROS!$F$8:$F$33,PARÂMETROS!$A$8:$A$33,C562,PARÂMETROS!$G$8:$G$33,J562)</f>
        <v/>
      </c>
      <c r="H562" s="96">
        <f>IFERROR(F562*G562,0)</f>
        <v/>
      </c>
      <c r="I562" s="96">
        <f>F562+H562</f>
        <v/>
      </c>
      <c r="J562" s="90" t="inlineStr">
        <is>
          <t>Julho/2026</t>
        </is>
      </c>
    </row>
    <row r="563" hidden="1" ht="14.25" customHeight="1" s="75">
      <c r="A563" s="105" t="inlineStr">
        <is>
          <t>Obras</t>
        </is>
      </c>
      <c r="B563" s="94">
        <f>INDEX(SETORES!$B:$B,MATCH(A563,SETORES!$A:$A,0))</f>
        <v/>
      </c>
      <c r="C563" s="105" t="inlineStr">
        <is>
          <t>Empresa Licenciada SOARES E SILVA</t>
        </is>
      </c>
      <c r="D563" s="83">
        <f>IF(B563="Clientes",SUMIFS(PARÂMETROS!$D$8:$D$33,PARÂMETROS!$A$8:$A$33,C563,PARÂMETROS!$G$8:$G$33,J563),SUMIFS(PARÂMETROS!$E$8:$E$33,PARÂMETROS!$A$8:$A$33,C563,PARÂMETROS!$G$8:$G$33,J563))</f>
        <v/>
      </c>
      <c r="E563" s="107">
        <f>SUMIFS(SETORES!$D:$D,SETORES!$A:$A,A563,SETORES!$F:$F,J563)</f>
        <v/>
      </c>
      <c r="F563" s="107">
        <f>IFERROR(D563*E563,0)</f>
        <v/>
      </c>
      <c r="G563" s="83">
        <f>SUMIFS(PARÂMETROS!$F$8:$F$33,PARÂMETROS!$A$8:$A$33,C563,PARÂMETROS!$G$8:$G$33,J563)</f>
        <v/>
      </c>
      <c r="H563" s="107">
        <f>IFERROR(F563*G563,0)</f>
        <v/>
      </c>
      <c r="I563" s="107">
        <f>F563+H563</f>
        <v/>
      </c>
      <c r="J563" s="105" t="inlineStr">
        <is>
          <t>Julho/2026</t>
        </is>
      </c>
    </row>
    <row r="564" hidden="1" ht="14.25" customHeight="1" s="75">
      <c r="A564" s="90" t="inlineStr">
        <is>
          <t>Obras</t>
        </is>
      </c>
      <c r="B564" s="90">
        <f>INDEX(SETORES!$B:$B,MATCH(A564,SETORES!$A:$A,0))</f>
        <v/>
      </c>
      <c r="C564" s="90" t="inlineStr">
        <is>
          <t>Empresa Licenciada SOUZA E SILVA</t>
        </is>
      </c>
      <c r="D564" s="88">
        <f>IF(B564="Clientes",SUMIFS(PARÂMETROS!$D$8:$D$33,PARÂMETROS!$A$8:$A$33,C564,PARÂMETROS!$G$8:$G$33,J564),SUMIFS(PARÂMETROS!$E$8:$E$33,PARÂMETROS!$A$8:$A$33,C564,PARÂMETROS!$G$8:$G$33,J564))</f>
        <v/>
      </c>
      <c r="E564" s="96">
        <f>SUMIFS(SETORES!$D:$D,SETORES!$A:$A,A564,SETORES!$F:$F,J564)</f>
        <v/>
      </c>
      <c r="F564" s="96">
        <f>IFERROR(D564*E564,0)</f>
        <v/>
      </c>
      <c r="G564" s="88">
        <f>SUMIFS(PARÂMETROS!$F$8:$F$33,PARÂMETROS!$A$8:$A$33,C564,PARÂMETROS!$G$8:$G$33,J564)</f>
        <v/>
      </c>
      <c r="H564" s="96">
        <f>IFERROR(F564*G564,0)</f>
        <v/>
      </c>
      <c r="I564" s="96">
        <f>F564+H564</f>
        <v/>
      </c>
      <c r="J564" s="90" t="inlineStr">
        <is>
          <t>Julho/2026</t>
        </is>
      </c>
    </row>
    <row r="565" hidden="1" ht="14.25" customHeight="1" s="75">
      <c r="A565" s="105" t="inlineStr">
        <is>
          <t>Obras</t>
        </is>
      </c>
      <c r="B565" s="94">
        <f>INDEX(SETORES!$B:$B,MATCH(A565,SETORES!$A:$A,0))</f>
        <v/>
      </c>
      <c r="C565" s="105" t="inlineStr">
        <is>
          <t>Empresa Licenciada VOICENET</t>
        </is>
      </c>
      <c r="D565" s="83">
        <f>IF(B565="Clientes",SUMIFS(PARÂMETROS!$D$8:$D$33,PARÂMETROS!$A$8:$A$33,C565,PARÂMETROS!$G$8:$G$33,J565),SUMIFS(PARÂMETROS!$E$8:$E$33,PARÂMETROS!$A$8:$A$33,C565,PARÂMETROS!$G$8:$G$33,J565))</f>
        <v/>
      </c>
      <c r="E565" s="107">
        <f>SUMIFS(SETORES!$D:$D,SETORES!$A:$A,A565,SETORES!$F:$F,J565)</f>
        <v/>
      </c>
      <c r="F565" s="107">
        <f>IFERROR(D565*E565,0)</f>
        <v/>
      </c>
      <c r="G565" s="83">
        <f>SUMIFS(PARÂMETROS!$F$8:$F$33,PARÂMETROS!$A$8:$A$33,C565,PARÂMETROS!$G$8:$G$33,J565)</f>
        <v/>
      </c>
      <c r="H565" s="107">
        <f>IFERROR(F565*G565,0)</f>
        <v/>
      </c>
      <c r="I565" s="107">
        <f>F565+H565</f>
        <v/>
      </c>
      <c r="J565" s="105" t="inlineStr">
        <is>
          <t>Julho/2026</t>
        </is>
      </c>
    </row>
    <row r="566" hidden="1" ht="14.25" customHeight="1" s="75">
      <c r="A566" s="90" t="inlineStr">
        <is>
          <t>Obras</t>
        </is>
      </c>
      <c r="B566" s="90">
        <f>INDEX(SETORES!$B:$B,MATCH(A566,SETORES!$A:$A,0))</f>
        <v/>
      </c>
      <c r="C566" s="90" t="inlineStr">
        <is>
          <t>DTEL (uso próprio)</t>
        </is>
      </c>
      <c r="D566" s="88">
        <f>IF(B566="Clientes",SUMIFS(PARÂMETROS!$D$8:$D$33,PARÂMETROS!$A$8:$A$33,C566,PARÂMETROS!$G$8:$G$33,J566),SUMIFS(PARÂMETROS!$E$8:$E$33,PARÂMETROS!$A$8:$A$33,C566,PARÂMETROS!$G$8:$G$33,J566))</f>
        <v/>
      </c>
      <c r="E566" s="96">
        <f>SUMIFS(SETORES!$D:$D,SETORES!$A:$A,A566,SETORES!$F:$F,J566)</f>
        <v/>
      </c>
      <c r="F566" s="96">
        <f>IFERROR(D566*E566,0)</f>
        <v/>
      </c>
      <c r="G566" s="88">
        <f>SUMIFS(PARÂMETROS!$F$8:$F$33,PARÂMETROS!$A$8:$A$33,C566,PARÂMETROS!$G$8:$G$33,J566)</f>
        <v/>
      </c>
      <c r="H566" s="96">
        <f>IFERROR(F566*G566,0)</f>
        <v/>
      </c>
      <c r="I566" s="96">
        <f>F566+H566</f>
        <v/>
      </c>
      <c r="J566" s="90" t="inlineStr">
        <is>
          <t>Julho/2026</t>
        </is>
      </c>
    </row>
    <row r="567" hidden="1" ht="14.25" customHeight="1" s="75">
      <c r="A567" s="105" t="inlineStr">
        <is>
          <t>Manutenção Predial</t>
        </is>
      </c>
      <c r="B567" s="94">
        <f>INDEX(SETORES!$B:$B,MATCH(A567,SETORES!$A:$A,0))</f>
        <v/>
      </c>
      <c r="C567" s="105" t="inlineStr">
        <is>
          <t>Empresa Licenciada DX2</t>
        </is>
      </c>
      <c r="D567" s="83">
        <f>IF(B567="Clientes",SUMIFS(PARÂMETROS!$D$8:$D$33,PARÂMETROS!$A$8:$A$33,C567,PARÂMETROS!$G$8:$G$33,J567),SUMIFS(PARÂMETROS!$E$8:$E$33,PARÂMETROS!$A$8:$A$33,C567,PARÂMETROS!$G$8:$G$33,J567))</f>
        <v/>
      </c>
      <c r="E567" s="107">
        <f>SUMIFS(SETORES!$D:$D,SETORES!$A:$A,A567,SETORES!$F:$F,J567)</f>
        <v/>
      </c>
      <c r="F567" s="107">
        <f>IFERROR(D567*E567,0)</f>
        <v/>
      </c>
      <c r="G567" s="83">
        <f>SUMIFS(PARÂMETROS!$F$8:$F$33,PARÂMETROS!$A$8:$A$33,C567,PARÂMETROS!$G$8:$G$33,J567)</f>
        <v/>
      </c>
      <c r="H567" s="107">
        <f>IFERROR(F567*G567,0)</f>
        <v/>
      </c>
      <c r="I567" s="107">
        <f>F567+H567</f>
        <v/>
      </c>
      <c r="J567" s="105" t="inlineStr">
        <is>
          <t>Julho/2026</t>
        </is>
      </c>
    </row>
    <row r="568" hidden="1" ht="14.25" customHeight="1" s="75">
      <c r="A568" s="90" t="inlineStr">
        <is>
          <t>Manutenção Predial</t>
        </is>
      </c>
      <c r="B568" s="90">
        <f>INDEX(SETORES!$B:$B,MATCH(A568,SETORES!$A:$A,0))</f>
        <v/>
      </c>
      <c r="C568" s="90" t="inlineStr">
        <is>
          <t>Empresa Licenciada H&amp;A</t>
        </is>
      </c>
      <c r="D568" s="88">
        <f>IF(B568="Clientes",SUMIFS(PARÂMETROS!$D$8:$D$33,PARÂMETROS!$A$8:$A$33,C568,PARÂMETROS!$G$8:$G$33,J568),SUMIFS(PARÂMETROS!$E$8:$E$33,PARÂMETROS!$A$8:$A$33,C568,PARÂMETROS!$G$8:$G$33,J568))</f>
        <v/>
      </c>
      <c r="E568" s="96">
        <f>SUMIFS(SETORES!$D:$D,SETORES!$A:$A,A568,SETORES!$F:$F,J568)</f>
        <v/>
      </c>
      <c r="F568" s="96">
        <f>IFERROR(D568*E568,0)</f>
        <v/>
      </c>
      <c r="G568" s="88">
        <f>SUMIFS(PARÂMETROS!$F$8:$F$33,PARÂMETROS!$A$8:$A$33,C568,PARÂMETROS!$G$8:$G$33,J568)</f>
        <v/>
      </c>
      <c r="H568" s="96">
        <f>IFERROR(F568*G568,0)</f>
        <v/>
      </c>
      <c r="I568" s="96">
        <f>F568+H568</f>
        <v/>
      </c>
      <c r="J568" s="90" t="inlineStr">
        <is>
          <t>Julho/2026</t>
        </is>
      </c>
    </row>
    <row r="569" hidden="1" ht="14.25" customHeight="1" s="75">
      <c r="A569" s="105" t="inlineStr">
        <is>
          <t>Manutenção Predial</t>
        </is>
      </c>
      <c r="B569" s="94">
        <f>INDEX(SETORES!$B:$B,MATCH(A569,SETORES!$A:$A,0))</f>
        <v/>
      </c>
      <c r="C569" s="105" t="inlineStr">
        <is>
          <t>Empresa Licenciada SOLON ARAUJO</t>
        </is>
      </c>
      <c r="D569" s="83">
        <f>IF(B569="Clientes",SUMIFS(PARÂMETROS!$D$8:$D$33,PARÂMETROS!$A$8:$A$33,C569,PARÂMETROS!$G$8:$G$33,J569),SUMIFS(PARÂMETROS!$E$8:$E$33,PARÂMETROS!$A$8:$A$33,C569,PARÂMETROS!$G$8:$G$33,J569))</f>
        <v/>
      </c>
      <c r="E569" s="107">
        <f>SUMIFS(SETORES!$D:$D,SETORES!$A:$A,A569,SETORES!$F:$F,J569)</f>
        <v/>
      </c>
      <c r="F569" s="107">
        <f>IFERROR(D569*E569,0)</f>
        <v/>
      </c>
      <c r="G569" s="83">
        <f>SUMIFS(PARÂMETROS!$F$8:$F$33,PARÂMETROS!$A$8:$A$33,C569,PARÂMETROS!$G$8:$G$33,J569)</f>
        <v/>
      </c>
      <c r="H569" s="107">
        <f>IFERROR(F569*G569,0)</f>
        <v/>
      </c>
      <c r="I569" s="107">
        <f>F569+H569</f>
        <v/>
      </c>
      <c r="J569" s="105" t="inlineStr">
        <is>
          <t>Julho/2026</t>
        </is>
      </c>
    </row>
    <row r="570" ht="14.25" customHeight="1" s="75">
      <c r="A570" s="90" t="inlineStr">
        <is>
          <t>Manutenção Predial</t>
        </is>
      </c>
      <c r="B570" s="90">
        <f>INDEX(SETORES!$B:$B,MATCH(A570,SETORES!$A:$A,0))</f>
        <v/>
      </c>
      <c r="C570" s="90" t="inlineStr">
        <is>
          <t>Empresa Licenciada SOARES E LINS</t>
        </is>
      </c>
      <c r="D570" s="88">
        <f>IF(B570="Clientes",SUMIFS(PARÂMETROS!$D$8:$D$33,PARÂMETROS!$A$8:$A$33,C570,PARÂMETROS!$G$8:$G$33,J570),SUMIFS(PARÂMETROS!$E$8:$E$33,PARÂMETROS!$A$8:$A$33,C570,PARÂMETROS!$G$8:$G$33,J570))</f>
        <v/>
      </c>
      <c r="E570" s="96">
        <f>SUMIFS(SETORES!$D:$D,SETORES!$A:$A,A570,SETORES!$F:$F,J570)</f>
        <v/>
      </c>
      <c r="F570" s="96">
        <f>IFERROR(D570*E570,0)</f>
        <v/>
      </c>
      <c r="G570" s="88">
        <f>SUMIFS(PARÂMETROS!$F$8:$F$33,PARÂMETROS!$A$8:$A$33,C570,PARÂMETROS!$G$8:$G$33,J570)</f>
        <v/>
      </c>
      <c r="H570" s="96">
        <f>IFERROR(F570*G570,0)</f>
        <v/>
      </c>
      <c r="I570" s="96">
        <f>F570+H570</f>
        <v/>
      </c>
      <c r="J570" s="90" t="inlineStr">
        <is>
          <t>Julho/2026</t>
        </is>
      </c>
    </row>
    <row r="571" hidden="1" ht="14.25" customHeight="1" s="75">
      <c r="A571" s="105" t="inlineStr">
        <is>
          <t>Manutenção Predial</t>
        </is>
      </c>
      <c r="B571" s="94">
        <f>INDEX(SETORES!$B:$B,MATCH(A571,SETORES!$A:$A,0))</f>
        <v/>
      </c>
      <c r="C571" s="105" t="inlineStr">
        <is>
          <t>Empresa Licenciada SOARES E SILVA</t>
        </is>
      </c>
      <c r="D571" s="83">
        <f>IF(B571="Clientes",SUMIFS(PARÂMETROS!$D$8:$D$33,PARÂMETROS!$A$8:$A$33,C571,PARÂMETROS!$G$8:$G$33,J571),SUMIFS(PARÂMETROS!$E$8:$E$33,PARÂMETROS!$A$8:$A$33,C571,PARÂMETROS!$G$8:$G$33,J571))</f>
        <v/>
      </c>
      <c r="E571" s="107">
        <f>SUMIFS(SETORES!$D:$D,SETORES!$A:$A,A571,SETORES!$F:$F,J571)</f>
        <v/>
      </c>
      <c r="F571" s="107">
        <f>IFERROR(D571*E571,0)</f>
        <v/>
      </c>
      <c r="G571" s="83">
        <f>SUMIFS(PARÂMETROS!$F$8:$F$33,PARÂMETROS!$A$8:$A$33,C571,PARÂMETROS!$G$8:$G$33,J571)</f>
        <v/>
      </c>
      <c r="H571" s="107">
        <f>IFERROR(F571*G571,0)</f>
        <v/>
      </c>
      <c r="I571" s="107">
        <f>F571+H571</f>
        <v/>
      </c>
      <c r="J571" s="105" t="inlineStr">
        <is>
          <t>Julho/2026</t>
        </is>
      </c>
    </row>
    <row r="572" hidden="1" ht="14.25" customHeight="1" s="75">
      <c r="A572" s="90" t="inlineStr">
        <is>
          <t>Manutenção Predial</t>
        </is>
      </c>
      <c r="B572" s="90">
        <f>INDEX(SETORES!$B:$B,MATCH(A572,SETORES!$A:$A,0))</f>
        <v/>
      </c>
      <c r="C572" s="90" t="inlineStr">
        <is>
          <t>Empresa Licenciada SOUZA E SILVA</t>
        </is>
      </c>
      <c r="D572" s="88">
        <f>IF(B572="Clientes",SUMIFS(PARÂMETROS!$D$8:$D$33,PARÂMETROS!$A$8:$A$33,C572,PARÂMETROS!$G$8:$G$33,J572),SUMIFS(PARÂMETROS!$E$8:$E$33,PARÂMETROS!$A$8:$A$33,C572,PARÂMETROS!$G$8:$G$33,J572))</f>
        <v/>
      </c>
      <c r="E572" s="96">
        <f>SUMIFS(SETORES!$D:$D,SETORES!$A:$A,A572,SETORES!$F:$F,J572)</f>
        <v/>
      </c>
      <c r="F572" s="96">
        <f>IFERROR(D572*E572,0)</f>
        <v/>
      </c>
      <c r="G572" s="88">
        <f>SUMIFS(PARÂMETROS!$F$8:$F$33,PARÂMETROS!$A$8:$A$33,C572,PARÂMETROS!$G$8:$G$33,J572)</f>
        <v/>
      </c>
      <c r="H572" s="96">
        <f>IFERROR(F572*G572,0)</f>
        <v/>
      </c>
      <c r="I572" s="96">
        <f>F572+H572</f>
        <v/>
      </c>
      <c r="J572" s="90" t="inlineStr">
        <is>
          <t>Julho/2026</t>
        </is>
      </c>
    </row>
    <row r="573" hidden="1" ht="14.25" customHeight="1" s="75">
      <c r="A573" s="105" t="inlineStr">
        <is>
          <t>Manutenção Predial</t>
        </is>
      </c>
      <c r="B573" s="94">
        <f>INDEX(SETORES!$B:$B,MATCH(A573,SETORES!$A:$A,0))</f>
        <v/>
      </c>
      <c r="C573" s="105" t="inlineStr">
        <is>
          <t>Empresa Licenciada VOICENET</t>
        </is>
      </c>
      <c r="D573" s="83">
        <f>IF(B573="Clientes",SUMIFS(PARÂMETROS!$D$8:$D$33,PARÂMETROS!$A$8:$A$33,C573,PARÂMETROS!$G$8:$G$33,J573),SUMIFS(PARÂMETROS!$E$8:$E$33,PARÂMETROS!$A$8:$A$33,C573,PARÂMETROS!$G$8:$G$33,J573))</f>
        <v/>
      </c>
      <c r="E573" s="107">
        <f>SUMIFS(SETORES!$D:$D,SETORES!$A:$A,A573,SETORES!$F:$F,J573)</f>
        <v/>
      </c>
      <c r="F573" s="107">
        <f>IFERROR(D573*E573,0)</f>
        <v/>
      </c>
      <c r="G573" s="83">
        <f>SUMIFS(PARÂMETROS!$F$8:$F$33,PARÂMETROS!$A$8:$A$33,C573,PARÂMETROS!$G$8:$G$33,J573)</f>
        <v/>
      </c>
      <c r="H573" s="107">
        <f>IFERROR(F573*G573,0)</f>
        <v/>
      </c>
      <c r="I573" s="107">
        <f>F573+H573</f>
        <v/>
      </c>
      <c r="J573" s="105" t="inlineStr">
        <is>
          <t>Julho/2026</t>
        </is>
      </c>
    </row>
    <row r="574" hidden="1" ht="14.25" customHeight="1" s="75">
      <c r="A574" s="90" t="inlineStr">
        <is>
          <t>Manutenção Predial</t>
        </is>
      </c>
      <c r="B574" s="90">
        <f>INDEX(SETORES!$B:$B,MATCH(A574,SETORES!$A:$A,0))</f>
        <v/>
      </c>
      <c r="C574" s="90" t="inlineStr">
        <is>
          <t>DTEL (uso próprio)</t>
        </is>
      </c>
      <c r="D574" s="88">
        <f>IF(B574="Clientes",SUMIFS(PARÂMETROS!$D$8:$D$33,PARÂMETROS!$A$8:$A$33,C574,PARÂMETROS!$G$8:$G$33,J574),SUMIFS(PARÂMETROS!$E$8:$E$33,PARÂMETROS!$A$8:$A$33,C574,PARÂMETROS!$G$8:$G$33,J574))</f>
        <v/>
      </c>
      <c r="E574" s="96">
        <f>SUMIFS(SETORES!$D:$D,SETORES!$A:$A,A574,SETORES!$F:$F,J574)</f>
        <v/>
      </c>
      <c r="F574" s="96">
        <f>IFERROR(D574*E574,0)</f>
        <v/>
      </c>
      <c r="G574" s="88">
        <f>SUMIFS(PARÂMETROS!$F$8:$F$33,PARÂMETROS!$A$8:$A$33,C574,PARÂMETROS!$G$8:$G$33,J574)</f>
        <v/>
      </c>
      <c r="H574" s="96">
        <f>IFERROR(F574*G574,0)</f>
        <v/>
      </c>
      <c r="I574" s="96">
        <f>F574+H574</f>
        <v/>
      </c>
      <c r="J574" s="90" t="inlineStr">
        <is>
          <t>Julho/2026</t>
        </is>
      </c>
    </row>
    <row r="575" hidden="1" ht="14.25" customHeight="1" s="75">
      <c r="A575" s="105" t="inlineStr">
        <is>
          <t>Logística</t>
        </is>
      </c>
      <c r="B575" s="94">
        <f>INDEX(SETORES!$B:$B,MATCH(A575,SETORES!$A:$A,0))</f>
        <v/>
      </c>
      <c r="C575" s="105" t="inlineStr">
        <is>
          <t>Empresa Licenciada DX2</t>
        </is>
      </c>
      <c r="D575" s="83">
        <f>IF(B575="Clientes",SUMIFS(PARÂMETROS!$D$8:$D$33,PARÂMETROS!$A$8:$A$33,C575,PARÂMETROS!$G$8:$G$33,J575),SUMIFS(PARÂMETROS!$E$8:$E$33,PARÂMETROS!$A$8:$A$33,C575,PARÂMETROS!$G$8:$G$33,J575))</f>
        <v/>
      </c>
      <c r="E575" s="107">
        <f>SUMIFS(SETORES!$D:$D,SETORES!$A:$A,A575,SETORES!$F:$F,J575)</f>
        <v/>
      </c>
      <c r="F575" s="107">
        <f>IFERROR(D575*E575,0)</f>
        <v/>
      </c>
      <c r="G575" s="83">
        <f>SUMIFS(PARÂMETROS!$F$8:$F$33,PARÂMETROS!$A$8:$A$33,C575,PARÂMETROS!$G$8:$G$33,J575)</f>
        <v/>
      </c>
      <c r="H575" s="107">
        <f>IFERROR(F575*G575,0)</f>
        <v/>
      </c>
      <c r="I575" s="107">
        <f>F575+H575</f>
        <v/>
      </c>
      <c r="J575" s="105" t="inlineStr">
        <is>
          <t>Julho/2026</t>
        </is>
      </c>
    </row>
    <row r="576" hidden="1" ht="14.25" customHeight="1" s="75">
      <c r="A576" s="90" t="inlineStr">
        <is>
          <t>Logística</t>
        </is>
      </c>
      <c r="B576" s="90">
        <f>INDEX(SETORES!$B:$B,MATCH(A576,SETORES!$A:$A,0))</f>
        <v/>
      </c>
      <c r="C576" s="90" t="inlineStr">
        <is>
          <t>Empresa Licenciada H&amp;A</t>
        </is>
      </c>
      <c r="D576" s="88">
        <f>IF(B576="Clientes",SUMIFS(PARÂMETROS!$D$8:$D$33,PARÂMETROS!$A$8:$A$33,C576,PARÂMETROS!$G$8:$G$33,J576),SUMIFS(PARÂMETROS!$E$8:$E$33,PARÂMETROS!$A$8:$A$33,C576,PARÂMETROS!$G$8:$G$33,J576))</f>
        <v/>
      </c>
      <c r="E576" s="96">
        <f>SUMIFS(SETORES!$D:$D,SETORES!$A:$A,A576,SETORES!$F:$F,J576)</f>
        <v/>
      </c>
      <c r="F576" s="96">
        <f>IFERROR(D576*E576,0)</f>
        <v/>
      </c>
      <c r="G576" s="88">
        <f>SUMIFS(PARÂMETROS!$F$8:$F$33,PARÂMETROS!$A$8:$A$33,C576,PARÂMETROS!$G$8:$G$33,J576)</f>
        <v/>
      </c>
      <c r="H576" s="96">
        <f>IFERROR(F576*G576,0)</f>
        <v/>
      </c>
      <c r="I576" s="96">
        <f>F576+H576</f>
        <v/>
      </c>
      <c r="J576" s="90" t="inlineStr">
        <is>
          <t>Julho/2026</t>
        </is>
      </c>
    </row>
    <row r="577" hidden="1" ht="14.25" customHeight="1" s="75">
      <c r="A577" s="105" t="inlineStr">
        <is>
          <t>Logística</t>
        </is>
      </c>
      <c r="B577" s="94">
        <f>INDEX(SETORES!$B:$B,MATCH(A577,SETORES!$A:$A,0))</f>
        <v/>
      </c>
      <c r="C577" s="105" t="inlineStr">
        <is>
          <t>Empresa Licenciada SOLON ARAUJO</t>
        </is>
      </c>
      <c r="D577" s="83">
        <f>IF(B577="Clientes",SUMIFS(PARÂMETROS!$D$8:$D$33,PARÂMETROS!$A$8:$A$33,C577,PARÂMETROS!$G$8:$G$33,J577),SUMIFS(PARÂMETROS!$E$8:$E$33,PARÂMETROS!$A$8:$A$33,C577,PARÂMETROS!$G$8:$G$33,J577))</f>
        <v/>
      </c>
      <c r="E577" s="107">
        <f>SUMIFS(SETORES!$D:$D,SETORES!$A:$A,A577,SETORES!$F:$F,J577)</f>
        <v/>
      </c>
      <c r="F577" s="107">
        <f>IFERROR(D577*E577,0)</f>
        <v/>
      </c>
      <c r="G577" s="83">
        <f>SUMIFS(PARÂMETROS!$F$8:$F$33,PARÂMETROS!$A$8:$A$33,C577,PARÂMETROS!$G$8:$G$33,J577)</f>
        <v/>
      </c>
      <c r="H577" s="107">
        <f>IFERROR(F577*G577,0)</f>
        <v/>
      </c>
      <c r="I577" s="107">
        <f>F577+H577</f>
        <v/>
      </c>
      <c r="J577" s="105" t="inlineStr">
        <is>
          <t>Julho/2026</t>
        </is>
      </c>
    </row>
    <row r="578" ht="14.25" customHeight="1" s="75">
      <c r="A578" s="90" t="inlineStr">
        <is>
          <t>Logística</t>
        </is>
      </c>
      <c r="B578" s="90">
        <f>INDEX(SETORES!$B:$B,MATCH(A578,SETORES!$A:$A,0))</f>
        <v/>
      </c>
      <c r="C578" s="90" t="inlineStr">
        <is>
          <t>Empresa Licenciada SOARES E LINS</t>
        </is>
      </c>
      <c r="D578" s="88">
        <f>IF(B578="Clientes",SUMIFS(PARÂMETROS!$D$8:$D$33,PARÂMETROS!$A$8:$A$33,C578,PARÂMETROS!$G$8:$G$33,J578),SUMIFS(PARÂMETROS!$E$8:$E$33,PARÂMETROS!$A$8:$A$33,C578,PARÂMETROS!$G$8:$G$33,J578))</f>
        <v/>
      </c>
      <c r="E578" s="96">
        <f>SUMIFS(SETORES!$D:$D,SETORES!$A:$A,A578,SETORES!$F:$F,J578)</f>
        <v/>
      </c>
      <c r="F578" s="96">
        <f>IFERROR(D578*E578,0)</f>
        <v/>
      </c>
      <c r="G578" s="88">
        <f>SUMIFS(PARÂMETROS!$F$8:$F$33,PARÂMETROS!$A$8:$A$33,C578,PARÂMETROS!$G$8:$G$33,J578)</f>
        <v/>
      </c>
      <c r="H578" s="96">
        <f>IFERROR(F578*G578,0)</f>
        <v/>
      </c>
      <c r="I578" s="96">
        <f>F578+H578</f>
        <v/>
      </c>
      <c r="J578" s="90" t="inlineStr">
        <is>
          <t>Julho/2026</t>
        </is>
      </c>
    </row>
    <row r="579" hidden="1" ht="14.25" customHeight="1" s="75">
      <c r="A579" s="105" t="inlineStr">
        <is>
          <t>Logística</t>
        </is>
      </c>
      <c r="B579" s="94">
        <f>INDEX(SETORES!$B:$B,MATCH(A579,SETORES!$A:$A,0))</f>
        <v/>
      </c>
      <c r="C579" s="105" t="inlineStr">
        <is>
          <t>Empresa Licenciada SOARES E SILVA</t>
        </is>
      </c>
      <c r="D579" s="83">
        <f>IF(B579="Clientes",SUMIFS(PARÂMETROS!$D$8:$D$33,PARÂMETROS!$A$8:$A$33,C579,PARÂMETROS!$G$8:$G$33,J579),SUMIFS(PARÂMETROS!$E$8:$E$33,PARÂMETROS!$A$8:$A$33,C579,PARÂMETROS!$G$8:$G$33,J579))</f>
        <v/>
      </c>
      <c r="E579" s="107">
        <f>SUMIFS(SETORES!$D:$D,SETORES!$A:$A,A579,SETORES!$F:$F,J579)</f>
        <v/>
      </c>
      <c r="F579" s="107">
        <f>IFERROR(D579*E579,0)</f>
        <v/>
      </c>
      <c r="G579" s="83">
        <f>SUMIFS(PARÂMETROS!$F$8:$F$33,PARÂMETROS!$A$8:$A$33,C579,PARÂMETROS!$G$8:$G$33,J579)</f>
        <v/>
      </c>
      <c r="H579" s="107">
        <f>IFERROR(F579*G579,0)</f>
        <v/>
      </c>
      <c r="I579" s="107">
        <f>F579+H579</f>
        <v/>
      </c>
      <c r="J579" s="105" t="inlineStr">
        <is>
          <t>Julho/2026</t>
        </is>
      </c>
    </row>
    <row r="580" hidden="1" ht="14.25" customHeight="1" s="75">
      <c r="A580" s="90" t="inlineStr">
        <is>
          <t>Logística</t>
        </is>
      </c>
      <c r="B580" s="90">
        <f>INDEX(SETORES!$B:$B,MATCH(A580,SETORES!$A:$A,0))</f>
        <v/>
      </c>
      <c r="C580" s="90" t="inlineStr">
        <is>
          <t>Empresa Licenciada SOUZA E SILVA</t>
        </is>
      </c>
      <c r="D580" s="88">
        <f>IF(B580="Clientes",SUMIFS(PARÂMETROS!$D$8:$D$33,PARÂMETROS!$A$8:$A$33,C580,PARÂMETROS!$G$8:$G$33,J580),SUMIFS(PARÂMETROS!$E$8:$E$33,PARÂMETROS!$A$8:$A$33,C580,PARÂMETROS!$G$8:$G$33,J580))</f>
        <v/>
      </c>
      <c r="E580" s="96">
        <f>SUMIFS(SETORES!$D:$D,SETORES!$A:$A,A580,SETORES!$F:$F,J580)</f>
        <v/>
      </c>
      <c r="F580" s="96">
        <f>IFERROR(D580*E580,0)</f>
        <v/>
      </c>
      <c r="G580" s="88">
        <f>SUMIFS(PARÂMETROS!$F$8:$F$33,PARÂMETROS!$A$8:$A$33,C580,PARÂMETROS!$G$8:$G$33,J580)</f>
        <v/>
      </c>
      <c r="H580" s="96">
        <f>IFERROR(F580*G580,0)</f>
        <v/>
      </c>
      <c r="I580" s="96">
        <f>F580+H580</f>
        <v/>
      </c>
      <c r="J580" s="90" t="inlineStr">
        <is>
          <t>Julho/2026</t>
        </is>
      </c>
    </row>
    <row r="581" hidden="1" ht="14.25" customHeight="1" s="75">
      <c r="A581" s="105" t="inlineStr">
        <is>
          <t>Logística</t>
        </is>
      </c>
      <c r="B581" s="94">
        <f>INDEX(SETORES!$B:$B,MATCH(A581,SETORES!$A:$A,0))</f>
        <v/>
      </c>
      <c r="C581" s="105" t="inlineStr">
        <is>
          <t>Empresa Licenciada VOICENET</t>
        </is>
      </c>
      <c r="D581" s="83">
        <f>IF(B581="Clientes",SUMIFS(PARÂMETROS!$D$8:$D$33,PARÂMETROS!$A$8:$A$33,C581,PARÂMETROS!$G$8:$G$33,J581),SUMIFS(PARÂMETROS!$E$8:$E$33,PARÂMETROS!$A$8:$A$33,C581,PARÂMETROS!$G$8:$G$33,J581))</f>
        <v/>
      </c>
      <c r="E581" s="107">
        <f>SUMIFS(SETORES!$D:$D,SETORES!$A:$A,A581,SETORES!$F:$F,J581)</f>
        <v/>
      </c>
      <c r="F581" s="107">
        <f>IFERROR(D581*E581,0)</f>
        <v/>
      </c>
      <c r="G581" s="83">
        <f>SUMIFS(PARÂMETROS!$F$8:$F$33,PARÂMETROS!$A$8:$A$33,C581,PARÂMETROS!$G$8:$G$33,J581)</f>
        <v/>
      </c>
      <c r="H581" s="107">
        <f>IFERROR(F581*G581,0)</f>
        <v/>
      </c>
      <c r="I581" s="107">
        <f>F581+H581</f>
        <v/>
      </c>
      <c r="J581" s="105" t="inlineStr">
        <is>
          <t>Julho/2026</t>
        </is>
      </c>
    </row>
    <row r="582" hidden="1" ht="14.25" customHeight="1" s="75">
      <c r="A582" s="90" t="inlineStr">
        <is>
          <t>Logística</t>
        </is>
      </c>
      <c r="B582" s="90">
        <f>INDEX(SETORES!$B:$B,MATCH(A582,SETORES!$A:$A,0))</f>
        <v/>
      </c>
      <c r="C582" s="90" t="inlineStr">
        <is>
          <t>DTEL (uso próprio)</t>
        </is>
      </c>
      <c r="D582" s="88">
        <f>IF(B582="Clientes",SUMIFS(PARÂMETROS!$D$8:$D$33,PARÂMETROS!$A$8:$A$33,C582,PARÂMETROS!$G$8:$G$33,J582),SUMIFS(PARÂMETROS!$E$8:$E$33,PARÂMETROS!$A$8:$A$33,C582,PARÂMETROS!$G$8:$G$33,J582))</f>
        <v/>
      </c>
      <c r="E582" s="96">
        <f>SUMIFS(SETORES!$D:$D,SETORES!$A:$A,A582,SETORES!$F:$F,J582)</f>
        <v/>
      </c>
      <c r="F582" s="96">
        <f>IFERROR(D582*E582,0)</f>
        <v/>
      </c>
      <c r="G582" s="88">
        <f>SUMIFS(PARÂMETROS!$F$8:$F$33,PARÂMETROS!$A$8:$A$33,C582,PARÂMETROS!$G$8:$G$33,J582)</f>
        <v/>
      </c>
      <c r="H582" s="96">
        <f>IFERROR(F582*G582,0)</f>
        <v/>
      </c>
      <c r="I582" s="96">
        <f>F582+H582</f>
        <v/>
      </c>
      <c r="J582" s="90" t="inlineStr">
        <is>
          <t>Julho/2026</t>
        </is>
      </c>
    </row>
    <row r="583" hidden="1" ht="14.25" customHeight="1" s="75">
      <c r="A583" s="105" t="inlineStr">
        <is>
          <t>Oficina</t>
        </is>
      </c>
      <c r="B583" s="94">
        <f>INDEX(SETORES!$B:$B,MATCH(A583,SETORES!$A:$A,0))</f>
        <v/>
      </c>
      <c r="C583" s="105" t="inlineStr">
        <is>
          <t>Empresa Licenciada DX2</t>
        </is>
      </c>
      <c r="D583" s="83">
        <f>IF(B583="Clientes",SUMIFS(PARÂMETROS!$D$8:$D$33,PARÂMETROS!$A$8:$A$33,C583,PARÂMETROS!$G$8:$G$33,J583),SUMIFS(PARÂMETROS!$E$8:$E$33,PARÂMETROS!$A$8:$A$33,C583,PARÂMETROS!$G$8:$G$33,J583))</f>
        <v/>
      </c>
      <c r="E583" s="107">
        <f>SUMIFS(SETORES!$D:$D,SETORES!$A:$A,A583,SETORES!$F:$F,J583)</f>
        <v/>
      </c>
      <c r="F583" s="107">
        <f>IFERROR(D583*E583,0)</f>
        <v/>
      </c>
      <c r="G583" s="83">
        <f>SUMIFS(PARÂMETROS!$F$8:$F$33,PARÂMETROS!$A$8:$A$33,C583,PARÂMETROS!$G$8:$G$33,J583)</f>
        <v/>
      </c>
      <c r="H583" s="107">
        <f>IFERROR(F583*G583,0)</f>
        <v/>
      </c>
      <c r="I583" s="107">
        <f>F583+H583</f>
        <v/>
      </c>
      <c r="J583" s="105" t="inlineStr">
        <is>
          <t>Julho/2026</t>
        </is>
      </c>
    </row>
    <row r="584" hidden="1" ht="14.25" customHeight="1" s="75">
      <c r="A584" s="90" t="inlineStr">
        <is>
          <t>Oficina</t>
        </is>
      </c>
      <c r="B584" s="90">
        <f>INDEX(SETORES!$B:$B,MATCH(A584,SETORES!$A:$A,0))</f>
        <v/>
      </c>
      <c r="C584" s="90" t="inlineStr">
        <is>
          <t>Empresa Licenciada H&amp;A</t>
        </is>
      </c>
      <c r="D584" s="88">
        <f>IF(B584="Clientes",SUMIFS(PARÂMETROS!$D$8:$D$33,PARÂMETROS!$A$8:$A$33,C584,PARÂMETROS!$G$8:$G$33,J584),SUMIFS(PARÂMETROS!$E$8:$E$33,PARÂMETROS!$A$8:$A$33,C584,PARÂMETROS!$G$8:$G$33,J584))</f>
        <v/>
      </c>
      <c r="E584" s="96">
        <f>SUMIFS(SETORES!$D:$D,SETORES!$A:$A,A584,SETORES!$F:$F,J584)</f>
        <v/>
      </c>
      <c r="F584" s="96">
        <f>IFERROR(D584*E584,0)</f>
        <v/>
      </c>
      <c r="G584" s="88">
        <f>SUMIFS(PARÂMETROS!$F$8:$F$33,PARÂMETROS!$A$8:$A$33,C584,PARÂMETROS!$G$8:$G$33,J584)</f>
        <v/>
      </c>
      <c r="H584" s="96">
        <f>IFERROR(F584*G584,0)</f>
        <v/>
      </c>
      <c r="I584" s="96">
        <f>F584+H584</f>
        <v/>
      </c>
      <c r="J584" s="90" t="inlineStr">
        <is>
          <t>Julho/2026</t>
        </is>
      </c>
    </row>
    <row r="585" hidden="1" ht="14.25" customHeight="1" s="75">
      <c r="A585" s="105" t="inlineStr">
        <is>
          <t>Oficina</t>
        </is>
      </c>
      <c r="B585" s="94">
        <f>INDEX(SETORES!$B:$B,MATCH(A585,SETORES!$A:$A,0))</f>
        <v/>
      </c>
      <c r="C585" s="105" t="inlineStr">
        <is>
          <t>Empresa Licenciada SOLON ARAUJO</t>
        </is>
      </c>
      <c r="D585" s="83">
        <f>IF(B585="Clientes",SUMIFS(PARÂMETROS!$D$8:$D$33,PARÂMETROS!$A$8:$A$33,C585,PARÂMETROS!$G$8:$G$33,J585),SUMIFS(PARÂMETROS!$E$8:$E$33,PARÂMETROS!$A$8:$A$33,C585,PARÂMETROS!$G$8:$G$33,J585))</f>
        <v/>
      </c>
      <c r="E585" s="107">
        <f>SUMIFS(SETORES!$D:$D,SETORES!$A:$A,A585,SETORES!$F:$F,J585)</f>
        <v/>
      </c>
      <c r="F585" s="107">
        <f>IFERROR(D585*E585,0)</f>
        <v/>
      </c>
      <c r="G585" s="83">
        <f>SUMIFS(PARÂMETROS!$F$8:$F$33,PARÂMETROS!$A$8:$A$33,C585,PARÂMETROS!$G$8:$G$33,J585)</f>
        <v/>
      </c>
      <c r="H585" s="107">
        <f>IFERROR(F585*G585,0)</f>
        <v/>
      </c>
      <c r="I585" s="107">
        <f>F585+H585</f>
        <v/>
      </c>
      <c r="J585" s="105" t="inlineStr">
        <is>
          <t>Julho/2026</t>
        </is>
      </c>
    </row>
    <row r="586" ht="14.25" customHeight="1" s="75">
      <c r="A586" s="90" t="inlineStr">
        <is>
          <t>Oficina</t>
        </is>
      </c>
      <c r="B586" s="90">
        <f>INDEX(SETORES!$B:$B,MATCH(A586,SETORES!$A:$A,0))</f>
        <v/>
      </c>
      <c r="C586" s="90" t="inlineStr">
        <is>
          <t>Empresa Licenciada SOARES E LINS</t>
        </is>
      </c>
      <c r="D586" s="88">
        <f>IF(B586="Clientes",SUMIFS(PARÂMETROS!$D$8:$D$33,PARÂMETROS!$A$8:$A$33,C586,PARÂMETROS!$G$8:$G$33,J586),SUMIFS(PARÂMETROS!$E$8:$E$33,PARÂMETROS!$A$8:$A$33,C586,PARÂMETROS!$G$8:$G$33,J586))</f>
        <v/>
      </c>
      <c r="E586" s="96">
        <f>SUMIFS(SETORES!$D:$D,SETORES!$A:$A,A586,SETORES!$F:$F,J586)</f>
        <v/>
      </c>
      <c r="F586" s="96">
        <f>IFERROR(D586*E586,0)</f>
        <v/>
      </c>
      <c r="G586" s="88">
        <f>SUMIFS(PARÂMETROS!$F$8:$F$33,PARÂMETROS!$A$8:$A$33,C586,PARÂMETROS!$G$8:$G$33,J586)</f>
        <v/>
      </c>
      <c r="H586" s="96">
        <f>IFERROR(F586*G586,0)</f>
        <v/>
      </c>
      <c r="I586" s="96">
        <f>F586+H586</f>
        <v/>
      </c>
      <c r="J586" s="90" t="inlineStr">
        <is>
          <t>Julho/2026</t>
        </is>
      </c>
    </row>
    <row r="587" hidden="1" ht="14.25" customHeight="1" s="75">
      <c r="A587" s="105" t="inlineStr">
        <is>
          <t>Oficina</t>
        </is>
      </c>
      <c r="B587" s="94">
        <f>INDEX(SETORES!$B:$B,MATCH(A587,SETORES!$A:$A,0))</f>
        <v/>
      </c>
      <c r="C587" s="105" t="inlineStr">
        <is>
          <t>Empresa Licenciada SOARES E SILVA</t>
        </is>
      </c>
      <c r="D587" s="83">
        <f>IF(B587="Clientes",SUMIFS(PARÂMETROS!$D$8:$D$33,PARÂMETROS!$A$8:$A$33,C587,PARÂMETROS!$G$8:$G$33,J587),SUMIFS(PARÂMETROS!$E$8:$E$33,PARÂMETROS!$A$8:$A$33,C587,PARÂMETROS!$G$8:$G$33,J587))</f>
        <v/>
      </c>
      <c r="E587" s="107">
        <f>SUMIFS(SETORES!$D:$D,SETORES!$A:$A,A587,SETORES!$F:$F,J587)</f>
        <v/>
      </c>
      <c r="F587" s="107">
        <f>IFERROR(D587*E587,0)</f>
        <v/>
      </c>
      <c r="G587" s="83">
        <f>SUMIFS(PARÂMETROS!$F$8:$F$33,PARÂMETROS!$A$8:$A$33,C587,PARÂMETROS!$G$8:$G$33,J587)</f>
        <v/>
      </c>
      <c r="H587" s="107">
        <f>IFERROR(F587*G587,0)</f>
        <v/>
      </c>
      <c r="I587" s="107">
        <f>F587+H587</f>
        <v/>
      </c>
      <c r="J587" s="105" t="inlineStr">
        <is>
          <t>Julho/2026</t>
        </is>
      </c>
    </row>
    <row r="588" hidden="1" ht="14.25" customHeight="1" s="75">
      <c r="A588" s="90" t="inlineStr">
        <is>
          <t>Oficina</t>
        </is>
      </c>
      <c r="B588" s="90">
        <f>INDEX(SETORES!$B:$B,MATCH(A588,SETORES!$A:$A,0))</f>
        <v/>
      </c>
      <c r="C588" s="90" t="inlineStr">
        <is>
          <t>Empresa Licenciada SOUZA E SILVA</t>
        </is>
      </c>
      <c r="D588" s="88">
        <f>IF(B588="Clientes",SUMIFS(PARÂMETROS!$D$8:$D$33,PARÂMETROS!$A$8:$A$33,C588,PARÂMETROS!$G$8:$G$33,J588),SUMIFS(PARÂMETROS!$E$8:$E$33,PARÂMETROS!$A$8:$A$33,C588,PARÂMETROS!$G$8:$G$33,J588))</f>
        <v/>
      </c>
      <c r="E588" s="96">
        <f>SUMIFS(SETORES!$D:$D,SETORES!$A:$A,A588,SETORES!$F:$F,J588)</f>
        <v/>
      </c>
      <c r="F588" s="96">
        <f>IFERROR(D588*E588,0)</f>
        <v/>
      </c>
      <c r="G588" s="88">
        <f>SUMIFS(PARÂMETROS!$F$8:$F$33,PARÂMETROS!$A$8:$A$33,C588,PARÂMETROS!$G$8:$G$33,J588)</f>
        <v/>
      </c>
      <c r="H588" s="96">
        <f>IFERROR(F588*G588,0)</f>
        <v/>
      </c>
      <c r="I588" s="96">
        <f>F588+H588</f>
        <v/>
      </c>
      <c r="J588" s="90" t="inlineStr">
        <is>
          <t>Julho/2026</t>
        </is>
      </c>
    </row>
    <row r="589" hidden="1" ht="14.25" customHeight="1" s="75">
      <c r="A589" s="105" t="inlineStr">
        <is>
          <t>Oficina</t>
        </is>
      </c>
      <c r="B589" s="94">
        <f>INDEX(SETORES!$B:$B,MATCH(A589,SETORES!$A:$A,0))</f>
        <v/>
      </c>
      <c r="C589" s="105" t="inlineStr">
        <is>
          <t>Empresa Licenciada VOICENET</t>
        </is>
      </c>
      <c r="D589" s="83">
        <f>IF(B589="Clientes",SUMIFS(PARÂMETROS!$D$8:$D$33,PARÂMETROS!$A$8:$A$33,C589,PARÂMETROS!$G$8:$G$33,J589),SUMIFS(PARÂMETROS!$E$8:$E$33,PARÂMETROS!$A$8:$A$33,C589,PARÂMETROS!$G$8:$G$33,J589))</f>
        <v/>
      </c>
      <c r="E589" s="107">
        <f>SUMIFS(SETORES!$D:$D,SETORES!$A:$A,A589,SETORES!$F:$F,J589)</f>
        <v/>
      </c>
      <c r="F589" s="107">
        <f>IFERROR(D589*E589,0)</f>
        <v/>
      </c>
      <c r="G589" s="83">
        <f>SUMIFS(PARÂMETROS!$F$8:$F$33,PARÂMETROS!$A$8:$A$33,C589,PARÂMETROS!$G$8:$G$33,J589)</f>
        <v/>
      </c>
      <c r="H589" s="107">
        <f>IFERROR(F589*G589,0)</f>
        <v/>
      </c>
      <c r="I589" s="107">
        <f>F589+H589</f>
        <v/>
      </c>
      <c r="J589" s="105" t="inlineStr">
        <is>
          <t>Julho/2026</t>
        </is>
      </c>
    </row>
    <row r="590" hidden="1" ht="14.25" customHeight="1" s="75">
      <c r="A590" s="90" t="inlineStr">
        <is>
          <t>Oficina</t>
        </is>
      </c>
      <c r="B590" s="90">
        <f>INDEX(SETORES!$B:$B,MATCH(A590,SETORES!$A:$A,0))</f>
        <v/>
      </c>
      <c r="C590" s="90" t="inlineStr">
        <is>
          <t>DTEL (uso próprio)</t>
        </is>
      </c>
      <c r="D590" s="88">
        <f>IF(B590="Clientes",SUMIFS(PARÂMETROS!$D$8:$D$33,PARÂMETROS!$A$8:$A$33,C590,PARÂMETROS!$G$8:$G$33,J590),SUMIFS(PARÂMETROS!$E$8:$E$33,PARÂMETROS!$A$8:$A$33,C590,PARÂMETROS!$G$8:$G$33,J590))</f>
        <v/>
      </c>
      <c r="E590" s="96">
        <f>SUMIFS(SETORES!$D:$D,SETORES!$A:$A,A590,SETORES!$F:$F,J590)</f>
        <v/>
      </c>
      <c r="F590" s="96">
        <f>IFERROR(D590*E590,0)</f>
        <v/>
      </c>
      <c r="G590" s="88">
        <f>SUMIFS(PARÂMETROS!$F$8:$F$33,PARÂMETROS!$A$8:$A$33,C590,PARÂMETROS!$G$8:$G$33,J590)</f>
        <v/>
      </c>
      <c r="H590" s="96">
        <f>IFERROR(F590*G590,0)</f>
        <v/>
      </c>
      <c r="I590" s="96">
        <f>F590+H590</f>
        <v/>
      </c>
      <c r="J590" s="90" t="inlineStr">
        <is>
          <t>Julho/2026</t>
        </is>
      </c>
    </row>
    <row r="591" hidden="1" ht="14.25" customHeight="1" s="75">
      <c r="A591" s="105" t="inlineStr">
        <is>
          <t>Estoque</t>
        </is>
      </c>
      <c r="B591" s="94">
        <f>INDEX(SETORES!$B:$B,MATCH(A591,SETORES!$A:$A,0))</f>
        <v/>
      </c>
      <c r="C591" s="105" t="inlineStr">
        <is>
          <t>Empresa Licenciada DX2</t>
        </is>
      </c>
      <c r="D591" s="83">
        <f>IF(B591="Clientes",SUMIFS(PARÂMETROS!$D$8:$D$33,PARÂMETROS!$A$8:$A$33,C591,PARÂMETROS!$G$8:$G$33,J591),SUMIFS(PARÂMETROS!$E$8:$E$33,PARÂMETROS!$A$8:$A$33,C591,PARÂMETROS!$G$8:$G$33,J591))</f>
        <v/>
      </c>
      <c r="E591" s="107">
        <f>SUMIFS(SETORES!$D:$D,SETORES!$A:$A,A591,SETORES!$F:$F,J591)</f>
        <v/>
      </c>
      <c r="F591" s="107">
        <f>IFERROR(D591*E591,0)</f>
        <v/>
      </c>
      <c r="G591" s="83">
        <f>SUMIFS(PARÂMETROS!$F$8:$F$33,PARÂMETROS!$A$8:$A$33,C591,PARÂMETROS!$G$8:$G$33,J591)</f>
        <v/>
      </c>
      <c r="H591" s="107">
        <f>IFERROR(F591*G591,0)</f>
        <v/>
      </c>
      <c r="I591" s="107">
        <f>F591+H591</f>
        <v/>
      </c>
      <c r="J591" s="105" t="inlineStr">
        <is>
          <t>Julho/2026</t>
        </is>
      </c>
    </row>
    <row r="592" hidden="1" ht="14.25" customHeight="1" s="75">
      <c r="A592" s="90" t="inlineStr">
        <is>
          <t>Estoque</t>
        </is>
      </c>
      <c r="B592" s="90">
        <f>INDEX(SETORES!$B:$B,MATCH(A592,SETORES!$A:$A,0))</f>
        <v/>
      </c>
      <c r="C592" s="90" t="inlineStr">
        <is>
          <t>Empresa Licenciada H&amp;A</t>
        </is>
      </c>
      <c r="D592" s="88">
        <f>IF(B592="Clientes",SUMIFS(PARÂMETROS!$D$8:$D$33,PARÂMETROS!$A$8:$A$33,C592,PARÂMETROS!$G$8:$G$33,J592),SUMIFS(PARÂMETROS!$E$8:$E$33,PARÂMETROS!$A$8:$A$33,C592,PARÂMETROS!$G$8:$G$33,J592))</f>
        <v/>
      </c>
      <c r="E592" s="96">
        <f>SUMIFS(SETORES!$D:$D,SETORES!$A:$A,A592,SETORES!$F:$F,J592)</f>
        <v/>
      </c>
      <c r="F592" s="96">
        <f>IFERROR(D592*E592,0)</f>
        <v/>
      </c>
      <c r="G592" s="88">
        <f>SUMIFS(PARÂMETROS!$F$8:$F$33,PARÂMETROS!$A$8:$A$33,C592,PARÂMETROS!$G$8:$G$33,J592)</f>
        <v/>
      </c>
      <c r="H592" s="96">
        <f>IFERROR(F592*G592,0)</f>
        <v/>
      </c>
      <c r="I592" s="96">
        <f>F592+H592</f>
        <v/>
      </c>
      <c r="J592" s="90" t="inlineStr">
        <is>
          <t>Julho/2026</t>
        </is>
      </c>
    </row>
    <row r="593" hidden="1" ht="14.25" customHeight="1" s="75">
      <c r="A593" s="105" t="inlineStr">
        <is>
          <t>Estoque</t>
        </is>
      </c>
      <c r="B593" s="94">
        <f>INDEX(SETORES!$B:$B,MATCH(A593,SETORES!$A:$A,0))</f>
        <v/>
      </c>
      <c r="C593" s="105" t="inlineStr">
        <is>
          <t>Empresa Licenciada SOLON ARAUJO</t>
        </is>
      </c>
      <c r="D593" s="83">
        <f>IF(B593="Clientes",SUMIFS(PARÂMETROS!$D$8:$D$33,PARÂMETROS!$A$8:$A$33,C593,PARÂMETROS!$G$8:$G$33,J593),SUMIFS(PARÂMETROS!$E$8:$E$33,PARÂMETROS!$A$8:$A$33,C593,PARÂMETROS!$G$8:$G$33,J593))</f>
        <v/>
      </c>
      <c r="E593" s="107">
        <f>SUMIFS(SETORES!$D:$D,SETORES!$A:$A,A593,SETORES!$F:$F,J593)</f>
        <v/>
      </c>
      <c r="F593" s="107">
        <f>IFERROR(D593*E593,0)</f>
        <v/>
      </c>
      <c r="G593" s="83">
        <f>SUMIFS(PARÂMETROS!$F$8:$F$33,PARÂMETROS!$A$8:$A$33,C593,PARÂMETROS!$G$8:$G$33,J593)</f>
        <v/>
      </c>
      <c r="H593" s="107">
        <f>IFERROR(F593*G593,0)</f>
        <v/>
      </c>
      <c r="I593" s="107">
        <f>F593+H593</f>
        <v/>
      </c>
      <c r="J593" s="105" t="inlineStr">
        <is>
          <t>Julho/2026</t>
        </is>
      </c>
    </row>
    <row r="594" ht="14.25" customHeight="1" s="75">
      <c r="A594" s="90" t="inlineStr">
        <is>
          <t>Estoque</t>
        </is>
      </c>
      <c r="B594" s="90">
        <f>INDEX(SETORES!$B:$B,MATCH(A594,SETORES!$A:$A,0))</f>
        <v/>
      </c>
      <c r="C594" s="90" t="inlineStr">
        <is>
          <t>Empresa Licenciada SOARES E LINS</t>
        </is>
      </c>
      <c r="D594" s="88">
        <f>IF(B594="Clientes",SUMIFS(PARÂMETROS!$D$8:$D$33,PARÂMETROS!$A$8:$A$33,C594,PARÂMETROS!$G$8:$G$33,J594),SUMIFS(PARÂMETROS!$E$8:$E$33,PARÂMETROS!$A$8:$A$33,C594,PARÂMETROS!$G$8:$G$33,J594))</f>
        <v/>
      </c>
      <c r="E594" s="96">
        <f>SUMIFS(SETORES!$D:$D,SETORES!$A:$A,A594,SETORES!$F:$F,J594)</f>
        <v/>
      </c>
      <c r="F594" s="96">
        <f>IFERROR(D594*E594,0)</f>
        <v/>
      </c>
      <c r="G594" s="88">
        <f>SUMIFS(PARÂMETROS!$F$8:$F$33,PARÂMETROS!$A$8:$A$33,C594,PARÂMETROS!$G$8:$G$33,J594)</f>
        <v/>
      </c>
      <c r="H594" s="96">
        <f>IFERROR(F594*G594,0)</f>
        <v/>
      </c>
      <c r="I594" s="96">
        <f>F594+H594</f>
        <v/>
      </c>
      <c r="J594" s="90" t="inlineStr">
        <is>
          <t>Julho/2026</t>
        </is>
      </c>
    </row>
    <row r="595" hidden="1" ht="14.25" customHeight="1" s="75">
      <c r="A595" s="105" t="inlineStr">
        <is>
          <t>Estoque</t>
        </is>
      </c>
      <c r="B595" s="94">
        <f>INDEX(SETORES!$B:$B,MATCH(A595,SETORES!$A:$A,0))</f>
        <v/>
      </c>
      <c r="C595" s="105" t="inlineStr">
        <is>
          <t>Empresa Licenciada SOARES E SILVA</t>
        </is>
      </c>
      <c r="D595" s="83">
        <f>IF(B595="Clientes",SUMIFS(PARÂMETROS!$D$8:$D$33,PARÂMETROS!$A$8:$A$33,C595,PARÂMETROS!$G$8:$G$33,J595),SUMIFS(PARÂMETROS!$E$8:$E$33,PARÂMETROS!$A$8:$A$33,C595,PARÂMETROS!$G$8:$G$33,J595))</f>
        <v/>
      </c>
      <c r="E595" s="107">
        <f>SUMIFS(SETORES!$D:$D,SETORES!$A:$A,A595,SETORES!$F:$F,J595)</f>
        <v/>
      </c>
      <c r="F595" s="107">
        <f>IFERROR(D595*E595,0)</f>
        <v/>
      </c>
      <c r="G595" s="83">
        <f>SUMIFS(PARÂMETROS!$F$8:$F$33,PARÂMETROS!$A$8:$A$33,C595,PARÂMETROS!$G$8:$G$33,J595)</f>
        <v/>
      </c>
      <c r="H595" s="107">
        <f>IFERROR(F595*G595,0)</f>
        <v/>
      </c>
      <c r="I595" s="107">
        <f>F595+H595</f>
        <v/>
      </c>
      <c r="J595" s="105" t="inlineStr">
        <is>
          <t>Julho/2026</t>
        </is>
      </c>
    </row>
    <row r="596" hidden="1" ht="14.25" customHeight="1" s="75">
      <c r="A596" s="90" t="inlineStr">
        <is>
          <t>Estoque</t>
        </is>
      </c>
      <c r="B596" s="90">
        <f>INDEX(SETORES!$B:$B,MATCH(A596,SETORES!$A:$A,0))</f>
        <v/>
      </c>
      <c r="C596" s="90" t="inlineStr">
        <is>
          <t>Empresa Licenciada SOUZA E SILVA</t>
        </is>
      </c>
      <c r="D596" s="88">
        <f>IF(B596="Clientes",SUMIFS(PARÂMETROS!$D$8:$D$33,PARÂMETROS!$A$8:$A$33,C596,PARÂMETROS!$G$8:$G$33,J596),SUMIFS(PARÂMETROS!$E$8:$E$33,PARÂMETROS!$A$8:$A$33,C596,PARÂMETROS!$G$8:$G$33,J596))</f>
        <v/>
      </c>
      <c r="E596" s="96">
        <f>SUMIFS(SETORES!$D:$D,SETORES!$A:$A,A596,SETORES!$F:$F,J596)</f>
        <v/>
      </c>
      <c r="F596" s="96">
        <f>IFERROR(D596*E596,0)</f>
        <v/>
      </c>
      <c r="G596" s="88">
        <f>SUMIFS(PARÂMETROS!$F$8:$F$33,PARÂMETROS!$A$8:$A$33,C596,PARÂMETROS!$G$8:$G$33,J596)</f>
        <v/>
      </c>
      <c r="H596" s="96">
        <f>IFERROR(F596*G596,0)</f>
        <v/>
      </c>
      <c r="I596" s="96">
        <f>F596+H596</f>
        <v/>
      </c>
      <c r="J596" s="90" t="inlineStr">
        <is>
          <t>Julho/2026</t>
        </is>
      </c>
    </row>
    <row r="597" hidden="1" ht="14.25" customHeight="1" s="75">
      <c r="A597" s="105" t="inlineStr">
        <is>
          <t>Estoque</t>
        </is>
      </c>
      <c r="B597" s="94">
        <f>INDEX(SETORES!$B:$B,MATCH(A597,SETORES!$A:$A,0))</f>
        <v/>
      </c>
      <c r="C597" s="105" t="inlineStr">
        <is>
          <t>Empresa Licenciada VOICENET</t>
        </is>
      </c>
      <c r="D597" s="83">
        <f>IF(B597="Clientes",SUMIFS(PARÂMETROS!$D$8:$D$33,PARÂMETROS!$A$8:$A$33,C597,PARÂMETROS!$G$8:$G$33,J597),SUMIFS(PARÂMETROS!$E$8:$E$33,PARÂMETROS!$A$8:$A$33,C597,PARÂMETROS!$G$8:$G$33,J597))</f>
        <v/>
      </c>
      <c r="E597" s="107">
        <f>SUMIFS(SETORES!$D:$D,SETORES!$A:$A,A597,SETORES!$F:$F,J597)</f>
        <v/>
      </c>
      <c r="F597" s="107">
        <f>IFERROR(D597*E597,0)</f>
        <v/>
      </c>
      <c r="G597" s="83">
        <f>SUMIFS(PARÂMETROS!$F$8:$F$33,PARÂMETROS!$A$8:$A$33,C597,PARÂMETROS!$G$8:$G$33,J597)</f>
        <v/>
      </c>
      <c r="H597" s="107">
        <f>IFERROR(F597*G597,0)</f>
        <v/>
      </c>
      <c r="I597" s="107">
        <f>F597+H597</f>
        <v/>
      </c>
      <c r="J597" s="105" t="inlineStr">
        <is>
          <t>Julho/2026</t>
        </is>
      </c>
    </row>
    <row r="598" hidden="1" ht="14.25" customHeight="1" s="75">
      <c r="A598" s="90" t="inlineStr">
        <is>
          <t>Estoque</t>
        </is>
      </c>
      <c r="B598" s="90">
        <f>INDEX(SETORES!$B:$B,MATCH(A598,SETORES!$A:$A,0))</f>
        <v/>
      </c>
      <c r="C598" s="90" t="inlineStr">
        <is>
          <t>DTEL (uso próprio)</t>
        </is>
      </c>
      <c r="D598" s="88">
        <f>IF(B598="Clientes",SUMIFS(PARÂMETROS!$D$8:$D$33,PARÂMETROS!$A$8:$A$33,C598,PARÂMETROS!$G$8:$G$33,J598),SUMIFS(PARÂMETROS!$E$8:$E$33,PARÂMETROS!$A$8:$A$33,C598,PARÂMETROS!$G$8:$G$33,J598))</f>
        <v/>
      </c>
      <c r="E598" s="96">
        <f>SUMIFS(SETORES!$D:$D,SETORES!$A:$A,A598,SETORES!$F:$F,J598)</f>
        <v/>
      </c>
      <c r="F598" s="96">
        <f>IFERROR(D598*E598,0)</f>
        <v/>
      </c>
      <c r="G598" s="88">
        <f>SUMIFS(PARÂMETROS!$F$8:$F$33,PARÂMETROS!$A$8:$A$33,C598,PARÂMETROS!$G$8:$G$33,J598)</f>
        <v/>
      </c>
      <c r="H598" s="96">
        <f>IFERROR(F598*G598,0)</f>
        <v/>
      </c>
      <c r="I598" s="96">
        <f>F598+H598</f>
        <v/>
      </c>
      <c r="J598" s="90" t="inlineStr">
        <is>
          <t>Julho/2026</t>
        </is>
      </c>
    </row>
    <row r="599" hidden="1" ht="14.25" customHeight="1" s="75">
      <c r="A599" s="105" t="inlineStr">
        <is>
          <t>Televendas</t>
        </is>
      </c>
      <c r="B599" s="94">
        <f>INDEX(SETORES!$B:$B,MATCH(A599,SETORES!$A:$A,0))</f>
        <v/>
      </c>
      <c r="C599" s="105" t="inlineStr">
        <is>
          <t>Empresa Licenciada DX2</t>
        </is>
      </c>
      <c r="D599" s="83">
        <f>IF(B599="Clientes",SUMIFS(PARÂMETROS!$D$8:$D$33,PARÂMETROS!$A$8:$A$33,C599,PARÂMETROS!$G$8:$G$33,J599),SUMIFS(PARÂMETROS!$E$8:$E$33,PARÂMETROS!$A$8:$A$33,C599,PARÂMETROS!$G$8:$G$33,J599))</f>
        <v/>
      </c>
      <c r="E599" s="107">
        <f>SUMIFS(SETORES!$D:$D,SETORES!$A:$A,A599,SETORES!$F:$F,J599)</f>
        <v/>
      </c>
      <c r="F599" s="107">
        <f>IFERROR(D599*E599,0)</f>
        <v/>
      </c>
      <c r="G599" s="83">
        <f>SUMIFS(PARÂMETROS!$F$8:$F$33,PARÂMETROS!$A$8:$A$33,C599,PARÂMETROS!$G$8:$G$33,J599)</f>
        <v/>
      </c>
      <c r="H599" s="107">
        <f>IFERROR(F599*G599,0)</f>
        <v/>
      </c>
      <c r="I599" s="107">
        <f>F599+H599</f>
        <v/>
      </c>
      <c r="J599" s="105" t="inlineStr">
        <is>
          <t>Julho/2026</t>
        </is>
      </c>
    </row>
    <row r="600" hidden="1" ht="14.25" customHeight="1" s="75">
      <c r="A600" s="90" t="inlineStr">
        <is>
          <t>Televendas</t>
        </is>
      </c>
      <c r="B600" s="90">
        <f>INDEX(SETORES!$B:$B,MATCH(A600,SETORES!$A:$A,0))</f>
        <v/>
      </c>
      <c r="C600" s="90" t="inlineStr">
        <is>
          <t>Empresa Licenciada H&amp;A</t>
        </is>
      </c>
      <c r="D600" s="88">
        <f>IF(B600="Clientes",SUMIFS(PARÂMETROS!$D$8:$D$33,PARÂMETROS!$A$8:$A$33,C600,PARÂMETROS!$G$8:$G$33,J600),SUMIFS(PARÂMETROS!$E$8:$E$33,PARÂMETROS!$A$8:$A$33,C600,PARÂMETROS!$G$8:$G$33,J600))</f>
        <v/>
      </c>
      <c r="E600" s="96">
        <f>SUMIFS(SETORES!$D:$D,SETORES!$A:$A,A600,SETORES!$F:$F,J600)</f>
        <v/>
      </c>
      <c r="F600" s="96">
        <f>IFERROR(D600*E600,0)</f>
        <v/>
      </c>
      <c r="G600" s="88">
        <f>SUMIFS(PARÂMETROS!$F$8:$F$33,PARÂMETROS!$A$8:$A$33,C600,PARÂMETROS!$G$8:$G$33,J600)</f>
        <v/>
      </c>
      <c r="H600" s="96">
        <f>IFERROR(F600*G600,0)</f>
        <v/>
      </c>
      <c r="I600" s="96">
        <f>F600+H600</f>
        <v/>
      </c>
      <c r="J600" s="90" t="inlineStr">
        <is>
          <t>Julho/2026</t>
        </is>
      </c>
    </row>
    <row r="601" hidden="1" ht="14.25" customHeight="1" s="75">
      <c r="A601" s="105" t="inlineStr">
        <is>
          <t>Televendas</t>
        </is>
      </c>
      <c r="B601" s="94">
        <f>INDEX(SETORES!$B:$B,MATCH(A601,SETORES!$A:$A,0))</f>
        <v/>
      </c>
      <c r="C601" s="105" t="inlineStr">
        <is>
          <t>Empresa Licenciada SOLON ARAUJO</t>
        </is>
      </c>
      <c r="D601" s="83">
        <f>IF(B601="Clientes",SUMIFS(PARÂMETROS!$D$8:$D$33,PARÂMETROS!$A$8:$A$33,C601,PARÂMETROS!$G$8:$G$33,J601),SUMIFS(PARÂMETROS!$E$8:$E$33,PARÂMETROS!$A$8:$A$33,C601,PARÂMETROS!$G$8:$G$33,J601))</f>
        <v/>
      </c>
      <c r="E601" s="107">
        <f>SUMIFS(SETORES!$D:$D,SETORES!$A:$A,A601,SETORES!$F:$F,J601)</f>
        <v/>
      </c>
      <c r="F601" s="107">
        <f>IFERROR(D601*E601,0)</f>
        <v/>
      </c>
      <c r="G601" s="83">
        <f>SUMIFS(PARÂMETROS!$F$8:$F$33,PARÂMETROS!$A$8:$A$33,C601,PARÂMETROS!$G$8:$G$33,J601)</f>
        <v/>
      </c>
      <c r="H601" s="107">
        <f>IFERROR(F601*G601,0)</f>
        <v/>
      </c>
      <c r="I601" s="107">
        <f>F601+H601</f>
        <v/>
      </c>
      <c r="J601" s="105" t="inlineStr">
        <is>
          <t>Julho/2026</t>
        </is>
      </c>
    </row>
    <row r="602" ht="14.25" customHeight="1" s="75">
      <c r="A602" s="90" t="inlineStr">
        <is>
          <t>Televendas</t>
        </is>
      </c>
      <c r="B602" s="90">
        <f>INDEX(SETORES!$B:$B,MATCH(A602,SETORES!$A:$A,0))</f>
        <v/>
      </c>
      <c r="C602" s="90" t="inlineStr">
        <is>
          <t>Empresa Licenciada SOARES E LINS</t>
        </is>
      </c>
      <c r="D602" s="88">
        <f>IF(B602="Clientes",SUMIFS(PARÂMETROS!$D$8:$D$33,PARÂMETROS!$A$8:$A$33,C602,PARÂMETROS!$G$8:$G$33,J602),SUMIFS(PARÂMETROS!$E$8:$E$33,PARÂMETROS!$A$8:$A$33,C602,PARÂMETROS!$G$8:$G$33,J602))</f>
        <v/>
      </c>
      <c r="E602" s="96">
        <f>SUMIFS(SETORES!$D:$D,SETORES!$A:$A,A602,SETORES!$F:$F,J602)</f>
        <v/>
      </c>
      <c r="F602" s="96">
        <f>IFERROR(D602*E602,0)</f>
        <v/>
      </c>
      <c r="G602" s="88">
        <f>SUMIFS(PARÂMETROS!$F$8:$F$33,PARÂMETROS!$A$8:$A$33,C602,PARÂMETROS!$G$8:$G$33,J602)</f>
        <v/>
      </c>
      <c r="H602" s="96">
        <f>IFERROR(F602*G602,0)</f>
        <v/>
      </c>
      <c r="I602" s="96">
        <f>F602+H602</f>
        <v/>
      </c>
      <c r="J602" s="90" t="inlineStr">
        <is>
          <t>Julho/2026</t>
        </is>
      </c>
    </row>
    <row r="603" hidden="1" ht="14.25" customHeight="1" s="75">
      <c r="A603" s="105" t="inlineStr">
        <is>
          <t>Televendas</t>
        </is>
      </c>
      <c r="B603" s="94">
        <f>INDEX(SETORES!$B:$B,MATCH(A603,SETORES!$A:$A,0))</f>
        <v/>
      </c>
      <c r="C603" s="105" t="inlineStr">
        <is>
          <t>Empresa Licenciada SOARES E SILVA</t>
        </is>
      </c>
      <c r="D603" s="83">
        <f>IF(B603="Clientes",SUMIFS(PARÂMETROS!$D$8:$D$33,PARÂMETROS!$A$8:$A$33,C603,PARÂMETROS!$G$8:$G$33,J603),SUMIFS(PARÂMETROS!$E$8:$E$33,PARÂMETROS!$A$8:$A$33,C603,PARÂMETROS!$G$8:$G$33,J603))</f>
        <v/>
      </c>
      <c r="E603" s="107">
        <f>SUMIFS(SETORES!$D:$D,SETORES!$A:$A,A603,SETORES!$F:$F,J603)</f>
        <v/>
      </c>
      <c r="F603" s="107">
        <f>IFERROR(D603*E603,0)</f>
        <v/>
      </c>
      <c r="G603" s="83">
        <f>SUMIFS(PARÂMETROS!$F$8:$F$33,PARÂMETROS!$A$8:$A$33,C603,PARÂMETROS!$G$8:$G$33,J603)</f>
        <v/>
      </c>
      <c r="H603" s="107">
        <f>IFERROR(F603*G603,0)</f>
        <v/>
      </c>
      <c r="I603" s="107">
        <f>F603+H603</f>
        <v/>
      </c>
      <c r="J603" s="105" t="inlineStr">
        <is>
          <t>Julho/2026</t>
        </is>
      </c>
    </row>
    <row r="604" hidden="1" ht="14.25" customHeight="1" s="75">
      <c r="A604" s="90" t="inlineStr">
        <is>
          <t>Televendas</t>
        </is>
      </c>
      <c r="B604" s="90">
        <f>INDEX(SETORES!$B:$B,MATCH(A604,SETORES!$A:$A,0))</f>
        <v/>
      </c>
      <c r="C604" s="90" t="inlineStr">
        <is>
          <t>Empresa Licenciada SOUZA E SILVA</t>
        </is>
      </c>
      <c r="D604" s="88">
        <f>IF(B604="Clientes",SUMIFS(PARÂMETROS!$D$8:$D$33,PARÂMETROS!$A$8:$A$33,C604,PARÂMETROS!$G$8:$G$33,J604),SUMIFS(PARÂMETROS!$E$8:$E$33,PARÂMETROS!$A$8:$A$33,C604,PARÂMETROS!$G$8:$G$33,J604))</f>
        <v/>
      </c>
      <c r="E604" s="96">
        <f>SUMIFS(SETORES!$D:$D,SETORES!$A:$A,A604,SETORES!$F:$F,J604)</f>
        <v/>
      </c>
      <c r="F604" s="96">
        <f>IFERROR(D604*E604,0)</f>
        <v/>
      </c>
      <c r="G604" s="88">
        <f>SUMIFS(PARÂMETROS!$F$8:$F$33,PARÂMETROS!$A$8:$A$33,C604,PARÂMETROS!$G$8:$G$33,J604)</f>
        <v/>
      </c>
      <c r="H604" s="96">
        <f>IFERROR(F604*G604,0)</f>
        <v/>
      </c>
      <c r="I604" s="96">
        <f>F604+H604</f>
        <v/>
      </c>
      <c r="J604" s="90" t="inlineStr">
        <is>
          <t>Julho/2026</t>
        </is>
      </c>
    </row>
    <row r="605" hidden="1" ht="14.25" customHeight="1" s="75">
      <c r="A605" s="105" t="inlineStr">
        <is>
          <t>Televendas</t>
        </is>
      </c>
      <c r="B605" s="94">
        <f>INDEX(SETORES!$B:$B,MATCH(A605,SETORES!$A:$A,0))</f>
        <v/>
      </c>
      <c r="C605" s="105" t="inlineStr">
        <is>
          <t>Empresa Licenciada VOICENET</t>
        </is>
      </c>
      <c r="D605" s="83">
        <f>IF(B605="Clientes",SUMIFS(PARÂMETROS!$D$8:$D$33,PARÂMETROS!$A$8:$A$33,C605,PARÂMETROS!$G$8:$G$33,J605),SUMIFS(PARÂMETROS!$E$8:$E$33,PARÂMETROS!$A$8:$A$33,C605,PARÂMETROS!$G$8:$G$33,J605))</f>
        <v/>
      </c>
      <c r="E605" s="107">
        <f>SUMIFS(SETORES!$D:$D,SETORES!$A:$A,A605,SETORES!$F:$F,J605)</f>
        <v/>
      </c>
      <c r="F605" s="107">
        <f>IFERROR(D605*E605,0)</f>
        <v/>
      </c>
      <c r="G605" s="83">
        <f>SUMIFS(PARÂMETROS!$F$8:$F$33,PARÂMETROS!$A$8:$A$33,C605,PARÂMETROS!$G$8:$G$33,J605)</f>
        <v/>
      </c>
      <c r="H605" s="107">
        <f>IFERROR(F605*G605,0)</f>
        <v/>
      </c>
      <c r="I605" s="107">
        <f>F605+H605</f>
        <v/>
      </c>
      <c r="J605" s="105" t="inlineStr">
        <is>
          <t>Julho/2026</t>
        </is>
      </c>
    </row>
    <row r="606" hidden="1" ht="14.25" customHeight="1" s="75">
      <c r="A606" s="90" t="inlineStr">
        <is>
          <t>Televendas</t>
        </is>
      </c>
      <c r="B606" s="90">
        <f>INDEX(SETORES!$B:$B,MATCH(A606,SETORES!$A:$A,0))</f>
        <v/>
      </c>
      <c r="C606" s="90" t="inlineStr">
        <is>
          <t>DTEL (uso próprio)</t>
        </is>
      </c>
      <c r="D606" s="88">
        <f>IF(B606="Clientes",SUMIFS(PARÂMETROS!$D$8:$D$33,PARÂMETROS!$A$8:$A$33,C606,PARÂMETROS!$G$8:$G$33,J606),SUMIFS(PARÂMETROS!$E$8:$E$33,PARÂMETROS!$A$8:$A$33,C606,PARÂMETROS!$G$8:$G$33,J606))</f>
        <v/>
      </c>
      <c r="E606" s="96">
        <f>SUMIFS(SETORES!$D:$D,SETORES!$A:$A,A606,SETORES!$F:$F,J606)</f>
        <v/>
      </c>
      <c r="F606" s="96">
        <f>IFERROR(D606*E606,0)</f>
        <v/>
      </c>
      <c r="G606" s="88">
        <f>SUMIFS(PARÂMETROS!$F$8:$F$33,PARÂMETROS!$A$8:$A$33,C606,PARÂMETROS!$G$8:$G$33,J606)</f>
        <v/>
      </c>
      <c r="H606" s="96">
        <f>IFERROR(F606*G606,0)</f>
        <v/>
      </c>
      <c r="I606" s="96">
        <f>F606+H606</f>
        <v/>
      </c>
      <c r="J606" s="90" t="inlineStr">
        <is>
          <t>Julho/2026</t>
        </is>
      </c>
    </row>
    <row r="607" hidden="1" ht="14.25" customHeight="1" s="75">
      <c r="A607" s="105" t="inlineStr">
        <is>
          <t>Suporte Orbix</t>
        </is>
      </c>
      <c r="B607" s="94">
        <f>INDEX(SETORES!$B:$B,MATCH(A607,SETORES!$A:$A,0))</f>
        <v/>
      </c>
      <c r="C607" s="105" t="inlineStr">
        <is>
          <t>Empresa Licenciada DX2</t>
        </is>
      </c>
      <c r="D607" s="83">
        <f>IF(B607="Clientes",SUMIFS(PARÂMETROS!$D$8:$D$33,PARÂMETROS!$A$8:$A$33,C607,PARÂMETROS!$G$8:$G$33,J607),SUMIFS(PARÂMETROS!$E$8:$E$33,PARÂMETROS!$A$8:$A$33,C607,PARÂMETROS!$G$8:$G$33,J607))</f>
        <v/>
      </c>
      <c r="E607" s="107">
        <f>SUMIFS(SETORES!$D:$D,SETORES!$A:$A,A607,SETORES!$F:$F,J607)</f>
        <v/>
      </c>
      <c r="F607" s="107">
        <f>IFERROR(D607*E607,0)</f>
        <v/>
      </c>
      <c r="G607" s="83">
        <f>SUMIFS(PARÂMETROS!$F$8:$F$33,PARÂMETROS!$A$8:$A$33,C607,PARÂMETROS!$G$8:$G$33,J607)</f>
        <v/>
      </c>
      <c r="H607" s="107">
        <f>IFERROR(F607*G607,0)</f>
        <v/>
      </c>
      <c r="I607" s="107">
        <f>F607+H607</f>
        <v/>
      </c>
      <c r="J607" s="105" t="inlineStr">
        <is>
          <t>Julho/2026</t>
        </is>
      </c>
    </row>
    <row r="608" hidden="1" ht="14.25" customHeight="1" s="75">
      <c r="A608" s="90" t="inlineStr">
        <is>
          <t>Suporte Orbix</t>
        </is>
      </c>
      <c r="B608" s="90">
        <f>INDEX(SETORES!$B:$B,MATCH(A608,SETORES!$A:$A,0))</f>
        <v/>
      </c>
      <c r="C608" s="90" t="inlineStr">
        <is>
          <t>Empresa Licenciada H&amp;A</t>
        </is>
      </c>
      <c r="D608" s="88">
        <f>IF(B608="Clientes",SUMIFS(PARÂMETROS!$D$8:$D$33,PARÂMETROS!$A$8:$A$33,C608,PARÂMETROS!$G$8:$G$33,J608),SUMIFS(PARÂMETROS!$E$8:$E$33,PARÂMETROS!$A$8:$A$33,C608,PARÂMETROS!$G$8:$G$33,J608))</f>
        <v/>
      </c>
      <c r="E608" s="96">
        <f>SUMIFS(SETORES!$D:$D,SETORES!$A:$A,A608,SETORES!$F:$F,J608)</f>
        <v/>
      </c>
      <c r="F608" s="96">
        <f>IFERROR(D608*E608,0)</f>
        <v/>
      </c>
      <c r="G608" s="88">
        <f>SUMIFS(PARÂMETROS!$F$8:$F$33,PARÂMETROS!$A$8:$A$33,C608,PARÂMETROS!$G$8:$G$33,J608)</f>
        <v/>
      </c>
      <c r="H608" s="96">
        <f>IFERROR(F608*G608,0)</f>
        <v/>
      </c>
      <c r="I608" s="96">
        <f>F608+H608</f>
        <v/>
      </c>
      <c r="J608" s="90" t="inlineStr">
        <is>
          <t>Julho/2026</t>
        </is>
      </c>
    </row>
    <row r="609" hidden="1" ht="14.25" customHeight="1" s="75">
      <c r="A609" s="105" t="inlineStr">
        <is>
          <t>Suporte Orbix</t>
        </is>
      </c>
      <c r="B609" s="94">
        <f>INDEX(SETORES!$B:$B,MATCH(A609,SETORES!$A:$A,0))</f>
        <v/>
      </c>
      <c r="C609" s="105" t="inlineStr">
        <is>
          <t>Empresa Licenciada SOLON ARAUJO</t>
        </is>
      </c>
      <c r="D609" s="83">
        <f>IF(B609="Clientes",SUMIFS(PARÂMETROS!$D$8:$D$33,PARÂMETROS!$A$8:$A$33,C609,PARÂMETROS!$G$8:$G$33,J609),SUMIFS(PARÂMETROS!$E$8:$E$33,PARÂMETROS!$A$8:$A$33,C609,PARÂMETROS!$G$8:$G$33,J609))</f>
        <v/>
      </c>
      <c r="E609" s="107">
        <f>SUMIFS(SETORES!$D:$D,SETORES!$A:$A,A609,SETORES!$F:$F,J609)</f>
        <v/>
      </c>
      <c r="F609" s="107">
        <f>IFERROR(D609*E609,0)</f>
        <v/>
      </c>
      <c r="G609" s="83">
        <f>SUMIFS(PARÂMETROS!$F$8:$F$33,PARÂMETROS!$A$8:$A$33,C609,PARÂMETROS!$G$8:$G$33,J609)</f>
        <v/>
      </c>
      <c r="H609" s="107">
        <f>IFERROR(F609*G609,0)</f>
        <v/>
      </c>
      <c r="I609" s="107">
        <f>F609+H609</f>
        <v/>
      </c>
      <c r="J609" s="105" t="inlineStr">
        <is>
          <t>Julho/2026</t>
        </is>
      </c>
    </row>
    <row r="610" ht="14.25" customHeight="1" s="75">
      <c r="A610" s="90" t="inlineStr">
        <is>
          <t>Suporte Orbix</t>
        </is>
      </c>
      <c r="B610" s="90">
        <f>INDEX(SETORES!$B:$B,MATCH(A610,SETORES!$A:$A,0))</f>
        <v/>
      </c>
      <c r="C610" s="90" t="inlineStr">
        <is>
          <t>Empresa Licenciada SOARES E LINS</t>
        </is>
      </c>
      <c r="D610" s="88">
        <f>IF(B610="Clientes",SUMIFS(PARÂMETROS!$D$8:$D$33,PARÂMETROS!$A$8:$A$33,C610,PARÂMETROS!$G$8:$G$33,J610),SUMIFS(PARÂMETROS!$E$8:$E$33,PARÂMETROS!$A$8:$A$33,C610,PARÂMETROS!$G$8:$G$33,J610))</f>
        <v/>
      </c>
      <c r="E610" s="96">
        <f>SUMIFS(SETORES!$D:$D,SETORES!$A:$A,A610,SETORES!$F:$F,J610)</f>
        <v/>
      </c>
      <c r="F610" s="96">
        <f>IFERROR(D610*E610,0)</f>
        <v/>
      </c>
      <c r="G610" s="88">
        <f>SUMIFS(PARÂMETROS!$F$8:$F$33,PARÂMETROS!$A$8:$A$33,C610,PARÂMETROS!$G$8:$G$33,J610)</f>
        <v/>
      </c>
      <c r="H610" s="96">
        <f>IFERROR(F610*G610,0)</f>
        <v/>
      </c>
      <c r="I610" s="96">
        <f>F610+H610</f>
        <v/>
      </c>
      <c r="J610" s="90" t="inlineStr">
        <is>
          <t>Julho/2026</t>
        </is>
      </c>
    </row>
    <row r="611" hidden="1" ht="14.25" customHeight="1" s="75">
      <c r="A611" s="105" t="inlineStr">
        <is>
          <t>Suporte Orbix</t>
        </is>
      </c>
      <c r="B611" s="94">
        <f>INDEX(SETORES!$B:$B,MATCH(A611,SETORES!$A:$A,0))</f>
        <v/>
      </c>
      <c r="C611" s="105" t="inlineStr">
        <is>
          <t>Empresa Licenciada SOARES E SILVA</t>
        </is>
      </c>
      <c r="D611" s="83">
        <f>IF(B611="Clientes",SUMIFS(PARÂMETROS!$D$8:$D$33,PARÂMETROS!$A$8:$A$33,C611,PARÂMETROS!$G$8:$G$33,J611),SUMIFS(PARÂMETROS!$E$8:$E$33,PARÂMETROS!$A$8:$A$33,C611,PARÂMETROS!$G$8:$G$33,J611))</f>
        <v/>
      </c>
      <c r="E611" s="107">
        <f>SUMIFS(SETORES!$D:$D,SETORES!$A:$A,A611,SETORES!$F:$F,J611)</f>
        <v/>
      </c>
      <c r="F611" s="107">
        <f>IFERROR(D611*E611,0)</f>
        <v/>
      </c>
      <c r="G611" s="83">
        <f>SUMIFS(PARÂMETROS!$F$8:$F$33,PARÂMETROS!$A$8:$A$33,C611,PARÂMETROS!$G$8:$G$33,J611)</f>
        <v/>
      </c>
      <c r="H611" s="107">
        <f>IFERROR(F611*G611,0)</f>
        <v/>
      </c>
      <c r="I611" s="107">
        <f>F611+H611</f>
        <v/>
      </c>
      <c r="J611" s="105" t="inlineStr">
        <is>
          <t>Julho/2026</t>
        </is>
      </c>
    </row>
    <row r="612" hidden="1" ht="14.25" customHeight="1" s="75">
      <c r="A612" s="90" t="inlineStr">
        <is>
          <t>Suporte Orbix</t>
        </is>
      </c>
      <c r="B612" s="90">
        <f>INDEX(SETORES!$B:$B,MATCH(A612,SETORES!$A:$A,0))</f>
        <v/>
      </c>
      <c r="C612" s="90" t="inlineStr">
        <is>
          <t>Empresa Licenciada SOUZA E SILVA</t>
        </is>
      </c>
      <c r="D612" s="88">
        <f>IF(B612="Clientes",SUMIFS(PARÂMETROS!$D$8:$D$33,PARÂMETROS!$A$8:$A$33,C612,PARÂMETROS!$G$8:$G$33,J612),SUMIFS(PARÂMETROS!$E$8:$E$33,PARÂMETROS!$A$8:$A$33,C612,PARÂMETROS!$G$8:$G$33,J612))</f>
        <v/>
      </c>
      <c r="E612" s="96">
        <f>SUMIFS(SETORES!$D:$D,SETORES!$A:$A,A612,SETORES!$F:$F,J612)</f>
        <v/>
      </c>
      <c r="F612" s="96">
        <f>IFERROR(D612*E612,0)</f>
        <v/>
      </c>
      <c r="G612" s="88">
        <f>SUMIFS(PARÂMETROS!$F$8:$F$33,PARÂMETROS!$A$8:$A$33,C612,PARÂMETROS!$G$8:$G$33,J612)</f>
        <v/>
      </c>
      <c r="H612" s="96">
        <f>IFERROR(F612*G612,0)</f>
        <v/>
      </c>
      <c r="I612" s="96">
        <f>F612+H612</f>
        <v/>
      </c>
      <c r="J612" s="90" t="inlineStr">
        <is>
          <t>Julho/2026</t>
        </is>
      </c>
    </row>
    <row r="613" hidden="1" ht="14.25" customHeight="1" s="75">
      <c r="A613" s="105" t="inlineStr">
        <is>
          <t>Suporte Orbix</t>
        </is>
      </c>
      <c r="B613" s="94">
        <f>INDEX(SETORES!$B:$B,MATCH(A613,SETORES!$A:$A,0))</f>
        <v/>
      </c>
      <c r="C613" s="105" t="inlineStr">
        <is>
          <t>Empresa Licenciada VOICENET</t>
        </is>
      </c>
      <c r="D613" s="83">
        <f>IF(B613="Clientes",SUMIFS(PARÂMETROS!$D$8:$D$33,PARÂMETROS!$A$8:$A$33,C613,PARÂMETROS!$G$8:$G$33,J613),SUMIFS(PARÂMETROS!$E$8:$E$33,PARÂMETROS!$A$8:$A$33,C613,PARÂMETROS!$G$8:$G$33,J613))</f>
        <v/>
      </c>
      <c r="E613" s="107">
        <f>SUMIFS(SETORES!$D:$D,SETORES!$A:$A,A613,SETORES!$F:$F,J613)</f>
        <v/>
      </c>
      <c r="F613" s="107">
        <f>IFERROR(D613*E613,0)</f>
        <v/>
      </c>
      <c r="G613" s="83">
        <f>SUMIFS(PARÂMETROS!$F$8:$F$33,PARÂMETROS!$A$8:$A$33,C613,PARÂMETROS!$G$8:$G$33,J613)</f>
        <v/>
      </c>
      <c r="H613" s="107">
        <f>IFERROR(F613*G613,0)</f>
        <v/>
      </c>
      <c r="I613" s="107">
        <f>F613+H613</f>
        <v/>
      </c>
      <c r="J613" s="105" t="inlineStr">
        <is>
          <t>Julho/2026</t>
        </is>
      </c>
    </row>
    <row r="614" hidden="1" ht="14.25" customHeight="1" s="75">
      <c r="A614" s="90" t="inlineStr">
        <is>
          <t>Suporte Orbix</t>
        </is>
      </c>
      <c r="B614" s="90">
        <f>INDEX(SETORES!$B:$B,MATCH(A614,SETORES!$A:$A,0))</f>
        <v/>
      </c>
      <c r="C614" s="90" t="inlineStr">
        <is>
          <t>DTEL (uso próprio)</t>
        </is>
      </c>
      <c r="D614" s="88">
        <f>IF(B614="Clientes",SUMIFS(PARÂMETROS!$D$8:$D$33,PARÂMETROS!$A$8:$A$33,C614,PARÂMETROS!$G$8:$G$33,J614),SUMIFS(PARÂMETROS!$E$8:$E$33,PARÂMETROS!$A$8:$A$33,C614,PARÂMETROS!$G$8:$G$33,J614))</f>
        <v/>
      </c>
      <c r="E614" s="96">
        <f>SUMIFS(SETORES!$D:$D,SETORES!$A:$A,A614,SETORES!$F:$F,J614)</f>
        <v/>
      </c>
      <c r="F614" s="96">
        <f>IFERROR(D614*E614,0)</f>
        <v/>
      </c>
      <c r="G614" s="88">
        <f>SUMIFS(PARÂMETROS!$F$8:$F$33,PARÂMETROS!$A$8:$A$33,C614,PARÂMETROS!$G$8:$G$33,J614)</f>
        <v/>
      </c>
      <c r="H614" s="96">
        <f>IFERROR(F614*G614,0)</f>
        <v/>
      </c>
      <c r="I614" s="96">
        <f>F614+H614</f>
        <v/>
      </c>
      <c r="J614" s="90" t="inlineStr">
        <is>
          <t>Julho/2026</t>
        </is>
      </c>
    </row>
    <row r="615" hidden="1" ht="14.25" customHeight="1" s="75">
      <c r="A615" s="105" t="inlineStr">
        <is>
          <t>Suporte da Central</t>
        </is>
      </c>
      <c r="B615" s="94">
        <f>INDEX(SETORES!$B:$B,MATCH(A615,SETORES!$A:$A,0))</f>
        <v/>
      </c>
      <c r="C615" s="105" t="inlineStr">
        <is>
          <t>Empresa Licenciada DX2</t>
        </is>
      </c>
      <c r="D615" s="83">
        <f>IF(B615="Clientes",SUMIFS(PARÂMETROS!$D$8:$D$33,PARÂMETROS!$A$8:$A$33,C615,PARÂMETROS!$G$8:$G$33,J615),SUMIFS(PARÂMETROS!$E$8:$E$33,PARÂMETROS!$A$8:$A$33,C615,PARÂMETROS!$G$8:$G$33,J615))</f>
        <v/>
      </c>
      <c r="E615" s="107">
        <f>SUMIFS(SETORES!$D:$D,SETORES!$A:$A,A615,SETORES!$F:$F,J615)</f>
        <v/>
      </c>
      <c r="F615" s="107">
        <f>IFERROR(D615*E615,0)</f>
        <v/>
      </c>
      <c r="G615" s="83">
        <f>SUMIFS(PARÂMETROS!$F$8:$F$33,PARÂMETROS!$A$8:$A$33,C615,PARÂMETROS!$G$8:$G$33,J615)</f>
        <v/>
      </c>
      <c r="H615" s="107">
        <f>IFERROR(F615*G615,0)</f>
        <v/>
      </c>
      <c r="I615" s="107">
        <f>F615+H615</f>
        <v/>
      </c>
      <c r="J615" s="105" t="inlineStr">
        <is>
          <t>Julho/2026</t>
        </is>
      </c>
    </row>
    <row r="616" hidden="1" ht="14.25" customHeight="1" s="75">
      <c r="A616" s="90" t="inlineStr">
        <is>
          <t>Suporte da Central</t>
        </is>
      </c>
      <c r="B616" s="90">
        <f>INDEX(SETORES!$B:$B,MATCH(A616,SETORES!$A:$A,0))</f>
        <v/>
      </c>
      <c r="C616" s="90" t="inlineStr">
        <is>
          <t>Empresa Licenciada H&amp;A</t>
        </is>
      </c>
      <c r="D616" s="88">
        <f>IF(B616="Clientes",SUMIFS(PARÂMETROS!$D$8:$D$33,PARÂMETROS!$A$8:$A$33,C616,PARÂMETROS!$G$8:$G$33,J616),SUMIFS(PARÂMETROS!$E$8:$E$33,PARÂMETROS!$A$8:$A$33,C616,PARÂMETROS!$G$8:$G$33,J616))</f>
        <v/>
      </c>
      <c r="E616" s="96">
        <f>SUMIFS(SETORES!$D:$D,SETORES!$A:$A,A616,SETORES!$F:$F,J616)</f>
        <v/>
      </c>
      <c r="F616" s="96">
        <f>IFERROR(D616*E616,0)</f>
        <v/>
      </c>
      <c r="G616" s="88">
        <f>SUMIFS(PARÂMETROS!$F$8:$F$33,PARÂMETROS!$A$8:$A$33,C616,PARÂMETROS!$G$8:$G$33,J616)</f>
        <v/>
      </c>
      <c r="H616" s="96">
        <f>IFERROR(F616*G616,0)</f>
        <v/>
      </c>
      <c r="I616" s="96">
        <f>F616+H616</f>
        <v/>
      </c>
      <c r="J616" s="90" t="inlineStr">
        <is>
          <t>Julho/2026</t>
        </is>
      </c>
    </row>
    <row r="617" hidden="1" ht="14.25" customHeight="1" s="75">
      <c r="A617" s="105" t="inlineStr">
        <is>
          <t>Suporte da Central</t>
        </is>
      </c>
      <c r="B617" s="94">
        <f>INDEX(SETORES!$B:$B,MATCH(A617,SETORES!$A:$A,0))</f>
        <v/>
      </c>
      <c r="C617" s="105" t="inlineStr">
        <is>
          <t>Empresa Licenciada SOLON ARAUJO</t>
        </is>
      </c>
      <c r="D617" s="83">
        <f>IF(B617="Clientes",SUMIFS(PARÂMETROS!$D$8:$D$33,PARÂMETROS!$A$8:$A$33,C617,PARÂMETROS!$G$8:$G$33,J617),SUMIFS(PARÂMETROS!$E$8:$E$33,PARÂMETROS!$A$8:$A$33,C617,PARÂMETROS!$G$8:$G$33,J617))</f>
        <v/>
      </c>
      <c r="E617" s="107">
        <f>SUMIFS(SETORES!$D:$D,SETORES!$A:$A,A617,SETORES!$F:$F,J617)</f>
        <v/>
      </c>
      <c r="F617" s="107">
        <f>IFERROR(D617*E617,0)</f>
        <v/>
      </c>
      <c r="G617" s="83">
        <f>SUMIFS(PARÂMETROS!$F$8:$F$33,PARÂMETROS!$A$8:$A$33,C617,PARÂMETROS!$G$8:$G$33,J617)</f>
        <v/>
      </c>
      <c r="H617" s="107">
        <f>IFERROR(F617*G617,0)</f>
        <v/>
      </c>
      <c r="I617" s="107">
        <f>F617+H617</f>
        <v/>
      </c>
      <c r="J617" s="105" t="inlineStr">
        <is>
          <t>Julho/2026</t>
        </is>
      </c>
    </row>
    <row r="618" ht="14.25" customHeight="1" s="75">
      <c r="A618" s="90" t="inlineStr">
        <is>
          <t>Suporte da Central</t>
        </is>
      </c>
      <c r="B618" s="90">
        <f>INDEX(SETORES!$B:$B,MATCH(A618,SETORES!$A:$A,0))</f>
        <v/>
      </c>
      <c r="C618" s="90" t="inlineStr">
        <is>
          <t>Empresa Licenciada SOARES E LINS</t>
        </is>
      </c>
      <c r="D618" s="88">
        <f>IF(B618="Clientes",SUMIFS(PARÂMETROS!$D$8:$D$33,PARÂMETROS!$A$8:$A$33,C618,PARÂMETROS!$G$8:$G$33,J618),SUMIFS(PARÂMETROS!$E$8:$E$33,PARÂMETROS!$A$8:$A$33,C618,PARÂMETROS!$G$8:$G$33,J618))</f>
        <v/>
      </c>
      <c r="E618" s="96">
        <f>SUMIFS(SETORES!$D:$D,SETORES!$A:$A,A618,SETORES!$F:$F,J618)</f>
        <v/>
      </c>
      <c r="F618" s="96">
        <f>IFERROR(D618*E618,0)</f>
        <v/>
      </c>
      <c r="G618" s="88">
        <f>SUMIFS(PARÂMETROS!$F$8:$F$33,PARÂMETROS!$A$8:$A$33,C618,PARÂMETROS!$G$8:$G$33,J618)</f>
        <v/>
      </c>
      <c r="H618" s="96">
        <f>IFERROR(F618*G618,0)</f>
        <v/>
      </c>
      <c r="I618" s="96">
        <f>F618+H618</f>
        <v/>
      </c>
      <c r="J618" s="90" t="inlineStr">
        <is>
          <t>Julho/2026</t>
        </is>
      </c>
    </row>
    <row r="619" hidden="1" ht="14.25" customHeight="1" s="75">
      <c r="A619" s="105" t="inlineStr">
        <is>
          <t>Suporte da Central</t>
        </is>
      </c>
      <c r="B619" s="94">
        <f>INDEX(SETORES!$B:$B,MATCH(A619,SETORES!$A:$A,0))</f>
        <v/>
      </c>
      <c r="C619" s="105" t="inlineStr">
        <is>
          <t>Empresa Licenciada SOARES E SILVA</t>
        </is>
      </c>
      <c r="D619" s="83">
        <f>IF(B619="Clientes",SUMIFS(PARÂMETROS!$D$8:$D$33,PARÂMETROS!$A$8:$A$33,C619,PARÂMETROS!$G$8:$G$33,J619),SUMIFS(PARÂMETROS!$E$8:$E$33,PARÂMETROS!$A$8:$A$33,C619,PARÂMETROS!$G$8:$G$33,J619))</f>
        <v/>
      </c>
      <c r="E619" s="107">
        <f>SUMIFS(SETORES!$D:$D,SETORES!$A:$A,A619,SETORES!$F:$F,J619)</f>
        <v/>
      </c>
      <c r="F619" s="107">
        <f>IFERROR(D619*E619,0)</f>
        <v/>
      </c>
      <c r="G619" s="83">
        <f>SUMIFS(PARÂMETROS!$F$8:$F$33,PARÂMETROS!$A$8:$A$33,C619,PARÂMETROS!$G$8:$G$33,J619)</f>
        <v/>
      </c>
      <c r="H619" s="107">
        <f>IFERROR(F619*G619,0)</f>
        <v/>
      </c>
      <c r="I619" s="107">
        <f>F619+H619</f>
        <v/>
      </c>
      <c r="J619" s="105" t="inlineStr">
        <is>
          <t>Julho/2026</t>
        </is>
      </c>
    </row>
    <row r="620" hidden="1" ht="14.25" customHeight="1" s="75">
      <c r="A620" s="90" t="inlineStr">
        <is>
          <t>Suporte da Central</t>
        </is>
      </c>
      <c r="B620" s="90">
        <f>INDEX(SETORES!$B:$B,MATCH(A620,SETORES!$A:$A,0))</f>
        <v/>
      </c>
      <c r="C620" s="90" t="inlineStr">
        <is>
          <t>Empresa Licenciada SOUZA E SILVA</t>
        </is>
      </c>
      <c r="D620" s="88">
        <f>IF(B620="Clientes",SUMIFS(PARÂMETROS!$D$8:$D$33,PARÂMETROS!$A$8:$A$33,C620,PARÂMETROS!$G$8:$G$33,J620),SUMIFS(PARÂMETROS!$E$8:$E$33,PARÂMETROS!$A$8:$A$33,C620,PARÂMETROS!$G$8:$G$33,J620))</f>
        <v/>
      </c>
      <c r="E620" s="96">
        <f>SUMIFS(SETORES!$D:$D,SETORES!$A:$A,A620,SETORES!$F:$F,J620)</f>
        <v/>
      </c>
      <c r="F620" s="96">
        <f>IFERROR(D620*E620,0)</f>
        <v/>
      </c>
      <c r="G620" s="88">
        <f>SUMIFS(PARÂMETROS!$F$8:$F$33,PARÂMETROS!$A$8:$A$33,C620,PARÂMETROS!$G$8:$G$33,J620)</f>
        <v/>
      </c>
      <c r="H620" s="96">
        <f>IFERROR(F620*G620,0)</f>
        <v/>
      </c>
      <c r="I620" s="96">
        <f>F620+H620</f>
        <v/>
      </c>
      <c r="J620" s="90" t="inlineStr">
        <is>
          <t>Julho/2026</t>
        </is>
      </c>
    </row>
    <row r="621" hidden="1" ht="14.25" customHeight="1" s="75">
      <c r="A621" s="105" t="inlineStr">
        <is>
          <t>Suporte da Central</t>
        </is>
      </c>
      <c r="B621" s="94">
        <f>INDEX(SETORES!$B:$B,MATCH(A621,SETORES!$A:$A,0))</f>
        <v/>
      </c>
      <c r="C621" s="105" t="inlineStr">
        <is>
          <t>Empresa Licenciada VOICENET</t>
        </is>
      </c>
      <c r="D621" s="83">
        <f>IF(B621="Clientes",SUMIFS(PARÂMETROS!$D$8:$D$33,PARÂMETROS!$A$8:$A$33,C621,PARÂMETROS!$G$8:$G$33,J621),SUMIFS(PARÂMETROS!$E$8:$E$33,PARÂMETROS!$A$8:$A$33,C621,PARÂMETROS!$G$8:$G$33,J621))</f>
        <v/>
      </c>
      <c r="E621" s="107">
        <f>SUMIFS(SETORES!$D:$D,SETORES!$A:$A,A621,SETORES!$F:$F,J621)</f>
        <v/>
      </c>
      <c r="F621" s="107">
        <f>IFERROR(D621*E621,0)</f>
        <v/>
      </c>
      <c r="G621" s="83">
        <f>SUMIFS(PARÂMETROS!$F$8:$F$33,PARÂMETROS!$A$8:$A$33,C621,PARÂMETROS!$G$8:$G$33,J621)</f>
        <v/>
      </c>
      <c r="H621" s="107">
        <f>IFERROR(F621*G621,0)</f>
        <v/>
      </c>
      <c r="I621" s="107">
        <f>F621+H621</f>
        <v/>
      </c>
      <c r="J621" s="105" t="inlineStr">
        <is>
          <t>Julho/2026</t>
        </is>
      </c>
    </row>
    <row r="622" hidden="1" ht="14.25" customHeight="1" s="75">
      <c r="A622" s="90" t="inlineStr">
        <is>
          <t>Suporte da Central</t>
        </is>
      </c>
      <c r="B622" s="90">
        <f>INDEX(SETORES!$B:$B,MATCH(A622,SETORES!$A:$A,0))</f>
        <v/>
      </c>
      <c r="C622" s="90" t="inlineStr">
        <is>
          <t>DTEL (uso próprio)</t>
        </is>
      </c>
      <c r="D622" s="88">
        <f>IF(B622="Clientes",SUMIFS(PARÂMETROS!$D$8:$D$33,PARÂMETROS!$A$8:$A$33,C622,PARÂMETROS!$G$8:$G$33,J622),SUMIFS(PARÂMETROS!$E$8:$E$33,PARÂMETROS!$A$8:$A$33,C622,PARÂMETROS!$G$8:$G$33,J622))</f>
        <v/>
      </c>
      <c r="E622" s="96">
        <f>SUMIFS(SETORES!$D:$D,SETORES!$A:$A,A622,SETORES!$F:$F,J622)</f>
        <v/>
      </c>
      <c r="F622" s="96">
        <f>IFERROR(D622*E622,0)</f>
        <v/>
      </c>
      <c r="G622" s="88">
        <f>SUMIFS(PARÂMETROS!$F$8:$F$33,PARÂMETROS!$A$8:$A$33,C622,PARÂMETROS!$G$8:$G$33,J622)</f>
        <v/>
      </c>
      <c r="H622" s="96">
        <f>IFERROR(F622*G622,0)</f>
        <v/>
      </c>
      <c r="I622" s="96">
        <f>F622+H622</f>
        <v/>
      </c>
      <c r="J622" s="90" t="inlineStr">
        <is>
          <t>Julho/2026</t>
        </is>
      </c>
    </row>
    <row r="623" hidden="1" ht="14.25" customHeight="1" s="75">
      <c r="A623" s="105" t="inlineStr">
        <is>
          <t>Comercial Corporativo</t>
        </is>
      </c>
      <c r="B623" s="94">
        <f>INDEX(SETORES!$B:$B,MATCH(A623,SETORES!$A:$A,0))</f>
        <v/>
      </c>
      <c r="C623" s="105" t="inlineStr">
        <is>
          <t>Empresa Licenciada DX2</t>
        </is>
      </c>
      <c r="D623" s="83">
        <f>IF(B623="Clientes",SUMIFS(PARÂMETROS!$D$8:$D$33,PARÂMETROS!$A$8:$A$33,C623,PARÂMETROS!$G$8:$G$33,J623),SUMIFS(PARÂMETROS!$E$8:$E$33,PARÂMETROS!$A$8:$A$33,C623,PARÂMETROS!$G$8:$G$33,J623))</f>
        <v/>
      </c>
      <c r="E623" s="107">
        <f>SUMIFS(SETORES!$D:$D,SETORES!$A:$A,A623,SETORES!$F:$F,J623)</f>
        <v/>
      </c>
      <c r="F623" s="107">
        <f>IFERROR(D623*E623,0)</f>
        <v/>
      </c>
      <c r="G623" s="83">
        <f>SUMIFS(PARÂMETROS!$F$8:$F$33,PARÂMETROS!$A$8:$A$33,C623,PARÂMETROS!$G$8:$G$33,J623)</f>
        <v/>
      </c>
      <c r="H623" s="107">
        <f>IFERROR(F623*G623,0)</f>
        <v/>
      </c>
      <c r="I623" s="107">
        <f>F623+H623</f>
        <v/>
      </c>
      <c r="J623" s="105" t="inlineStr">
        <is>
          <t>Julho/2026</t>
        </is>
      </c>
    </row>
    <row r="624" hidden="1" ht="14.25" customHeight="1" s="75">
      <c r="A624" s="90" t="inlineStr">
        <is>
          <t>Comercial Corporativo</t>
        </is>
      </c>
      <c r="B624" s="90">
        <f>INDEX(SETORES!$B:$B,MATCH(A624,SETORES!$A:$A,0))</f>
        <v/>
      </c>
      <c r="C624" s="90" t="inlineStr">
        <is>
          <t>Empresa Licenciada H&amp;A</t>
        </is>
      </c>
      <c r="D624" s="88">
        <f>IF(B624="Clientes",SUMIFS(PARÂMETROS!$D$8:$D$33,PARÂMETROS!$A$8:$A$33,C624,PARÂMETROS!$G$8:$G$33,J624),SUMIFS(PARÂMETROS!$E$8:$E$33,PARÂMETROS!$A$8:$A$33,C624,PARÂMETROS!$G$8:$G$33,J624))</f>
        <v/>
      </c>
      <c r="E624" s="96">
        <f>SUMIFS(SETORES!$D:$D,SETORES!$A:$A,A624,SETORES!$F:$F,J624)</f>
        <v/>
      </c>
      <c r="F624" s="96">
        <f>IFERROR(D624*E624,0)</f>
        <v/>
      </c>
      <c r="G624" s="88">
        <f>SUMIFS(PARÂMETROS!$F$8:$F$33,PARÂMETROS!$A$8:$A$33,C624,PARÂMETROS!$G$8:$G$33,J624)</f>
        <v/>
      </c>
      <c r="H624" s="96">
        <f>IFERROR(F624*G624,0)</f>
        <v/>
      </c>
      <c r="I624" s="96">
        <f>F624+H624</f>
        <v/>
      </c>
      <c r="J624" s="90" t="inlineStr">
        <is>
          <t>Julho/2026</t>
        </is>
      </c>
    </row>
    <row r="625" hidden="1" ht="14.25" customHeight="1" s="75">
      <c r="A625" s="105" t="inlineStr">
        <is>
          <t>Comercial Corporativo</t>
        </is>
      </c>
      <c r="B625" s="94">
        <f>INDEX(SETORES!$B:$B,MATCH(A625,SETORES!$A:$A,0))</f>
        <v/>
      </c>
      <c r="C625" s="105" t="inlineStr">
        <is>
          <t>Empresa Licenciada SOLON ARAUJO</t>
        </is>
      </c>
      <c r="D625" s="83">
        <f>IF(B625="Clientes",SUMIFS(PARÂMETROS!$D$8:$D$33,PARÂMETROS!$A$8:$A$33,C625,PARÂMETROS!$G$8:$G$33,J625),SUMIFS(PARÂMETROS!$E$8:$E$33,PARÂMETROS!$A$8:$A$33,C625,PARÂMETROS!$G$8:$G$33,J625))</f>
        <v/>
      </c>
      <c r="E625" s="107">
        <f>SUMIFS(SETORES!$D:$D,SETORES!$A:$A,A625,SETORES!$F:$F,J625)</f>
        <v/>
      </c>
      <c r="F625" s="107">
        <f>IFERROR(D625*E625,0)</f>
        <v/>
      </c>
      <c r="G625" s="83">
        <f>SUMIFS(PARÂMETROS!$F$8:$F$33,PARÂMETROS!$A$8:$A$33,C625,PARÂMETROS!$G$8:$G$33,J625)</f>
        <v/>
      </c>
      <c r="H625" s="107">
        <f>IFERROR(F625*G625,0)</f>
        <v/>
      </c>
      <c r="I625" s="107">
        <f>F625+H625</f>
        <v/>
      </c>
      <c r="J625" s="105" t="inlineStr">
        <is>
          <t>Julho/2026</t>
        </is>
      </c>
    </row>
    <row r="626" ht="14.25" customHeight="1" s="75">
      <c r="A626" s="90" t="inlineStr">
        <is>
          <t>Comercial Corporativo</t>
        </is>
      </c>
      <c r="B626" s="90">
        <f>INDEX(SETORES!$B:$B,MATCH(A626,SETORES!$A:$A,0))</f>
        <v/>
      </c>
      <c r="C626" s="90" t="inlineStr">
        <is>
          <t>Empresa Licenciada SOARES E LINS</t>
        </is>
      </c>
      <c r="D626" s="88">
        <f>IF(B626="Clientes",SUMIFS(PARÂMETROS!$D$8:$D$33,PARÂMETROS!$A$8:$A$33,C626,PARÂMETROS!$G$8:$G$33,J626),SUMIFS(PARÂMETROS!$E$8:$E$33,PARÂMETROS!$A$8:$A$33,C626,PARÂMETROS!$G$8:$G$33,J626))</f>
        <v/>
      </c>
      <c r="E626" s="96">
        <f>SUMIFS(SETORES!$D:$D,SETORES!$A:$A,A626,SETORES!$F:$F,J626)</f>
        <v/>
      </c>
      <c r="F626" s="96">
        <f>IFERROR(D626*E626,0)</f>
        <v/>
      </c>
      <c r="G626" s="88">
        <f>SUMIFS(PARÂMETROS!$F$8:$F$33,PARÂMETROS!$A$8:$A$33,C626,PARÂMETROS!$G$8:$G$33,J626)</f>
        <v/>
      </c>
      <c r="H626" s="96">
        <f>IFERROR(F626*G626,0)</f>
        <v/>
      </c>
      <c r="I626" s="96">
        <f>F626+H626</f>
        <v/>
      </c>
      <c r="J626" s="90" t="inlineStr">
        <is>
          <t>Julho/2026</t>
        </is>
      </c>
    </row>
    <row r="627" hidden="1" ht="14.25" customHeight="1" s="75">
      <c r="A627" s="105" t="inlineStr">
        <is>
          <t>Comercial Corporativo</t>
        </is>
      </c>
      <c r="B627" s="94">
        <f>INDEX(SETORES!$B:$B,MATCH(A627,SETORES!$A:$A,0))</f>
        <v/>
      </c>
      <c r="C627" s="105" t="inlineStr">
        <is>
          <t>Empresa Licenciada SOARES E SILVA</t>
        </is>
      </c>
      <c r="D627" s="83">
        <f>IF(B627="Clientes",SUMIFS(PARÂMETROS!$D$8:$D$33,PARÂMETROS!$A$8:$A$33,C627,PARÂMETROS!$G$8:$G$33,J627),SUMIFS(PARÂMETROS!$E$8:$E$33,PARÂMETROS!$A$8:$A$33,C627,PARÂMETROS!$G$8:$G$33,J627))</f>
        <v/>
      </c>
      <c r="E627" s="107">
        <f>SUMIFS(SETORES!$D:$D,SETORES!$A:$A,A627,SETORES!$F:$F,J627)</f>
        <v/>
      </c>
      <c r="F627" s="107">
        <f>IFERROR(D627*E627,0)</f>
        <v/>
      </c>
      <c r="G627" s="83">
        <f>SUMIFS(PARÂMETROS!$F$8:$F$33,PARÂMETROS!$A$8:$A$33,C627,PARÂMETROS!$G$8:$G$33,J627)</f>
        <v/>
      </c>
      <c r="H627" s="107">
        <f>IFERROR(F627*G627,0)</f>
        <v/>
      </c>
      <c r="I627" s="107">
        <f>F627+H627</f>
        <v/>
      </c>
      <c r="J627" s="105" t="inlineStr">
        <is>
          <t>Julho/2026</t>
        </is>
      </c>
    </row>
    <row r="628" hidden="1" ht="14.25" customHeight="1" s="75">
      <c r="A628" s="90" t="inlineStr">
        <is>
          <t>Comercial Corporativo</t>
        </is>
      </c>
      <c r="B628" s="90">
        <f>INDEX(SETORES!$B:$B,MATCH(A628,SETORES!$A:$A,0))</f>
        <v/>
      </c>
      <c r="C628" s="90" t="inlineStr">
        <is>
          <t>Empresa Licenciada SOUZA E SILVA</t>
        </is>
      </c>
      <c r="D628" s="88">
        <f>IF(B628="Clientes",SUMIFS(PARÂMETROS!$D$8:$D$33,PARÂMETROS!$A$8:$A$33,C628,PARÂMETROS!$G$8:$G$33,J628),SUMIFS(PARÂMETROS!$E$8:$E$33,PARÂMETROS!$A$8:$A$33,C628,PARÂMETROS!$G$8:$G$33,J628))</f>
        <v/>
      </c>
      <c r="E628" s="96">
        <f>SUMIFS(SETORES!$D:$D,SETORES!$A:$A,A628,SETORES!$F:$F,J628)</f>
        <v/>
      </c>
      <c r="F628" s="96">
        <f>IFERROR(D628*E628,0)</f>
        <v/>
      </c>
      <c r="G628" s="88">
        <f>SUMIFS(PARÂMETROS!$F$8:$F$33,PARÂMETROS!$A$8:$A$33,C628,PARÂMETROS!$G$8:$G$33,J628)</f>
        <v/>
      </c>
      <c r="H628" s="96">
        <f>IFERROR(F628*G628,0)</f>
        <v/>
      </c>
      <c r="I628" s="96">
        <f>F628+H628</f>
        <v/>
      </c>
      <c r="J628" s="90" t="inlineStr">
        <is>
          <t>Julho/2026</t>
        </is>
      </c>
    </row>
    <row r="629" hidden="1" ht="14.25" customHeight="1" s="75">
      <c r="A629" s="105" t="inlineStr">
        <is>
          <t>Comercial Corporativo</t>
        </is>
      </c>
      <c r="B629" s="94">
        <f>INDEX(SETORES!$B:$B,MATCH(A629,SETORES!$A:$A,0))</f>
        <v/>
      </c>
      <c r="C629" s="105" t="inlineStr">
        <is>
          <t>Empresa Licenciada VOICENET</t>
        </is>
      </c>
      <c r="D629" s="83">
        <f>IF(B629="Clientes",SUMIFS(PARÂMETROS!$D$8:$D$33,PARÂMETROS!$A$8:$A$33,C629,PARÂMETROS!$G$8:$G$33,J629),SUMIFS(PARÂMETROS!$E$8:$E$33,PARÂMETROS!$A$8:$A$33,C629,PARÂMETROS!$G$8:$G$33,J629))</f>
        <v/>
      </c>
      <c r="E629" s="107">
        <f>SUMIFS(SETORES!$D:$D,SETORES!$A:$A,A629,SETORES!$F:$F,J629)</f>
        <v/>
      </c>
      <c r="F629" s="107">
        <f>IFERROR(D629*E629,0)</f>
        <v/>
      </c>
      <c r="G629" s="83">
        <f>SUMIFS(PARÂMETROS!$F$8:$F$33,PARÂMETROS!$A$8:$A$33,C629,PARÂMETROS!$G$8:$G$33,J629)</f>
        <v/>
      </c>
      <c r="H629" s="107">
        <f>IFERROR(F629*G629,0)</f>
        <v/>
      </c>
      <c r="I629" s="107">
        <f>F629+H629</f>
        <v/>
      </c>
      <c r="J629" s="105" t="inlineStr">
        <is>
          <t>Julho/2026</t>
        </is>
      </c>
    </row>
    <row r="630" hidden="1" ht="14.25" customHeight="1" s="75">
      <c r="A630" s="90" t="inlineStr">
        <is>
          <t>Comercial Corporativo</t>
        </is>
      </c>
      <c r="B630" s="90">
        <f>INDEX(SETORES!$B:$B,MATCH(A630,SETORES!$A:$A,0))</f>
        <v/>
      </c>
      <c r="C630" s="90" t="inlineStr">
        <is>
          <t>DTEL (uso próprio)</t>
        </is>
      </c>
      <c r="D630" s="88">
        <f>IF(B630="Clientes",SUMIFS(PARÂMETROS!$D$8:$D$33,PARÂMETROS!$A$8:$A$33,C630,PARÂMETROS!$G$8:$G$33,J630),SUMIFS(PARÂMETROS!$E$8:$E$33,PARÂMETROS!$A$8:$A$33,C630,PARÂMETROS!$G$8:$G$33,J630))</f>
        <v/>
      </c>
      <c r="E630" s="96">
        <f>SUMIFS(SETORES!$D:$D,SETORES!$A:$A,A630,SETORES!$F:$F,J630)</f>
        <v/>
      </c>
      <c r="F630" s="96">
        <f>IFERROR(D630*E630,0)</f>
        <v/>
      </c>
      <c r="G630" s="88">
        <f>SUMIFS(PARÂMETROS!$F$8:$F$33,PARÂMETROS!$A$8:$A$33,C630,PARÂMETROS!$G$8:$G$33,J630)</f>
        <v/>
      </c>
      <c r="H630" s="96">
        <f>IFERROR(F630*G630,0)</f>
        <v/>
      </c>
      <c r="I630" s="96">
        <f>F630+H630</f>
        <v/>
      </c>
      <c r="J630" s="90" t="inlineStr">
        <is>
          <t>Julho/2026</t>
        </is>
      </c>
    </row>
    <row r="631" hidden="1" ht="14.25" customHeight="1" s="75">
      <c r="A631" s="105" t="inlineStr">
        <is>
          <t>Administrativo</t>
        </is>
      </c>
      <c r="B631" s="94">
        <f>INDEX(SETORES!$B:$B,MATCH(A631,SETORES!$A:$A,0))</f>
        <v/>
      </c>
      <c r="C631" s="105" t="inlineStr">
        <is>
          <t>Empresa Licenciada DX2</t>
        </is>
      </c>
      <c r="D631" s="83">
        <f>IF(B631="Clientes",SUMIFS(PARÂMETROS!$D$8:$D$33,PARÂMETROS!$A$8:$A$33,C631,PARÂMETROS!$G$8:$G$33,J631),SUMIFS(PARÂMETROS!$E$8:$E$33,PARÂMETROS!$A$8:$A$33,C631,PARÂMETROS!$G$8:$G$33,J631))</f>
        <v/>
      </c>
      <c r="E631" s="107">
        <f>SUMIFS(SETORES!$D:$D,SETORES!$A:$A,A631,SETORES!$F:$F,J631)</f>
        <v/>
      </c>
      <c r="F631" s="107">
        <f>IFERROR(D631*E631,0)</f>
        <v/>
      </c>
      <c r="G631" s="83">
        <f>SUMIFS(PARÂMETROS!$F$8:$F$33,PARÂMETROS!$A$8:$A$33,C631,PARÂMETROS!$G$8:$G$33,J631)</f>
        <v/>
      </c>
      <c r="H631" s="107">
        <f>IFERROR(F631*G631,0)</f>
        <v/>
      </c>
      <c r="I631" s="107">
        <f>F631+H631</f>
        <v/>
      </c>
      <c r="J631" s="105" t="inlineStr">
        <is>
          <t>Julho/2026</t>
        </is>
      </c>
    </row>
    <row r="632" hidden="1" ht="14.25" customHeight="1" s="75">
      <c r="A632" s="90" t="inlineStr">
        <is>
          <t>Administrativo</t>
        </is>
      </c>
      <c r="B632" s="90">
        <f>INDEX(SETORES!$B:$B,MATCH(A632,SETORES!$A:$A,0))</f>
        <v/>
      </c>
      <c r="C632" s="90" t="inlineStr">
        <is>
          <t>Empresa Licenciada H&amp;A</t>
        </is>
      </c>
      <c r="D632" s="88">
        <f>IF(B632="Clientes",SUMIFS(PARÂMETROS!$D$8:$D$33,PARÂMETROS!$A$8:$A$33,C632,PARÂMETROS!$G$8:$G$33,J632),SUMIFS(PARÂMETROS!$E$8:$E$33,PARÂMETROS!$A$8:$A$33,C632,PARÂMETROS!$G$8:$G$33,J632))</f>
        <v/>
      </c>
      <c r="E632" s="96">
        <f>SUMIFS(SETORES!$D:$D,SETORES!$A:$A,A632,SETORES!$F:$F,J632)</f>
        <v/>
      </c>
      <c r="F632" s="96">
        <f>IFERROR(D632*E632,0)</f>
        <v/>
      </c>
      <c r="G632" s="88">
        <f>SUMIFS(PARÂMETROS!$F$8:$F$33,PARÂMETROS!$A$8:$A$33,C632,PARÂMETROS!$G$8:$G$33,J632)</f>
        <v/>
      </c>
      <c r="H632" s="96">
        <f>IFERROR(F632*G632,0)</f>
        <v/>
      </c>
      <c r="I632" s="96">
        <f>F632+H632</f>
        <v/>
      </c>
      <c r="J632" s="90" t="inlineStr">
        <is>
          <t>Julho/2026</t>
        </is>
      </c>
    </row>
    <row r="633" hidden="1" ht="14.25" customHeight="1" s="75">
      <c r="A633" s="105" t="inlineStr">
        <is>
          <t>Administrativo</t>
        </is>
      </c>
      <c r="B633" s="94">
        <f>INDEX(SETORES!$B:$B,MATCH(A633,SETORES!$A:$A,0))</f>
        <v/>
      </c>
      <c r="C633" s="105" t="inlineStr">
        <is>
          <t>Empresa Licenciada SOLON ARAUJO</t>
        </is>
      </c>
      <c r="D633" s="83">
        <f>IF(B633="Clientes",SUMIFS(PARÂMETROS!$D$8:$D$33,PARÂMETROS!$A$8:$A$33,C633,PARÂMETROS!$G$8:$G$33,J633),SUMIFS(PARÂMETROS!$E$8:$E$33,PARÂMETROS!$A$8:$A$33,C633,PARÂMETROS!$G$8:$G$33,J633))</f>
        <v/>
      </c>
      <c r="E633" s="107">
        <f>SUMIFS(SETORES!$D:$D,SETORES!$A:$A,A633,SETORES!$F:$F,J633)</f>
        <v/>
      </c>
      <c r="F633" s="107">
        <f>IFERROR(D633*E633,0)</f>
        <v/>
      </c>
      <c r="G633" s="83">
        <f>SUMIFS(PARÂMETROS!$F$8:$F$33,PARÂMETROS!$A$8:$A$33,C633,PARÂMETROS!$G$8:$G$33,J633)</f>
        <v/>
      </c>
      <c r="H633" s="107">
        <f>IFERROR(F633*G633,0)</f>
        <v/>
      </c>
      <c r="I633" s="107">
        <f>F633+H633</f>
        <v/>
      </c>
      <c r="J633" s="105" t="inlineStr">
        <is>
          <t>Julho/2026</t>
        </is>
      </c>
    </row>
    <row r="634" ht="14.25" customHeight="1" s="75">
      <c r="A634" s="90" t="inlineStr">
        <is>
          <t>Administrativo</t>
        </is>
      </c>
      <c r="B634" s="90">
        <f>INDEX(SETORES!$B:$B,MATCH(A634,SETORES!$A:$A,0))</f>
        <v/>
      </c>
      <c r="C634" s="90" t="inlineStr">
        <is>
          <t>Empresa Licenciada SOARES E LINS</t>
        </is>
      </c>
      <c r="D634" s="88">
        <f>IF(B634="Clientes",SUMIFS(PARÂMETROS!$D$8:$D$33,PARÂMETROS!$A$8:$A$33,C634,PARÂMETROS!$G$8:$G$33,J634),SUMIFS(PARÂMETROS!$E$8:$E$33,PARÂMETROS!$A$8:$A$33,C634,PARÂMETROS!$G$8:$G$33,J634))</f>
        <v/>
      </c>
      <c r="E634" s="96">
        <f>SUMIFS(SETORES!$D:$D,SETORES!$A:$A,A634,SETORES!$F:$F,J634)</f>
        <v/>
      </c>
      <c r="F634" s="96">
        <f>IFERROR(D634*E634,0)</f>
        <v/>
      </c>
      <c r="G634" s="88">
        <f>SUMIFS(PARÂMETROS!$F$8:$F$33,PARÂMETROS!$A$8:$A$33,C634,PARÂMETROS!$G$8:$G$33,J634)</f>
        <v/>
      </c>
      <c r="H634" s="96">
        <f>IFERROR(F634*G634,0)</f>
        <v/>
      </c>
      <c r="I634" s="96">
        <f>F634+H634</f>
        <v/>
      </c>
      <c r="J634" s="90" t="inlineStr">
        <is>
          <t>Julho/2026</t>
        </is>
      </c>
    </row>
    <row r="635" hidden="1" ht="14.25" customHeight="1" s="75">
      <c r="A635" s="105" t="inlineStr">
        <is>
          <t>Administrativo</t>
        </is>
      </c>
      <c r="B635" s="94">
        <f>INDEX(SETORES!$B:$B,MATCH(A635,SETORES!$A:$A,0))</f>
        <v/>
      </c>
      <c r="C635" s="105" t="inlineStr">
        <is>
          <t>Empresa Licenciada SOARES E SILVA</t>
        </is>
      </c>
      <c r="D635" s="83">
        <f>IF(B635="Clientes",SUMIFS(PARÂMETROS!$D$8:$D$33,PARÂMETROS!$A$8:$A$33,C635,PARÂMETROS!$G$8:$G$33,J635),SUMIFS(PARÂMETROS!$E$8:$E$33,PARÂMETROS!$A$8:$A$33,C635,PARÂMETROS!$G$8:$G$33,J635))</f>
        <v/>
      </c>
      <c r="E635" s="107">
        <f>SUMIFS(SETORES!$D:$D,SETORES!$A:$A,A635,SETORES!$F:$F,J635)</f>
        <v/>
      </c>
      <c r="F635" s="107">
        <f>IFERROR(D635*E635,0)</f>
        <v/>
      </c>
      <c r="G635" s="83">
        <f>SUMIFS(PARÂMETROS!$F$8:$F$33,PARÂMETROS!$A$8:$A$33,C635,PARÂMETROS!$G$8:$G$33,J635)</f>
        <v/>
      </c>
      <c r="H635" s="107">
        <f>IFERROR(F635*G635,0)</f>
        <v/>
      </c>
      <c r="I635" s="107">
        <f>F635+H635</f>
        <v/>
      </c>
      <c r="J635" s="105" t="inlineStr">
        <is>
          <t>Julho/2026</t>
        </is>
      </c>
    </row>
    <row r="636" hidden="1" ht="14.25" customHeight="1" s="75">
      <c r="A636" s="90" t="inlineStr">
        <is>
          <t>Administrativo</t>
        </is>
      </c>
      <c r="B636" s="90">
        <f>INDEX(SETORES!$B:$B,MATCH(A636,SETORES!$A:$A,0))</f>
        <v/>
      </c>
      <c r="C636" s="90" t="inlineStr">
        <is>
          <t>Empresa Licenciada SOUZA E SILVA</t>
        </is>
      </c>
      <c r="D636" s="88">
        <f>IF(B636="Clientes",SUMIFS(PARÂMETROS!$D$8:$D$33,PARÂMETROS!$A$8:$A$33,C636,PARÂMETROS!$G$8:$G$33,J636),SUMIFS(PARÂMETROS!$E$8:$E$33,PARÂMETROS!$A$8:$A$33,C636,PARÂMETROS!$G$8:$G$33,J636))</f>
        <v/>
      </c>
      <c r="E636" s="96">
        <f>SUMIFS(SETORES!$D:$D,SETORES!$A:$A,A636,SETORES!$F:$F,J636)</f>
        <v/>
      </c>
      <c r="F636" s="96">
        <f>IFERROR(D636*E636,0)</f>
        <v/>
      </c>
      <c r="G636" s="88">
        <f>SUMIFS(PARÂMETROS!$F$8:$F$33,PARÂMETROS!$A$8:$A$33,C636,PARÂMETROS!$G$8:$G$33,J636)</f>
        <v/>
      </c>
      <c r="H636" s="96">
        <f>IFERROR(F636*G636,0)</f>
        <v/>
      </c>
      <c r="I636" s="96">
        <f>F636+H636</f>
        <v/>
      </c>
      <c r="J636" s="90" t="inlineStr">
        <is>
          <t>Julho/2026</t>
        </is>
      </c>
    </row>
    <row r="637" hidden="1" ht="14.25" customHeight="1" s="75">
      <c r="A637" s="105" t="inlineStr">
        <is>
          <t>Administrativo</t>
        </is>
      </c>
      <c r="B637" s="94">
        <f>INDEX(SETORES!$B:$B,MATCH(A637,SETORES!$A:$A,0))</f>
        <v/>
      </c>
      <c r="C637" s="105" t="inlineStr">
        <is>
          <t>Empresa Licenciada VOICENET</t>
        </is>
      </c>
      <c r="D637" s="83">
        <f>IF(B637="Clientes",SUMIFS(PARÂMETROS!$D$8:$D$33,PARÂMETROS!$A$8:$A$33,C637,PARÂMETROS!$G$8:$G$33,J637),SUMIFS(PARÂMETROS!$E$8:$E$33,PARÂMETROS!$A$8:$A$33,C637,PARÂMETROS!$G$8:$G$33,J637))</f>
        <v/>
      </c>
      <c r="E637" s="107">
        <f>SUMIFS(SETORES!$D:$D,SETORES!$A:$A,A637,SETORES!$F:$F,J637)</f>
        <v/>
      </c>
      <c r="F637" s="107">
        <f>IFERROR(D637*E637,0)</f>
        <v/>
      </c>
      <c r="G637" s="83">
        <f>SUMIFS(PARÂMETROS!$F$8:$F$33,PARÂMETROS!$A$8:$A$33,C637,PARÂMETROS!$G$8:$G$33,J637)</f>
        <v/>
      </c>
      <c r="H637" s="107">
        <f>IFERROR(F637*G637,0)</f>
        <v/>
      </c>
      <c r="I637" s="107">
        <f>F637+H637</f>
        <v/>
      </c>
      <c r="J637" s="105" t="inlineStr">
        <is>
          <t>Julho/2026</t>
        </is>
      </c>
    </row>
    <row r="638" hidden="1" ht="14.25" customHeight="1" s="75">
      <c r="A638" s="90" t="inlineStr">
        <is>
          <t>Administrativo</t>
        </is>
      </c>
      <c r="B638" s="90">
        <f>INDEX(SETORES!$B:$B,MATCH(A638,SETORES!$A:$A,0))</f>
        <v/>
      </c>
      <c r="C638" s="90" t="inlineStr">
        <is>
          <t>DTEL (uso próprio)</t>
        </is>
      </c>
      <c r="D638" s="88">
        <f>IF(B638="Clientes",SUMIFS(PARÂMETROS!$D$8:$D$33,PARÂMETROS!$A$8:$A$33,C638,PARÂMETROS!$G$8:$G$33,J638),SUMIFS(PARÂMETROS!$E$8:$E$33,PARÂMETROS!$A$8:$A$33,C638,PARÂMETROS!$G$8:$G$33,J638))</f>
        <v/>
      </c>
      <c r="E638" s="96">
        <f>SUMIFS(SETORES!$D:$D,SETORES!$A:$A,A638,SETORES!$F:$F,J638)</f>
        <v/>
      </c>
      <c r="F638" s="96">
        <f>IFERROR(D638*E638,0)</f>
        <v/>
      </c>
      <c r="G638" s="88">
        <f>SUMIFS(PARÂMETROS!$F$8:$F$33,PARÂMETROS!$A$8:$A$33,C638,PARÂMETROS!$G$8:$G$33,J638)</f>
        <v/>
      </c>
      <c r="H638" s="96">
        <f>IFERROR(F638*G638,0)</f>
        <v/>
      </c>
      <c r="I638" s="96">
        <f>F638+H638</f>
        <v/>
      </c>
      <c r="J638" s="90" t="inlineStr">
        <is>
          <t>Julho/2026</t>
        </is>
      </c>
    </row>
    <row r="639" ht="14.25" customHeight="1" s="75"/>
    <row r="640" ht="14.25" customHeight="1" s="75"/>
    <row r="641" ht="14.25" customHeight="1" s="75">
      <c r="A641" s="77" t="inlineStr">
        <is>
          <t>Legenda de cores:</t>
        </is>
      </c>
    </row>
    <row r="642" ht="14.25" customHeight="1" s="75">
      <c r="A642" s="97" t="inlineStr">
        <is>
          <t>Azul</t>
        </is>
      </c>
      <c r="B642" s="97" t="inlineStr">
        <is>
          <t>Célula de entrada manual (preencher)</t>
        </is>
      </c>
    </row>
    <row r="643" ht="14.25" customHeight="1" s="75">
      <c r="A643" s="97" t="inlineStr">
        <is>
          <t>Amarelo</t>
        </is>
      </c>
      <c r="B643" s="97" t="inlineStr">
        <is>
          <t>Linha de exemplo — ajuste os números reais</t>
        </is>
      </c>
    </row>
    <row r="644" ht="14.25" customHeight="1" s="75">
      <c r="A644" s="97" t="inlineStr">
        <is>
          <t>Azul claro (aba SETORES)</t>
        </is>
      </c>
      <c r="B644" s="97" t="inlineStr">
        <is>
          <t>Setor rateado por % de CLIENTES</t>
        </is>
      </c>
    </row>
    <row r="645" ht="14.25" customHeight="1" s="75">
      <c r="A645" s="97" t="inlineStr">
        <is>
          <t>Verde claro (aba SETORES)</t>
        </is>
      </c>
      <c r="B645" s="97" t="inlineStr">
        <is>
          <t>Setor rateado por % de FUNCIONÁRIOS</t>
        </is>
      </c>
    </row>
    <row r="646" ht="14.25" customHeight="1" s="75"/>
    <row r="647" ht="14.25" customHeight="1" s="75">
      <c r="A647" s="98" t="inlineStr">
        <is>
          <t>Atenção — recomendação jurídico-fiscal:</t>
        </is>
      </c>
    </row>
    <row r="648" ht="14.25" customHeight="1" s="75">
      <c r="A648" s="79" t="inlineStr">
        <is>
          <t>1. Formalize um contrato/convênio de rateio de custos compartilhados com as empresas licenciadas</t>
        </is>
      </c>
    </row>
    <row r="649" ht="14.25" customHeight="1" s="75">
      <c r="A649" s="79" t="inlineStr">
        <is>
          <t xml:space="preserve">   definindo os critérios objetivos de rateio (nº de clientes e nº de funcionários) — exigência para dedutibilidade</t>
        </is>
      </c>
    </row>
    <row r="650" ht="14.25" customHeight="1" s="75">
      <c r="A650" s="79" t="inlineStr">
        <is>
          <t xml:space="preserve">   fiscal (IRPJ/CSLL) e para descaracterizar o reembolso como prestação de serviço com margem.</t>
        </is>
      </c>
    </row>
    <row r="651" ht="14.25" customHeight="1" s="75">
      <c r="A651" s="79" t="inlineStr">
        <is>
          <t>2. O reembolso deve ser feito a custo (sem markup/lucro), proporcional a métricas verificáveis — enquanto o</t>
        </is>
      </c>
    </row>
    <row r="652" ht="14.25" customHeight="1" s="75">
      <c r="A652" s="79" t="inlineStr">
        <is>
          <t xml:space="preserve">   % Royalty (coluna F) estiver em 0%, o cálculo continua sendo puro rateio de custo compartilhado.</t>
        </is>
      </c>
    </row>
    <row r="653" ht="14.25" customHeight="1" s="75">
      <c r="A653" s="79" t="inlineStr">
        <is>
          <t>3. Se um % Royalty for definido (&gt;0%), isso deixa de ser rateio de custo puro e passa a ter natureza de</t>
        </is>
      </c>
    </row>
    <row r="654" ht="14.25" customHeight="1" s="75">
      <c r="A654" s="79" t="inlineStr">
        <is>
          <t xml:space="preserve">   royalty/licenciamento — tratamento fiscal diferente (ex.: incidência de IRRF sobre royalties) e exige um</t>
        </is>
      </c>
    </row>
    <row r="655" ht="14.25" customHeight="1" s="75">
      <c r="A655" s="79" t="inlineStr">
        <is>
          <t xml:space="preserve">   contrato de licenciamento/franquia, não apenas um convênio de rateio. Confirme com a contabilidade/jurídico</t>
        </is>
      </c>
    </row>
    <row r="656" ht="14.25" customHeight="1" s="75">
      <c r="A656" s="79" t="inlineStr">
        <is>
          <t xml:space="preserve">   antes de definir esse percentual.</t>
        </is>
      </c>
    </row>
    <row r="657" ht="14.25" customHeight="1" s="75">
      <c r="A657" s="79" t="inlineStr">
        <is>
          <t>4. Com a Reforma Tributária (LC 214/2025), rateios entre empresas de um mesmo grupo podem passar a sofrer</t>
        </is>
      </c>
    </row>
    <row r="658" ht="14.25" customHeight="1" s="75">
      <c r="A658" s="79" t="inlineStr">
        <is>
          <t xml:space="preserve">   incidência de IBS/CBS mesmo sem margem — vale confirmar o tratamento tributário com a contabilidade/jurídico.</t>
        </is>
      </c>
    </row>
    <row r="659" ht="14.25" customHeight="1" s="75">
      <c r="A659" s="74" t="inlineStr">
        <is>
          <t>RATEIO POR EMPRESA — setores adicionados em 20/08/2026 (mesma fórmula/critério dos demais setores)</t>
        </is>
      </c>
    </row>
    <row r="660" ht="14.25" customHeight="1" s="75">
      <c r="A660" s="74" t="inlineStr">
        <is>
          <t>COE</t>
        </is>
      </c>
      <c r="B660" s="74">
        <f>INDEX(SETORES!$B:$B,MATCH(A660,SETORES!$A:$A,0))</f>
        <v/>
      </c>
      <c r="C660" s="74" t="inlineStr">
        <is>
          <t>Empresa Licenciada DX2</t>
        </is>
      </c>
      <c r="D660" s="99">
        <f>IF(B660="Clientes",SUMIFS(PARÂMETROS!$D$8:$D$33,PARÂMETROS!$A$8:$A$33,C660,PARÂMETROS!$G$8:$G$33,J660),SUMIFS(PARÂMETROS!$E$8:$E$33,PARÂMETROS!$A$8:$A$33,C660,PARÂMETROS!$G$8:$G$33,J660))</f>
        <v/>
      </c>
      <c r="E660" s="100">
        <f>SUMIFS(SETORES!$D:$D,SETORES!$A:$A,A660,SETORES!$F:$F,J660)</f>
        <v/>
      </c>
      <c r="F660" s="100" t="n">
        <v>0</v>
      </c>
      <c r="G660" s="99">
        <f>SUMIFS(PARÂMETROS!$F$8:$F$33,PARÂMETROS!$A$8:$A$33,C660,PARÂMETROS!$G$8:$G$33,J660)</f>
        <v/>
      </c>
      <c r="H660" s="100">
        <f>IFERROR(F660*G660,0)</f>
        <v/>
      </c>
      <c r="I660" s="100">
        <f>F660+H660</f>
        <v/>
      </c>
      <c r="J660" s="74" t="inlineStr">
        <is>
          <t>Maio/2026</t>
        </is>
      </c>
    </row>
    <row r="661" ht="14.25" customHeight="1" s="75">
      <c r="A661" s="74" t="inlineStr">
        <is>
          <t>COE</t>
        </is>
      </c>
      <c r="B661" s="74">
        <f>INDEX(SETORES!$B:$B,MATCH(A661,SETORES!$A:$A,0))</f>
        <v/>
      </c>
      <c r="C661" s="74" t="inlineStr">
        <is>
          <t>Empresa Licenciada H&amp;A</t>
        </is>
      </c>
      <c r="D661" s="99">
        <f>IF(B661="Clientes",SUMIFS(PARÂMETROS!$D$8:$D$33,PARÂMETROS!$A$8:$A$33,C661,PARÂMETROS!$G$8:$G$33,J661),SUMIFS(PARÂMETROS!$E$8:$E$33,PARÂMETROS!$A$8:$A$33,C661,PARÂMETROS!$G$8:$G$33,J661))</f>
        <v/>
      </c>
      <c r="E661" s="100">
        <f>SUMIFS(SETORES!$D:$D,SETORES!$A:$A,A661,SETORES!$F:$F,J661)</f>
        <v/>
      </c>
      <c r="F661" s="100" t="n">
        <v>0</v>
      </c>
      <c r="G661" s="99">
        <f>SUMIFS(PARÂMETROS!$F$8:$F$33,PARÂMETROS!$A$8:$A$33,C661,PARÂMETROS!$G$8:$G$33,J661)</f>
        <v/>
      </c>
      <c r="H661" s="100">
        <f>IFERROR(F661*G661,0)</f>
        <v/>
      </c>
      <c r="I661" s="100">
        <f>F661+H661</f>
        <v/>
      </c>
      <c r="J661" s="74" t="inlineStr">
        <is>
          <t>Maio/2026</t>
        </is>
      </c>
    </row>
    <row r="662" ht="14.25" customHeight="1" s="75">
      <c r="A662" s="74" t="inlineStr">
        <is>
          <t>COE</t>
        </is>
      </c>
      <c r="B662" s="74">
        <f>INDEX(SETORES!$B:$B,MATCH(A662,SETORES!$A:$A,0))</f>
        <v/>
      </c>
      <c r="C662" s="74" t="inlineStr">
        <is>
          <t>Empresa Licenciada SOLON ARAUJO</t>
        </is>
      </c>
      <c r="D662" s="99">
        <f>IF(B662="Clientes",SUMIFS(PARÂMETROS!$D$8:$D$33,PARÂMETROS!$A$8:$A$33,C662,PARÂMETROS!$G$8:$G$33,J662),SUMIFS(PARÂMETROS!$E$8:$E$33,PARÂMETROS!$A$8:$A$33,C662,PARÂMETROS!$G$8:$G$33,J662))</f>
        <v/>
      </c>
      <c r="E662" s="100">
        <f>SUMIFS(SETORES!$D:$D,SETORES!$A:$A,A662,SETORES!$F:$F,J662)</f>
        <v/>
      </c>
      <c r="F662" s="100" t="n">
        <v>7542.682</v>
      </c>
      <c r="G662" s="99">
        <f>SUMIFS(PARÂMETROS!$F$8:$F$33,PARÂMETROS!$A$8:$A$33,C662,PARÂMETROS!$G$8:$G$33,J662)</f>
        <v/>
      </c>
      <c r="H662" s="100">
        <f>IFERROR(F662*G662,0)</f>
        <v/>
      </c>
      <c r="I662" s="100">
        <f>F662+H662</f>
        <v/>
      </c>
      <c r="J662" s="74" t="inlineStr">
        <is>
          <t>Maio/2026</t>
        </is>
      </c>
    </row>
    <row r="663" ht="14.25" customHeight="1" s="75">
      <c r="A663" s="74" t="inlineStr">
        <is>
          <t>COE</t>
        </is>
      </c>
      <c r="B663" s="74">
        <f>INDEX(SETORES!$B:$B,MATCH(A663,SETORES!$A:$A,0))</f>
        <v/>
      </c>
      <c r="C663" s="74" t="inlineStr">
        <is>
          <t>Empresa Licenciada SOARES E LINS</t>
        </is>
      </c>
      <c r="D663" s="99">
        <f>IF(B663="Clientes",SUMIFS(PARÂMETROS!$D$8:$D$33,PARÂMETROS!$A$8:$A$33,C663,PARÂMETROS!$G$8:$G$33,J663),SUMIFS(PARÂMETROS!$E$8:$E$33,PARÂMETROS!$A$8:$A$33,C663,PARÂMETROS!$G$8:$G$33,J663))</f>
        <v/>
      </c>
      <c r="E663" s="100">
        <f>SUMIFS(SETORES!$D:$D,SETORES!$A:$A,A663,SETORES!$F:$F,J663)</f>
        <v/>
      </c>
      <c r="F663" s="100" t="n">
        <v>1921.0655</v>
      </c>
      <c r="G663" s="99">
        <f>SUMIFS(PARÂMETROS!$F$8:$F$33,PARÂMETROS!$A$8:$A$33,C663,PARÂMETROS!$G$8:$G$33,J663)</f>
        <v/>
      </c>
      <c r="H663" s="100">
        <f>IFERROR(F663*G663,0)</f>
        <v/>
      </c>
      <c r="I663" s="100">
        <f>F663+H663</f>
        <v/>
      </c>
      <c r="J663" s="74" t="inlineStr">
        <is>
          <t>Maio/2026</t>
        </is>
      </c>
    </row>
    <row r="664" ht="14.25" customHeight="1" s="75">
      <c r="A664" s="74" t="inlineStr">
        <is>
          <t>COE</t>
        </is>
      </c>
      <c r="B664" s="74">
        <f>INDEX(SETORES!$B:$B,MATCH(A664,SETORES!$A:$A,0))</f>
        <v/>
      </c>
      <c r="C664" s="74" t="inlineStr">
        <is>
          <t>Empresa Licenciada SOARES E SILVA</t>
        </is>
      </c>
      <c r="D664" s="99">
        <f>IF(B664="Clientes",SUMIFS(PARÂMETROS!$D$8:$D$33,PARÂMETROS!$A$8:$A$33,C664,PARÂMETROS!$G$8:$G$33,J664),SUMIFS(PARÂMETROS!$E$8:$E$33,PARÂMETROS!$A$8:$A$33,C664,PARÂMETROS!$G$8:$G$33,J664))</f>
        <v/>
      </c>
      <c r="E664" s="100">
        <f>SUMIFS(SETORES!$D:$D,SETORES!$A:$A,A664,SETORES!$F:$F,J664)</f>
        <v/>
      </c>
      <c r="F664" s="100" t="n">
        <v>3366.3383</v>
      </c>
      <c r="G664" s="99">
        <f>SUMIFS(PARÂMETROS!$F$8:$F$33,PARÂMETROS!$A$8:$A$33,C664,PARÂMETROS!$G$8:$G$33,J664)</f>
        <v/>
      </c>
      <c r="H664" s="100">
        <f>IFERROR(F664*G664,0)</f>
        <v/>
      </c>
      <c r="I664" s="100">
        <f>F664+H664</f>
        <v/>
      </c>
      <c r="J664" s="74" t="inlineStr">
        <is>
          <t>Maio/2026</t>
        </is>
      </c>
    </row>
    <row r="665" ht="14.25" customHeight="1" s="75">
      <c r="A665" s="74" t="inlineStr">
        <is>
          <t>COE</t>
        </is>
      </c>
      <c r="B665" s="74">
        <f>INDEX(SETORES!$B:$B,MATCH(A665,SETORES!$A:$A,0))</f>
        <v/>
      </c>
      <c r="C665" s="74" t="inlineStr">
        <is>
          <t>Empresa Licenciada SOUZA E SILVA</t>
        </is>
      </c>
      <c r="D665" s="99">
        <f>IF(B665="Clientes",SUMIFS(PARÂMETROS!$D$8:$D$33,PARÂMETROS!$A$8:$A$33,C665,PARÂMETROS!$G$8:$G$33,J665),SUMIFS(PARÂMETROS!$E$8:$E$33,PARÂMETROS!$A$8:$A$33,C665,PARÂMETROS!$G$8:$G$33,J665))</f>
        <v/>
      </c>
      <c r="E665" s="100">
        <f>SUMIFS(SETORES!$D:$D,SETORES!$A:$A,A665,SETORES!$F:$F,J665)</f>
        <v/>
      </c>
      <c r="F665" s="100" t="n">
        <v>0</v>
      </c>
      <c r="G665" s="99">
        <f>SUMIFS(PARÂMETROS!$F$8:$F$33,PARÂMETROS!$A$8:$A$33,C665,PARÂMETROS!$G$8:$G$33,J665)</f>
        <v/>
      </c>
      <c r="H665" s="100">
        <f>IFERROR(F665*G665,0)</f>
        <v/>
      </c>
      <c r="I665" s="100">
        <f>F665+H665</f>
        <v/>
      </c>
      <c r="J665" s="74" t="inlineStr">
        <is>
          <t>Maio/2026</t>
        </is>
      </c>
    </row>
    <row r="666" ht="14.25" customHeight="1" s="75">
      <c r="A666" s="74" t="inlineStr">
        <is>
          <t>COE</t>
        </is>
      </c>
      <c r="B666" s="74">
        <f>INDEX(SETORES!$B:$B,MATCH(A666,SETORES!$A:$A,0))</f>
        <v/>
      </c>
      <c r="C666" s="74" t="inlineStr">
        <is>
          <t>Empresa Licenciada VOICENET</t>
        </is>
      </c>
      <c r="D666" s="99">
        <f>IF(B666="Clientes",SUMIFS(PARÂMETROS!$D$8:$D$33,PARÂMETROS!$A$8:$A$33,C666,PARÂMETROS!$G$8:$G$33,J666),SUMIFS(PARÂMETROS!$E$8:$E$33,PARÂMETROS!$A$8:$A$33,C666,PARÂMETROS!$G$8:$G$33,J666))</f>
        <v/>
      </c>
      <c r="E666" s="100">
        <f>SUMIFS(SETORES!$D:$D,SETORES!$A:$A,A666,SETORES!$F:$F,J666)</f>
        <v/>
      </c>
      <c r="F666" s="100" t="n">
        <v>2516.8589</v>
      </c>
      <c r="G666" s="99">
        <f>SUMIFS(PARÂMETROS!$F$8:$F$33,PARÂMETROS!$A$8:$A$33,C666,PARÂMETROS!$G$8:$G$33,J666)</f>
        <v/>
      </c>
      <c r="H666" s="100">
        <f>IFERROR(F666*G666,0)</f>
        <v/>
      </c>
      <c r="I666" s="100">
        <f>F666+H666</f>
        <v/>
      </c>
      <c r="J666" s="74" t="inlineStr">
        <is>
          <t>Maio/2026</t>
        </is>
      </c>
    </row>
    <row r="667" ht="14.25" customHeight="1" s="75">
      <c r="A667" s="74" t="inlineStr">
        <is>
          <t>COE</t>
        </is>
      </c>
      <c r="B667" s="74">
        <f>INDEX(SETORES!$B:$B,MATCH(A667,SETORES!$A:$A,0))</f>
        <v/>
      </c>
      <c r="C667" s="74" t="inlineStr">
        <is>
          <t>DTEL (uso próprio)</t>
        </is>
      </c>
      <c r="D667" s="99">
        <f>IF(B667="Clientes",SUMIFS(PARÂMETROS!$D$8:$D$33,PARÂMETROS!$A$8:$A$33,C667,PARÂMETROS!$G$8:$G$33,J667),SUMIFS(PARÂMETROS!$E$8:$E$33,PARÂMETROS!$A$8:$A$33,C667,PARÂMETROS!$G$8:$G$33,J667))</f>
        <v/>
      </c>
      <c r="E667" s="100">
        <f>SUMIFS(SETORES!$D:$D,SETORES!$A:$A,A667,SETORES!$F:$F,J667)</f>
        <v/>
      </c>
      <c r="F667" s="100">
        <f>IFERROR(D667*E667,0)</f>
        <v/>
      </c>
      <c r="G667" s="99">
        <f>SUMIFS(PARÂMETROS!$F$8:$F$33,PARÂMETROS!$A$8:$A$33,C667,PARÂMETROS!$G$8:$G$33,J667)</f>
        <v/>
      </c>
      <c r="H667" s="100">
        <f>IFERROR(F667*G667,0)</f>
        <v/>
      </c>
      <c r="I667" s="100">
        <f>F667+H667</f>
        <v/>
      </c>
      <c r="J667" s="74" t="inlineStr">
        <is>
          <t>Maio/2026</t>
        </is>
      </c>
    </row>
    <row r="668" ht="14.25" customHeight="1" s="75">
      <c r="A668" s="74" t="inlineStr">
        <is>
          <t>COE</t>
        </is>
      </c>
      <c r="B668" s="74">
        <f>INDEX(SETORES!$B:$B,MATCH(A668,SETORES!$A:$A,0))</f>
        <v/>
      </c>
      <c r="C668" s="74" t="inlineStr">
        <is>
          <t>Empresa Licenciada DX2</t>
        </is>
      </c>
      <c r="D668" s="99">
        <f>IF(B668="Clientes",SUMIFS(PARÂMETROS!$D$8:$D$33,PARÂMETROS!$A$8:$A$33,C668,PARÂMETROS!$G$8:$G$33,J668),SUMIFS(PARÂMETROS!$E$8:$E$33,PARÂMETROS!$A$8:$A$33,C668,PARÂMETROS!$G$8:$G$33,J668))</f>
        <v/>
      </c>
      <c r="E668" s="100">
        <f>SUMIFS(SETORES!$D:$D,SETORES!$A:$A,A668,SETORES!$F:$F,J668)</f>
        <v/>
      </c>
      <c r="F668" s="100" t="n">
        <v>0</v>
      </c>
      <c r="G668" s="99">
        <f>SUMIFS(PARÂMETROS!$F$8:$F$33,PARÂMETROS!$A$8:$A$33,C668,PARÂMETROS!$G$8:$G$33,J668)</f>
        <v/>
      </c>
      <c r="H668" s="100">
        <f>IFERROR(F668*G668,0)</f>
        <v/>
      </c>
      <c r="I668" s="100">
        <f>F668+H668</f>
        <v/>
      </c>
      <c r="J668" s="74" t="inlineStr">
        <is>
          <t>Junho/2026</t>
        </is>
      </c>
    </row>
    <row r="669" ht="14.25" customHeight="1" s="75">
      <c r="A669" s="74" t="inlineStr">
        <is>
          <t>COE</t>
        </is>
      </c>
      <c r="B669" s="74">
        <f>INDEX(SETORES!$B:$B,MATCH(A669,SETORES!$A:$A,0))</f>
        <v/>
      </c>
      <c r="C669" s="74" t="inlineStr">
        <is>
          <t>Empresa Licenciada H&amp;A</t>
        </is>
      </c>
      <c r="D669" s="99">
        <f>IF(B669="Clientes",SUMIFS(PARÂMETROS!$D$8:$D$33,PARÂMETROS!$A$8:$A$33,C669,PARÂMETROS!$G$8:$G$33,J669),SUMIFS(PARÂMETROS!$E$8:$E$33,PARÂMETROS!$A$8:$A$33,C669,PARÂMETROS!$G$8:$G$33,J669))</f>
        <v/>
      </c>
      <c r="E669" s="100">
        <f>SUMIFS(SETORES!$D:$D,SETORES!$A:$A,A669,SETORES!$F:$F,J669)</f>
        <v/>
      </c>
      <c r="F669" s="100" t="n">
        <v>0</v>
      </c>
      <c r="G669" s="99">
        <f>SUMIFS(PARÂMETROS!$F$8:$F$33,PARÂMETROS!$A$8:$A$33,C669,PARÂMETROS!$G$8:$G$33,J669)</f>
        <v/>
      </c>
      <c r="H669" s="100">
        <f>IFERROR(F669*G669,0)</f>
        <v/>
      </c>
      <c r="I669" s="100">
        <f>F669+H669</f>
        <v/>
      </c>
      <c r="J669" s="74" t="inlineStr">
        <is>
          <t>Junho/2026</t>
        </is>
      </c>
    </row>
    <row r="670" ht="14.25" customHeight="1" s="75">
      <c r="A670" s="74" t="inlineStr">
        <is>
          <t>COE</t>
        </is>
      </c>
      <c r="B670" s="74">
        <f>INDEX(SETORES!$B:$B,MATCH(A670,SETORES!$A:$A,0))</f>
        <v/>
      </c>
      <c r="C670" s="74" t="inlineStr">
        <is>
          <t>Empresa Licenciada SOLON ARAUJO</t>
        </is>
      </c>
      <c r="D670" s="99">
        <f>IF(B670="Clientes",SUMIFS(PARÂMETROS!$D$8:$D$33,PARÂMETROS!$A$8:$A$33,C670,PARÂMETROS!$G$8:$G$33,J670),SUMIFS(PARÂMETROS!$E$8:$E$33,PARÂMETROS!$A$8:$A$33,C670,PARÂMETROS!$G$8:$G$33,J670))</f>
        <v/>
      </c>
      <c r="E670" s="100">
        <f>SUMIFS(SETORES!$D:$D,SETORES!$A:$A,A670,SETORES!$F:$F,J670)</f>
        <v/>
      </c>
      <c r="F670" s="100" t="n">
        <v>8141.6567</v>
      </c>
      <c r="G670" s="99">
        <f>SUMIFS(PARÂMETROS!$F$8:$F$33,PARÂMETROS!$A$8:$A$33,C670,PARÂMETROS!$G$8:$G$33,J670)</f>
        <v/>
      </c>
      <c r="H670" s="100">
        <f>IFERROR(F670*G670,0)</f>
        <v/>
      </c>
      <c r="I670" s="100">
        <f>F670+H670</f>
        <v/>
      </c>
      <c r="J670" s="74" t="inlineStr">
        <is>
          <t>Junho/2026</t>
        </is>
      </c>
    </row>
    <row r="671" ht="14.25" customHeight="1" s="75">
      <c r="A671" s="74" t="inlineStr">
        <is>
          <t>COE</t>
        </is>
      </c>
      <c r="B671" s="74">
        <f>INDEX(SETORES!$B:$B,MATCH(A671,SETORES!$A:$A,0))</f>
        <v/>
      </c>
      <c r="C671" s="74" t="inlineStr">
        <is>
          <t>Empresa Licenciada SOARES E LINS</t>
        </is>
      </c>
      <c r="D671" s="99">
        <f>IF(B671="Clientes",SUMIFS(PARÂMETROS!$D$8:$D$33,PARÂMETROS!$A$8:$A$33,C671,PARÂMETROS!$G$8:$G$33,J671),SUMIFS(PARÂMETROS!$E$8:$E$33,PARÂMETROS!$A$8:$A$33,C671,PARÂMETROS!$G$8:$G$33,J671))</f>
        <v/>
      </c>
      <c r="E671" s="100">
        <f>SUMIFS(SETORES!$D:$D,SETORES!$A:$A,A671,SETORES!$F:$F,J671)</f>
        <v/>
      </c>
      <c r="F671" s="100" t="n">
        <v>2088.2693</v>
      </c>
      <c r="G671" s="99">
        <f>SUMIFS(PARÂMETROS!$F$8:$F$33,PARÂMETROS!$A$8:$A$33,C671,PARÂMETROS!$G$8:$G$33,J671)</f>
        <v/>
      </c>
      <c r="H671" s="100">
        <f>IFERROR(F671*G671,0)</f>
        <v/>
      </c>
      <c r="I671" s="100">
        <f>F671+H671</f>
        <v/>
      </c>
      <c r="J671" s="74" t="inlineStr">
        <is>
          <t>Junho/2026</t>
        </is>
      </c>
    </row>
    <row r="672" ht="14.25" customHeight="1" s="75">
      <c r="A672" s="74" t="inlineStr">
        <is>
          <t>COE</t>
        </is>
      </c>
      <c r="B672" s="74">
        <f>INDEX(SETORES!$B:$B,MATCH(A672,SETORES!$A:$A,0))</f>
        <v/>
      </c>
      <c r="C672" s="74" t="inlineStr">
        <is>
          <t>Empresa Licenciada SOARES E SILVA</t>
        </is>
      </c>
      <c r="D672" s="99">
        <f>IF(B672="Clientes",SUMIFS(PARÂMETROS!$D$8:$D$33,PARÂMETROS!$A$8:$A$33,C672,PARÂMETROS!$G$8:$G$33,J672),SUMIFS(PARÂMETROS!$E$8:$E$33,PARÂMETROS!$A$8:$A$33,C672,PARÂMETROS!$G$8:$G$33,J672))</f>
        <v/>
      </c>
      <c r="E672" s="100">
        <f>SUMIFS(SETORES!$D:$D,SETORES!$A:$A,A672,SETORES!$F:$F,J672)</f>
        <v/>
      </c>
      <c r="F672" s="100" t="n">
        <v>3627.4094</v>
      </c>
      <c r="G672" s="99">
        <f>SUMIFS(PARÂMETROS!$F$8:$F$33,PARÂMETROS!$A$8:$A$33,C672,PARÂMETROS!$G$8:$G$33,J672)</f>
        <v/>
      </c>
      <c r="H672" s="100">
        <f>IFERROR(F672*G672,0)</f>
        <v/>
      </c>
      <c r="I672" s="100">
        <f>F672+H672</f>
        <v/>
      </c>
      <c r="J672" s="74" t="inlineStr">
        <is>
          <t>Junho/2026</t>
        </is>
      </c>
    </row>
    <row r="673" ht="14.25" customHeight="1" s="75">
      <c r="A673" s="74" t="inlineStr">
        <is>
          <t>COE</t>
        </is>
      </c>
      <c r="B673" s="74">
        <f>INDEX(SETORES!$B:$B,MATCH(A673,SETORES!$A:$A,0))</f>
        <v/>
      </c>
      <c r="C673" s="74" t="inlineStr">
        <is>
          <t>Empresa Licenciada SOUZA E SILVA</t>
        </is>
      </c>
      <c r="D673" s="99">
        <f>IF(B673="Clientes",SUMIFS(PARÂMETROS!$D$8:$D$33,PARÂMETROS!$A$8:$A$33,C673,PARÂMETROS!$G$8:$G$33,J673),SUMIFS(PARÂMETROS!$E$8:$E$33,PARÂMETROS!$A$8:$A$33,C673,PARÂMETROS!$G$8:$G$33,J673))</f>
        <v/>
      </c>
      <c r="E673" s="100">
        <f>SUMIFS(SETORES!$D:$D,SETORES!$A:$A,A673,SETORES!$F:$F,J673)</f>
        <v/>
      </c>
      <c r="F673" s="100" t="n">
        <v>0</v>
      </c>
      <c r="G673" s="99">
        <f>SUMIFS(PARÂMETROS!$F$8:$F$33,PARÂMETROS!$A$8:$A$33,C673,PARÂMETROS!$G$8:$G$33,J673)</f>
        <v/>
      </c>
      <c r="H673" s="100">
        <f>IFERROR(F673*G673,0)</f>
        <v/>
      </c>
      <c r="I673" s="100">
        <f>F673+H673</f>
        <v/>
      </c>
      <c r="J673" s="74" t="inlineStr">
        <is>
          <t>Junho/2026</t>
        </is>
      </c>
    </row>
    <row r="674" ht="14.25" customHeight="1" s="75">
      <c r="A674" s="74" t="inlineStr">
        <is>
          <t>COE</t>
        </is>
      </c>
      <c r="B674" s="74">
        <f>INDEX(SETORES!$B:$B,MATCH(A674,SETORES!$A:$A,0))</f>
        <v/>
      </c>
      <c r="C674" s="74" t="inlineStr">
        <is>
          <t>Empresa Licenciada VOICENET</t>
        </is>
      </c>
      <c r="D674" s="99">
        <f>IF(B674="Clientes",SUMIFS(PARÂMETROS!$D$8:$D$33,PARÂMETROS!$A$8:$A$33,C674,PARÂMETROS!$G$8:$G$33,J674),SUMIFS(PARÂMETROS!$E$8:$E$33,PARÂMETROS!$A$8:$A$33,C674,PARÂMETROS!$G$8:$G$33,J674))</f>
        <v/>
      </c>
      <c r="E674" s="100">
        <f>SUMIFS(SETORES!$D:$D,SETORES!$A:$A,A674,SETORES!$F:$F,J674)</f>
        <v/>
      </c>
      <c r="F674" s="100" t="n">
        <v>2703.3615</v>
      </c>
      <c r="G674" s="99">
        <f>SUMIFS(PARÂMETROS!$F$8:$F$33,PARÂMETROS!$A$8:$A$33,C674,PARÂMETROS!$G$8:$G$33,J674)</f>
        <v/>
      </c>
      <c r="H674" s="100">
        <f>IFERROR(F674*G674,0)</f>
        <v/>
      </c>
      <c r="I674" s="100">
        <f>F674+H674</f>
        <v/>
      </c>
      <c r="J674" s="74" t="inlineStr">
        <is>
          <t>Junho/2026</t>
        </is>
      </c>
    </row>
    <row r="675" ht="14.25" customHeight="1" s="75">
      <c r="A675" s="74" t="inlineStr">
        <is>
          <t>COE</t>
        </is>
      </c>
      <c r="B675" s="74">
        <f>INDEX(SETORES!$B:$B,MATCH(A675,SETORES!$A:$A,0))</f>
        <v/>
      </c>
      <c r="C675" s="74" t="inlineStr">
        <is>
          <t>DTEL (uso próprio)</t>
        </is>
      </c>
      <c r="D675" s="99">
        <f>IF(B675="Clientes",SUMIFS(PARÂMETROS!$D$8:$D$33,PARÂMETROS!$A$8:$A$33,C675,PARÂMETROS!$G$8:$G$33,J675),SUMIFS(PARÂMETROS!$E$8:$E$33,PARÂMETROS!$A$8:$A$33,C675,PARÂMETROS!$G$8:$G$33,J675))</f>
        <v/>
      </c>
      <c r="E675" s="100">
        <f>SUMIFS(SETORES!$D:$D,SETORES!$A:$A,A675,SETORES!$F:$F,J675)</f>
        <v/>
      </c>
      <c r="F675" s="100">
        <f>IFERROR(D675*E675,0)</f>
        <v/>
      </c>
      <c r="G675" s="99">
        <f>SUMIFS(PARÂMETROS!$F$8:$F$33,PARÂMETROS!$A$8:$A$33,C675,PARÂMETROS!$G$8:$G$33,J675)</f>
        <v/>
      </c>
      <c r="H675" s="100">
        <f>IFERROR(F675*G675,0)</f>
        <v/>
      </c>
      <c r="I675" s="100">
        <f>F675+H675</f>
        <v/>
      </c>
      <c r="J675" s="74" t="inlineStr">
        <is>
          <t>Junho/2026</t>
        </is>
      </c>
    </row>
    <row r="676" ht="14.25" customHeight="1" s="75">
      <c r="A676" s="74" t="inlineStr">
        <is>
          <t>COE</t>
        </is>
      </c>
      <c r="B676" s="74">
        <f>INDEX(SETORES!$B:$B,MATCH(A676,SETORES!$A:$A,0))</f>
        <v/>
      </c>
      <c r="C676" s="74" t="inlineStr">
        <is>
          <t>Empresa Licenciada DX2</t>
        </is>
      </c>
      <c r="D676" s="99">
        <f>IF(B676="Clientes",SUMIFS(PARÂMETROS!$D$8:$D$33,PARÂMETROS!$A$8:$A$33,C676,PARÂMETROS!$G$8:$G$33,J676),SUMIFS(PARÂMETROS!$E$8:$E$33,PARÂMETROS!$A$8:$A$33,C676,PARÂMETROS!$G$8:$G$33,J676))</f>
        <v/>
      </c>
      <c r="E676" s="100">
        <f>SUMIFS(SETORES!$D:$D,SETORES!$A:$A,A676,SETORES!$F:$F,J676)</f>
        <v/>
      </c>
      <c r="F676" s="100" t="n">
        <v>0</v>
      </c>
      <c r="G676" s="99">
        <f>SUMIFS(PARÂMETROS!$F$8:$F$33,PARÂMETROS!$A$8:$A$33,C676,PARÂMETROS!$G$8:$G$33,J676)</f>
        <v/>
      </c>
      <c r="H676" s="100">
        <f>IFERROR(F676*G676,0)</f>
        <v/>
      </c>
      <c r="I676" s="100">
        <f>F676+H676</f>
        <v/>
      </c>
      <c r="J676" s="74" t="inlineStr">
        <is>
          <t>Julho/2026</t>
        </is>
      </c>
    </row>
    <row r="677" ht="14.25" customHeight="1" s="75">
      <c r="A677" s="74" t="inlineStr">
        <is>
          <t>COE</t>
        </is>
      </c>
      <c r="B677" s="74">
        <f>INDEX(SETORES!$B:$B,MATCH(A677,SETORES!$A:$A,0))</f>
        <v/>
      </c>
      <c r="C677" s="74" t="inlineStr">
        <is>
          <t>Empresa Licenciada H&amp;A</t>
        </is>
      </c>
      <c r="D677" s="99">
        <f>IF(B677="Clientes",SUMIFS(PARÂMETROS!$D$8:$D$33,PARÂMETROS!$A$8:$A$33,C677,PARÂMETROS!$G$8:$G$33,J677),SUMIFS(PARÂMETROS!$E$8:$E$33,PARÂMETROS!$A$8:$A$33,C677,PARÂMETROS!$G$8:$G$33,J677))</f>
        <v/>
      </c>
      <c r="E677" s="100">
        <f>SUMIFS(SETORES!$D:$D,SETORES!$A:$A,A677,SETORES!$F:$F,J677)</f>
        <v/>
      </c>
      <c r="F677" s="100" t="n">
        <v>0</v>
      </c>
      <c r="G677" s="99">
        <f>SUMIFS(PARÂMETROS!$F$8:$F$33,PARÂMETROS!$A$8:$A$33,C677,PARÂMETROS!$G$8:$G$33,J677)</f>
        <v/>
      </c>
      <c r="H677" s="100">
        <f>IFERROR(F677*G677,0)</f>
        <v/>
      </c>
      <c r="I677" s="100">
        <f>F677+H677</f>
        <v/>
      </c>
      <c r="J677" s="74" t="inlineStr">
        <is>
          <t>Julho/2026</t>
        </is>
      </c>
    </row>
    <row r="678" ht="14.25" customHeight="1" s="75">
      <c r="A678" s="74" t="inlineStr">
        <is>
          <t>COE</t>
        </is>
      </c>
      <c r="B678" s="74">
        <f>INDEX(SETORES!$B:$B,MATCH(A678,SETORES!$A:$A,0))</f>
        <v/>
      </c>
      <c r="C678" s="74" t="inlineStr">
        <is>
          <t>Empresa Licenciada SOLON ARAUJO</t>
        </is>
      </c>
      <c r="D678" s="99">
        <f>IF(B678="Clientes",SUMIFS(PARÂMETROS!$D$8:$D$33,PARÂMETROS!$A$8:$A$33,C678,PARÂMETROS!$G$8:$G$33,J678),SUMIFS(PARÂMETROS!$E$8:$E$33,PARÂMETROS!$A$8:$A$33,C678,PARÂMETROS!$G$8:$G$33,J678))</f>
        <v/>
      </c>
      <c r="E678" s="100">
        <f>SUMIFS(SETORES!$D:$D,SETORES!$A:$A,A678,SETORES!$F:$F,J678)</f>
        <v/>
      </c>
      <c r="F678" s="100" t="n">
        <v>6316.27</v>
      </c>
      <c r="G678" s="99">
        <f>SUMIFS(PARÂMETROS!$F$8:$F$33,PARÂMETROS!$A$8:$A$33,C678,PARÂMETROS!$G$8:$G$33,J678)</f>
        <v/>
      </c>
      <c r="H678" s="100">
        <f>IFERROR(F678*G678,0)</f>
        <v/>
      </c>
      <c r="I678" s="100">
        <f>F678+H678</f>
        <v/>
      </c>
      <c r="J678" s="74" t="inlineStr">
        <is>
          <t>Julho/2026</t>
        </is>
      </c>
    </row>
    <row r="679" ht="14.25" customHeight="1" s="75">
      <c r="A679" s="74" t="inlineStr">
        <is>
          <t>COE</t>
        </is>
      </c>
      <c r="B679" s="74">
        <f>INDEX(SETORES!$B:$B,MATCH(A679,SETORES!$A:$A,0))</f>
        <v/>
      </c>
      <c r="C679" s="74" t="inlineStr">
        <is>
          <t>Empresa Licenciada SOARES E LINS</t>
        </is>
      </c>
      <c r="D679" s="99">
        <f>IF(B679="Clientes",SUMIFS(PARÂMETROS!$D$8:$D$33,PARÂMETROS!$A$8:$A$33,C679,PARÂMETROS!$G$8:$G$33,J679),SUMIFS(PARÂMETROS!$E$8:$E$33,PARÂMETROS!$A$8:$A$33,C679,PARÂMETROS!$G$8:$G$33,J679))</f>
        <v/>
      </c>
      <c r="E679" s="100">
        <f>SUMIFS(SETORES!$D:$D,SETORES!$A:$A,A679,SETORES!$F:$F,J679)</f>
        <v/>
      </c>
      <c r="F679" s="100" t="n">
        <v>1618.95</v>
      </c>
      <c r="G679" s="99">
        <f>SUMIFS(PARÂMETROS!$F$8:$F$33,PARÂMETROS!$A$8:$A$33,C679,PARÂMETROS!$G$8:$G$33,J679)</f>
        <v/>
      </c>
      <c r="H679" s="100">
        <f>IFERROR(F679*G679,0)</f>
        <v/>
      </c>
      <c r="I679" s="100">
        <f>F679+H679</f>
        <v/>
      </c>
      <c r="J679" s="74" t="inlineStr">
        <is>
          <t>Julho/2026</t>
        </is>
      </c>
    </row>
    <row r="680" ht="14.25" customHeight="1" s="75">
      <c r="A680" s="74" t="inlineStr">
        <is>
          <t>COE</t>
        </is>
      </c>
      <c r="B680" s="74">
        <f>INDEX(SETORES!$B:$B,MATCH(A680,SETORES!$A:$A,0))</f>
        <v/>
      </c>
      <c r="C680" s="74" t="inlineStr">
        <is>
          <t>Empresa Licenciada SOARES E SILVA</t>
        </is>
      </c>
      <c r="D680" s="99">
        <f>IF(B680="Clientes",SUMIFS(PARÂMETROS!$D$8:$D$33,PARÂMETROS!$A$8:$A$33,C680,PARÂMETROS!$G$8:$G$33,J680),SUMIFS(PARÂMETROS!$E$8:$E$33,PARÂMETROS!$A$8:$A$33,C680,PARÂMETROS!$G$8:$G$33,J680))</f>
        <v/>
      </c>
      <c r="E680" s="100">
        <f>SUMIFS(SETORES!$D:$D,SETORES!$A:$A,A680,SETORES!$F:$F,J680)</f>
        <v/>
      </c>
      <c r="F680" s="100" t="n">
        <v>0</v>
      </c>
      <c r="G680" s="99">
        <f>SUMIFS(PARÂMETROS!$F$8:$F$33,PARÂMETROS!$A$8:$A$33,C680,PARÂMETROS!$G$8:$G$33,J680)</f>
        <v/>
      </c>
      <c r="H680" s="100">
        <f>IFERROR(F680*G680,0)</f>
        <v/>
      </c>
      <c r="I680" s="100">
        <f>F680+H680</f>
        <v/>
      </c>
      <c r="J680" s="74" t="inlineStr">
        <is>
          <t>Julho/2026</t>
        </is>
      </c>
    </row>
    <row r="681" ht="14.25" customHeight="1" s="75">
      <c r="A681" s="74" t="inlineStr">
        <is>
          <t>COE</t>
        </is>
      </c>
      <c r="B681" s="74">
        <f>INDEX(SETORES!$B:$B,MATCH(A681,SETORES!$A:$A,0))</f>
        <v/>
      </c>
      <c r="C681" s="74" t="inlineStr">
        <is>
          <t>Empresa Licenciada SOUZA E SILVA</t>
        </is>
      </c>
      <c r="D681" s="99">
        <f>IF(B681="Clientes",SUMIFS(PARÂMETROS!$D$8:$D$33,PARÂMETROS!$A$8:$A$33,C681,PARÂMETROS!$G$8:$G$33,J681),SUMIFS(PARÂMETROS!$E$8:$E$33,PARÂMETROS!$A$8:$A$33,C681,PARÂMETROS!$G$8:$G$33,J681))</f>
        <v/>
      </c>
      <c r="E681" s="100">
        <f>SUMIFS(SETORES!$D:$D,SETORES!$A:$A,A681,SETORES!$F:$F,J681)</f>
        <v/>
      </c>
      <c r="F681" s="100" t="n">
        <v>0</v>
      </c>
      <c r="G681" s="99">
        <f>SUMIFS(PARÂMETROS!$F$8:$F$33,PARÂMETROS!$A$8:$A$33,C681,PARÂMETROS!$G$8:$G$33,J681)</f>
        <v/>
      </c>
      <c r="H681" s="100">
        <f>IFERROR(F681*G681,0)</f>
        <v/>
      </c>
      <c r="I681" s="100">
        <f>F681+H681</f>
        <v/>
      </c>
      <c r="J681" s="74" t="inlineStr">
        <is>
          <t>Julho/2026</t>
        </is>
      </c>
    </row>
    <row r="682" ht="14.25" customHeight="1" s="75">
      <c r="A682" s="74" t="inlineStr">
        <is>
          <t>COE</t>
        </is>
      </c>
      <c r="B682" s="74">
        <f>INDEX(SETORES!$B:$B,MATCH(A682,SETORES!$A:$A,0))</f>
        <v/>
      </c>
      <c r="C682" s="74" t="inlineStr">
        <is>
          <t>Empresa Licenciada VOICENET</t>
        </is>
      </c>
      <c r="D682" s="99">
        <f>IF(B682="Clientes",SUMIFS(PARÂMETROS!$D$8:$D$33,PARÂMETROS!$A$8:$A$33,C682,PARÂMETROS!$G$8:$G$33,J682),SUMIFS(PARÂMETROS!$E$8:$E$33,PARÂMETROS!$A$8:$A$33,C682,PARÂMETROS!$G$8:$G$33,J682))</f>
        <v/>
      </c>
      <c r="E682" s="100">
        <f>SUMIFS(SETORES!$D:$D,SETORES!$A:$A,A682,SETORES!$F:$F,J682)</f>
        <v/>
      </c>
      <c r="F682" s="100" t="n">
        <v>2066.58</v>
      </c>
      <c r="G682" s="99">
        <f>SUMIFS(PARÂMETROS!$F$8:$F$33,PARÂMETROS!$A$8:$A$33,C682,PARÂMETROS!$G$8:$G$33,J682)</f>
        <v/>
      </c>
      <c r="H682" s="100">
        <f>IFERROR(F682*G682,0)</f>
        <v/>
      </c>
      <c r="I682" s="100">
        <f>F682+H682</f>
        <v/>
      </c>
      <c r="J682" s="74" t="inlineStr">
        <is>
          <t>Julho/2026</t>
        </is>
      </c>
    </row>
    <row r="683" ht="14.25" customHeight="1" s="75">
      <c r="A683" s="74" t="inlineStr">
        <is>
          <t>COE</t>
        </is>
      </c>
      <c r="B683" s="74">
        <f>INDEX(SETORES!$B:$B,MATCH(A683,SETORES!$A:$A,0))</f>
        <v/>
      </c>
      <c r="C683" s="74" t="inlineStr">
        <is>
          <t>DTEL (uso próprio)</t>
        </is>
      </c>
      <c r="D683" s="99">
        <f>IF(B683="Clientes",SUMIFS(PARÂMETROS!$D$8:$D$33,PARÂMETROS!$A$8:$A$33,C683,PARÂMETROS!$G$8:$G$33,J683),SUMIFS(PARÂMETROS!$E$8:$E$33,PARÂMETROS!$A$8:$A$33,C683,PARÂMETROS!$G$8:$G$33,J683))</f>
        <v/>
      </c>
      <c r="E683" s="100">
        <f>SUMIFS(SETORES!$D:$D,SETORES!$A:$A,A683,SETORES!$F:$F,J683)</f>
        <v/>
      </c>
      <c r="F683" s="100">
        <f>IFERROR(D683*E683,0)</f>
        <v/>
      </c>
      <c r="G683" s="99">
        <f>SUMIFS(PARÂMETROS!$F$8:$F$33,PARÂMETROS!$A$8:$A$33,C683,PARÂMETROS!$G$8:$G$33,J683)</f>
        <v/>
      </c>
      <c r="H683" s="100">
        <f>IFERROR(F683*G683,0)</f>
        <v/>
      </c>
      <c r="I683" s="100">
        <f>F683+H683</f>
        <v/>
      </c>
      <c r="J683" s="74" t="inlineStr">
        <is>
          <t>Julho/2026</t>
        </is>
      </c>
    </row>
    <row r="684" ht="14.25" customHeight="1" s="75">
      <c r="A684" s="74" t="inlineStr">
        <is>
          <t>Cozinha</t>
        </is>
      </c>
      <c r="B684" s="74">
        <f>INDEX(SETORES!$B:$B,MATCH(A684,SETORES!$A:$A,0))</f>
        <v/>
      </c>
      <c r="C684" s="74" t="inlineStr">
        <is>
          <t>Empresa Licenciada DX2</t>
        </is>
      </c>
      <c r="D684" s="99">
        <f>IF(B684="Clientes",SUMIFS(PARÂMETROS!$D$8:$D$33,PARÂMETROS!$A$8:$A$33,C684,PARÂMETROS!$G$8:$G$33,J684),SUMIFS(PARÂMETROS!$E$8:$E$33,PARÂMETROS!$A$8:$A$33,C684,PARÂMETROS!$G$8:$G$33,J684))</f>
        <v/>
      </c>
      <c r="E684" s="100">
        <f>SUMIFS(SETORES!$D:$D,SETORES!$A:$A,A684,SETORES!$F:$F,J684)</f>
        <v/>
      </c>
      <c r="F684" s="100">
        <f>IFERROR(D684*E684,0)</f>
        <v/>
      </c>
      <c r="G684" s="99">
        <f>SUMIFS(PARÂMETROS!$F$8:$F$33,PARÂMETROS!$A$8:$A$33,C684,PARÂMETROS!$G$8:$G$33,J684)</f>
        <v/>
      </c>
      <c r="H684" s="100">
        <f>IFERROR(F684*G684,0)</f>
        <v/>
      </c>
      <c r="I684" s="100">
        <f>F684+H684</f>
        <v/>
      </c>
      <c r="J684" s="74" t="inlineStr">
        <is>
          <t>Maio/2026</t>
        </is>
      </c>
    </row>
    <row r="685" ht="14.25" customHeight="1" s="75">
      <c r="A685" s="74" t="inlineStr">
        <is>
          <t>Cozinha</t>
        </is>
      </c>
      <c r="B685" s="74">
        <f>INDEX(SETORES!$B:$B,MATCH(A685,SETORES!$A:$A,0))</f>
        <v/>
      </c>
      <c r="C685" s="74" t="inlineStr">
        <is>
          <t>Empresa Licenciada H&amp;A</t>
        </is>
      </c>
      <c r="D685" s="99">
        <f>IF(B685="Clientes",SUMIFS(PARÂMETROS!$D$8:$D$33,PARÂMETROS!$A$8:$A$33,C685,PARÂMETROS!$G$8:$G$33,J685),SUMIFS(PARÂMETROS!$E$8:$E$33,PARÂMETROS!$A$8:$A$33,C685,PARÂMETROS!$G$8:$G$33,J685))</f>
        <v/>
      </c>
      <c r="E685" s="100">
        <f>SUMIFS(SETORES!$D:$D,SETORES!$A:$A,A685,SETORES!$F:$F,J685)</f>
        <v/>
      </c>
      <c r="F685" s="100">
        <f>IFERROR(D685*E685,0)</f>
        <v/>
      </c>
      <c r="G685" s="99">
        <f>SUMIFS(PARÂMETROS!$F$8:$F$33,PARÂMETROS!$A$8:$A$33,C685,PARÂMETROS!$G$8:$G$33,J685)</f>
        <v/>
      </c>
      <c r="H685" s="100">
        <f>IFERROR(F685*G685,0)</f>
        <v/>
      </c>
      <c r="I685" s="100">
        <f>F685+H685</f>
        <v/>
      </c>
      <c r="J685" s="74" t="inlineStr">
        <is>
          <t>Maio/2026</t>
        </is>
      </c>
    </row>
    <row r="686" ht="14.25" customHeight="1" s="75">
      <c r="A686" s="74" t="inlineStr">
        <is>
          <t>Cozinha</t>
        </is>
      </c>
      <c r="B686" s="74">
        <f>INDEX(SETORES!$B:$B,MATCH(A686,SETORES!$A:$A,0))</f>
        <v/>
      </c>
      <c r="C686" s="74" t="inlineStr">
        <is>
          <t>Empresa Licenciada SOLON ARAUJO</t>
        </is>
      </c>
      <c r="D686" s="99">
        <f>IF(B686="Clientes",SUMIFS(PARÂMETROS!$D$8:$D$33,PARÂMETROS!$A$8:$A$33,C686,PARÂMETROS!$G$8:$G$33,J686),SUMIFS(PARÂMETROS!$E$8:$E$33,PARÂMETROS!$A$8:$A$33,C686,PARÂMETROS!$G$8:$G$33,J686))</f>
        <v/>
      </c>
      <c r="E686" s="100">
        <f>SUMIFS(SETORES!$D:$D,SETORES!$A:$A,A686,SETORES!$F:$F,J686)</f>
        <v/>
      </c>
      <c r="F686" s="100">
        <f>IFERROR(D686*E686,0)</f>
        <v/>
      </c>
      <c r="G686" s="99">
        <f>SUMIFS(PARÂMETROS!$F$8:$F$33,PARÂMETROS!$A$8:$A$33,C686,PARÂMETROS!$G$8:$G$33,J686)</f>
        <v/>
      </c>
      <c r="H686" s="100">
        <f>IFERROR(F686*G686,0)</f>
        <v/>
      </c>
      <c r="I686" s="100">
        <f>F686+H686</f>
        <v/>
      </c>
      <c r="J686" s="74" t="inlineStr">
        <is>
          <t>Maio/2026</t>
        </is>
      </c>
    </row>
    <row r="687" ht="14.25" customHeight="1" s="75">
      <c r="A687" s="74" t="inlineStr">
        <is>
          <t>Cozinha</t>
        </is>
      </c>
      <c r="B687" s="74">
        <f>INDEX(SETORES!$B:$B,MATCH(A687,SETORES!$A:$A,0))</f>
        <v/>
      </c>
      <c r="C687" s="74" t="inlineStr">
        <is>
          <t>Empresa Licenciada SOARES E LINS</t>
        </is>
      </c>
      <c r="D687" s="99">
        <f>IF(B687="Clientes",SUMIFS(PARÂMETROS!$D$8:$D$33,PARÂMETROS!$A$8:$A$33,C687,PARÂMETROS!$G$8:$G$33,J687),SUMIFS(PARÂMETROS!$E$8:$E$33,PARÂMETROS!$A$8:$A$33,C687,PARÂMETROS!$G$8:$G$33,J687))</f>
        <v/>
      </c>
      <c r="E687" s="100">
        <f>SUMIFS(SETORES!$D:$D,SETORES!$A:$A,A687,SETORES!$F:$F,J687)</f>
        <v/>
      </c>
      <c r="F687" s="100">
        <f>IFERROR(D687*E687,0)</f>
        <v/>
      </c>
      <c r="G687" s="99">
        <f>SUMIFS(PARÂMETROS!$F$8:$F$33,PARÂMETROS!$A$8:$A$33,C687,PARÂMETROS!$G$8:$G$33,J687)</f>
        <v/>
      </c>
      <c r="H687" s="100">
        <f>IFERROR(F687*G687,0)</f>
        <v/>
      </c>
      <c r="I687" s="100">
        <f>F687+H687</f>
        <v/>
      </c>
      <c r="J687" s="74" t="inlineStr">
        <is>
          <t>Maio/2026</t>
        </is>
      </c>
    </row>
    <row r="688" ht="14.25" customHeight="1" s="75">
      <c r="A688" s="74" t="inlineStr">
        <is>
          <t>Cozinha</t>
        </is>
      </c>
      <c r="B688" s="74">
        <f>INDEX(SETORES!$B:$B,MATCH(A688,SETORES!$A:$A,0))</f>
        <v/>
      </c>
      <c r="C688" s="74" t="inlineStr">
        <is>
          <t>Empresa Licenciada SOARES E SILVA</t>
        </is>
      </c>
      <c r="D688" s="99">
        <f>IF(B688="Clientes",SUMIFS(PARÂMETROS!$D$8:$D$33,PARÂMETROS!$A$8:$A$33,C688,PARÂMETROS!$G$8:$G$33,J688),SUMIFS(PARÂMETROS!$E$8:$E$33,PARÂMETROS!$A$8:$A$33,C688,PARÂMETROS!$G$8:$G$33,J688))</f>
        <v/>
      </c>
      <c r="E688" s="100">
        <f>SUMIFS(SETORES!$D:$D,SETORES!$A:$A,A688,SETORES!$F:$F,J688)</f>
        <v/>
      </c>
      <c r="F688" s="100">
        <f>IFERROR(D688*E688,0)</f>
        <v/>
      </c>
      <c r="G688" s="99">
        <f>SUMIFS(PARÂMETROS!$F$8:$F$33,PARÂMETROS!$A$8:$A$33,C688,PARÂMETROS!$G$8:$G$33,J688)</f>
        <v/>
      </c>
      <c r="H688" s="100">
        <f>IFERROR(F688*G688,0)</f>
        <v/>
      </c>
      <c r="I688" s="100">
        <f>F688+H688</f>
        <v/>
      </c>
      <c r="J688" s="74" t="inlineStr">
        <is>
          <t>Maio/2026</t>
        </is>
      </c>
    </row>
    <row r="689" ht="14.25" customHeight="1" s="75">
      <c r="A689" s="74" t="inlineStr">
        <is>
          <t>Cozinha</t>
        </is>
      </c>
      <c r="B689" s="74">
        <f>INDEX(SETORES!$B:$B,MATCH(A689,SETORES!$A:$A,0))</f>
        <v/>
      </c>
      <c r="C689" s="74" t="inlineStr">
        <is>
          <t>Empresa Licenciada SOUZA E SILVA</t>
        </is>
      </c>
      <c r="D689" s="99">
        <f>IF(B689="Clientes",SUMIFS(PARÂMETROS!$D$8:$D$33,PARÂMETROS!$A$8:$A$33,C689,PARÂMETROS!$G$8:$G$33,J689),SUMIFS(PARÂMETROS!$E$8:$E$33,PARÂMETROS!$A$8:$A$33,C689,PARÂMETROS!$G$8:$G$33,J689))</f>
        <v/>
      </c>
      <c r="E689" s="100">
        <f>SUMIFS(SETORES!$D:$D,SETORES!$A:$A,A689,SETORES!$F:$F,J689)</f>
        <v/>
      </c>
      <c r="F689" s="100">
        <f>IFERROR(D689*E689,0)</f>
        <v/>
      </c>
      <c r="G689" s="99">
        <f>SUMIFS(PARÂMETROS!$F$8:$F$33,PARÂMETROS!$A$8:$A$33,C689,PARÂMETROS!$G$8:$G$33,J689)</f>
        <v/>
      </c>
      <c r="H689" s="100">
        <f>IFERROR(F689*G689,0)</f>
        <v/>
      </c>
      <c r="I689" s="100">
        <f>F689+H689</f>
        <v/>
      </c>
      <c r="J689" s="74" t="inlineStr">
        <is>
          <t>Maio/2026</t>
        </is>
      </c>
    </row>
    <row r="690" ht="14.25" customHeight="1" s="75">
      <c r="A690" s="74" t="inlineStr">
        <is>
          <t>Cozinha</t>
        </is>
      </c>
      <c r="B690" s="74">
        <f>INDEX(SETORES!$B:$B,MATCH(A690,SETORES!$A:$A,0))</f>
        <v/>
      </c>
      <c r="C690" s="74" t="inlineStr">
        <is>
          <t>Empresa Licenciada VOICENET</t>
        </is>
      </c>
      <c r="D690" s="99">
        <f>IF(B690="Clientes",SUMIFS(PARÂMETROS!$D$8:$D$33,PARÂMETROS!$A$8:$A$33,C690,PARÂMETROS!$G$8:$G$33,J690),SUMIFS(PARÂMETROS!$E$8:$E$33,PARÂMETROS!$A$8:$A$33,C690,PARÂMETROS!$G$8:$G$33,J690))</f>
        <v/>
      </c>
      <c r="E690" s="100">
        <f>SUMIFS(SETORES!$D:$D,SETORES!$A:$A,A690,SETORES!$F:$F,J690)</f>
        <v/>
      </c>
      <c r="F690" s="100">
        <f>IFERROR(D690*E690,0)</f>
        <v/>
      </c>
      <c r="G690" s="99">
        <f>SUMIFS(PARÂMETROS!$F$8:$F$33,PARÂMETROS!$A$8:$A$33,C690,PARÂMETROS!$G$8:$G$33,J690)</f>
        <v/>
      </c>
      <c r="H690" s="100">
        <f>IFERROR(F690*G690,0)</f>
        <v/>
      </c>
      <c r="I690" s="100">
        <f>F690+H690</f>
        <v/>
      </c>
      <c r="J690" s="74" t="inlineStr">
        <is>
          <t>Maio/2026</t>
        </is>
      </c>
    </row>
    <row r="691" ht="14.25" customHeight="1" s="75">
      <c r="A691" s="74" t="inlineStr">
        <is>
          <t>Cozinha</t>
        </is>
      </c>
      <c r="B691" s="74">
        <f>INDEX(SETORES!$B:$B,MATCH(A691,SETORES!$A:$A,0))</f>
        <v/>
      </c>
      <c r="C691" s="74" t="inlineStr">
        <is>
          <t>DTEL (uso próprio)</t>
        </is>
      </c>
      <c r="D691" s="99">
        <f>IF(B691="Clientes",SUMIFS(PARÂMETROS!$D$8:$D$33,PARÂMETROS!$A$8:$A$33,C691,PARÂMETROS!$G$8:$G$33,J691),SUMIFS(PARÂMETROS!$E$8:$E$33,PARÂMETROS!$A$8:$A$33,C691,PARÂMETROS!$G$8:$G$33,J691))</f>
        <v/>
      </c>
      <c r="E691" s="100">
        <f>SUMIFS(SETORES!$D:$D,SETORES!$A:$A,A691,SETORES!$F:$F,J691)</f>
        <v/>
      </c>
      <c r="F691" s="100">
        <f>IFERROR(D691*E691,0)</f>
        <v/>
      </c>
      <c r="G691" s="99">
        <f>SUMIFS(PARÂMETROS!$F$8:$F$33,PARÂMETROS!$A$8:$A$33,C691,PARÂMETROS!$G$8:$G$33,J691)</f>
        <v/>
      </c>
      <c r="H691" s="100">
        <f>IFERROR(F691*G691,0)</f>
        <v/>
      </c>
      <c r="I691" s="100">
        <f>F691+H691</f>
        <v/>
      </c>
      <c r="J691" s="74" t="inlineStr">
        <is>
          <t>Maio/2026</t>
        </is>
      </c>
    </row>
    <row r="692" ht="14.25" customHeight="1" s="75">
      <c r="A692" s="74" t="inlineStr">
        <is>
          <t>Cozinha</t>
        </is>
      </c>
      <c r="B692" s="74">
        <f>INDEX(SETORES!$B:$B,MATCH(A692,SETORES!$A:$A,0))</f>
        <v/>
      </c>
      <c r="C692" s="74" t="inlineStr">
        <is>
          <t>Empresa Licenciada DX2</t>
        </is>
      </c>
      <c r="D692" s="99">
        <f>IF(B692="Clientes",SUMIFS(PARÂMETROS!$D$8:$D$33,PARÂMETROS!$A$8:$A$33,C692,PARÂMETROS!$G$8:$G$33,J692),SUMIFS(PARÂMETROS!$E$8:$E$33,PARÂMETROS!$A$8:$A$33,C692,PARÂMETROS!$G$8:$G$33,J692))</f>
        <v/>
      </c>
      <c r="E692" s="100">
        <f>SUMIFS(SETORES!$D:$D,SETORES!$A:$A,A692,SETORES!$F:$F,J692)</f>
        <v/>
      </c>
      <c r="F692" s="100">
        <f>IFERROR(D692*E692,0)</f>
        <v/>
      </c>
      <c r="G692" s="99">
        <f>SUMIFS(PARÂMETROS!$F$8:$F$33,PARÂMETROS!$A$8:$A$33,C692,PARÂMETROS!$G$8:$G$33,J692)</f>
        <v/>
      </c>
      <c r="H692" s="100">
        <f>IFERROR(F692*G692,0)</f>
        <v/>
      </c>
      <c r="I692" s="100">
        <f>F692+H692</f>
        <v/>
      </c>
      <c r="J692" s="74" t="inlineStr">
        <is>
          <t>Junho/2026</t>
        </is>
      </c>
    </row>
    <row r="693" ht="14.25" customHeight="1" s="75">
      <c r="A693" s="74" t="inlineStr">
        <is>
          <t>Cozinha</t>
        </is>
      </c>
      <c r="B693" s="74">
        <f>INDEX(SETORES!$B:$B,MATCH(A693,SETORES!$A:$A,0))</f>
        <v/>
      </c>
      <c r="C693" s="74" t="inlineStr">
        <is>
          <t>Empresa Licenciada H&amp;A</t>
        </is>
      </c>
      <c r="D693" s="99">
        <f>IF(B693="Clientes",SUMIFS(PARÂMETROS!$D$8:$D$33,PARÂMETROS!$A$8:$A$33,C693,PARÂMETROS!$G$8:$G$33,J693),SUMIFS(PARÂMETROS!$E$8:$E$33,PARÂMETROS!$A$8:$A$33,C693,PARÂMETROS!$G$8:$G$33,J693))</f>
        <v/>
      </c>
      <c r="E693" s="100">
        <f>SUMIFS(SETORES!$D:$D,SETORES!$A:$A,A693,SETORES!$F:$F,J693)</f>
        <v/>
      </c>
      <c r="F693" s="100">
        <f>IFERROR(D693*E693,0)</f>
        <v/>
      </c>
      <c r="G693" s="99">
        <f>SUMIFS(PARÂMETROS!$F$8:$F$33,PARÂMETROS!$A$8:$A$33,C693,PARÂMETROS!$G$8:$G$33,J693)</f>
        <v/>
      </c>
      <c r="H693" s="100">
        <f>IFERROR(F693*G693,0)</f>
        <v/>
      </c>
      <c r="I693" s="100">
        <f>F693+H693</f>
        <v/>
      </c>
      <c r="J693" s="74" t="inlineStr">
        <is>
          <t>Junho/2026</t>
        </is>
      </c>
    </row>
    <row r="694" ht="14.25" customHeight="1" s="75">
      <c r="A694" s="74" t="inlineStr">
        <is>
          <t>Cozinha</t>
        </is>
      </c>
      <c r="B694" s="74">
        <f>INDEX(SETORES!$B:$B,MATCH(A694,SETORES!$A:$A,0))</f>
        <v/>
      </c>
      <c r="C694" s="74" t="inlineStr">
        <is>
          <t>Empresa Licenciada SOLON ARAUJO</t>
        </is>
      </c>
      <c r="D694" s="99">
        <f>IF(B694="Clientes",SUMIFS(PARÂMETROS!$D$8:$D$33,PARÂMETROS!$A$8:$A$33,C694,PARÂMETROS!$G$8:$G$33,J694),SUMIFS(PARÂMETROS!$E$8:$E$33,PARÂMETROS!$A$8:$A$33,C694,PARÂMETROS!$G$8:$G$33,J694))</f>
        <v/>
      </c>
      <c r="E694" s="100">
        <f>SUMIFS(SETORES!$D:$D,SETORES!$A:$A,A694,SETORES!$F:$F,J694)</f>
        <v/>
      </c>
      <c r="F694" s="100">
        <f>IFERROR(D694*E694,0)</f>
        <v/>
      </c>
      <c r="G694" s="99">
        <f>SUMIFS(PARÂMETROS!$F$8:$F$33,PARÂMETROS!$A$8:$A$33,C694,PARÂMETROS!$G$8:$G$33,J694)</f>
        <v/>
      </c>
      <c r="H694" s="100">
        <f>IFERROR(F694*G694,0)</f>
        <v/>
      </c>
      <c r="I694" s="100">
        <f>F694+H694</f>
        <v/>
      </c>
      <c r="J694" s="74" t="inlineStr">
        <is>
          <t>Junho/2026</t>
        </is>
      </c>
    </row>
    <row r="695" ht="14.25" customHeight="1" s="75">
      <c r="A695" s="74" t="inlineStr">
        <is>
          <t>Cozinha</t>
        </is>
      </c>
      <c r="B695" s="74">
        <f>INDEX(SETORES!$B:$B,MATCH(A695,SETORES!$A:$A,0))</f>
        <v/>
      </c>
      <c r="C695" s="74" t="inlineStr">
        <is>
          <t>Empresa Licenciada SOARES E LINS</t>
        </is>
      </c>
      <c r="D695" s="99">
        <f>IF(B695="Clientes",SUMIFS(PARÂMETROS!$D$8:$D$33,PARÂMETROS!$A$8:$A$33,C695,PARÂMETROS!$G$8:$G$33,J695),SUMIFS(PARÂMETROS!$E$8:$E$33,PARÂMETROS!$A$8:$A$33,C695,PARÂMETROS!$G$8:$G$33,J695))</f>
        <v/>
      </c>
      <c r="E695" s="100">
        <f>SUMIFS(SETORES!$D:$D,SETORES!$A:$A,A695,SETORES!$F:$F,J695)</f>
        <v/>
      </c>
      <c r="F695" s="100">
        <f>IFERROR(D695*E695,0)</f>
        <v/>
      </c>
      <c r="G695" s="99">
        <f>SUMIFS(PARÂMETROS!$F$8:$F$33,PARÂMETROS!$A$8:$A$33,C695,PARÂMETROS!$G$8:$G$33,J695)</f>
        <v/>
      </c>
      <c r="H695" s="100">
        <f>IFERROR(F695*G695,0)</f>
        <v/>
      </c>
      <c r="I695" s="100">
        <f>F695+H695</f>
        <v/>
      </c>
      <c r="J695" s="74" t="inlineStr">
        <is>
          <t>Junho/2026</t>
        </is>
      </c>
    </row>
    <row r="696" ht="14.25" customHeight="1" s="75">
      <c r="A696" s="74" t="inlineStr">
        <is>
          <t>Cozinha</t>
        </is>
      </c>
      <c r="B696" s="74">
        <f>INDEX(SETORES!$B:$B,MATCH(A696,SETORES!$A:$A,0))</f>
        <v/>
      </c>
      <c r="C696" s="74" t="inlineStr">
        <is>
          <t>Empresa Licenciada SOARES E SILVA</t>
        </is>
      </c>
      <c r="D696" s="99">
        <f>IF(B696="Clientes",SUMIFS(PARÂMETROS!$D$8:$D$33,PARÂMETROS!$A$8:$A$33,C696,PARÂMETROS!$G$8:$G$33,J696),SUMIFS(PARÂMETROS!$E$8:$E$33,PARÂMETROS!$A$8:$A$33,C696,PARÂMETROS!$G$8:$G$33,J696))</f>
        <v/>
      </c>
      <c r="E696" s="100">
        <f>SUMIFS(SETORES!$D:$D,SETORES!$A:$A,A696,SETORES!$F:$F,J696)</f>
        <v/>
      </c>
      <c r="F696" s="100">
        <f>IFERROR(D696*E696,0)</f>
        <v/>
      </c>
      <c r="G696" s="99">
        <f>SUMIFS(PARÂMETROS!$F$8:$F$33,PARÂMETROS!$A$8:$A$33,C696,PARÂMETROS!$G$8:$G$33,J696)</f>
        <v/>
      </c>
      <c r="H696" s="100">
        <f>IFERROR(F696*G696,0)</f>
        <v/>
      </c>
      <c r="I696" s="100">
        <f>F696+H696</f>
        <v/>
      </c>
      <c r="J696" s="74" t="inlineStr">
        <is>
          <t>Junho/2026</t>
        </is>
      </c>
    </row>
    <row r="697" ht="14.25" customHeight="1" s="75">
      <c r="A697" s="74" t="inlineStr">
        <is>
          <t>Cozinha</t>
        </is>
      </c>
      <c r="B697" s="74">
        <f>INDEX(SETORES!$B:$B,MATCH(A697,SETORES!$A:$A,0))</f>
        <v/>
      </c>
      <c r="C697" s="74" t="inlineStr">
        <is>
          <t>Empresa Licenciada SOUZA E SILVA</t>
        </is>
      </c>
      <c r="D697" s="99">
        <f>IF(B697="Clientes",SUMIFS(PARÂMETROS!$D$8:$D$33,PARÂMETROS!$A$8:$A$33,C697,PARÂMETROS!$G$8:$G$33,J697),SUMIFS(PARÂMETROS!$E$8:$E$33,PARÂMETROS!$A$8:$A$33,C697,PARÂMETROS!$G$8:$G$33,J697))</f>
        <v/>
      </c>
      <c r="E697" s="100">
        <f>SUMIFS(SETORES!$D:$D,SETORES!$A:$A,A697,SETORES!$F:$F,J697)</f>
        <v/>
      </c>
      <c r="F697" s="100">
        <f>IFERROR(D697*E697,0)</f>
        <v/>
      </c>
      <c r="G697" s="99">
        <f>SUMIFS(PARÂMETROS!$F$8:$F$33,PARÂMETROS!$A$8:$A$33,C697,PARÂMETROS!$G$8:$G$33,J697)</f>
        <v/>
      </c>
      <c r="H697" s="100">
        <f>IFERROR(F697*G697,0)</f>
        <v/>
      </c>
      <c r="I697" s="100">
        <f>F697+H697</f>
        <v/>
      </c>
      <c r="J697" s="74" t="inlineStr">
        <is>
          <t>Junho/2026</t>
        </is>
      </c>
    </row>
    <row r="698" ht="14.25" customHeight="1" s="75">
      <c r="A698" s="74" t="inlineStr">
        <is>
          <t>Cozinha</t>
        </is>
      </c>
      <c r="B698" s="74">
        <f>INDEX(SETORES!$B:$B,MATCH(A698,SETORES!$A:$A,0))</f>
        <v/>
      </c>
      <c r="C698" s="74" t="inlineStr">
        <is>
          <t>Empresa Licenciada VOICENET</t>
        </is>
      </c>
      <c r="D698" s="99">
        <f>IF(B698="Clientes",SUMIFS(PARÂMETROS!$D$8:$D$33,PARÂMETROS!$A$8:$A$33,C698,PARÂMETROS!$G$8:$G$33,J698),SUMIFS(PARÂMETROS!$E$8:$E$33,PARÂMETROS!$A$8:$A$33,C698,PARÂMETROS!$G$8:$G$33,J698))</f>
        <v/>
      </c>
      <c r="E698" s="100">
        <f>SUMIFS(SETORES!$D:$D,SETORES!$A:$A,A698,SETORES!$F:$F,J698)</f>
        <v/>
      </c>
      <c r="F698" s="100">
        <f>IFERROR(D698*E698,0)</f>
        <v/>
      </c>
      <c r="G698" s="99">
        <f>SUMIFS(PARÂMETROS!$F$8:$F$33,PARÂMETROS!$A$8:$A$33,C698,PARÂMETROS!$G$8:$G$33,J698)</f>
        <v/>
      </c>
      <c r="H698" s="100">
        <f>IFERROR(F698*G698,0)</f>
        <v/>
      </c>
      <c r="I698" s="100">
        <f>F698+H698</f>
        <v/>
      </c>
      <c r="J698" s="74" t="inlineStr">
        <is>
          <t>Junho/2026</t>
        </is>
      </c>
    </row>
    <row r="699" ht="14.25" customHeight="1" s="75">
      <c r="A699" s="74" t="inlineStr">
        <is>
          <t>Cozinha</t>
        </is>
      </c>
      <c r="B699" s="74">
        <f>INDEX(SETORES!$B:$B,MATCH(A699,SETORES!$A:$A,0))</f>
        <v/>
      </c>
      <c r="C699" s="74" t="inlineStr">
        <is>
          <t>DTEL (uso próprio)</t>
        </is>
      </c>
      <c r="D699" s="99">
        <f>IF(B699="Clientes",SUMIFS(PARÂMETROS!$D$8:$D$33,PARÂMETROS!$A$8:$A$33,C699,PARÂMETROS!$G$8:$G$33,J699),SUMIFS(PARÂMETROS!$E$8:$E$33,PARÂMETROS!$A$8:$A$33,C699,PARÂMETROS!$G$8:$G$33,J699))</f>
        <v/>
      </c>
      <c r="E699" s="100">
        <f>SUMIFS(SETORES!$D:$D,SETORES!$A:$A,A699,SETORES!$F:$F,J699)</f>
        <v/>
      </c>
      <c r="F699" s="100">
        <f>IFERROR(D699*E699,0)</f>
        <v/>
      </c>
      <c r="G699" s="99">
        <f>SUMIFS(PARÂMETROS!$F$8:$F$33,PARÂMETROS!$A$8:$A$33,C699,PARÂMETROS!$G$8:$G$33,J699)</f>
        <v/>
      </c>
      <c r="H699" s="100">
        <f>IFERROR(F699*G699,0)</f>
        <v/>
      </c>
      <c r="I699" s="100">
        <f>F699+H699</f>
        <v/>
      </c>
      <c r="J699" s="74" t="inlineStr">
        <is>
          <t>Junho/2026</t>
        </is>
      </c>
    </row>
    <row r="700" ht="14.25" customHeight="1" s="75">
      <c r="A700" s="74" t="inlineStr">
        <is>
          <t>Cozinha</t>
        </is>
      </c>
      <c r="B700" s="74">
        <f>INDEX(SETORES!$B:$B,MATCH(A700,SETORES!$A:$A,0))</f>
        <v/>
      </c>
      <c r="C700" s="74" t="inlineStr">
        <is>
          <t>Empresa Licenciada DX2</t>
        </is>
      </c>
      <c r="D700" s="99">
        <f>IF(B700="Clientes",SUMIFS(PARÂMETROS!$D$8:$D$33,PARÂMETROS!$A$8:$A$33,C700,PARÂMETROS!$G$8:$G$33,J700),SUMIFS(PARÂMETROS!$E$8:$E$33,PARÂMETROS!$A$8:$A$33,C700,PARÂMETROS!$G$8:$G$33,J700))</f>
        <v/>
      </c>
      <c r="E700" s="100">
        <f>SUMIFS(SETORES!$D:$D,SETORES!$A:$A,A700,SETORES!$F:$F,J700)</f>
        <v/>
      </c>
      <c r="F700" s="100">
        <f>IFERROR(D700*E700,0)</f>
        <v/>
      </c>
      <c r="G700" s="99">
        <f>SUMIFS(PARÂMETROS!$F$8:$F$33,PARÂMETROS!$A$8:$A$33,C700,PARÂMETROS!$G$8:$G$33,J700)</f>
        <v/>
      </c>
      <c r="H700" s="100">
        <f>IFERROR(F700*G700,0)</f>
        <v/>
      </c>
      <c r="I700" s="100">
        <f>F700+H700</f>
        <v/>
      </c>
      <c r="J700" s="74" t="inlineStr">
        <is>
          <t>Julho/2026</t>
        </is>
      </c>
    </row>
    <row r="701" ht="14.25" customHeight="1" s="75">
      <c r="A701" s="74" t="inlineStr">
        <is>
          <t>Cozinha</t>
        </is>
      </c>
      <c r="B701" s="74">
        <f>INDEX(SETORES!$B:$B,MATCH(A701,SETORES!$A:$A,0))</f>
        <v/>
      </c>
      <c r="C701" s="74" t="inlineStr">
        <is>
          <t>Empresa Licenciada H&amp;A</t>
        </is>
      </c>
      <c r="D701" s="99">
        <f>IF(B701="Clientes",SUMIFS(PARÂMETROS!$D$8:$D$33,PARÂMETROS!$A$8:$A$33,C701,PARÂMETROS!$G$8:$G$33,J701),SUMIFS(PARÂMETROS!$E$8:$E$33,PARÂMETROS!$A$8:$A$33,C701,PARÂMETROS!$G$8:$G$33,J701))</f>
        <v/>
      </c>
      <c r="E701" s="100">
        <f>SUMIFS(SETORES!$D:$D,SETORES!$A:$A,A701,SETORES!$F:$F,J701)</f>
        <v/>
      </c>
      <c r="F701" s="100">
        <f>IFERROR(D701*E701,0)</f>
        <v/>
      </c>
      <c r="G701" s="99">
        <f>SUMIFS(PARÂMETROS!$F$8:$F$33,PARÂMETROS!$A$8:$A$33,C701,PARÂMETROS!$G$8:$G$33,J701)</f>
        <v/>
      </c>
      <c r="H701" s="100">
        <f>IFERROR(F701*G701,0)</f>
        <v/>
      </c>
      <c r="I701" s="100">
        <f>F701+H701</f>
        <v/>
      </c>
      <c r="J701" s="74" t="inlineStr">
        <is>
          <t>Julho/2026</t>
        </is>
      </c>
    </row>
    <row r="702" ht="14.25" customHeight="1" s="75">
      <c r="A702" s="74" t="inlineStr">
        <is>
          <t>Cozinha</t>
        </is>
      </c>
      <c r="B702" s="74">
        <f>INDEX(SETORES!$B:$B,MATCH(A702,SETORES!$A:$A,0))</f>
        <v/>
      </c>
      <c r="C702" s="74" t="inlineStr">
        <is>
          <t>Empresa Licenciada SOLON ARAUJO</t>
        </is>
      </c>
      <c r="D702" s="99">
        <f>IF(B702="Clientes",SUMIFS(PARÂMETROS!$D$8:$D$33,PARÂMETROS!$A$8:$A$33,C702,PARÂMETROS!$G$8:$G$33,J702),SUMIFS(PARÂMETROS!$E$8:$E$33,PARÂMETROS!$A$8:$A$33,C702,PARÂMETROS!$G$8:$G$33,J702))</f>
        <v/>
      </c>
      <c r="E702" s="100">
        <f>SUMIFS(SETORES!$D:$D,SETORES!$A:$A,A702,SETORES!$F:$F,J702)</f>
        <v/>
      </c>
      <c r="F702" s="100">
        <f>IFERROR(D702*E702,0)</f>
        <v/>
      </c>
      <c r="G702" s="99">
        <f>SUMIFS(PARÂMETROS!$F$8:$F$33,PARÂMETROS!$A$8:$A$33,C702,PARÂMETROS!$G$8:$G$33,J702)</f>
        <v/>
      </c>
      <c r="H702" s="100">
        <f>IFERROR(F702*G702,0)</f>
        <v/>
      </c>
      <c r="I702" s="100">
        <f>F702+H702</f>
        <v/>
      </c>
      <c r="J702" s="74" t="inlineStr">
        <is>
          <t>Julho/2026</t>
        </is>
      </c>
    </row>
    <row r="703" ht="14.25" customHeight="1" s="75">
      <c r="A703" s="74" t="inlineStr">
        <is>
          <t>Cozinha</t>
        </is>
      </c>
      <c r="B703" s="74">
        <f>INDEX(SETORES!$B:$B,MATCH(A703,SETORES!$A:$A,0))</f>
        <v/>
      </c>
      <c r="C703" s="74" t="inlineStr">
        <is>
          <t>Empresa Licenciada SOARES E LINS</t>
        </is>
      </c>
      <c r="D703" s="99">
        <f>IF(B703="Clientes",SUMIFS(PARÂMETROS!$D$8:$D$33,PARÂMETROS!$A$8:$A$33,C703,PARÂMETROS!$G$8:$G$33,J703),SUMIFS(PARÂMETROS!$E$8:$E$33,PARÂMETROS!$A$8:$A$33,C703,PARÂMETROS!$G$8:$G$33,J703))</f>
        <v/>
      </c>
      <c r="E703" s="100">
        <f>SUMIFS(SETORES!$D:$D,SETORES!$A:$A,A703,SETORES!$F:$F,J703)</f>
        <v/>
      </c>
      <c r="F703" s="100">
        <f>IFERROR(D703*E703,0)</f>
        <v/>
      </c>
      <c r="G703" s="99">
        <f>SUMIFS(PARÂMETROS!$F$8:$F$33,PARÂMETROS!$A$8:$A$33,C703,PARÂMETROS!$G$8:$G$33,J703)</f>
        <v/>
      </c>
      <c r="H703" s="100">
        <f>IFERROR(F703*G703,0)</f>
        <v/>
      </c>
      <c r="I703" s="100">
        <f>F703+H703</f>
        <v/>
      </c>
      <c r="J703" s="74" t="inlineStr">
        <is>
          <t>Julho/2026</t>
        </is>
      </c>
    </row>
    <row r="704" ht="14.25" customHeight="1" s="75">
      <c r="A704" s="74" t="inlineStr">
        <is>
          <t>Cozinha</t>
        </is>
      </c>
      <c r="B704" s="74">
        <f>INDEX(SETORES!$B:$B,MATCH(A704,SETORES!$A:$A,0))</f>
        <v/>
      </c>
      <c r="C704" s="74" t="inlineStr">
        <is>
          <t>Empresa Licenciada SOARES E SILVA</t>
        </is>
      </c>
      <c r="D704" s="99">
        <f>IF(B704="Clientes",SUMIFS(PARÂMETROS!$D$8:$D$33,PARÂMETROS!$A$8:$A$33,C704,PARÂMETROS!$G$8:$G$33,J704),SUMIFS(PARÂMETROS!$E$8:$E$33,PARÂMETROS!$A$8:$A$33,C704,PARÂMETROS!$G$8:$G$33,J704))</f>
        <v/>
      </c>
      <c r="E704" s="100">
        <f>SUMIFS(SETORES!$D:$D,SETORES!$A:$A,A704,SETORES!$F:$F,J704)</f>
        <v/>
      </c>
      <c r="F704" s="100">
        <f>IFERROR(D704*E704,0)</f>
        <v/>
      </c>
      <c r="G704" s="99">
        <f>SUMIFS(PARÂMETROS!$F$8:$F$33,PARÂMETROS!$A$8:$A$33,C704,PARÂMETROS!$G$8:$G$33,J704)</f>
        <v/>
      </c>
      <c r="H704" s="100">
        <f>IFERROR(F704*G704,0)</f>
        <v/>
      </c>
      <c r="I704" s="100">
        <f>F704+H704</f>
        <v/>
      </c>
      <c r="J704" s="74" t="inlineStr">
        <is>
          <t>Julho/2026</t>
        </is>
      </c>
    </row>
    <row r="705" ht="14.25" customHeight="1" s="75">
      <c r="A705" s="74" t="inlineStr">
        <is>
          <t>Cozinha</t>
        </is>
      </c>
      <c r="B705" s="74">
        <f>INDEX(SETORES!$B:$B,MATCH(A705,SETORES!$A:$A,0))</f>
        <v/>
      </c>
      <c r="C705" s="74" t="inlineStr">
        <is>
          <t>Empresa Licenciada SOUZA E SILVA</t>
        </is>
      </c>
      <c r="D705" s="99">
        <f>IF(B705="Clientes",SUMIFS(PARÂMETROS!$D$8:$D$33,PARÂMETROS!$A$8:$A$33,C705,PARÂMETROS!$G$8:$G$33,J705),SUMIFS(PARÂMETROS!$E$8:$E$33,PARÂMETROS!$A$8:$A$33,C705,PARÂMETROS!$G$8:$G$33,J705))</f>
        <v/>
      </c>
      <c r="E705" s="100">
        <f>SUMIFS(SETORES!$D:$D,SETORES!$A:$A,A705,SETORES!$F:$F,J705)</f>
        <v/>
      </c>
      <c r="F705" s="100">
        <f>IFERROR(D705*E705,0)</f>
        <v/>
      </c>
      <c r="G705" s="99">
        <f>SUMIFS(PARÂMETROS!$F$8:$F$33,PARÂMETROS!$A$8:$A$33,C705,PARÂMETROS!$G$8:$G$33,J705)</f>
        <v/>
      </c>
      <c r="H705" s="100">
        <f>IFERROR(F705*G705,0)</f>
        <v/>
      </c>
      <c r="I705" s="100">
        <f>F705+H705</f>
        <v/>
      </c>
      <c r="J705" s="74" t="inlineStr">
        <is>
          <t>Julho/2026</t>
        </is>
      </c>
    </row>
    <row r="706" ht="14.25" customHeight="1" s="75">
      <c r="A706" s="74" t="inlineStr">
        <is>
          <t>Cozinha</t>
        </is>
      </c>
      <c r="B706" s="74">
        <f>INDEX(SETORES!$B:$B,MATCH(A706,SETORES!$A:$A,0))</f>
        <v/>
      </c>
      <c r="C706" s="74" t="inlineStr">
        <is>
          <t>Empresa Licenciada VOICENET</t>
        </is>
      </c>
      <c r="D706" s="99">
        <f>IF(B706="Clientes",SUMIFS(PARÂMETROS!$D$8:$D$33,PARÂMETROS!$A$8:$A$33,C706,PARÂMETROS!$G$8:$G$33,J706),SUMIFS(PARÂMETROS!$E$8:$E$33,PARÂMETROS!$A$8:$A$33,C706,PARÂMETROS!$G$8:$G$33,J706))</f>
        <v/>
      </c>
      <c r="E706" s="100">
        <f>SUMIFS(SETORES!$D:$D,SETORES!$A:$A,A706,SETORES!$F:$F,J706)</f>
        <v/>
      </c>
      <c r="F706" s="100">
        <f>IFERROR(D706*E706,0)</f>
        <v/>
      </c>
      <c r="G706" s="99">
        <f>SUMIFS(PARÂMETROS!$F$8:$F$33,PARÂMETROS!$A$8:$A$33,C706,PARÂMETROS!$G$8:$G$33,J706)</f>
        <v/>
      </c>
      <c r="H706" s="100">
        <f>IFERROR(F706*G706,0)</f>
        <v/>
      </c>
      <c r="I706" s="100">
        <f>F706+H706</f>
        <v/>
      </c>
      <c r="J706" s="74" t="inlineStr">
        <is>
          <t>Julho/2026</t>
        </is>
      </c>
    </row>
    <row r="707" ht="14.25" customHeight="1" s="75">
      <c r="A707" s="74" t="inlineStr">
        <is>
          <t>Cozinha</t>
        </is>
      </c>
      <c r="B707" s="74">
        <f>INDEX(SETORES!$B:$B,MATCH(A707,SETORES!$A:$A,0))</f>
        <v/>
      </c>
      <c r="C707" s="74" t="inlineStr">
        <is>
          <t>DTEL (uso próprio)</t>
        </is>
      </c>
      <c r="D707" s="99">
        <f>IF(B707="Clientes",SUMIFS(PARÂMETROS!$D$8:$D$33,PARÂMETROS!$A$8:$A$33,C707,PARÂMETROS!$G$8:$G$33,J707),SUMIFS(PARÂMETROS!$E$8:$E$33,PARÂMETROS!$A$8:$A$33,C707,PARÂMETROS!$G$8:$G$33,J707))</f>
        <v/>
      </c>
      <c r="E707" s="100">
        <f>SUMIFS(SETORES!$D:$D,SETORES!$A:$A,A707,SETORES!$F:$F,J707)</f>
        <v/>
      </c>
      <c r="F707" s="100">
        <f>IFERROR(D707*E707,0)</f>
        <v/>
      </c>
      <c r="G707" s="99">
        <f>SUMIFS(PARÂMETROS!$F$8:$F$33,PARÂMETROS!$A$8:$A$33,C707,PARÂMETROS!$G$8:$G$33,J707)</f>
        <v/>
      </c>
      <c r="H707" s="100">
        <f>IFERROR(F707*G707,0)</f>
        <v/>
      </c>
      <c r="I707" s="100">
        <f>F707+H707</f>
        <v/>
      </c>
      <c r="J707" s="74" t="inlineStr">
        <is>
          <t>Julho/2026</t>
        </is>
      </c>
    </row>
    <row r="708" ht="14.25" customHeight="1" s="75">
      <c r="A708" s="74" t="inlineStr">
        <is>
          <t>Diretoria Adm</t>
        </is>
      </c>
      <c r="B708" s="74">
        <f>INDEX(SETORES!$B:$B,MATCH(A708,SETORES!$A:$A,0))</f>
        <v/>
      </c>
      <c r="C708" s="74" t="inlineStr">
        <is>
          <t>Empresa Licenciada DX2</t>
        </is>
      </c>
      <c r="D708" s="99">
        <f>IF(B708="Clientes",SUMIFS(PARÂMETROS!$D$8:$D$33,PARÂMETROS!$A$8:$A$33,C708,PARÂMETROS!$G$8:$G$33,J708),SUMIFS(PARÂMETROS!$E$8:$E$33,PARÂMETROS!$A$8:$A$33,C708,PARÂMETROS!$G$8:$G$33,J708))</f>
        <v/>
      </c>
      <c r="E708" s="100">
        <f>SUMIFS(SETORES!$D:$D,SETORES!$A:$A,A708,SETORES!$F:$F,J708)</f>
        <v/>
      </c>
      <c r="F708" s="100">
        <f>IFERROR(D708*E708,0)</f>
        <v/>
      </c>
      <c r="G708" s="99">
        <f>SUMIFS(PARÂMETROS!$F$8:$F$33,PARÂMETROS!$A$8:$A$33,C708,PARÂMETROS!$G$8:$G$33,J708)</f>
        <v/>
      </c>
      <c r="H708" s="100">
        <f>IFERROR(F708*G708,0)</f>
        <v/>
      </c>
      <c r="I708" s="100">
        <f>F708+H708</f>
        <v/>
      </c>
      <c r="J708" s="74" t="inlineStr">
        <is>
          <t>Maio/2026</t>
        </is>
      </c>
    </row>
    <row r="709" ht="14.25" customHeight="1" s="75">
      <c r="A709" s="74" t="inlineStr">
        <is>
          <t>Diretoria Adm</t>
        </is>
      </c>
      <c r="B709" s="74">
        <f>INDEX(SETORES!$B:$B,MATCH(A709,SETORES!$A:$A,0))</f>
        <v/>
      </c>
      <c r="C709" s="74" t="inlineStr">
        <is>
          <t>Empresa Licenciada H&amp;A</t>
        </is>
      </c>
      <c r="D709" s="99">
        <f>IF(B709="Clientes",SUMIFS(PARÂMETROS!$D$8:$D$33,PARÂMETROS!$A$8:$A$33,C709,PARÂMETROS!$G$8:$G$33,J709),SUMIFS(PARÂMETROS!$E$8:$E$33,PARÂMETROS!$A$8:$A$33,C709,PARÂMETROS!$G$8:$G$33,J709))</f>
        <v/>
      </c>
      <c r="E709" s="100">
        <f>SUMIFS(SETORES!$D:$D,SETORES!$A:$A,A709,SETORES!$F:$F,J709)</f>
        <v/>
      </c>
      <c r="F709" s="100">
        <f>IFERROR(D709*E709,0)</f>
        <v/>
      </c>
      <c r="G709" s="99">
        <f>SUMIFS(PARÂMETROS!$F$8:$F$33,PARÂMETROS!$A$8:$A$33,C709,PARÂMETROS!$G$8:$G$33,J709)</f>
        <v/>
      </c>
      <c r="H709" s="100">
        <f>IFERROR(F709*G709,0)</f>
        <v/>
      </c>
      <c r="I709" s="100">
        <f>F709+H709</f>
        <v/>
      </c>
      <c r="J709" s="74" t="inlineStr">
        <is>
          <t>Maio/2026</t>
        </is>
      </c>
    </row>
    <row r="710" ht="14.25" customHeight="1" s="75">
      <c r="A710" s="74" t="inlineStr">
        <is>
          <t>Diretoria Adm</t>
        </is>
      </c>
      <c r="B710" s="74">
        <f>INDEX(SETORES!$B:$B,MATCH(A710,SETORES!$A:$A,0))</f>
        <v/>
      </c>
      <c r="C710" s="74" t="inlineStr">
        <is>
          <t>Empresa Licenciada SOLON ARAUJO</t>
        </is>
      </c>
      <c r="D710" s="99">
        <f>IF(B710="Clientes",SUMIFS(PARÂMETROS!$D$8:$D$33,PARÂMETROS!$A$8:$A$33,C710,PARÂMETROS!$G$8:$G$33,J710),SUMIFS(PARÂMETROS!$E$8:$E$33,PARÂMETROS!$A$8:$A$33,C710,PARÂMETROS!$G$8:$G$33,J710))</f>
        <v/>
      </c>
      <c r="E710" s="100">
        <f>SUMIFS(SETORES!$D:$D,SETORES!$A:$A,A710,SETORES!$F:$F,J710)</f>
        <v/>
      </c>
      <c r="F710" s="100">
        <f>IFERROR(D710*E710,0)</f>
        <v/>
      </c>
      <c r="G710" s="99">
        <f>SUMIFS(PARÂMETROS!$F$8:$F$33,PARÂMETROS!$A$8:$A$33,C710,PARÂMETROS!$G$8:$G$33,J710)</f>
        <v/>
      </c>
      <c r="H710" s="100">
        <f>IFERROR(F710*G710,0)</f>
        <v/>
      </c>
      <c r="I710" s="100">
        <f>F710+H710</f>
        <v/>
      </c>
      <c r="J710" s="74" t="inlineStr">
        <is>
          <t>Maio/2026</t>
        </is>
      </c>
    </row>
    <row r="711" ht="14.25" customHeight="1" s="75">
      <c r="A711" s="74" t="inlineStr">
        <is>
          <t>Diretoria Adm</t>
        </is>
      </c>
      <c r="B711" s="74">
        <f>INDEX(SETORES!$B:$B,MATCH(A711,SETORES!$A:$A,0))</f>
        <v/>
      </c>
      <c r="C711" s="74" t="inlineStr">
        <is>
          <t>Empresa Licenciada SOARES E LINS</t>
        </is>
      </c>
      <c r="D711" s="99">
        <f>IF(B711="Clientes",SUMIFS(PARÂMETROS!$D$8:$D$33,PARÂMETROS!$A$8:$A$33,C711,PARÂMETROS!$G$8:$G$33,J711),SUMIFS(PARÂMETROS!$E$8:$E$33,PARÂMETROS!$A$8:$A$33,C711,PARÂMETROS!$G$8:$G$33,J711))</f>
        <v/>
      </c>
      <c r="E711" s="100">
        <f>SUMIFS(SETORES!$D:$D,SETORES!$A:$A,A711,SETORES!$F:$F,J711)</f>
        <v/>
      </c>
      <c r="F711" s="100">
        <f>IFERROR(D711*E711,0)</f>
        <v/>
      </c>
      <c r="G711" s="99">
        <f>SUMIFS(PARÂMETROS!$F$8:$F$33,PARÂMETROS!$A$8:$A$33,C711,PARÂMETROS!$G$8:$G$33,J711)</f>
        <v/>
      </c>
      <c r="H711" s="100">
        <f>IFERROR(F711*G711,0)</f>
        <v/>
      </c>
      <c r="I711" s="100">
        <f>F711+H711</f>
        <v/>
      </c>
      <c r="J711" s="74" t="inlineStr">
        <is>
          <t>Maio/2026</t>
        </is>
      </c>
    </row>
    <row r="712" ht="14.25" customHeight="1" s="75">
      <c r="A712" s="74" t="inlineStr">
        <is>
          <t>Diretoria Adm</t>
        </is>
      </c>
      <c r="B712" s="74">
        <f>INDEX(SETORES!$B:$B,MATCH(A712,SETORES!$A:$A,0))</f>
        <v/>
      </c>
      <c r="C712" s="74" t="inlineStr">
        <is>
          <t>Empresa Licenciada SOARES E SILVA</t>
        </is>
      </c>
      <c r="D712" s="99">
        <f>IF(B712="Clientes",SUMIFS(PARÂMETROS!$D$8:$D$33,PARÂMETROS!$A$8:$A$33,C712,PARÂMETROS!$G$8:$G$33,J712),SUMIFS(PARÂMETROS!$E$8:$E$33,PARÂMETROS!$A$8:$A$33,C712,PARÂMETROS!$G$8:$G$33,J712))</f>
        <v/>
      </c>
      <c r="E712" s="100">
        <f>SUMIFS(SETORES!$D:$D,SETORES!$A:$A,A712,SETORES!$F:$F,J712)</f>
        <v/>
      </c>
      <c r="F712" s="100">
        <f>IFERROR(D712*E712,0)</f>
        <v/>
      </c>
      <c r="G712" s="99">
        <f>SUMIFS(PARÂMETROS!$F$8:$F$33,PARÂMETROS!$A$8:$A$33,C712,PARÂMETROS!$G$8:$G$33,J712)</f>
        <v/>
      </c>
      <c r="H712" s="100">
        <f>IFERROR(F712*G712,0)</f>
        <v/>
      </c>
      <c r="I712" s="100">
        <f>F712+H712</f>
        <v/>
      </c>
      <c r="J712" s="74" t="inlineStr">
        <is>
          <t>Maio/2026</t>
        </is>
      </c>
    </row>
    <row r="713" ht="14.25" customHeight="1" s="75">
      <c r="A713" s="74" t="inlineStr">
        <is>
          <t>Diretoria Adm</t>
        </is>
      </c>
      <c r="B713" s="74">
        <f>INDEX(SETORES!$B:$B,MATCH(A713,SETORES!$A:$A,0))</f>
        <v/>
      </c>
      <c r="C713" s="74" t="inlineStr">
        <is>
          <t>Empresa Licenciada SOUZA E SILVA</t>
        </is>
      </c>
      <c r="D713" s="99">
        <f>IF(B713="Clientes",SUMIFS(PARÂMETROS!$D$8:$D$33,PARÂMETROS!$A$8:$A$33,C713,PARÂMETROS!$G$8:$G$33,J713),SUMIFS(PARÂMETROS!$E$8:$E$33,PARÂMETROS!$A$8:$A$33,C713,PARÂMETROS!$G$8:$G$33,J713))</f>
        <v/>
      </c>
      <c r="E713" s="100">
        <f>SUMIFS(SETORES!$D:$D,SETORES!$A:$A,A713,SETORES!$F:$F,J713)</f>
        <v/>
      </c>
      <c r="F713" s="100">
        <f>IFERROR(D713*E713,0)</f>
        <v/>
      </c>
      <c r="G713" s="99">
        <f>SUMIFS(PARÂMETROS!$F$8:$F$33,PARÂMETROS!$A$8:$A$33,C713,PARÂMETROS!$G$8:$G$33,J713)</f>
        <v/>
      </c>
      <c r="H713" s="100">
        <f>IFERROR(F713*G713,0)</f>
        <v/>
      </c>
      <c r="I713" s="100">
        <f>F713+H713</f>
        <v/>
      </c>
      <c r="J713" s="74" t="inlineStr">
        <is>
          <t>Maio/2026</t>
        </is>
      </c>
    </row>
    <row r="714" ht="14.25" customHeight="1" s="75">
      <c r="A714" s="74" t="inlineStr">
        <is>
          <t>Diretoria Adm</t>
        </is>
      </c>
      <c r="B714" s="74">
        <f>INDEX(SETORES!$B:$B,MATCH(A714,SETORES!$A:$A,0))</f>
        <v/>
      </c>
      <c r="C714" s="74" t="inlineStr">
        <is>
          <t>Empresa Licenciada VOICENET</t>
        </is>
      </c>
      <c r="D714" s="99">
        <f>IF(B714="Clientes",SUMIFS(PARÂMETROS!$D$8:$D$33,PARÂMETROS!$A$8:$A$33,C714,PARÂMETROS!$G$8:$G$33,J714),SUMIFS(PARÂMETROS!$E$8:$E$33,PARÂMETROS!$A$8:$A$33,C714,PARÂMETROS!$G$8:$G$33,J714))</f>
        <v/>
      </c>
      <c r="E714" s="100">
        <f>SUMIFS(SETORES!$D:$D,SETORES!$A:$A,A714,SETORES!$F:$F,J714)</f>
        <v/>
      </c>
      <c r="F714" s="100">
        <f>IFERROR(D714*E714,0)</f>
        <v/>
      </c>
      <c r="G714" s="99">
        <f>SUMIFS(PARÂMETROS!$F$8:$F$33,PARÂMETROS!$A$8:$A$33,C714,PARÂMETROS!$G$8:$G$33,J714)</f>
        <v/>
      </c>
      <c r="H714" s="100">
        <f>IFERROR(F714*G714,0)</f>
        <v/>
      </c>
      <c r="I714" s="100">
        <f>F714+H714</f>
        <v/>
      </c>
      <c r="J714" s="74" t="inlineStr">
        <is>
          <t>Maio/2026</t>
        </is>
      </c>
    </row>
    <row r="715" ht="14.25" customHeight="1" s="75">
      <c r="A715" s="74" t="inlineStr">
        <is>
          <t>Diretoria Adm</t>
        </is>
      </c>
      <c r="B715" s="74">
        <f>INDEX(SETORES!$B:$B,MATCH(A715,SETORES!$A:$A,0))</f>
        <v/>
      </c>
      <c r="C715" s="74" t="inlineStr">
        <is>
          <t>DTEL (uso próprio)</t>
        </is>
      </c>
      <c r="D715" s="99">
        <f>IF(B715="Clientes",SUMIFS(PARÂMETROS!$D$8:$D$33,PARÂMETROS!$A$8:$A$33,C715,PARÂMETROS!$G$8:$G$33,J715),SUMIFS(PARÂMETROS!$E$8:$E$33,PARÂMETROS!$A$8:$A$33,C715,PARÂMETROS!$G$8:$G$33,J715))</f>
        <v/>
      </c>
      <c r="E715" s="100">
        <f>SUMIFS(SETORES!$D:$D,SETORES!$A:$A,A715,SETORES!$F:$F,J715)</f>
        <v/>
      </c>
      <c r="F715" s="100">
        <f>IFERROR(D715*E715,0)</f>
        <v/>
      </c>
      <c r="G715" s="99">
        <f>SUMIFS(PARÂMETROS!$F$8:$F$33,PARÂMETROS!$A$8:$A$33,C715,PARÂMETROS!$G$8:$G$33,J715)</f>
        <v/>
      </c>
      <c r="H715" s="100">
        <f>IFERROR(F715*G715,0)</f>
        <v/>
      </c>
      <c r="I715" s="100">
        <f>F715+H715</f>
        <v/>
      </c>
      <c r="J715" s="74" t="inlineStr">
        <is>
          <t>Maio/2026</t>
        </is>
      </c>
    </row>
    <row r="716" ht="14.25" customHeight="1" s="75">
      <c r="A716" s="74" t="inlineStr">
        <is>
          <t>Diretoria Adm</t>
        </is>
      </c>
      <c r="B716" s="74">
        <f>INDEX(SETORES!$B:$B,MATCH(A716,SETORES!$A:$A,0))</f>
        <v/>
      </c>
      <c r="C716" s="74" t="inlineStr">
        <is>
          <t>Empresa Licenciada DX2</t>
        </is>
      </c>
      <c r="D716" s="99">
        <f>IF(B716="Clientes",SUMIFS(PARÂMETROS!$D$8:$D$33,PARÂMETROS!$A$8:$A$33,C716,PARÂMETROS!$G$8:$G$33,J716),SUMIFS(PARÂMETROS!$E$8:$E$33,PARÂMETROS!$A$8:$A$33,C716,PARÂMETROS!$G$8:$G$33,J716))</f>
        <v/>
      </c>
      <c r="E716" s="100">
        <f>SUMIFS(SETORES!$D:$D,SETORES!$A:$A,A716,SETORES!$F:$F,J716)</f>
        <v/>
      </c>
      <c r="F716" s="100">
        <f>IFERROR(D716*E716,0)</f>
        <v/>
      </c>
      <c r="G716" s="99">
        <f>SUMIFS(PARÂMETROS!$F$8:$F$33,PARÂMETROS!$A$8:$A$33,C716,PARÂMETROS!$G$8:$G$33,J716)</f>
        <v/>
      </c>
      <c r="H716" s="100">
        <f>IFERROR(F716*G716,0)</f>
        <v/>
      </c>
      <c r="I716" s="100">
        <f>F716+H716</f>
        <v/>
      </c>
      <c r="J716" s="74" t="inlineStr">
        <is>
          <t>Junho/2026</t>
        </is>
      </c>
    </row>
    <row r="717" ht="14.25" customHeight="1" s="75">
      <c r="A717" s="74" t="inlineStr">
        <is>
          <t>Diretoria Adm</t>
        </is>
      </c>
      <c r="B717" s="74">
        <f>INDEX(SETORES!$B:$B,MATCH(A717,SETORES!$A:$A,0))</f>
        <v/>
      </c>
      <c r="C717" s="74" t="inlineStr">
        <is>
          <t>Empresa Licenciada H&amp;A</t>
        </is>
      </c>
      <c r="D717" s="99">
        <f>IF(B717="Clientes",SUMIFS(PARÂMETROS!$D$8:$D$33,PARÂMETROS!$A$8:$A$33,C717,PARÂMETROS!$G$8:$G$33,J717),SUMIFS(PARÂMETROS!$E$8:$E$33,PARÂMETROS!$A$8:$A$33,C717,PARÂMETROS!$G$8:$G$33,J717))</f>
        <v/>
      </c>
      <c r="E717" s="100">
        <f>SUMIFS(SETORES!$D:$D,SETORES!$A:$A,A717,SETORES!$F:$F,J717)</f>
        <v/>
      </c>
      <c r="F717" s="100">
        <f>IFERROR(D717*E717,0)</f>
        <v/>
      </c>
      <c r="G717" s="99">
        <f>SUMIFS(PARÂMETROS!$F$8:$F$33,PARÂMETROS!$A$8:$A$33,C717,PARÂMETROS!$G$8:$G$33,J717)</f>
        <v/>
      </c>
      <c r="H717" s="100">
        <f>IFERROR(F717*G717,0)</f>
        <v/>
      </c>
      <c r="I717" s="100">
        <f>F717+H717</f>
        <v/>
      </c>
      <c r="J717" s="74" t="inlineStr">
        <is>
          <t>Junho/2026</t>
        </is>
      </c>
    </row>
    <row r="718" ht="14.25" customHeight="1" s="75">
      <c r="A718" s="74" t="inlineStr">
        <is>
          <t>Diretoria Adm</t>
        </is>
      </c>
      <c r="B718" s="74">
        <f>INDEX(SETORES!$B:$B,MATCH(A718,SETORES!$A:$A,0))</f>
        <v/>
      </c>
      <c r="C718" s="74" t="inlineStr">
        <is>
          <t>Empresa Licenciada SOLON ARAUJO</t>
        </is>
      </c>
      <c r="D718" s="99">
        <f>IF(B718="Clientes",SUMIFS(PARÂMETROS!$D$8:$D$33,PARÂMETROS!$A$8:$A$33,C718,PARÂMETROS!$G$8:$G$33,J718),SUMIFS(PARÂMETROS!$E$8:$E$33,PARÂMETROS!$A$8:$A$33,C718,PARÂMETROS!$G$8:$G$33,J718))</f>
        <v/>
      </c>
      <c r="E718" s="100">
        <f>SUMIFS(SETORES!$D:$D,SETORES!$A:$A,A718,SETORES!$F:$F,J718)</f>
        <v/>
      </c>
      <c r="F718" s="100">
        <f>IFERROR(D718*E718,0)</f>
        <v/>
      </c>
      <c r="G718" s="99">
        <f>SUMIFS(PARÂMETROS!$F$8:$F$33,PARÂMETROS!$A$8:$A$33,C718,PARÂMETROS!$G$8:$G$33,J718)</f>
        <v/>
      </c>
      <c r="H718" s="100">
        <f>IFERROR(F718*G718,0)</f>
        <v/>
      </c>
      <c r="I718" s="100">
        <f>F718+H718</f>
        <v/>
      </c>
      <c r="J718" s="74" t="inlineStr">
        <is>
          <t>Junho/2026</t>
        </is>
      </c>
    </row>
    <row r="719" ht="14.25" customHeight="1" s="75">
      <c r="A719" s="74" t="inlineStr">
        <is>
          <t>Diretoria Adm</t>
        </is>
      </c>
      <c r="B719" s="74">
        <f>INDEX(SETORES!$B:$B,MATCH(A719,SETORES!$A:$A,0))</f>
        <v/>
      </c>
      <c r="C719" s="74" t="inlineStr">
        <is>
          <t>Empresa Licenciada SOARES E LINS</t>
        </is>
      </c>
      <c r="D719" s="99">
        <f>IF(B719="Clientes",SUMIFS(PARÂMETROS!$D$8:$D$33,PARÂMETROS!$A$8:$A$33,C719,PARÂMETROS!$G$8:$G$33,J719),SUMIFS(PARÂMETROS!$E$8:$E$33,PARÂMETROS!$A$8:$A$33,C719,PARÂMETROS!$G$8:$G$33,J719))</f>
        <v/>
      </c>
      <c r="E719" s="100">
        <f>SUMIFS(SETORES!$D:$D,SETORES!$A:$A,A719,SETORES!$F:$F,J719)</f>
        <v/>
      </c>
      <c r="F719" s="100">
        <f>IFERROR(D719*E719,0)</f>
        <v/>
      </c>
      <c r="G719" s="99">
        <f>SUMIFS(PARÂMETROS!$F$8:$F$33,PARÂMETROS!$A$8:$A$33,C719,PARÂMETROS!$G$8:$G$33,J719)</f>
        <v/>
      </c>
      <c r="H719" s="100">
        <f>IFERROR(F719*G719,0)</f>
        <v/>
      </c>
      <c r="I719" s="100">
        <f>F719+H719</f>
        <v/>
      </c>
      <c r="J719" s="74" t="inlineStr">
        <is>
          <t>Junho/2026</t>
        </is>
      </c>
    </row>
    <row r="720" ht="14.25" customHeight="1" s="75">
      <c r="A720" s="74" t="inlineStr">
        <is>
          <t>Diretoria Adm</t>
        </is>
      </c>
      <c r="B720" s="74">
        <f>INDEX(SETORES!$B:$B,MATCH(A720,SETORES!$A:$A,0))</f>
        <v/>
      </c>
      <c r="C720" s="74" t="inlineStr">
        <is>
          <t>Empresa Licenciada SOARES E SILVA</t>
        </is>
      </c>
      <c r="D720" s="99">
        <f>IF(B720="Clientes",SUMIFS(PARÂMETROS!$D$8:$D$33,PARÂMETROS!$A$8:$A$33,C720,PARÂMETROS!$G$8:$G$33,J720),SUMIFS(PARÂMETROS!$E$8:$E$33,PARÂMETROS!$A$8:$A$33,C720,PARÂMETROS!$G$8:$G$33,J720))</f>
        <v/>
      </c>
      <c r="E720" s="100">
        <f>SUMIFS(SETORES!$D:$D,SETORES!$A:$A,A720,SETORES!$F:$F,J720)</f>
        <v/>
      </c>
      <c r="F720" s="100">
        <f>IFERROR(D720*E720,0)</f>
        <v/>
      </c>
      <c r="G720" s="99">
        <f>SUMIFS(PARÂMETROS!$F$8:$F$33,PARÂMETROS!$A$8:$A$33,C720,PARÂMETROS!$G$8:$G$33,J720)</f>
        <v/>
      </c>
      <c r="H720" s="100">
        <f>IFERROR(F720*G720,0)</f>
        <v/>
      </c>
      <c r="I720" s="100">
        <f>F720+H720</f>
        <v/>
      </c>
      <c r="J720" s="74" t="inlineStr">
        <is>
          <t>Junho/2026</t>
        </is>
      </c>
    </row>
    <row r="721" ht="14.25" customHeight="1" s="75">
      <c r="A721" s="74" t="inlineStr">
        <is>
          <t>Diretoria Adm</t>
        </is>
      </c>
      <c r="B721" s="74">
        <f>INDEX(SETORES!$B:$B,MATCH(A721,SETORES!$A:$A,0))</f>
        <v/>
      </c>
      <c r="C721" s="74" t="inlineStr">
        <is>
          <t>Empresa Licenciada SOUZA E SILVA</t>
        </is>
      </c>
      <c r="D721" s="99">
        <f>IF(B721="Clientes",SUMIFS(PARÂMETROS!$D$8:$D$33,PARÂMETROS!$A$8:$A$33,C721,PARÂMETROS!$G$8:$G$33,J721),SUMIFS(PARÂMETROS!$E$8:$E$33,PARÂMETROS!$A$8:$A$33,C721,PARÂMETROS!$G$8:$G$33,J721))</f>
        <v/>
      </c>
      <c r="E721" s="100">
        <f>SUMIFS(SETORES!$D:$D,SETORES!$A:$A,A721,SETORES!$F:$F,J721)</f>
        <v/>
      </c>
      <c r="F721" s="100">
        <f>IFERROR(D721*E721,0)</f>
        <v/>
      </c>
      <c r="G721" s="99">
        <f>SUMIFS(PARÂMETROS!$F$8:$F$33,PARÂMETROS!$A$8:$A$33,C721,PARÂMETROS!$G$8:$G$33,J721)</f>
        <v/>
      </c>
      <c r="H721" s="100">
        <f>IFERROR(F721*G721,0)</f>
        <v/>
      </c>
      <c r="I721" s="100">
        <f>F721+H721</f>
        <v/>
      </c>
      <c r="J721" s="74" t="inlineStr">
        <is>
          <t>Junho/2026</t>
        </is>
      </c>
    </row>
    <row r="722" ht="14.25" customHeight="1" s="75">
      <c r="A722" s="74" t="inlineStr">
        <is>
          <t>Diretoria Adm</t>
        </is>
      </c>
      <c r="B722" s="74">
        <f>INDEX(SETORES!$B:$B,MATCH(A722,SETORES!$A:$A,0))</f>
        <v/>
      </c>
      <c r="C722" s="74" t="inlineStr">
        <is>
          <t>Empresa Licenciada VOICENET</t>
        </is>
      </c>
      <c r="D722" s="99">
        <f>IF(B722="Clientes",SUMIFS(PARÂMETROS!$D$8:$D$33,PARÂMETROS!$A$8:$A$33,C722,PARÂMETROS!$G$8:$G$33,J722),SUMIFS(PARÂMETROS!$E$8:$E$33,PARÂMETROS!$A$8:$A$33,C722,PARÂMETROS!$G$8:$G$33,J722))</f>
        <v/>
      </c>
      <c r="E722" s="100">
        <f>SUMIFS(SETORES!$D:$D,SETORES!$A:$A,A722,SETORES!$F:$F,J722)</f>
        <v/>
      </c>
      <c r="F722" s="100">
        <f>IFERROR(D722*E722,0)</f>
        <v/>
      </c>
      <c r="G722" s="99">
        <f>SUMIFS(PARÂMETROS!$F$8:$F$33,PARÂMETROS!$A$8:$A$33,C722,PARÂMETROS!$G$8:$G$33,J722)</f>
        <v/>
      </c>
      <c r="H722" s="100">
        <f>IFERROR(F722*G722,0)</f>
        <v/>
      </c>
      <c r="I722" s="100">
        <f>F722+H722</f>
        <v/>
      </c>
      <c r="J722" s="74" t="inlineStr">
        <is>
          <t>Junho/2026</t>
        </is>
      </c>
    </row>
    <row r="723" ht="14.25" customHeight="1" s="75">
      <c r="A723" s="74" t="inlineStr">
        <is>
          <t>Diretoria Adm</t>
        </is>
      </c>
      <c r="B723" s="74">
        <f>INDEX(SETORES!$B:$B,MATCH(A723,SETORES!$A:$A,0))</f>
        <v/>
      </c>
      <c r="C723" s="74" t="inlineStr">
        <is>
          <t>DTEL (uso próprio)</t>
        </is>
      </c>
      <c r="D723" s="99">
        <f>IF(B723="Clientes",SUMIFS(PARÂMETROS!$D$8:$D$33,PARÂMETROS!$A$8:$A$33,C723,PARÂMETROS!$G$8:$G$33,J723),SUMIFS(PARÂMETROS!$E$8:$E$33,PARÂMETROS!$A$8:$A$33,C723,PARÂMETROS!$G$8:$G$33,J723))</f>
        <v/>
      </c>
      <c r="E723" s="100">
        <f>SUMIFS(SETORES!$D:$D,SETORES!$A:$A,A723,SETORES!$F:$F,J723)</f>
        <v/>
      </c>
      <c r="F723" s="100">
        <f>IFERROR(D723*E723,0)</f>
        <v/>
      </c>
      <c r="G723" s="99">
        <f>SUMIFS(PARÂMETROS!$F$8:$F$33,PARÂMETROS!$A$8:$A$33,C723,PARÂMETROS!$G$8:$G$33,J723)</f>
        <v/>
      </c>
      <c r="H723" s="100">
        <f>IFERROR(F723*G723,0)</f>
        <v/>
      </c>
      <c r="I723" s="100">
        <f>F723+H723</f>
        <v/>
      </c>
      <c r="J723" s="74" t="inlineStr">
        <is>
          <t>Junho/2026</t>
        </is>
      </c>
    </row>
    <row r="724" ht="14.25" customHeight="1" s="75">
      <c r="A724" s="74" t="inlineStr">
        <is>
          <t>Diretoria Adm</t>
        </is>
      </c>
      <c r="B724" s="74">
        <f>INDEX(SETORES!$B:$B,MATCH(A724,SETORES!$A:$A,0))</f>
        <v/>
      </c>
      <c r="C724" s="74" t="inlineStr">
        <is>
          <t>Empresa Licenciada DX2</t>
        </is>
      </c>
      <c r="D724" s="99">
        <f>IF(B724="Clientes",SUMIFS(PARÂMETROS!$D$8:$D$33,PARÂMETROS!$A$8:$A$33,C724,PARÂMETROS!$G$8:$G$33,J724),SUMIFS(PARÂMETROS!$E$8:$E$33,PARÂMETROS!$A$8:$A$33,C724,PARÂMETROS!$G$8:$G$33,J724))</f>
        <v/>
      </c>
      <c r="E724" s="100">
        <f>SUMIFS(SETORES!$D:$D,SETORES!$A:$A,A724,SETORES!$F:$F,J724)</f>
        <v/>
      </c>
      <c r="F724" s="100">
        <f>IFERROR(D724*E724,0)</f>
        <v/>
      </c>
      <c r="G724" s="99">
        <f>SUMIFS(PARÂMETROS!$F$8:$F$33,PARÂMETROS!$A$8:$A$33,C724,PARÂMETROS!$G$8:$G$33,J724)</f>
        <v/>
      </c>
      <c r="H724" s="100">
        <f>IFERROR(F724*G724,0)</f>
        <v/>
      </c>
      <c r="I724" s="100">
        <f>F724+H724</f>
        <v/>
      </c>
      <c r="J724" s="74" t="inlineStr">
        <is>
          <t>Julho/2026</t>
        </is>
      </c>
    </row>
    <row r="725" ht="14.25" customHeight="1" s="75">
      <c r="A725" s="74" t="inlineStr">
        <is>
          <t>Diretoria Adm</t>
        </is>
      </c>
      <c r="B725" s="74">
        <f>INDEX(SETORES!$B:$B,MATCH(A725,SETORES!$A:$A,0))</f>
        <v/>
      </c>
      <c r="C725" s="74" t="inlineStr">
        <is>
          <t>Empresa Licenciada H&amp;A</t>
        </is>
      </c>
      <c r="D725" s="99">
        <f>IF(B725="Clientes",SUMIFS(PARÂMETROS!$D$8:$D$33,PARÂMETROS!$A$8:$A$33,C725,PARÂMETROS!$G$8:$G$33,J725),SUMIFS(PARÂMETROS!$E$8:$E$33,PARÂMETROS!$A$8:$A$33,C725,PARÂMETROS!$G$8:$G$33,J725))</f>
        <v/>
      </c>
      <c r="E725" s="100">
        <f>SUMIFS(SETORES!$D:$D,SETORES!$A:$A,A725,SETORES!$F:$F,J725)</f>
        <v/>
      </c>
      <c r="F725" s="100">
        <f>IFERROR(D725*E725,0)</f>
        <v/>
      </c>
      <c r="G725" s="99">
        <f>SUMIFS(PARÂMETROS!$F$8:$F$33,PARÂMETROS!$A$8:$A$33,C725,PARÂMETROS!$G$8:$G$33,J725)</f>
        <v/>
      </c>
      <c r="H725" s="100">
        <f>IFERROR(F725*G725,0)</f>
        <v/>
      </c>
      <c r="I725" s="100">
        <f>F725+H725</f>
        <v/>
      </c>
      <c r="J725" s="74" t="inlineStr">
        <is>
          <t>Julho/2026</t>
        </is>
      </c>
    </row>
    <row r="726" ht="14.25" customHeight="1" s="75">
      <c r="A726" s="74" t="inlineStr">
        <is>
          <t>Diretoria Adm</t>
        </is>
      </c>
      <c r="B726" s="74">
        <f>INDEX(SETORES!$B:$B,MATCH(A726,SETORES!$A:$A,0))</f>
        <v/>
      </c>
      <c r="C726" s="74" t="inlineStr">
        <is>
          <t>Empresa Licenciada SOLON ARAUJO</t>
        </is>
      </c>
      <c r="D726" s="99">
        <f>IF(B726="Clientes",SUMIFS(PARÂMETROS!$D$8:$D$33,PARÂMETROS!$A$8:$A$33,C726,PARÂMETROS!$G$8:$G$33,J726),SUMIFS(PARÂMETROS!$E$8:$E$33,PARÂMETROS!$A$8:$A$33,C726,PARÂMETROS!$G$8:$G$33,J726))</f>
        <v/>
      </c>
      <c r="E726" s="100">
        <f>SUMIFS(SETORES!$D:$D,SETORES!$A:$A,A726,SETORES!$F:$F,J726)</f>
        <v/>
      </c>
      <c r="F726" s="100">
        <f>IFERROR(D726*E726,0)</f>
        <v/>
      </c>
      <c r="G726" s="99">
        <f>SUMIFS(PARÂMETROS!$F$8:$F$33,PARÂMETROS!$A$8:$A$33,C726,PARÂMETROS!$G$8:$G$33,J726)</f>
        <v/>
      </c>
      <c r="H726" s="100">
        <f>IFERROR(F726*G726,0)</f>
        <v/>
      </c>
      <c r="I726" s="100">
        <f>F726+H726</f>
        <v/>
      </c>
      <c r="J726" s="74" t="inlineStr">
        <is>
          <t>Julho/2026</t>
        </is>
      </c>
    </row>
    <row r="727" ht="14.25" customHeight="1" s="75">
      <c r="A727" s="74" t="inlineStr">
        <is>
          <t>Diretoria Adm</t>
        </is>
      </c>
      <c r="B727" s="74">
        <f>INDEX(SETORES!$B:$B,MATCH(A727,SETORES!$A:$A,0))</f>
        <v/>
      </c>
      <c r="C727" s="74" t="inlineStr">
        <is>
          <t>Empresa Licenciada SOARES E LINS</t>
        </is>
      </c>
      <c r="D727" s="99">
        <f>IF(B727="Clientes",SUMIFS(PARÂMETROS!$D$8:$D$33,PARÂMETROS!$A$8:$A$33,C727,PARÂMETROS!$G$8:$G$33,J727),SUMIFS(PARÂMETROS!$E$8:$E$33,PARÂMETROS!$A$8:$A$33,C727,PARÂMETROS!$G$8:$G$33,J727))</f>
        <v/>
      </c>
      <c r="E727" s="100">
        <f>SUMIFS(SETORES!$D:$D,SETORES!$A:$A,A727,SETORES!$F:$F,J727)</f>
        <v/>
      </c>
      <c r="F727" s="100">
        <f>IFERROR(D727*E727,0)</f>
        <v/>
      </c>
      <c r="G727" s="99">
        <f>SUMIFS(PARÂMETROS!$F$8:$F$33,PARÂMETROS!$A$8:$A$33,C727,PARÂMETROS!$G$8:$G$33,J727)</f>
        <v/>
      </c>
      <c r="H727" s="100">
        <f>IFERROR(F727*G727,0)</f>
        <v/>
      </c>
      <c r="I727" s="100">
        <f>F727+H727</f>
        <v/>
      </c>
      <c r="J727" s="74" t="inlineStr">
        <is>
          <t>Julho/2026</t>
        </is>
      </c>
    </row>
    <row r="728" ht="14.25" customHeight="1" s="75">
      <c r="A728" s="74" t="inlineStr">
        <is>
          <t>Diretoria Adm</t>
        </is>
      </c>
      <c r="B728" s="74">
        <f>INDEX(SETORES!$B:$B,MATCH(A728,SETORES!$A:$A,0))</f>
        <v/>
      </c>
      <c r="C728" s="74" t="inlineStr">
        <is>
          <t>Empresa Licenciada SOARES E SILVA</t>
        </is>
      </c>
      <c r="D728" s="99">
        <f>IF(B728="Clientes",SUMIFS(PARÂMETROS!$D$8:$D$33,PARÂMETROS!$A$8:$A$33,C728,PARÂMETROS!$G$8:$G$33,J728),SUMIFS(PARÂMETROS!$E$8:$E$33,PARÂMETROS!$A$8:$A$33,C728,PARÂMETROS!$G$8:$G$33,J728))</f>
        <v/>
      </c>
      <c r="E728" s="100">
        <f>SUMIFS(SETORES!$D:$D,SETORES!$A:$A,A728,SETORES!$F:$F,J728)</f>
        <v/>
      </c>
      <c r="F728" s="100">
        <f>IFERROR(D728*E728,0)</f>
        <v/>
      </c>
      <c r="G728" s="99">
        <f>SUMIFS(PARÂMETROS!$F$8:$F$33,PARÂMETROS!$A$8:$A$33,C728,PARÂMETROS!$G$8:$G$33,J728)</f>
        <v/>
      </c>
      <c r="H728" s="100">
        <f>IFERROR(F728*G728,0)</f>
        <v/>
      </c>
      <c r="I728" s="100">
        <f>F728+H728</f>
        <v/>
      </c>
      <c r="J728" s="74" t="inlineStr">
        <is>
          <t>Julho/2026</t>
        </is>
      </c>
    </row>
    <row r="729" ht="14.25" customHeight="1" s="75">
      <c r="A729" s="74" t="inlineStr">
        <is>
          <t>Diretoria Adm</t>
        </is>
      </c>
      <c r="B729" s="74">
        <f>INDEX(SETORES!$B:$B,MATCH(A729,SETORES!$A:$A,0))</f>
        <v/>
      </c>
      <c r="C729" s="74" t="inlineStr">
        <is>
          <t>Empresa Licenciada SOUZA E SILVA</t>
        </is>
      </c>
      <c r="D729" s="99">
        <f>IF(B729="Clientes",SUMIFS(PARÂMETROS!$D$8:$D$33,PARÂMETROS!$A$8:$A$33,C729,PARÂMETROS!$G$8:$G$33,J729),SUMIFS(PARÂMETROS!$E$8:$E$33,PARÂMETROS!$A$8:$A$33,C729,PARÂMETROS!$G$8:$G$33,J729))</f>
        <v/>
      </c>
      <c r="E729" s="100">
        <f>SUMIFS(SETORES!$D:$D,SETORES!$A:$A,A729,SETORES!$F:$F,J729)</f>
        <v/>
      </c>
      <c r="F729" s="100">
        <f>IFERROR(D729*E729,0)</f>
        <v/>
      </c>
      <c r="G729" s="99">
        <f>SUMIFS(PARÂMETROS!$F$8:$F$33,PARÂMETROS!$A$8:$A$33,C729,PARÂMETROS!$G$8:$G$33,J729)</f>
        <v/>
      </c>
      <c r="H729" s="100">
        <f>IFERROR(F729*G729,0)</f>
        <v/>
      </c>
      <c r="I729" s="100">
        <f>F729+H729</f>
        <v/>
      </c>
      <c r="J729" s="74" t="inlineStr">
        <is>
          <t>Julho/2026</t>
        </is>
      </c>
    </row>
    <row r="730" ht="14.25" customHeight="1" s="75">
      <c r="A730" s="74" t="inlineStr">
        <is>
          <t>Diretoria Adm</t>
        </is>
      </c>
      <c r="B730" s="74">
        <f>INDEX(SETORES!$B:$B,MATCH(A730,SETORES!$A:$A,0))</f>
        <v/>
      </c>
      <c r="C730" s="74" t="inlineStr">
        <is>
          <t>Empresa Licenciada VOICENET</t>
        </is>
      </c>
      <c r="D730" s="99">
        <f>IF(B730="Clientes",SUMIFS(PARÂMETROS!$D$8:$D$33,PARÂMETROS!$A$8:$A$33,C730,PARÂMETROS!$G$8:$G$33,J730),SUMIFS(PARÂMETROS!$E$8:$E$33,PARÂMETROS!$A$8:$A$33,C730,PARÂMETROS!$G$8:$G$33,J730))</f>
        <v/>
      </c>
      <c r="E730" s="100">
        <f>SUMIFS(SETORES!$D:$D,SETORES!$A:$A,A730,SETORES!$F:$F,J730)</f>
        <v/>
      </c>
      <c r="F730" s="100">
        <f>IFERROR(D730*E730,0)</f>
        <v/>
      </c>
      <c r="G730" s="99">
        <f>SUMIFS(PARÂMETROS!$F$8:$F$33,PARÂMETROS!$A$8:$A$33,C730,PARÂMETROS!$G$8:$G$33,J730)</f>
        <v/>
      </c>
      <c r="H730" s="100">
        <f>IFERROR(F730*G730,0)</f>
        <v/>
      </c>
      <c r="I730" s="100">
        <f>F730+H730</f>
        <v/>
      </c>
      <c r="J730" s="74" t="inlineStr">
        <is>
          <t>Julho/2026</t>
        </is>
      </c>
    </row>
    <row r="731" ht="14.25" customHeight="1" s="75">
      <c r="A731" s="74" t="inlineStr">
        <is>
          <t>Diretoria Adm</t>
        </is>
      </c>
      <c r="B731" s="74">
        <f>INDEX(SETORES!$B:$B,MATCH(A731,SETORES!$A:$A,0))</f>
        <v/>
      </c>
      <c r="C731" s="74" t="inlineStr">
        <is>
          <t>DTEL (uso próprio)</t>
        </is>
      </c>
      <c r="D731" s="99">
        <f>IF(B731="Clientes",SUMIFS(PARÂMETROS!$D$8:$D$33,PARÂMETROS!$A$8:$A$33,C731,PARÂMETROS!$G$8:$G$33,J731),SUMIFS(PARÂMETROS!$E$8:$E$33,PARÂMETROS!$A$8:$A$33,C731,PARÂMETROS!$G$8:$G$33,J731))</f>
        <v/>
      </c>
      <c r="E731" s="100">
        <f>SUMIFS(SETORES!$D:$D,SETORES!$A:$A,A731,SETORES!$F:$F,J731)</f>
        <v/>
      </c>
      <c r="F731" s="100">
        <f>IFERROR(D731*E731,0)</f>
        <v/>
      </c>
      <c r="G731" s="99">
        <f>SUMIFS(PARÂMETROS!$F$8:$F$33,PARÂMETROS!$A$8:$A$33,C731,PARÂMETROS!$G$8:$G$33,J731)</f>
        <v/>
      </c>
      <c r="H731" s="100">
        <f>IFERROR(F731*G731,0)</f>
        <v/>
      </c>
      <c r="I731" s="100">
        <f>F731+H731</f>
        <v/>
      </c>
      <c r="J731" s="74" t="inlineStr">
        <is>
          <t>Julho/2026</t>
        </is>
      </c>
    </row>
    <row r="732" ht="14.25" customHeight="1" s="75">
      <c r="A732" s="74" t="inlineStr">
        <is>
          <t>Fique Móvel</t>
        </is>
      </c>
      <c r="B732" s="74">
        <f>INDEX(SETORES!$B:$B,MATCH(A732,SETORES!$A:$A,0))</f>
        <v/>
      </c>
      <c r="C732" s="74" t="inlineStr">
        <is>
          <t>Empresa Licenciada DX2</t>
        </is>
      </c>
      <c r="D732" s="99">
        <f>IF(B732="Clientes",SUMIFS(PARÂMETROS!$D$8:$D$33,PARÂMETROS!$A$8:$A$33,C732,PARÂMETROS!$G$8:$G$33,J732),SUMIFS(PARÂMETROS!$E$8:$E$33,PARÂMETROS!$A$8:$A$33,C732,PARÂMETROS!$G$8:$G$33,J732))</f>
        <v/>
      </c>
      <c r="E732" s="100">
        <f>SUMIFS(SETORES!$D:$D,SETORES!$A:$A,A732,SETORES!$F:$F,J732)</f>
        <v/>
      </c>
      <c r="F732" s="100">
        <f>IFERROR(D732*E732,0)</f>
        <v/>
      </c>
      <c r="G732" s="99">
        <f>SUMIFS(PARÂMETROS!$F$8:$F$33,PARÂMETROS!$A$8:$A$33,C732,PARÂMETROS!$G$8:$G$33,J732)</f>
        <v/>
      </c>
      <c r="H732" s="100">
        <f>IFERROR(F732*G732,0)</f>
        <v/>
      </c>
      <c r="I732" s="100">
        <f>F732+H732</f>
        <v/>
      </c>
      <c r="J732" s="74" t="inlineStr">
        <is>
          <t>Maio/2026</t>
        </is>
      </c>
    </row>
    <row r="733" ht="14.25" customHeight="1" s="75">
      <c r="A733" s="74" t="inlineStr">
        <is>
          <t>Fique Móvel</t>
        </is>
      </c>
      <c r="B733" s="74">
        <f>INDEX(SETORES!$B:$B,MATCH(A733,SETORES!$A:$A,0))</f>
        <v/>
      </c>
      <c r="C733" s="74" t="inlineStr">
        <is>
          <t>Empresa Licenciada H&amp;A</t>
        </is>
      </c>
      <c r="D733" s="99">
        <f>IF(B733="Clientes",SUMIFS(PARÂMETROS!$D$8:$D$33,PARÂMETROS!$A$8:$A$33,C733,PARÂMETROS!$G$8:$G$33,J733),SUMIFS(PARÂMETROS!$E$8:$E$33,PARÂMETROS!$A$8:$A$33,C733,PARÂMETROS!$G$8:$G$33,J733))</f>
        <v/>
      </c>
      <c r="E733" s="100">
        <f>SUMIFS(SETORES!$D:$D,SETORES!$A:$A,A733,SETORES!$F:$F,J733)</f>
        <v/>
      </c>
      <c r="F733" s="100">
        <f>IFERROR(D733*E733,0)</f>
        <v/>
      </c>
      <c r="G733" s="99">
        <f>SUMIFS(PARÂMETROS!$F$8:$F$33,PARÂMETROS!$A$8:$A$33,C733,PARÂMETROS!$G$8:$G$33,J733)</f>
        <v/>
      </c>
      <c r="H733" s="100">
        <f>IFERROR(F733*G733,0)</f>
        <v/>
      </c>
      <c r="I733" s="100">
        <f>F733+H733</f>
        <v/>
      </c>
      <c r="J733" s="74" t="inlineStr">
        <is>
          <t>Maio/2026</t>
        </is>
      </c>
    </row>
    <row r="734" ht="14.25" customHeight="1" s="75">
      <c r="A734" s="74" t="inlineStr">
        <is>
          <t>Fique Móvel</t>
        </is>
      </c>
      <c r="B734" s="74">
        <f>INDEX(SETORES!$B:$B,MATCH(A734,SETORES!$A:$A,0))</f>
        <v/>
      </c>
      <c r="C734" s="74" t="inlineStr">
        <is>
          <t>Empresa Licenciada SOLON ARAUJO</t>
        </is>
      </c>
      <c r="D734" s="99">
        <f>IF(B734="Clientes",SUMIFS(PARÂMETROS!$D$8:$D$33,PARÂMETROS!$A$8:$A$33,C734,PARÂMETROS!$G$8:$G$33,J734),SUMIFS(PARÂMETROS!$E$8:$E$33,PARÂMETROS!$A$8:$A$33,C734,PARÂMETROS!$G$8:$G$33,J734))</f>
        <v/>
      </c>
      <c r="E734" s="100">
        <f>SUMIFS(SETORES!$D:$D,SETORES!$A:$A,A734,SETORES!$F:$F,J734)</f>
        <v/>
      </c>
      <c r="F734" s="100">
        <f>IFERROR(D734*E734,0)</f>
        <v/>
      </c>
      <c r="G734" s="99">
        <f>SUMIFS(PARÂMETROS!$F$8:$F$33,PARÂMETROS!$A$8:$A$33,C734,PARÂMETROS!$G$8:$G$33,J734)</f>
        <v/>
      </c>
      <c r="H734" s="100">
        <f>IFERROR(F734*G734,0)</f>
        <v/>
      </c>
      <c r="I734" s="100">
        <f>F734+H734</f>
        <v/>
      </c>
      <c r="J734" s="74" t="inlineStr">
        <is>
          <t>Maio/2026</t>
        </is>
      </c>
    </row>
    <row r="735" ht="14.25" customHeight="1" s="75">
      <c r="A735" s="74" t="inlineStr">
        <is>
          <t>Fique Móvel</t>
        </is>
      </c>
      <c r="B735" s="74">
        <f>INDEX(SETORES!$B:$B,MATCH(A735,SETORES!$A:$A,0))</f>
        <v/>
      </c>
      <c r="C735" s="74" t="inlineStr">
        <is>
          <t>Empresa Licenciada SOARES E LINS</t>
        </is>
      </c>
      <c r="D735" s="99">
        <f>IF(B735="Clientes",SUMIFS(PARÂMETROS!$D$8:$D$33,PARÂMETROS!$A$8:$A$33,C735,PARÂMETROS!$G$8:$G$33,J735),SUMIFS(PARÂMETROS!$E$8:$E$33,PARÂMETROS!$A$8:$A$33,C735,PARÂMETROS!$G$8:$G$33,J735))</f>
        <v/>
      </c>
      <c r="E735" s="100">
        <f>SUMIFS(SETORES!$D:$D,SETORES!$A:$A,A735,SETORES!$F:$F,J735)</f>
        <v/>
      </c>
      <c r="F735" s="100">
        <f>IFERROR(D735*E735,0)</f>
        <v/>
      </c>
      <c r="G735" s="99">
        <f>SUMIFS(PARÂMETROS!$F$8:$F$33,PARÂMETROS!$A$8:$A$33,C735,PARÂMETROS!$G$8:$G$33,J735)</f>
        <v/>
      </c>
      <c r="H735" s="100">
        <f>IFERROR(F735*G735,0)</f>
        <v/>
      </c>
      <c r="I735" s="100">
        <f>F735+H735</f>
        <v/>
      </c>
      <c r="J735" s="74" t="inlineStr">
        <is>
          <t>Maio/2026</t>
        </is>
      </c>
    </row>
    <row r="736" ht="14.25" customHeight="1" s="75">
      <c r="A736" s="74" t="inlineStr">
        <is>
          <t>Fique Móvel</t>
        </is>
      </c>
      <c r="B736" s="74">
        <f>INDEX(SETORES!$B:$B,MATCH(A736,SETORES!$A:$A,0))</f>
        <v/>
      </c>
      <c r="C736" s="74" t="inlineStr">
        <is>
          <t>Empresa Licenciada SOARES E SILVA</t>
        </is>
      </c>
      <c r="D736" s="99">
        <f>IF(B736="Clientes",SUMIFS(PARÂMETROS!$D$8:$D$33,PARÂMETROS!$A$8:$A$33,C736,PARÂMETROS!$G$8:$G$33,J736),SUMIFS(PARÂMETROS!$E$8:$E$33,PARÂMETROS!$A$8:$A$33,C736,PARÂMETROS!$G$8:$G$33,J736))</f>
        <v/>
      </c>
      <c r="E736" s="100">
        <f>SUMIFS(SETORES!$D:$D,SETORES!$A:$A,A736,SETORES!$F:$F,J736)</f>
        <v/>
      </c>
      <c r="F736" s="100">
        <f>IFERROR(D736*E736,0)</f>
        <v/>
      </c>
      <c r="G736" s="99">
        <f>SUMIFS(PARÂMETROS!$F$8:$F$33,PARÂMETROS!$A$8:$A$33,C736,PARÂMETROS!$G$8:$G$33,J736)</f>
        <v/>
      </c>
      <c r="H736" s="100">
        <f>IFERROR(F736*G736,0)</f>
        <v/>
      </c>
      <c r="I736" s="100">
        <f>F736+H736</f>
        <v/>
      </c>
      <c r="J736" s="74" t="inlineStr">
        <is>
          <t>Maio/2026</t>
        </is>
      </c>
    </row>
    <row r="737" ht="14.25" customHeight="1" s="75">
      <c r="A737" s="74" t="inlineStr">
        <is>
          <t>Fique Móvel</t>
        </is>
      </c>
      <c r="B737" s="74">
        <f>INDEX(SETORES!$B:$B,MATCH(A737,SETORES!$A:$A,0))</f>
        <v/>
      </c>
      <c r="C737" s="74" t="inlineStr">
        <is>
          <t>Empresa Licenciada SOUZA E SILVA</t>
        </is>
      </c>
      <c r="D737" s="99">
        <f>IF(B737="Clientes",SUMIFS(PARÂMETROS!$D$8:$D$33,PARÂMETROS!$A$8:$A$33,C737,PARÂMETROS!$G$8:$G$33,J737),SUMIFS(PARÂMETROS!$E$8:$E$33,PARÂMETROS!$A$8:$A$33,C737,PARÂMETROS!$G$8:$G$33,J737))</f>
        <v/>
      </c>
      <c r="E737" s="100">
        <f>SUMIFS(SETORES!$D:$D,SETORES!$A:$A,A737,SETORES!$F:$F,J737)</f>
        <v/>
      </c>
      <c r="F737" s="100">
        <f>IFERROR(D737*E737,0)</f>
        <v/>
      </c>
      <c r="G737" s="99">
        <f>SUMIFS(PARÂMETROS!$F$8:$F$33,PARÂMETROS!$A$8:$A$33,C737,PARÂMETROS!$G$8:$G$33,J737)</f>
        <v/>
      </c>
      <c r="H737" s="100">
        <f>IFERROR(F737*G737,0)</f>
        <v/>
      </c>
      <c r="I737" s="100">
        <f>F737+H737</f>
        <v/>
      </c>
      <c r="J737" s="74" t="inlineStr">
        <is>
          <t>Maio/2026</t>
        </is>
      </c>
    </row>
    <row r="738" ht="14.25" customHeight="1" s="75">
      <c r="A738" s="74" t="inlineStr">
        <is>
          <t>Fique Móvel</t>
        </is>
      </c>
      <c r="B738" s="74">
        <f>INDEX(SETORES!$B:$B,MATCH(A738,SETORES!$A:$A,0))</f>
        <v/>
      </c>
      <c r="C738" s="74" t="inlineStr">
        <is>
          <t>Empresa Licenciada VOICENET</t>
        </is>
      </c>
      <c r="D738" s="99">
        <f>IF(B738="Clientes",SUMIFS(PARÂMETROS!$D$8:$D$33,PARÂMETROS!$A$8:$A$33,C738,PARÂMETROS!$G$8:$G$33,J738),SUMIFS(PARÂMETROS!$E$8:$E$33,PARÂMETROS!$A$8:$A$33,C738,PARÂMETROS!$G$8:$G$33,J738))</f>
        <v/>
      </c>
      <c r="E738" s="100">
        <f>SUMIFS(SETORES!$D:$D,SETORES!$A:$A,A738,SETORES!$F:$F,J738)</f>
        <v/>
      </c>
      <c r="F738" s="100">
        <f>IFERROR(D738*E738,0)</f>
        <v/>
      </c>
      <c r="G738" s="99">
        <f>SUMIFS(PARÂMETROS!$F$8:$F$33,PARÂMETROS!$A$8:$A$33,C738,PARÂMETROS!$G$8:$G$33,J738)</f>
        <v/>
      </c>
      <c r="H738" s="100">
        <f>IFERROR(F738*G738,0)</f>
        <v/>
      </c>
      <c r="I738" s="100">
        <f>F738+H738</f>
        <v/>
      </c>
      <c r="J738" s="74" t="inlineStr">
        <is>
          <t>Maio/2026</t>
        </is>
      </c>
    </row>
    <row r="739" ht="14.25" customHeight="1" s="75">
      <c r="A739" s="74" t="inlineStr">
        <is>
          <t>Fique Móvel</t>
        </is>
      </c>
      <c r="B739" s="74">
        <f>INDEX(SETORES!$B:$B,MATCH(A739,SETORES!$A:$A,0))</f>
        <v/>
      </c>
      <c r="C739" s="74" t="inlineStr">
        <is>
          <t>DTEL (uso próprio)</t>
        </is>
      </c>
      <c r="D739" s="99">
        <f>IF(B739="Clientes",SUMIFS(PARÂMETROS!$D$8:$D$33,PARÂMETROS!$A$8:$A$33,C739,PARÂMETROS!$G$8:$G$33,J739),SUMIFS(PARÂMETROS!$E$8:$E$33,PARÂMETROS!$A$8:$A$33,C739,PARÂMETROS!$G$8:$G$33,J739))</f>
        <v/>
      </c>
      <c r="E739" s="100">
        <f>SUMIFS(SETORES!$D:$D,SETORES!$A:$A,A739,SETORES!$F:$F,J739)</f>
        <v/>
      </c>
      <c r="F739" s="100">
        <f>IFERROR(D739*E739,0)</f>
        <v/>
      </c>
      <c r="G739" s="99">
        <f>SUMIFS(PARÂMETROS!$F$8:$F$33,PARÂMETROS!$A$8:$A$33,C739,PARÂMETROS!$G$8:$G$33,J739)</f>
        <v/>
      </c>
      <c r="H739" s="100">
        <f>IFERROR(F739*G739,0)</f>
        <v/>
      </c>
      <c r="I739" s="100">
        <f>F739+H739</f>
        <v/>
      </c>
      <c r="J739" s="74" t="inlineStr">
        <is>
          <t>Maio/2026</t>
        </is>
      </c>
    </row>
    <row r="740" ht="14.25" customHeight="1" s="75">
      <c r="A740" s="74" t="inlineStr">
        <is>
          <t>Fique Móvel</t>
        </is>
      </c>
      <c r="B740" s="74">
        <f>INDEX(SETORES!$B:$B,MATCH(A740,SETORES!$A:$A,0))</f>
        <v/>
      </c>
      <c r="C740" s="74" t="inlineStr">
        <is>
          <t>Empresa Licenciada DX2</t>
        </is>
      </c>
      <c r="D740" s="99">
        <f>IF(B740="Clientes",SUMIFS(PARÂMETROS!$D$8:$D$33,PARÂMETROS!$A$8:$A$33,C740,PARÂMETROS!$G$8:$G$33,J740),SUMIFS(PARÂMETROS!$E$8:$E$33,PARÂMETROS!$A$8:$A$33,C740,PARÂMETROS!$G$8:$G$33,J740))</f>
        <v/>
      </c>
      <c r="E740" s="100">
        <f>SUMIFS(SETORES!$D:$D,SETORES!$A:$A,A740,SETORES!$F:$F,J740)</f>
        <v/>
      </c>
      <c r="F740" s="100">
        <f>IFERROR(D740*E740,0)</f>
        <v/>
      </c>
      <c r="G740" s="99">
        <f>SUMIFS(PARÂMETROS!$F$8:$F$33,PARÂMETROS!$A$8:$A$33,C740,PARÂMETROS!$G$8:$G$33,J740)</f>
        <v/>
      </c>
      <c r="H740" s="100">
        <f>IFERROR(F740*G740,0)</f>
        <v/>
      </c>
      <c r="I740" s="100">
        <f>F740+H740</f>
        <v/>
      </c>
      <c r="J740" s="74" t="inlineStr">
        <is>
          <t>Junho/2026</t>
        </is>
      </c>
    </row>
    <row r="741" ht="14.25" customHeight="1" s="75">
      <c r="A741" s="74" t="inlineStr">
        <is>
          <t>Fique Móvel</t>
        </is>
      </c>
      <c r="B741" s="74">
        <f>INDEX(SETORES!$B:$B,MATCH(A741,SETORES!$A:$A,0))</f>
        <v/>
      </c>
      <c r="C741" s="74" t="inlineStr">
        <is>
          <t>Empresa Licenciada H&amp;A</t>
        </is>
      </c>
      <c r="D741" s="99">
        <f>IF(B741="Clientes",SUMIFS(PARÂMETROS!$D$8:$D$33,PARÂMETROS!$A$8:$A$33,C741,PARÂMETROS!$G$8:$G$33,J741),SUMIFS(PARÂMETROS!$E$8:$E$33,PARÂMETROS!$A$8:$A$33,C741,PARÂMETROS!$G$8:$G$33,J741))</f>
        <v/>
      </c>
      <c r="E741" s="100">
        <f>SUMIFS(SETORES!$D:$D,SETORES!$A:$A,A741,SETORES!$F:$F,J741)</f>
        <v/>
      </c>
      <c r="F741" s="100">
        <f>IFERROR(D741*E741,0)</f>
        <v/>
      </c>
      <c r="G741" s="99">
        <f>SUMIFS(PARÂMETROS!$F$8:$F$33,PARÂMETROS!$A$8:$A$33,C741,PARÂMETROS!$G$8:$G$33,J741)</f>
        <v/>
      </c>
      <c r="H741" s="100">
        <f>IFERROR(F741*G741,0)</f>
        <v/>
      </c>
      <c r="I741" s="100">
        <f>F741+H741</f>
        <v/>
      </c>
      <c r="J741" s="74" t="inlineStr">
        <is>
          <t>Junho/2026</t>
        </is>
      </c>
    </row>
    <row r="742" ht="14.25" customHeight="1" s="75">
      <c r="A742" s="74" t="inlineStr">
        <is>
          <t>Fique Móvel</t>
        </is>
      </c>
      <c r="B742" s="74">
        <f>INDEX(SETORES!$B:$B,MATCH(A742,SETORES!$A:$A,0))</f>
        <v/>
      </c>
      <c r="C742" s="74" t="inlineStr">
        <is>
          <t>Empresa Licenciada SOLON ARAUJO</t>
        </is>
      </c>
      <c r="D742" s="99">
        <f>IF(B742="Clientes",SUMIFS(PARÂMETROS!$D$8:$D$33,PARÂMETROS!$A$8:$A$33,C742,PARÂMETROS!$G$8:$G$33,J742),SUMIFS(PARÂMETROS!$E$8:$E$33,PARÂMETROS!$A$8:$A$33,C742,PARÂMETROS!$G$8:$G$33,J742))</f>
        <v/>
      </c>
      <c r="E742" s="100">
        <f>SUMIFS(SETORES!$D:$D,SETORES!$A:$A,A742,SETORES!$F:$F,J742)</f>
        <v/>
      </c>
      <c r="F742" s="100">
        <f>IFERROR(D742*E742,0)</f>
        <v/>
      </c>
      <c r="G742" s="99">
        <f>SUMIFS(PARÂMETROS!$F$8:$F$33,PARÂMETROS!$A$8:$A$33,C742,PARÂMETROS!$G$8:$G$33,J742)</f>
        <v/>
      </c>
      <c r="H742" s="100">
        <f>IFERROR(F742*G742,0)</f>
        <v/>
      </c>
      <c r="I742" s="100">
        <f>F742+H742</f>
        <v/>
      </c>
      <c r="J742" s="74" t="inlineStr">
        <is>
          <t>Junho/2026</t>
        </is>
      </c>
    </row>
    <row r="743" ht="14.25" customHeight="1" s="75">
      <c r="A743" s="74" t="inlineStr">
        <is>
          <t>Fique Móvel</t>
        </is>
      </c>
      <c r="B743" s="74">
        <f>INDEX(SETORES!$B:$B,MATCH(A743,SETORES!$A:$A,0))</f>
        <v/>
      </c>
      <c r="C743" s="74" t="inlineStr">
        <is>
          <t>Empresa Licenciada SOARES E LINS</t>
        </is>
      </c>
      <c r="D743" s="99">
        <f>IF(B743="Clientes",SUMIFS(PARÂMETROS!$D$8:$D$33,PARÂMETROS!$A$8:$A$33,C743,PARÂMETROS!$G$8:$G$33,J743),SUMIFS(PARÂMETROS!$E$8:$E$33,PARÂMETROS!$A$8:$A$33,C743,PARÂMETROS!$G$8:$G$33,J743))</f>
        <v/>
      </c>
      <c r="E743" s="100">
        <f>SUMIFS(SETORES!$D:$D,SETORES!$A:$A,A743,SETORES!$F:$F,J743)</f>
        <v/>
      </c>
      <c r="F743" s="100">
        <f>IFERROR(D743*E743,0)</f>
        <v/>
      </c>
      <c r="G743" s="99">
        <f>SUMIFS(PARÂMETROS!$F$8:$F$33,PARÂMETROS!$A$8:$A$33,C743,PARÂMETROS!$G$8:$G$33,J743)</f>
        <v/>
      </c>
      <c r="H743" s="100">
        <f>IFERROR(F743*G743,0)</f>
        <v/>
      </c>
      <c r="I743" s="100">
        <f>F743+H743</f>
        <v/>
      </c>
      <c r="J743" s="74" t="inlineStr">
        <is>
          <t>Junho/2026</t>
        </is>
      </c>
    </row>
    <row r="744" ht="14.25" customHeight="1" s="75">
      <c r="A744" s="74" t="inlineStr">
        <is>
          <t>Fique Móvel</t>
        </is>
      </c>
      <c r="B744" s="74">
        <f>INDEX(SETORES!$B:$B,MATCH(A744,SETORES!$A:$A,0))</f>
        <v/>
      </c>
      <c r="C744" s="74" t="inlineStr">
        <is>
          <t>Empresa Licenciada SOARES E SILVA</t>
        </is>
      </c>
      <c r="D744" s="99">
        <f>IF(B744="Clientes",SUMIFS(PARÂMETROS!$D$8:$D$33,PARÂMETROS!$A$8:$A$33,C744,PARÂMETROS!$G$8:$G$33,J744),SUMIFS(PARÂMETROS!$E$8:$E$33,PARÂMETROS!$A$8:$A$33,C744,PARÂMETROS!$G$8:$G$33,J744))</f>
        <v/>
      </c>
      <c r="E744" s="100">
        <f>SUMIFS(SETORES!$D:$D,SETORES!$A:$A,A744,SETORES!$F:$F,J744)</f>
        <v/>
      </c>
      <c r="F744" s="100">
        <f>IFERROR(D744*E744,0)</f>
        <v/>
      </c>
      <c r="G744" s="99">
        <f>SUMIFS(PARÂMETROS!$F$8:$F$33,PARÂMETROS!$A$8:$A$33,C744,PARÂMETROS!$G$8:$G$33,J744)</f>
        <v/>
      </c>
      <c r="H744" s="100">
        <f>IFERROR(F744*G744,0)</f>
        <v/>
      </c>
      <c r="I744" s="100">
        <f>F744+H744</f>
        <v/>
      </c>
      <c r="J744" s="74" t="inlineStr">
        <is>
          <t>Junho/2026</t>
        </is>
      </c>
    </row>
    <row r="745" ht="14.25" customHeight="1" s="75">
      <c r="A745" s="74" t="inlineStr">
        <is>
          <t>Fique Móvel</t>
        </is>
      </c>
      <c r="B745" s="74">
        <f>INDEX(SETORES!$B:$B,MATCH(A745,SETORES!$A:$A,0))</f>
        <v/>
      </c>
      <c r="C745" s="74" t="inlineStr">
        <is>
          <t>Empresa Licenciada SOUZA E SILVA</t>
        </is>
      </c>
      <c r="D745" s="99">
        <f>IF(B745="Clientes",SUMIFS(PARÂMETROS!$D$8:$D$33,PARÂMETROS!$A$8:$A$33,C745,PARÂMETROS!$G$8:$G$33,J745),SUMIFS(PARÂMETROS!$E$8:$E$33,PARÂMETROS!$A$8:$A$33,C745,PARÂMETROS!$G$8:$G$33,J745))</f>
        <v/>
      </c>
      <c r="E745" s="100">
        <f>SUMIFS(SETORES!$D:$D,SETORES!$A:$A,A745,SETORES!$F:$F,J745)</f>
        <v/>
      </c>
      <c r="F745" s="100">
        <f>IFERROR(D745*E745,0)</f>
        <v/>
      </c>
      <c r="G745" s="99">
        <f>SUMIFS(PARÂMETROS!$F$8:$F$33,PARÂMETROS!$A$8:$A$33,C745,PARÂMETROS!$G$8:$G$33,J745)</f>
        <v/>
      </c>
      <c r="H745" s="100">
        <f>IFERROR(F745*G745,0)</f>
        <v/>
      </c>
      <c r="I745" s="100">
        <f>F745+H745</f>
        <v/>
      </c>
      <c r="J745" s="74" t="inlineStr">
        <is>
          <t>Junho/2026</t>
        </is>
      </c>
    </row>
    <row r="746" ht="14.25" customHeight="1" s="75">
      <c r="A746" s="74" t="inlineStr">
        <is>
          <t>Fique Móvel</t>
        </is>
      </c>
      <c r="B746" s="74">
        <f>INDEX(SETORES!$B:$B,MATCH(A746,SETORES!$A:$A,0))</f>
        <v/>
      </c>
      <c r="C746" s="74" t="inlineStr">
        <is>
          <t>Empresa Licenciada VOICENET</t>
        </is>
      </c>
      <c r="D746" s="99">
        <f>IF(B746="Clientes",SUMIFS(PARÂMETROS!$D$8:$D$33,PARÂMETROS!$A$8:$A$33,C746,PARÂMETROS!$G$8:$G$33,J746),SUMIFS(PARÂMETROS!$E$8:$E$33,PARÂMETROS!$A$8:$A$33,C746,PARÂMETROS!$G$8:$G$33,J746))</f>
        <v/>
      </c>
      <c r="E746" s="100">
        <f>SUMIFS(SETORES!$D:$D,SETORES!$A:$A,A746,SETORES!$F:$F,J746)</f>
        <v/>
      </c>
      <c r="F746" s="100">
        <f>IFERROR(D746*E746,0)</f>
        <v/>
      </c>
      <c r="G746" s="99">
        <f>SUMIFS(PARÂMETROS!$F$8:$F$33,PARÂMETROS!$A$8:$A$33,C746,PARÂMETROS!$G$8:$G$33,J746)</f>
        <v/>
      </c>
      <c r="H746" s="100">
        <f>IFERROR(F746*G746,0)</f>
        <v/>
      </c>
      <c r="I746" s="100">
        <f>F746+H746</f>
        <v/>
      </c>
      <c r="J746" s="74" t="inlineStr">
        <is>
          <t>Junho/2026</t>
        </is>
      </c>
    </row>
    <row r="747" ht="14.25" customHeight="1" s="75">
      <c r="A747" s="74" t="inlineStr">
        <is>
          <t>Fique Móvel</t>
        </is>
      </c>
      <c r="B747" s="74">
        <f>INDEX(SETORES!$B:$B,MATCH(A747,SETORES!$A:$A,0))</f>
        <v/>
      </c>
      <c r="C747" s="74" t="inlineStr">
        <is>
          <t>DTEL (uso próprio)</t>
        </is>
      </c>
      <c r="D747" s="99">
        <f>IF(B747="Clientes",SUMIFS(PARÂMETROS!$D$8:$D$33,PARÂMETROS!$A$8:$A$33,C747,PARÂMETROS!$G$8:$G$33,J747),SUMIFS(PARÂMETROS!$E$8:$E$33,PARÂMETROS!$A$8:$A$33,C747,PARÂMETROS!$G$8:$G$33,J747))</f>
        <v/>
      </c>
      <c r="E747" s="100">
        <f>SUMIFS(SETORES!$D:$D,SETORES!$A:$A,A747,SETORES!$F:$F,J747)</f>
        <v/>
      </c>
      <c r="F747" s="100">
        <f>IFERROR(D747*E747,0)</f>
        <v/>
      </c>
      <c r="G747" s="99">
        <f>SUMIFS(PARÂMETROS!$F$8:$F$33,PARÂMETROS!$A$8:$A$33,C747,PARÂMETROS!$G$8:$G$33,J747)</f>
        <v/>
      </c>
      <c r="H747" s="100">
        <f>IFERROR(F747*G747,0)</f>
        <v/>
      </c>
      <c r="I747" s="100">
        <f>F747+H747</f>
        <v/>
      </c>
      <c r="J747" s="74" t="inlineStr">
        <is>
          <t>Junho/2026</t>
        </is>
      </c>
    </row>
    <row r="748" ht="14.25" customHeight="1" s="75">
      <c r="A748" s="74" t="inlineStr">
        <is>
          <t>Fique Móvel</t>
        </is>
      </c>
      <c r="B748" s="74">
        <f>INDEX(SETORES!$B:$B,MATCH(A748,SETORES!$A:$A,0))</f>
        <v/>
      </c>
      <c r="C748" s="74" t="inlineStr">
        <is>
          <t>Empresa Licenciada DX2</t>
        </is>
      </c>
      <c r="D748" s="99">
        <f>IF(B748="Clientes",SUMIFS(PARÂMETROS!$D$8:$D$33,PARÂMETROS!$A$8:$A$33,C748,PARÂMETROS!$G$8:$G$33,J748),SUMIFS(PARÂMETROS!$E$8:$E$33,PARÂMETROS!$A$8:$A$33,C748,PARÂMETROS!$G$8:$G$33,J748))</f>
        <v/>
      </c>
      <c r="E748" s="100">
        <f>SUMIFS(SETORES!$D:$D,SETORES!$A:$A,A748,SETORES!$F:$F,J748)</f>
        <v/>
      </c>
      <c r="F748" s="100">
        <f>IFERROR(D748*E748,0)</f>
        <v/>
      </c>
      <c r="G748" s="99">
        <f>SUMIFS(PARÂMETROS!$F$8:$F$33,PARÂMETROS!$A$8:$A$33,C748,PARÂMETROS!$G$8:$G$33,J748)</f>
        <v/>
      </c>
      <c r="H748" s="100">
        <f>IFERROR(F748*G748,0)</f>
        <v/>
      </c>
      <c r="I748" s="100">
        <f>F748+H748</f>
        <v/>
      </c>
      <c r="J748" s="74" t="inlineStr">
        <is>
          <t>Julho/2026</t>
        </is>
      </c>
    </row>
    <row r="749" ht="14.25" customHeight="1" s="75">
      <c r="A749" s="74" t="inlineStr">
        <is>
          <t>Fique Móvel</t>
        </is>
      </c>
      <c r="B749" s="74">
        <f>INDEX(SETORES!$B:$B,MATCH(A749,SETORES!$A:$A,0))</f>
        <v/>
      </c>
      <c r="C749" s="74" t="inlineStr">
        <is>
          <t>Empresa Licenciada H&amp;A</t>
        </is>
      </c>
      <c r="D749" s="99">
        <f>IF(B749="Clientes",SUMIFS(PARÂMETROS!$D$8:$D$33,PARÂMETROS!$A$8:$A$33,C749,PARÂMETROS!$G$8:$G$33,J749),SUMIFS(PARÂMETROS!$E$8:$E$33,PARÂMETROS!$A$8:$A$33,C749,PARÂMETROS!$G$8:$G$33,J749))</f>
        <v/>
      </c>
      <c r="E749" s="100">
        <f>SUMIFS(SETORES!$D:$D,SETORES!$A:$A,A749,SETORES!$F:$F,J749)</f>
        <v/>
      </c>
      <c r="F749" s="100">
        <f>IFERROR(D749*E749,0)</f>
        <v/>
      </c>
      <c r="G749" s="99">
        <f>SUMIFS(PARÂMETROS!$F$8:$F$33,PARÂMETROS!$A$8:$A$33,C749,PARÂMETROS!$G$8:$G$33,J749)</f>
        <v/>
      </c>
      <c r="H749" s="100">
        <f>IFERROR(F749*G749,0)</f>
        <v/>
      </c>
      <c r="I749" s="100">
        <f>F749+H749</f>
        <v/>
      </c>
      <c r="J749" s="74" t="inlineStr">
        <is>
          <t>Julho/2026</t>
        </is>
      </c>
    </row>
    <row r="750" ht="14.25" customHeight="1" s="75">
      <c r="A750" s="74" t="inlineStr">
        <is>
          <t>Fique Móvel</t>
        </is>
      </c>
      <c r="B750" s="74">
        <f>INDEX(SETORES!$B:$B,MATCH(A750,SETORES!$A:$A,0))</f>
        <v/>
      </c>
      <c r="C750" s="74" t="inlineStr">
        <is>
          <t>Empresa Licenciada SOLON ARAUJO</t>
        </is>
      </c>
      <c r="D750" s="99">
        <f>IF(B750="Clientes",SUMIFS(PARÂMETROS!$D$8:$D$33,PARÂMETROS!$A$8:$A$33,C750,PARÂMETROS!$G$8:$G$33,J750),SUMIFS(PARÂMETROS!$E$8:$E$33,PARÂMETROS!$A$8:$A$33,C750,PARÂMETROS!$G$8:$G$33,J750))</f>
        <v/>
      </c>
      <c r="E750" s="100">
        <f>SUMIFS(SETORES!$D:$D,SETORES!$A:$A,A750,SETORES!$F:$F,J750)</f>
        <v/>
      </c>
      <c r="F750" s="100">
        <f>IFERROR(D750*E750,0)</f>
        <v/>
      </c>
      <c r="G750" s="99">
        <f>SUMIFS(PARÂMETROS!$F$8:$F$33,PARÂMETROS!$A$8:$A$33,C750,PARÂMETROS!$G$8:$G$33,J750)</f>
        <v/>
      </c>
      <c r="H750" s="100">
        <f>IFERROR(F750*G750,0)</f>
        <v/>
      </c>
      <c r="I750" s="100">
        <f>F750+H750</f>
        <v/>
      </c>
      <c r="J750" s="74" t="inlineStr">
        <is>
          <t>Julho/2026</t>
        </is>
      </c>
    </row>
    <row r="751" ht="14.25" customHeight="1" s="75">
      <c r="A751" s="74" t="inlineStr">
        <is>
          <t>Fique Móvel</t>
        </is>
      </c>
      <c r="B751" s="74">
        <f>INDEX(SETORES!$B:$B,MATCH(A751,SETORES!$A:$A,0))</f>
        <v/>
      </c>
      <c r="C751" s="74" t="inlineStr">
        <is>
          <t>Empresa Licenciada SOARES E LINS</t>
        </is>
      </c>
      <c r="D751" s="99">
        <f>IF(B751="Clientes",SUMIFS(PARÂMETROS!$D$8:$D$33,PARÂMETROS!$A$8:$A$33,C751,PARÂMETROS!$G$8:$G$33,J751),SUMIFS(PARÂMETROS!$E$8:$E$33,PARÂMETROS!$A$8:$A$33,C751,PARÂMETROS!$G$8:$G$33,J751))</f>
        <v/>
      </c>
      <c r="E751" s="100">
        <f>SUMIFS(SETORES!$D:$D,SETORES!$A:$A,A751,SETORES!$F:$F,J751)</f>
        <v/>
      </c>
      <c r="F751" s="100">
        <f>IFERROR(D751*E751,0)</f>
        <v/>
      </c>
      <c r="G751" s="99">
        <f>SUMIFS(PARÂMETROS!$F$8:$F$33,PARÂMETROS!$A$8:$A$33,C751,PARÂMETROS!$G$8:$G$33,J751)</f>
        <v/>
      </c>
      <c r="H751" s="100">
        <f>IFERROR(F751*G751,0)</f>
        <v/>
      </c>
      <c r="I751" s="100">
        <f>F751+H751</f>
        <v/>
      </c>
      <c r="J751" s="74" t="inlineStr">
        <is>
          <t>Julho/2026</t>
        </is>
      </c>
    </row>
    <row r="752" ht="14.25" customHeight="1" s="75">
      <c r="A752" s="74" t="inlineStr">
        <is>
          <t>Fique Móvel</t>
        </is>
      </c>
      <c r="B752" s="74">
        <f>INDEX(SETORES!$B:$B,MATCH(A752,SETORES!$A:$A,0))</f>
        <v/>
      </c>
      <c r="C752" s="74" t="inlineStr">
        <is>
          <t>Empresa Licenciada SOARES E SILVA</t>
        </is>
      </c>
      <c r="D752" s="99">
        <f>IF(B752="Clientes",SUMIFS(PARÂMETROS!$D$8:$D$33,PARÂMETROS!$A$8:$A$33,C752,PARÂMETROS!$G$8:$G$33,J752),SUMIFS(PARÂMETROS!$E$8:$E$33,PARÂMETROS!$A$8:$A$33,C752,PARÂMETROS!$G$8:$G$33,J752))</f>
        <v/>
      </c>
      <c r="E752" s="100">
        <f>SUMIFS(SETORES!$D:$D,SETORES!$A:$A,A752,SETORES!$F:$F,J752)</f>
        <v/>
      </c>
      <c r="F752" s="100">
        <f>IFERROR(D752*E752,0)</f>
        <v/>
      </c>
      <c r="G752" s="99">
        <f>SUMIFS(PARÂMETROS!$F$8:$F$33,PARÂMETROS!$A$8:$A$33,C752,PARÂMETROS!$G$8:$G$33,J752)</f>
        <v/>
      </c>
      <c r="H752" s="100">
        <f>IFERROR(F752*G752,0)</f>
        <v/>
      </c>
      <c r="I752" s="100">
        <f>F752+H752</f>
        <v/>
      </c>
      <c r="J752" s="74" t="inlineStr">
        <is>
          <t>Julho/2026</t>
        </is>
      </c>
    </row>
    <row r="753" ht="14.25" customHeight="1" s="75">
      <c r="A753" s="74" t="inlineStr">
        <is>
          <t>Fique Móvel</t>
        </is>
      </c>
      <c r="B753" s="74">
        <f>INDEX(SETORES!$B:$B,MATCH(A753,SETORES!$A:$A,0))</f>
        <v/>
      </c>
      <c r="C753" s="74" t="inlineStr">
        <is>
          <t>Empresa Licenciada SOUZA E SILVA</t>
        </is>
      </c>
      <c r="D753" s="99">
        <f>IF(B753="Clientes",SUMIFS(PARÂMETROS!$D$8:$D$33,PARÂMETROS!$A$8:$A$33,C753,PARÂMETROS!$G$8:$G$33,J753),SUMIFS(PARÂMETROS!$E$8:$E$33,PARÂMETROS!$A$8:$A$33,C753,PARÂMETROS!$G$8:$G$33,J753))</f>
        <v/>
      </c>
      <c r="E753" s="100">
        <f>SUMIFS(SETORES!$D:$D,SETORES!$A:$A,A753,SETORES!$F:$F,J753)</f>
        <v/>
      </c>
      <c r="F753" s="100">
        <f>IFERROR(D753*E753,0)</f>
        <v/>
      </c>
      <c r="G753" s="99">
        <f>SUMIFS(PARÂMETROS!$F$8:$F$33,PARÂMETROS!$A$8:$A$33,C753,PARÂMETROS!$G$8:$G$33,J753)</f>
        <v/>
      </c>
      <c r="H753" s="100">
        <f>IFERROR(F753*G753,0)</f>
        <v/>
      </c>
      <c r="I753" s="100">
        <f>F753+H753</f>
        <v/>
      </c>
      <c r="J753" s="74" t="inlineStr">
        <is>
          <t>Julho/2026</t>
        </is>
      </c>
    </row>
    <row r="754" ht="14.25" customHeight="1" s="75">
      <c r="A754" s="74" t="inlineStr">
        <is>
          <t>Fique Móvel</t>
        </is>
      </c>
      <c r="B754" s="74">
        <f>INDEX(SETORES!$B:$B,MATCH(A754,SETORES!$A:$A,0))</f>
        <v/>
      </c>
      <c r="C754" s="74" t="inlineStr">
        <is>
          <t>Empresa Licenciada VOICENET</t>
        </is>
      </c>
      <c r="D754" s="99">
        <f>IF(B754="Clientes",SUMIFS(PARÂMETROS!$D$8:$D$33,PARÂMETROS!$A$8:$A$33,C754,PARÂMETROS!$G$8:$G$33,J754),SUMIFS(PARÂMETROS!$E$8:$E$33,PARÂMETROS!$A$8:$A$33,C754,PARÂMETROS!$G$8:$G$33,J754))</f>
        <v/>
      </c>
      <c r="E754" s="100">
        <f>SUMIFS(SETORES!$D:$D,SETORES!$A:$A,A754,SETORES!$F:$F,J754)</f>
        <v/>
      </c>
      <c r="F754" s="100">
        <f>IFERROR(D754*E754,0)</f>
        <v/>
      </c>
      <c r="G754" s="99">
        <f>SUMIFS(PARÂMETROS!$F$8:$F$33,PARÂMETROS!$A$8:$A$33,C754,PARÂMETROS!$G$8:$G$33,J754)</f>
        <v/>
      </c>
      <c r="H754" s="100">
        <f>IFERROR(F754*G754,0)</f>
        <v/>
      </c>
      <c r="I754" s="100">
        <f>F754+H754</f>
        <v/>
      </c>
      <c r="J754" s="74" t="inlineStr">
        <is>
          <t>Julho/2026</t>
        </is>
      </c>
    </row>
    <row r="755" ht="14.25" customHeight="1" s="75">
      <c r="A755" s="74" t="inlineStr">
        <is>
          <t>Fique Móvel</t>
        </is>
      </c>
      <c r="B755" s="74">
        <f>INDEX(SETORES!$B:$B,MATCH(A755,SETORES!$A:$A,0))</f>
        <v/>
      </c>
      <c r="C755" s="74" t="inlineStr">
        <is>
          <t>DTEL (uso próprio)</t>
        </is>
      </c>
      <c r="D755" s="99">
        <f>IF(B755="Clientes",SUMIFS(PARÂMETROS!$D$8:$D$33,PARÂMETROS!$A$8:$A$33,C755,PARÂMETROS!$G$8:$G$33,J755),SUMIFS(PARÂMETROS!$E$8:$E$33,PARÂMETROS!$A$8:$A$33,C755,PARÂMETROS!$G$8:$G$33,J755))</f>
        <v/>
      </c>
      <c r="E755" s="100">
        <f>SUMIFS(SETORES!$D:$D,SETORES!$A:$A,A755,SETORES!$F:$F,J755)</f>
        <v/>
      </c>
      <c r="F755" s="100">
        <f>IFERROR(D755*E755,0)</f>
        <v/>
      </c>
      <c r="G755" s="99">
        <f>SUMIFS(PARÂMETROS!$F$8:$F$33,PARÂMETROS!$A$8:$A$33,C755,PARÂMETROS!$G$8:$G$33,J755)</f>
        <v/>
      </c>
      <c r="H755" s="100">
        <f>IFERROR(F755*G755,0)</f>
        <v/>
      </c>
      <c r="I755" s="100">
        <f>F755+H755</f>
        <v/>
      </c>
      <c r="J755" s="74" t="inlineStr">
        <is>
          <t>Julho/2026</t>
        </is>
      </c>
    </row>
    <row r="756" ht="14.25" customHeight="1" s="75">
      <c r="A756" s="74" t="inlineStr">
        <is>
          <t>Fusão</t>
        </is>
      </c>
      <c r="B756" s="74">
        <f>INDEX(SETORES!$B:$B,MATCH(A756,SETORES!$A:$A,0))</f>
        <v/>
      </c>
      <c r="C756" s="74" t="inlineStr">
        <is>
          <t>Empresa Licenciada DX2</t>
        </is>
      </c>
      <c r="D756" s="99">
        <f>IF(B756="Clientes",SUMIFS(PARÂMETROS!$D$8:$D$33,PARÂMETROS!$A$8:$A$33,C756,PARÂMETROS!$G$8:$G$33,J756),SUMIFS(PARÂMETROS!$E$8:$E$33,PARÂMETROS!$A$8:$A$33,C756,PARÂMETROS!$G$8:$G$33,J756))</f>
        <v/>
      </c>
      <c r="E756" s="100">
        <f>SUMIFS(SETORES!$D:$D,SETORES!$A:$A,A756,SETORES!$F:$F,J756)</f>
        <v/>
      </c>
      <c r="F756" s="100">
        <f>IFERROR(D756*E756,0)</f>
        <v/>
      </c>
      <c r="G756" s="99">
        <f>SUMIFS(PARÂMETROS!$F$8:$F$33,PARÂMETROS!$A$8:$A$33,C756,PARÂMETROS!$G$8:$G$33,J756)</f>
        <v/>
      </c>
      <c r="H756" s="100">
        <f>IFERROR(F756*G756,0)</f>
        <v/>
      </c>
      <c r="I756" s="100">
        <f>F756+H756</f>
        <v/>
      </c>
      <c r="J756" s="74" t="inlineStr">
        <is>
          <t>Maio/2026</t>
        </is>
      </c>
    </row>
    <row r="757" ht="14.25" customHeight="1" s="75">
      <c r="A757" s="74" t="inlineStr">
        <is>
          <t>Fusão</t>
        </is>
      </c>
      <c r="B757" s="74">
        <f>INDEX(SETORES!$B:$B,MATCH(A757,SETORES!$A:$A,0))</f>
        <v/>
      </c>
      <c r="C757" s="74" t="inlineStr">
        <is>
          <t>Empresa Licenciada H&amp;A</t>
        </is>
      </c>
      <c r="D757" s="99">
        <f>IF(B757="Clientes",SUMIFS(PARÂMETROS!$D$8:$D$33,PARÂMETROS!$A$8:$A$33,C757,PARÂMETROS!$G$8:$G$33,J757),SUMIFS(PARÂMETROS!$E$8:$E$33,PARÂMETROS!$A$8:$A$33,C757,PARÂMETROS!$G$8:$G$33,J757))</f>
        <v/>
      </c>
      <c r="E757" s="100">
        <f>SUMIFS(SETORES!$D:$D,SETORES!$A:$A,A757,SETORES!$F:$F,J757)</f>
        <v/>
      </c>
      <c r="F757" s="100">
        <f>IFERROR(D757*E757,0)</f>
        <v/>
      </c>
      <c r="G757" s="99">
        <f>SUMIFS(PARÂMETROS!$F$8:$F$33,PARÂMETROS!$A$8:$A$33,C757,PARÂMETROS!$G$8:$G$33,J757)</f>
        <v/>
      </c>
      <c r="H757" s="100">
        <f>IFERROR(F757*G757,0)</f>
        <v/>
      </c>
      <c r="I757" s="100">
        <f>F757+H757</f>
        <v/>
      </c>
      <c r="J757" s="74" t="inlineStr">
        <is>
          <t>Maio/2026</t>
        </is>
      </c>
    </row>
    <row r="758" ht="14.25" customHeight="1" s="75">
      <c r="A758" s="74" t="inlineStr">
        <is>
          <t>Fusão</t>
        </is>
      </c>
      <c r="B758" s="74">
        <f>INDEX(SETORES!$B:$B,MATCH(A758,SETORES!$A:$A,0))</f>
        <v/>
      </c>
      <c r="C758" s="74" t="inlineStr">
        <is>
          <t>Empresa Licenciada SOLON ARAUJO</t>
        </is>
      </c>
      <c r="D758" s="99">
        <f>IF(B758="Clientes",SUMIFS(PARÂMETROS!$D$8:$D$33,PARÂMETROS!$A$8:$A$33,C758,PARÂMETROS!$G$8:$G$33,J758),SUMIFS(PARÂMETROS!$E$8:$E$33,PARÂMETROS!$A$8:$A$33,C758,PARÂMETROS!$G$8:$G$33,J758))</f>
        <v/>
      </c>
      <c r="E758" s="100">
        <f>SUMIFS(SETORES!$D:$D,SETORES!$A:$A,A758,SETORES!$F:$F,J758)</f>
        <v/>
      </c>
      <c r="F758" s="100">
        <f>IFERROR(D758*E758,0)</f>
        <v/>
      </c>
      <c r="G758" s="99">
        <f>SUMIFS(PARÂMETROS!$F$8:$F$33,PARÂMETROS!$A$8:$A$33,C758,PARÂMETROS!$G$8:$G$33,J758)</f>
        <v/>
      </c>
      <c r="H758" s="100">
        <f>IFERROR(F758*G758,0)</f>
        <v/>
      </c>
      <c r="I758" s="100">
        <f>F758+H758</f>
        <v/>
      </c>
      <c r="J758" s="74" t="inlineStr">
        <is>
          <t>Maio/2026</t>
        </is>
      </c>
    </row>
    <row r="759" ht="14.25" customHeight="1" s="75">
      <c r="A759" s="74" t="inlineStr">
        <is>
          <t>Fusão</t>
        </is>
      </c>
      <c r="B759" s="74">
        <f>INDEX(SETORES!$B:$B,MATCH(A759,SETORES!$A:$A,0))</f>
        <v/>
      </c>
      <c r="C759" s="74" t="inlineStr">
        <is>
          <t>Empresa Licenciada SOARES E LINS</t>
        </is>
      </c>
      <c r="D759" s="99">
        <f>IF(B759="Clientes",SUMIFS(PARÂMETROS!$D$8:$D$33,PARÂMETROS!$A$8:$A$33,C759,PARÂMETROS!$G$8:$G$33,J759),SUMIFS(PARÂMETROS!$E$8:$E$33,PARÂMETROS!$A$8:$A$33,C759,PARÂMETROS!$G$8:$G$33,J759))</f>
        <v/>
      </c>
      <c r="E759" s="100">
        <f>SUMIFS(SETORES!$D:$D,SETORES!$A:$A,A759,SETORES!$F:$F,J759)</f>
        <v/>
      </c>
      <c r="F759" s="100">
        <f>IFERROR(D759*E759,0)</f>
        <v/>
      </c>
      <c r="G759" s="99">
        <f>SUMIFS(PARÂMETROS!$F$8:$F$33,PARÂMETROS!$A$8:$A$33,C759,PARÂMETROS!$G$8:$G$33,J759)</f>
        <v/>
      </c>
      <c r="H759" s="100">
        <f>IFERROR(F759*G759,0)</f>
        <v/>
      </c>
      <c r="I759" s="100">
        <f>F759+H759</f>
        <v/>
      </c>
      <c r="J759" s="74" t="inlineStr">
        <is>
          <t>Maio/2026</t>
        </is>
      </c>
    </row>
    <row r="760" ht="14.25" customHeight="1" s="75">
      <c r="A760" s="74" t="inlineStr">
        <is>
          <t>Fusão</t>
        </is>
      </c>
      <c r="B760" s="74">
        <f>INDEX(SETORES!$B:$B,MATCH(A760,SETORES!$A:$A,0))</f>
        <v/>
      </c>
      <c r="C760" s="74" t="inlineStr">
        <is>
          <t>Empresa Licenciada SOARES E SILVA</t>
        </is>
      </c>
      <c r="D760" s="99">
        <f>IF(B760="Clientes",SUMIFS(PARÂMETROS!$D$8:$D$33,PARÂMETROS!$A$8:$A$33,C760,PARÂMETROS!$G$8:$G$33,J760),SUMIFS(PARÂMETROS!$E$8:$E$33,PARÂMETROS!$A$8:$A$33,C760,PARÂMETROS!$G$8:$G$33,J760))</f>
        <v/>
      </c>
      <c r="E760" s="100">
        <f>SUMIFS(SETORES!$D:$D,SETORES!$A:$A,A760,SETORES!$F:$F,J760)</f>
        <v/>
      </c>
      <c r="F760" s="100">
        <f>IFERROR(D760*E760,0)</f>
        <v/>
      </c>
      <c r="G760" s="99">
        <f>SUMIFS(PARÂMETROS!$F$8:$F$33,PARÂMETROS!$A$8:$A$33,C760,PARÂMETROS!$G$8:$G$33,J760)</f>
        <v/>
      </c>
      <c r="H760" s="100">
        <f>IFERROR(F760*G760,0)</f>
        <v/>
      </c>
      <c r="I760" s="100">
        <f>F760+H760</f>
        <v/>
      </c>
      <c r="J760" s="74" t="inlineStr">
        <is>
          <t>Maio/2026</t>
        </is>
      </c>
    </row>
    <row r="761" ht="14.25" customHeight="1" s="75">
      <c r="A761" s="74" t="inlineStr">
        <is>
          <t>Fusão</t>
        </is>
      </c>
      <c r="B761" s="74">
        <f>INDEX(SETORES!$B:$B,MATCH(A761,SETORES!$A:$A,0))</f>
        <v/>
      </c>
      <c r="C761" s="74" t="inlineStr">
        <is>
          <t>Empresa Licenciada SOUZA E SILVA</t>
        </is>
      </c>
      <c r="D761" s="99">
        <f>IF(B761="Clientes",SUMIFS(PARÂMETROS!$D$8:$D$33,PARÂMETROS!$A$8:$A$33,C761,PARÂMETROS!$G$8:$G$33,J761),SUMIFS(PARÂMETROS!$E$8:$E$33,PARÂMETROS!$A$8:$A$33,C761,PARÂMETROS!$G$8:$G$33,J761))</f>
        <v/>
      </c>
      <c r="E761" s="100">
        <f>SUMIFS(SETORES!$D:$D,SETORES!$A:$A,A761,SETORES!$F:$F,J761)</f>
        <v/>
      </c>
      <c r="F761" s="100">
        <f>IFERROR(D761*E761,0)</f>
        <v/>
      </c>
      <c r="G761" s="99">
        <f>SUMIFS(PARÂMETROS!$F$8:$F$33,PARÂMETROS!$A$8:$A$33,C761,PARÂMETROS!$G$8:$G$33,J761)</f>
        <v/>
      </c>
      <c r="H761" s="100">
        <f>IFERROR(F761*G761,0)</f>
        <v/>
      </c>
      <c r="I761" s="100">
        <f>F761+H761</f>
        <v/>
      </c>
      <c r="J761" s="74" t="inlineStr">
        <is>
          <t>Maio/2026</t>
        </is>
      </c>
    </row>
    <row r="762" ht="14.25" customHeight="1" s="75">
      <c r="A762" s="74" t="inlineStr">
        <is>
          <t>Fusão</t>
        </is>
      </c>
      <c r="B762" s="74">
        <f>INDEX(SETORES!$B:$B,MATCH(A762,SETORES!$A:$A,0))</f>
        <v/>
      </c>
      <c r="C762" s="74" t="inlineStr">
        <is>
          <t>Empresa Licenciada VOICENET</t>
        </is>
      </c>
      <c r="D762" s="99">
        <f>IF(B762="Clientes",SUMIFS(PARÂMETROS!$D$8:$D$33,PARÂMETROS!$A$8:$A$33,C762,PARÂMETROS!$G$8:$G$33,J762),SUMIFS(PARÂMETROS!$E$8:$E$33,PARÂMETROS!$A$8:$A$33,C762,PARÂMETROS!$G$8:$G$33,J762))</f>
        <v/>
      </c>
      <c r="E762" s="100">
        <f>SUMIFS(SETORES!$D:$D,SETORES!$A:$A,A762,SETORES!$F:$F,J762)</f>
        <v/>
      </c>
      <c r="F762" s="100">
        <f>IFERROR(D762*E762,0)</f>
        <v/>
      </c>
      <c r="G762" s="99">
        <f>SUMIFS(PARÂMETROS!$F$8:$F$33,PARÂMETROS!$A$8:$A$33,C762,PARÂMETROS!$G$8:$G$33,J762)</f>
        <v/>
      </c>
      <c r="H762" s="100">
        <f>IFERROR(F762*G762,0)</f>
        <v/>
      </c>
      <c r="I762" s="100">
        <f>F762+H762</f>
        <v/>
      </c>
      <c r="J762" s="74" t="inlineStr">
        <is>
          <t>Maio/2026</t>
        </is>
      </c>
    </row>
    <row r="763" ht="14.25" customHeight="1" s="75">
      <c r="A763" s="74" t="inlineStr">
        <is>
          <t>Fusão</t>
        </is>
      </c>
      <c r="B763" s="74">
        <f>INDEX(SETORES!$B:$B,MATCH(A763,SETORES!$A:$A,0))</f>
        <v/>
      </c>
      <c r="C763" s="74" t="inlineStr">
        <is>
          <t>DTEL (uso próprio)</t>
        </is>
      </c>
      <c r="D763" s="99">
        <f>IF(B763="Clientes",SUMIFS(PARÂMETROS!$D$8:$D$33,PARÂMETROS!$A$8:$A$33,C763,PARÂMETROS!$G$8:$G$33,J763),SUMIFS(PARÂMETROS!$E$8:$E$33,PARÂMETROS!$A$8:$A$33,C763,PARÂMETROS!$G$8:$G$33,J763))</f>
        <v/>
      </c>
      <c r="E763" s="100">
        <f>SUMIFS(SETORES!$D:$D,SETORES!$A:$A,A763,SETORES!$F:$F,J763)</f>
        <v/>
      </c>
      <c r="F763" s="100">
        <f>IFERROR(D763*E763,0)</f>
        <v/>
      </c>
      <c r="G763" s="99">
        <f>SUMIFS(PARÂMETROS!$F$8:$F$33,PARÂMETROS!$A$8:$A$33,C763,PARÂMETROS!$G$8:$G$33,J763)</f>
        <v/>
      </c>
      <c r="H763" s="100">
        <f>IFERROR(F763*G763,0)</f>
        <v/>
      </c>
      <c r="I763" s="100">
        <f>F763+H763</f>
        <v/>
      </c>
      <c r="J763" s="74" t="inlineStr">
        <is>
          <t>Maio/2026</t>
        </is>
      </c>
    </row>
    <row r="764" ht="14.25" customHeight="1" s="75">
      <c r="A764" s="74" t="inlineStr">
        <is>
          <t>Fusão</t>
        </is>
      </c>
      <c r="B764" s="74">
        <f>INDEX(SETORES!$B:$B,MATCH(A764,SETORES!$A:$A,0))</f>
        <v/>
      </c>
      <c r="C764" s="74" t="inlineStr">
        <is>
          <t>Empresa Licenciada DX2</t>
        </is>
      </c>
      <c r="D764" s="99">
        <f>IF(B764="Clientes",SUMIFS(PARÂMETROS!$D$8:$D$33,PARÂMETROS!$A$8:$A$33,C764,PARÂMETROS!$G$8:$G$33,J764),SUMIFS(PARÂMETROS!$E$8:$E$33,PARÂMETROS!$A$8:$A$33,C764,PARÂMETROS!$G$8:$G$33,J764))</f>
        <v/>
      </c>
      <c r="E764" s="100">
        <f>SUMIFS(SETORES!$D:$D,SETORES!$A:$A,A764,SETORES!$F:$F,J764)</f>
        <v/>
      </c>
      <c r="F764" s="100">
        <f>IFERROR(D764*E764,0)</f>
        <v/>
      </c>
      <c r="G764" s="99">
        <f>SUMIFS(PARÂMETROS!$F$8:$F$33,PARÂMETROS!$A$8:$A$33,C764,PARÂMETROS!$G$8:$G$33,J764)</f>
        <v/>
      </c>
      <c r="H764" s="100">
        <f>IFERROR(F764*G764,0)</f>
        <v/>
      </c>
      <c r="I764" s="100">
        <f>F764+H764</f>
        <v/>
      </c>
      <c r="J764" s="74" t="inlineStr">
        <is>
          <t>Junho/2026</t>
        </is>
      </c>
    </row>
    <row r="765" ht="14.25" customHeight="1" s="75">
      <c r="A765" s="74" t="inlineStr">
        <is>
          <t>Fusão</t>
        </is>
      </c>
      <c r="B765" s="74">
        <f>INDEX(SETORES!$B:$B,MATCH(A765,SETORES!$A:$A,0))</f>
        <v/>
      </c>
      <c r="C765" s="74" t="inlineStr">
        <is>
          <t>Empresa Licenciada H&amp;A</t>
        </is>
      </c>
      <c r="D765" s="99">
        <f>IF(B765="Clientes",SUMIFS(PARÂMETROS!$D$8:$D$33,PARÂMETROS!$A$8:$A$33,C765,PARÂMETROS!$G$8:$G$33,J765),SUMIFS(PARÂMETROS!$E$8:$E$33,PARÂMETROS!$A$8:$A$33,C765,PARÂMETROS!$G$8:$G$33,J765))</f>
        <v/>
      </c>
      <c r="E765" s="100">
        <f>SUMIFS(SETORES!$D:$D,SETORES!$A:$A,A765,SETORES!$F:$F,J765)</f>
        <v/>
      </c>
      <c r="F765" s="100">
        <f>IFERROR(D765*E765,0)</f>
        <v/>
      </c>
      <c r="G765" s="99">
        <f>SUMIFS(PARÂMETROS!$F$8:$F$33,PARÂMETROS!$A$8:$A$33,C765,PARÂMETROS!$G$8:$G$33,J765)</f>
        <v/>
      </c>
      <c r="H765" s="100">
        <f>IFERROR(F765*G765,0)</f>
        <v/>
      </c>
      <c r="I765" s="100">
        <f>F765+H765</f>
        <v/>
      </c>
      <c r="J765" s="74" t="inlineStr">
        <is>
          <t>Junho/2026</t>
        </is>
      </c>
    </row>
    <row r="766" ht="14.25" customHeight="1" s="75">
      <c r="A766" s="74" t="inlineStr">
        <is>
          <t>Fusão</t>
        </is>
      </c>
      <c r="B766" s="74">
        <f>INDEX(SETORES!$B:$B,MATCH(A766,SETORES!$A:$A,0))</f>
        <v/>
      </c>
      <c r="C766" s="74" t="inlineStr">
        <is>
          <t>Empresa Licenciada SOLON ARAUJO</t>
        </is>
      </c>
      <c r="D766" s="99">
        <f>IF(B766="Clientes",SUMIFS(PARÂMETROS!$D$8:$D$33,PARÂMETROS!$A$8:$A$33,C766,PARÂMETROS!$G$8:$G$33,J766),SUMIFS(PARÂMETROS!$E$8:$E$33,PARÂMETROS!$A$8:$A$33,C766,PARÂMETROS!$G$8:$G$33,J766))</f>
        <v/>
      </c>
      <c r="E766" s="100">
        <f>SUMIFS(SETORES!$D:$D,SETORES!$A:$A,A766,SETORES!$F:$F,J766)</f>
        <v/>
      </c>
      <c r="F766" s="100">
        <f>IFERROR(D766*E766,0)</f>
        <v/>
      </c>
      <c r="G766" s="99">
        <f>SUMIFS(PARÂMETROS!$F$8:$F$33,PARÂMETROS!$A$8:$A$33,C766,PARÂMETROS!$G$8:$G$33,J766)</f>
        <v/>
      </c>
      <c r="H766" s="100">
        <f>IFERROR(F766*G766,0)</f>
        <v/>
      </c>
      <c r="I766" s="100">
        <f>F766+H766</f>
        <v/>
      </c>
      <c r="J766" s="74" t="inlineStr">
        <is>
          <t>Junho/2026</t>
        </is>
      </c>
    </row>
    <row r="767" ht="14.25" customHeight="1" s="75">
      <c r="A767" s="74" t="inlineStr">
        <is>
          <t>Fusão</t>
        </is>
      </c>
      <c r="B767" s="74">
        <f>INDEX(SETORES!$B:$B,MATCH(A767,SETORES!$A:$A,0))</f>
        <v/>
      </c>
      <c r="C767" s="74" t="inlineStr">
        <is>
          <t>Empresa Licenciada SOARES E LINS</t>
        </is>
      </c>
      <c r="D767" s="99">
        <f>IF(B767="Clientes",SUMIFS(PARÂMETROS!$D$8:$D$33,PARÂMETROS!$A$8:$A$33,C767,PARÂMETROS!$G$8:$G$33,J767),SUMIFS(PARÂMETROS!$E$8:$E$33,PARÂMETROS!$A$8:$A$33,C767,PARÂMETROS!$G$8:$G$33,J767))</f>
        <v/>
      </c>
      <c r="E767" s="100">
        <f>SUMIFS(SETORES!$D:$D,SETORES!$A:$A,A767,SETORES!$F:$F,J767)</f>
        <v/>
      </c>
      <c r="F767" s="100">
        <f>IFERROR(D767*E767,0)</f>
        <v/>
      </c>
      <c r="G767" s="99">
        <f>SUMIFS(PARÂMETROS!$F$8:$F$33,PARÂMETROS!$A$8:$A$33,C767,PARÂMETROS!$G$8:$G$33,J767)</f>
        <v/>
      </c>
      <c r="H767" s="100">
        <f>IFERROR(F767*G767,0)</f>
        <v/>
      </c>
      <c r="I767" s="100">
        <f>F767+H767</f>
        <v/>
      </c>
      <c r="J767" s="74" t="inlineStr">
        <is>
          <t>Junho/2026</t>
        </is>
      </c>
    </row>
    <row r="768" ht="14.25" customHeight="1" s="75">
      <c r="A768" s="74" t="inlineStr">
        <is>
          <t>Fusão</t>
        </is>
      </c>
      <c r="B768" s="74">
        <f>INDEX(SETORES!$B:$B,MATCH(A768,SETORES!$A:$A,0))</f>
        <v/>
      </c>
      <c r="C768" s="74" t="inlineStr">
        <is>
          <t>Empresa Licenciada SOARES E SILVA</t>
        </is>
      </c>
      <c r="D768" s="99">
        <f>IF(B768="Clientes",SUMIFS(PARÂMETROS!$D$8:$D$33,PARÂMETROS!$A$8:$A$33,C768,PARÂMETROS!$G$8:$G$33,J768),SUMIFS(PARÂMETROS!$E$8:$E$33,PARÂMETROS!$A$8:$A$33,C768,PARÂMETROS!$G$8:$G$33,J768))</f>
        <v/>
      </c>
      <c r="E768" s="100">
        <f>SUMIFS(SETORES!$D:$D,SETORES!$A:$A,A768,SETORES!$F:$F,J768)</f>
        <v/>
      </c>
      <c r="F768" s="100">
        <f>IFERROR(D768*E768,0)</f>
        <v/>
      </c>
      <c r="G768" s="99">
        <f>SUMIFS(PARÂMETROS!$F$8:$F$33,PARÂMETROS!$A$8:$A$33,C768,PARÂMETROS!$G$8:$G$33,J768)</f>
        <v/>
      </c>
      <c r="H768" s="100">
        <f>IFERROR(F768*G768,0)</f>
        <v/>
      </c>
      <c r="I768" s="100">
        <f>F768+H768</f>
        <v/>
      </c>
      <c r="J768" s="74" t="inlineStr">
        <is>
          <t>Junho/2026</t>
        </is>
      </c>
    </row>
    <row r="769" ht="14.25" customHeight="1" s="75">
      <c r="A769" s="74" t="inlineStr">
        <is>
          <t>Fusão</t>
        </is>
      </c>
      <c r="B769" s="74">
        <f>INDEX(SETORES!$B:$B,MATCH(A769,SETORES!$A:$A,0))</f>
        <v/>
      </c>
      <c r="C769" s="74" t="inlineStr">
        <is>
          <t>Empresa Licenciada SOUZA E SILVA</t>
        </is>
      </c>
      <c r="D769" s="99">
        <f>IF(B769="Clientes",SUMIFS(PARÂMETROS!$D$8:$D$33,PARÂMETROS!$A$8:$A$33,C769,PARÂMETROS!$G$8:$G$33,J769),SUMIFS(PARÂMETROS!$E$8:$E$33,PARÂMETROS!$A$8:$A$33,C769,PARÂMETROS!$G$8:$G$33,J769))</f>
        <v/>
      </c>
      <c r="E769" s="100">
        <f>SUMIFS(SETORES!$D:$D,SETORES!$A:$A,A769,SETORES!$F:$F,J769)</f>
        <v/>
      </c>
      <c r="F769" s="100">
        <f>IFERROR(D769*E769,0)</f>
        <v/>
      </c>
      <c r="G769" s="99">
        <f>SUMIFS(PARÂMETROS!$F$8:$F$33,PARÂMETROS!$A$8:$A$33,C769,PARÂMETROS!$G$8:$G$33,J769)</f>
        <v/>
      </c>
      <c r="H769" s="100">
        <f>IFERROR(F769*G769,0)</f>
        <v/>
      </c>
      <c r="I769" s="100">
        <f>F769+H769</f>
        <v/>
      </c>
      <c r="J769" s="74" t="inlineStr">
        <is>
          <t>Junho/2026</t>
        </is>
      </c>
    </row>
    <row r="770" ht="14.25" customHeight="1" s="75">
      <c r="A770" s="74" t="inlineStr">
        <is>
          <t>Fusão</t>
        </is>
      </c>
      <c r="B770" s="74">
        <f>INDEX(SETORES!$B:$B,MATCH(A770,SETORES!$A:$A,0))</f>
        <v/>
      </c>
      <c r="C770" s="74" t="inlineStr">
        <is>
          <t>Empresa Licenciada VOICENET</t>
        </is>
      </c>
      <c r="D770" s="99">
        <f>IF(B770="Clientes",SUMIFS(PARÂMETROS!$D$8:$D$33,PARÂMETROS!$A$8:$A$33,C770,PARÂMETROS!$G$8:$G$33,J770),SUMIFS(PARÂMETROS!$E$8:$E$33,PARÂMETROS!$A$8:$A$33,C770,PARÂMETROS!$G$8:$G$33,J770))</f>
        <v/>
      </c>
      <c r="E770" s="100">
        <f>SUMIFS(SETORES!$D:$D,SETORES!$A:$A,A770,SETORES!$F:$F,J770)</f>
        <v/>
      </c>
      <c r="F770" s="100">
        <f>IFERROR(D770*E770,0)</f>
        <v/>
      </c>
      <c r="G770" s="99">
        <f>SUMIFS(PARÂMETROS!$F$8:$F$33,PARÂMETROS!$A$8:$A$33,C770,PARÂMETROS!$G$8:$G$33,J770)</f>
        <v/>
      </c>
      <c r="H770" s="100">
        <f>IFERROR(F770*G770,0)</f>
        <v/>
      </c>
      <c r="I770" s="100">
        <f>F770+H770</f>
        <v/>
      </c>
      <c r="J770" s="74" t="inlineStr">
        <is>
          <t>Junho/2026</t>
        </is>
      </c>
    </row>
    <row r="771" ht="14.25" customHeight="1" s="75">
      <c r="A771" s="74" t="inlineStr">
        <is>
          <t>Fusão</t>
        </is>
      </c>
      <c r="B771" s="74">
        <f>INDEX(SETORES!$B:$B,MATCH(A771,SETORES!$A:$A,0))</f>
        <v/>
      </c>
      <c r="C771" s="74" t="inlineStr">
        <is>
          <t>DTEL (uso próprio)</t>
        </is>
      </c>
      <c r="D771" s="99">
        <f>IF(B771="Clientes",SUMIFS(PARÂMETROS!$D$8:$D$33,PARÂMETROS!$A$8:$A$33,C771,PARÂMETROS!$G$8:$G$33,J771),SUMIFS(PARÂMETROS!$E$8:$E$33,PARÂMETROS!$A$8:$A$33,C771,PARÂMETROS!$G$8:$G$33,J771))</f>
        <v/>
      </c>
      <c r="E771" s="100">
        <f>SUMIFS(SETORES!$D:$D,SETORES!$A:$A,A771,SETORES!$F:$F,J771)</f>
        <v/>
      </c>
      <c r="F771" s="100">
        <f>IFERROR(D771*E771,0)</f>
        <v/>
      </c>
      <c r="G771" s="99">
        <f>SUMIFS(PARÂMETROS!$F$8:$F$33,PARÂMETROS!$A$8:$A$33,C771,PARÂMETROS!$G$8:$G$33,J771)</f>
        <v/>
      </c>
      <c r="H771" s="100">
        <f>IFERROR(F771*G771,0)</f>
        <v/>
      </c>
      <c r="I771" s="100">
        <f>F771+H771</f>
        <v/>
      </c>
      <c r="J771" s="74" t="inlineStr">
        <is>
          <t>Junho/2026</t>
        </is>
      </c>
    </row>
    <row r="772" ht="14.25" customHeight="1" s="75">
      <c r="A772" s="74" t="inlineStr">
        <is>
          <t>Fusão</t>
        </is>
      </c>
      <c r="B772" s="74">
        <f>INDEX(SETORES!$B:$B,MATCH(A772,SETORES!$A:$A,0))</f>
        <v/>
      </c>
      <c r="C772" s="74" t="inlineStr">
        <is>
          <t>Empresa Licenciada DX2</t>
        </is>
      </c>
      <c r="D772" s="99">
        <f>IF(B772="Clientes",SUMIFS(PARÂMETROS!$D$8:$D$33,PARÂMETROS!$A$8:$A$33,C772,PARÂMETROS!$G$8:$G$33,J772),SUMIFS(PARÂMETROS!$E$8:$E$33,PARÂMETROS!$A$8:$A$33,C772,PARÂMETROS!$G$8:$G$33,J772))</f>
        <v/>
      </c>
      <c r="E772" s="100">
        <f>SUMIFS(SETORES!$D:$D,SETORES!$A:$A,A772,SETORES!$F:$F,J772)</f>
        <v/>
      </c>
      <c r="F772" s="100">
        <f>IFERROR(D772*E772,0)</f>
        <v/>
      </c>
      <c r="G772" s="99">
        <f>SUMIFS(PARÂMETROS!$F$8:$F$33,PARÂMETROS!$A$8:$A$33,C772,PARÂMETROS!$G$8:$G$33,J772)</f>
        <v/>
      </c>
      <c r="H772" s="100">
        <f>IFERROR(F772*G772,0)</f>
        <v/>
      </c>
      <c r="I772" s="100">
        <f>F772+H772</f>
        <v/>
      </c>
      <c r="J772" s="74" t="inlineStr">
        <is>
          <t>Julho/2026</t>
        </is>
      </c>
    </row>
    <row r="773" ht="14.25" customHeight="1" s="75">
      <c r="A773" s="74" t="inlineStr">
        <is>
          <t>Fusão</t>
        </is>
      </c>
      <c r="B773" s="74">
        <f>INDEX(SETORES!$B:$B,MATCH(A773,SETORES!$A:$A,0))</f>
        <v/>
      </c>
      <c r="C773" s="74" t="inlineStr">
        <is>
          <t>Empresa Licenciada H&amp;A</t>
        </is>
      </c>
      <c r="D773" s="99">
        <f>IF(B773="Clientes",SUMIFS(PARÂMETROS!$D$8:$D$33,PARÂMETROS!$A$8:$A$33,C773,PARÂMETROS!$G$8:$G$33,J773),SUMIFS(PARÂMETROS!$E$8:$E$33,PARÂMETROS!$A$8:$A$33,C773,PARÂMETROS!$G$8:$G$33,J773))</f>
        <v/>
      </c>
      <c r="E773" s="100">
        <f>SUMIFS(SETORES!$D:$D,SETORES!$A:$A,A773,SETORES!$F:$F,J773)</f>
        <v/>
      </c>
      <c r="F773" s="100">
        <f>IFERROR(D773*E773,0)</f>
        <v/>
      </c>
      <c r="G773" s="99">
        <f>SUMIFS(PARÂMETROS!$F$8:$F$33,PARÂMETROS!$A$8:$A$33,C773,PARÂMETROS!$G$8:$G$33,J773)</f>
        <v/>
      </c>
      <c r="H773" s="100">
        <f>IFERROR(F773*G773,0)</f>
        <v/>
      </c>
      <c r="I773" s="100">
        <f>F773+H773</f>
        <v/>
      </c>
      <c r="J773" s="74" t="inlineStr">
        <is>
          <t>Julho/2026</t>
        </is>
      </c>
    </row>
    <row r="774" ht="14.25" customHeight="1" s="75">
      <c r="A774" s="74" t="inlineStr">
        <is>
          <t>Fusão</t>
        </is>
      </c>
      <c r="B774" s="74">
        <f>INDEX(SETORES!$B:$B,MATCH(A774,SETORES!$A:$A,0))</f>
        <v/>
      </c>
      <c r="C774" s="74" t="inlineStr">
        <is>
          <t>Empresa Licenciada SOLON ARAUJO</t>
        </is>
      </c>
      <c r="D774" s="99">
        <f>IF(B774="Clientes",SUMIFS(PARÂMETROS!$D$8:$D$33,PARÂMETROS!$A$8:$A$33,C774,PARÂMETROS!$G$8:$G$33,J774),SUMIFS(PARÂMETROS!$E$8:$E$33,PARÂMETROS!$A$8:$A$33,C774,PARÂMETROS!$G$8:$G$33,J774))</f>
        <v/>
      </c>
      <c r="E774" s="100">
        <f>SUMIFS(SETORES!$D:$D,SETORES!$A:$A,A774,SETORES!$F:$F,J774)</f>
        <v/>
      </c>
      <c r="F774" s="100">
        <f>IFERROR(D774*E774,0)</f>
        <v/>
      </c>
      <c r="G774" s="99">
        <f>SUMIFS(PARÂMETROS!$F$8:$F$33,PARÂMETROS!$A$8:$A$33,C774,PARÂMETROS!$G$8:$G$33,J774)</f>
        <v/>
      </c>
      <c r="H774" s="100">
        <f>IFERROR(F774*G774,0)</f>
        <v/>
      </c>
      <c r="I774" s="100">
        <f>F774+H774</f>
        <v/>
      </c>
      <c r="J774" s="74" t="inlineStr">
        <is>
          <t>Julho/2026</t>
        </is>
      </c>
    </row>
    <row r="775" ht="14.25" customHeight="1" s="75">
      <c r="A775" s="74" t="inlineStr">
        <is>
          <t>Fusão</t>
        </is>
      </c>
      <c r="B775" s="74">
        <f>INDEX(SETORES!$B:$B,MATCH(A775,SETORES!$A:$A,0))</f>
        <v/>
      </c>
      <c r="C775" s="74" t="inlineStr">
        <is>
          <t>Empresa Licenciada SOARES E LINS</t>
        </is>
      </c>
      <c r="D775" s="99">
        <f>IF(B775="Clientes",SUMIFS(PARÂMETROS!$D$8:$D$33,PARÂMETROS!$A$8:$A$33,C775,PARÂMETROS!$G$8:$G$33,J775),SUMIFS(PARÂMETROS!$E$8:$E$33,PARÂMETROS!$A$8:$A$33,C775,PARÂMETROS!$G$8:$G$33,J775))</f>
        <v/>
      </c>
      <c r="E775" s="100">
        <f>SUMIFS(SETORES!$D:$D,SETORES!$A:$A,A775,SETORES!$F:$F,J775)</f>
        <v/>
      </c>
      <c r="F775" s="100">
        <f>IFERROR(D775*E775,0)</f>
        <v/>
      </c>
      <c r="G775" s="99">
        <f>SUMIFS(PARÂMETROS!$F$8:$F$33,PARÂMETROS!$A$8:$A$33,C775,PARÂMETROS!$G$8:$G$33,J775)</f>
        <v/>
      </c>
      <c r="H775" s="100">
        <f>IFERROR(F775*G775,0)</f>
        <v/>
      </c>
      <c r="I775" s="100">
        <f>F775+H775</f>
        <v/>
      </c>
      <c r="J775" s="74" t="inlineStr">
        <is>
          <t>Julho/2026</t>
        </is>
      </c>
    </row>
    <row r="776" ht="14.25" customHeight="1" s="75">
      <c r="A776" s="74" t="inlineStr">
        <is>
          <t>Fusão</t>
        </is>
      </c>
      <c r="B776" s="74">
        <f>INDEX(SETORES!$B:$B,MATCH(A776,SETORES!$A:$A,0))</f>
        <v/>
      </c>
      <c r="C776" s="74" t="inlineStr">
        <is>
          <t>Empresa Licenciada SOARES E SILVA</t>
        </is>
      </c>
      <c r="D776" s="99">
        <f>IF(B776="Clientes",SUMIFS(PARÂMETROS!$D$8:$D$33,PARÂMETROS!$A$8:$A$33,C776,PARÂMETROS!$G$8:$G$33,J776),SUMIFS(PARÂMETROS!$E$8:$E$33,PARÂMETROS!$A$8:$A$33,C776,PARÂMETROS!$G$8:$G$33,J776))</f>
        <v/>
      </c>
      <c r="E776" s="100">
        <f>SUMIFS(SETORES!$D:$D,SETORES!$A:$A,A776,SETORES!$F:$F,J776)</f>
        <v/>
      </c>
      <c r="F776" s="100">
        <f>IFERROR(D776*E776,0)</f>
        <v/>
      </c>
      <c r="G776" s="99">
        <f>SUMIFS(PARÂMETROS!$F$8:$F$33,PARÂMETROS!$A$8:$A$33,C776,PARÂMETROS!$G$8:$G$33,J776)</f>
        <v/>
      </c>
      <c r="H776" s="100">
        <f>IFERROR(F776*G776,0)</f>
        <v/>
      </c>
      <c r="I776" s="100">
        <f>F776+H776</f>
        <v/>
      </c>
      <c r="J776" s="74" t="inlineStr">
        <is>
          <t>Julho/2026</t>
        </is>
      </c>
    </row>
    <row r="777" ht="14.25" customHeight="1" s="75">
      <c r="A777" s="74" t="inlineStr">
        <is>
          <t>Fusão</t>
        </is>
      </c>
      <c r="B777" s="74">
        <f>INDEX(SETORES!$B:$B,MATCH(A777,SETORES!$A:$A,0))</f>
        <v/>
      </c>
      <c r="C777" s="74" t="inlineStr">
        <is>
          <t>Empresa Licenciada SOUZA E SILVA</t>
        </is>
      </c>
      <c r="D777" s="99">
        <f>IF(B777="Clientes",SUMIFS(PARÂMETROS!$D$8:$D$33,PARÂMETROS!$A$8:$A$33,C777,PARÂMETROS!$G$8:$G$33,J777),SUMIFS(PARÂMETROS!$E$8:$E$33,PARÂMETROS!$A$8:$A$33,C777,PARÂMETROS!$G$8:$G$33,J777))</f>
        <v/>
      </c>
      <c r="E777" s="100">
        <f>SUMIFS(SETORES!$D:$D,SETORES!$A:$A,A777,SETORES!$F:$F,J777)</f>
        <v/>
      </c>
      <c r="F777" s="100">
        <f>IFERROR(D777*E777,0)</f>
        <v/>
      </c>
      <c r="G777" s="99">
        <f>SUMIFS(PARÂMETROS!$F$8:$F$33,PARÂMETROS!$A$8:$A$33,C777,PARÂMETROS!$G$8:$G$33,J777)</f>
        <v/>
      </c>
      <c r="H777" s="100">
        <f>IFERROR(F777*G777,0)</f>
        <v/>
      </c>
      <c r="I777" s="100">
        <f>F777+H777</f>
        <v/>
      </c>
      <c r="J777" s="74" t="inlineStr">
        <is>
          <t>Julho/2026</t>
        </is>
      </c>
    </row>
    <row r="778" ht="14.25" customHeight="1" s="75">
      <c r="A778" s="74" t="inlineStr">
        <is>
          <t>Fusão</t>
        </is>
      </c>
      <c r="B778" s="74">
        <f>INDEX(SETORES!$B:$B,MATCH(A778,SETORES!$A:$A,0))</f>
        <v/>
      </c>
      <c r="C778" s="74" t="inlineStr">
        <is>
          <t>Empresa Licenciada VOICENET</t>
        </is>
      </c>
      <c r="D778" s="99">
        <f>IF(B778="Clientes",SUMIFS(PARÂMETROS!$D$8:$D$33,PARÂMETROS!$A$8:$A$33,C778,PARÂMETROS!$G$8:$G$33,J778),SUMIFS(PARÂMETROS!$E$8:$E$33,PARÂMETROS!$A$8:$A$33,C778,PARÂMETROS!$G$8:$G$33,J778))</f>
        <v/>
      </c>
      <c r="E778" s="100">
        <f>SUMIFS(SETORES!$D:$D,SETORES!$A:$A,A778,SETORES!$F:$F,J778)</f>
        <v/>
      </c>
      <c r="F778" s="100">
        <f>IFERROR(D778*E778,0)</f>
        <v/>
      </c>
      <c r="G778" s="99">
        <f>SUMIFS(PARÂMETROS!$F$8:$F$33,PARÂMETROS!$A$8:$A$33,C778,PARÂMETROS!$G$8:$G$33,J778)</f>
        <v/>
      </c>
      <c r="H778" s="100">
        <f>IFERROR(F778*G778,0)</f>
        <v/>
      </c>
      <c r="I778" s="100">
        <f>F778+H778</f>
        <v/>
      </c>
      <c r="J778" s="74" t="inlineStr">
        <is>
          <t>Julho/2026</t>
        </is>
      </c>
    </row>
    <row r="779" ht="14.25" customHeight="1" s="75">
      <c r="A779" s="74" t="inlineStr">
        <is>
          <t>Fusão</t>
        </is>
      </c>
      <c r="B779" s="74">
        <f>INDEX(SETORES!$B:$B,MATCH(A779,SETORES!$A:$A,0))</f>
        <v/>
      </c>
      <c r="C779" s="74" t="inlineStr">
        <is>
          <t>DTEL (uso próprio)</t>
        </is>
      </c>
      <c r="D779" s="99">
        <f>IF(B779="Clientes",SUMIFS(PARÂMETROS!$D$8:$D$33,PARÂMETROS!$A$8:$A$33,C779,PARÂMETROS!$G$8:$G$33,J779),SUMIFS(PARÂMETROS!$E$8:$E$33,PARÂMETROS!$A$8:$A$33,C779,PARÂMETROS!$G$8:$G$33,J779))</f>
        <v/>
      </c>
      <c r="E779" s="100">
        <f>SUMIFS(SETORES!$D:$D,SETORES!$A:$A,A779,SETORES!$F:$F,J779)</f>
        <v/>
      </c>
      <c r="F779" s="100">
        <f>IFERROR(D779*E779,0)</f>
        <v/>
      </c>
      <c r="G779" s="99">
        <f>SUMIFS(PARÂMETROS!$F$8:$F$33,PARÂMETROS!$A$8:$A$33,C779,PARÂMETROS!$G$8:$G$33,J779)</f>
        <v/>
      </c>
      <c r="H779" s="100">
        <f>IFERROR(F779*G779,0)</f>
        <v/>
      </c>
      <c r="I779" s="100">
        <f>F779+H779</f>
        <v/>
      </c>
      <c r="J779" s="74" t="inlineStr">
        <is>
          <t>Julho/2026</t>
        </is>
      </c>
    </row>
    <row r="780" ht="14.25" customHeight="1" s="75">
      <c r="A780" s="74" t="inlineStr">
        <is>
          <t>Jurídico</t>
        </is>
      </c>
      <c r="B780" s="74">
        <f>INDEX(SETORES!$B:$B,MATCH(A780,SETORES!$A:$A,0))</f>
        <v/>
      </c>
      <c r="C780" s="74" t="inlineStr">
        <is>
          <t>Empresa Licenciada DX2</t>
        </is>
      </c>
      <c r="D780" s="99">
        <f>IF(B780="Clientes",SUMIFS(PARÂMETROS!$D$8:$D$33,PARÂMETROS!$A$8:$A$33,C780,PARÂMETROS!$G$8:$G$33,J780),SUMIFS(PARÂMETROS!$E$8:$E$33,PARÂMETROS!$A$8:$A$33,C780,PARÂMETROS!$G$8:$G$33,J780))</f>
        <v/>
      </c>
      <c r="E780" s="100">
        <f>SUMIFS(SETORES!$D:$D,SETORES!$A:$A,A780,SETORES!$F:$F,J780)</f>
        <v/>
      </c>
      <c r="F780" s="100">
        <f>IFERROR(D780*E780,0)</f>
        <v/>
      </c>
      <c r="G780" s="99">
        <f>SUMIFS(PARÂMETROS!$F$8:$F$33,PARÂMETROS!$A$8:$A$33,C780,PARÂMETROS!$G$8:$G$33,J780)</f>
        <v/>
      </c>
      <c r="H780" s="100">
        <f>IFERROR(F780*G780,0)</f>
        <v/>
      </c>
      <c r="I780" s="100">
        <f>F780+H780</f>
        <v/>
      </c>
      <c r="J780" s="74" t="inlineStr">
        <is>
          <t>Maio/2026</t>
        </is>
      </c>
    </row>
    <row r="781" ht="14.25" customHeight="1" s="75">
      <c r="A781" s="74" t="inlineStr">
        <is>
          <t>Jurídico</t>
        </is>
      </c>
      <c r="B781" s="74">
        <f>INDEX(SETORES!$B:$B,MATCH(A781,SETORES!$A:$A,0))</f>
        <v/>
      </c>
      <c r="C781" s="74" t="inlineStr">
        <is>
          <t>Empresa Licenciada H&amp;A</t>
        </is>
      </c>
      <c r="D781" s="99">
        <f>IF(B781="Clientes",SUMIFS(PARÂMETROS!$D$8:$D$33,PARÂMETROS!$A$8:$A$33,C781,PARÂMETROS!$G$8:$G$33,J781),SUMIFS(PARÂMETROS!$E$8:$E$33,PARÂMETROS!$A$8:$A$33,C781,PARÂMETROS!$G$8:$G$33,J781))</f>
        <v/>
      </c>
      <c r="E781" s="100">
        <f>SUMIFS(SETORES!$D:$D,SETORES!$A:$A,A781,SETORES!$F:$F,J781)</f>
        <v/>
      </c>
      <c r="F781" s="100">
        <f>IFERROR(D781*E781,0)</f>
        <v/>
      </c>
      <c r="G781" s="99">
        <f>SUMIFS(PARÂMETROS!$F$8:$F$33,PARÂMETROS!$A$8:$A$33,C781,PARÂMETROS!$G$8:$G$33,J781)</f>
        <v/>
      </c>
      <c r="H781" s="100">
        <f>IFERROR(F781*G781,0)</f>
        <v/>
      </c>
      <c r="I781" s="100">
        <f>F781+H781</f>
        <v/>
      </c>
      <c r="J781" s="74" t="inlineStr">
        <is>
          <t>Maio/2026</t>
        </is>
      </c>
    </row>
    <row r="782" ht="14.25" customHeight="1" s="75">
      <c r="A782" s="74" t="inlineStr">
        <is>
          <t>Jurídico</t>
        </is>
      </c>
      <c r="B782" s="74">
        <f>INDEX(SETORES!$B:$B,MATCH(A782,SETORES!$A:$A,0))</f>
        <v/>
      </c>
      <c r="C782" s="74" t="inlineStr">
        <is>
          <t>Empresa Licenciada SOLON ARAUJO</t>
        </is>
      </c>
      <c r="D782" s="99">
        <f>IF(B782="Clientes",SUMIFS(PARÂMETROS!$D$8:$D$33,PARÂMETROS!$A$8:$A$33,C782,PARÂMETROS!$G$8:$G$33,J782),SUMIFS(PARÂMETROS!$E$8:$E$33,PARÂMETROS!$A$8:$A$33,C782,PARÂMETROS!$G$8:$G$33,J782))</f>
        <v/>
      </c>
      <c r="E782" s="100">
        <f>SUMIFS(SETORES!$D:$D,SETORES!$A:$A,A782,SETORES!$F:$F,J782)</f>
        <v/>
      </c>
      <c r="F782" s="100">
        <f>IFERROR(D782*E782,0)</f>
        <v/>
      </c>
      <c r="G782" s="99">
        <f>SUMIFS(PARÂMETROS!$F$8:$F$33,PARÂMETROS!$A$8:$A$33,C782,PARÂMETROS!$G$8:$G$33,J782)</f>
        <v/>
      </c>
      <c r="H782" s="100">
        <f>IFERROR(F782*G782,0)</f>
        <v/>
      </c>
      <c r="I782" s="100">
        <f>F782+H782</f>
        <v/>
      </c>
      <c r="J782" s="74" t="inlineStr">
        <is>
          <t>Maio/2026</t>
        </is>
      </c>
    </row>
    <row r="783" ht="14.25" customHeight="1" s="75">
      <c r="A783" s="74" t="inlineStr">
        <is>
          <t>Jurídico</t>
        </is>
      </c>
      <c r="B783" s="74">
        <f>INDEX(SETORES!$B:$B,MATCH(A783,SETORES!$A:$A,0))</f>
        <v/>
      </c>
      <c r="C783" s="74" t="inlineStr">
        <is>
          <t>Empresa Licenciada SOARES E LINS</t>
        </is>
      </c>
      <c r="D783" s="99">
        <f>IF(B783="Clientes",SUMIFS(PARÂMETROS!$D$8:$D$33,PARÂMETROS!$A$8:$A$33,C783,PARÂMETROS!$G$8:$G$33,J783),SUMIFS(PARÂMETROS!$E$8:$E$33,PARÂMETROS!$A$8:$A$33,C783,PARÂMETROS!$G$8:$G$33,J783))</f>
        <v/>
      </c>
      <c r="E783" s="100">
        <f>SUMIFS(SETORES!$D:$D,SETORES!$A:$A,A783,SETORES!$F:$F,J783)</f>
        <v/>
      </c>
      <c r="F783" s="100">
        <f>IFERROR(D783*E783,0)</f>
        <v/>
      </c>
      <c r="G783" s="99">
        <f>SUMIFS(PARÂMETROS!$F$8:$F$33,PARÂMETROS!$A$8:$A$33,C783,PARÂMETROS!$G$8:$G$33,J783)</f>
        <v/>
      </c>
      <c r="H783" s="100">
        <f>IFERROR(F783*G783,0)</f>
        <v/>
      </c>
      <c r="I783" s="100">
        <f>F783+H783</f>
        <v/>
      </c>
      <c r="J783" s="74" t="inlineStr">
        <is>
          <t>Maio/2026</t>
        </is>
      </c>
    </row>
    <row r="784" ht="14.25" customHeight="1" s="75">
      <c r="A784" s="74" t="inlineStr">
        <is>
          <t>Jurídico</t>
        </is>
      </c>
      <c r="B784" s="74">
        <f>INDEX(SETORES!$B:$B,MATCH(A784,SETORES!$A:$A,0))</f>
        <v/>
      </c>
      <c r="C784" s="74" t="inlineStr">
        <is>
          <t>Empresa Licenciada SOARES E SILVA</t>
        </is>
      </c>
      <c r="D784" s="99">
        <f>IF(B784="Clientes",SUMIFS(PARÂMETROS!$D$8:$D$33,PARÂMETROS!$A$8:$A$33,C784,PARÂMETROS!$G$8:$G$33,J784),SUMIFS(PARÂMETROS!$E$8:$E$33,PARÂMETROS!$A$8:$A$33,C784,PARÂMETROS!$G$8:$G$33,J784))</f>
        <v/>
      </c>
      <c r="E784" s="100">
        <f>SUMIFS(SETORES!$D:$D,SETORES!$A:$A,A784,SETORES!$F:$F,J784)</f>
        <v/>
      </c>
      <c r="F784" s="100">
        <f>IFERROR(D784*E784,0)</f>
        <v/>
      </c>
      <c r="G784" s="99">
        <f>SUMIFS(PARÂMETROS!$F$8:$F$33,PARÂMETROS!$A$8:$A$33,C784,PARÂMETROS!$G$8:$G$33,J784)</f>
        <v/>
      </c>
      <c r="H784" s="100">
        <f>IFERROR(F784*G784,0)</f>
        <v/>
      </c>
      <c r="I784" s="100">
        <f>F784+H784</f>
        <v/>
      </c>
      <c r="J784" s="74" t="inlineStr">
        <is>
          <t>Maio/2026</t>
        </is>
      </c>
    </row>
    <row r="785" ht="14.25" customHeight="1" s="75">
      <c r="A785" s="74" t="inlineStr">
        <is>
          <t>Jurídico</t>
        </is>
      </c>
      <c r="B785" s="74">
        <f>INDEX(SETORES!$B:$B,MATCH(A785,SETORES!$A:$A,0))</f>
        <v/>
      </c>
      <c r="C785" s="74" t="inlineStr">
        <is>
          <t>Empresa Licenciada SOUZA E SILVA</t>
        </is>
      </c>
      <c r="D785" s="99">
        <f>IF(B785="Clientes",SUMIFS(PARÂMETROS!$D$8:$D$33,PARÂMETROS!$A$8:$A$33,C785,PARÂMETROS!$G$8:$G$33,J785),SUMIFS(PARÂMETROS!$E$8:$E$33,PARÂMETROS!$A$8:$A$33,C785,PARÂMETROS!$G$8:$G$33,J785))</f>
        <v/>
      </c>
      <c r="E785" s="100">
        <f>SUMIFS(SETORES!$D:$D,SETORES!$A:$A,A785,SETORES!$F:$F,J785)</f>
        <v/>
      </c>
      <c r="F785" s="100">
        <f>IFERROR(D785*E785,0)</f>
        <v/>
      </c>
      <c r="G785" s="99">
        <f>SUMIFS(PARÂMETROS!$F$8:$F$33,PARÂMETROS!$A$8:$A$33,C785,PARÂMETROS!$G$8:$G$33,J785)</f>
        <v/>
      </c>
      <c r="H785" s="100">
        <f>IFERROR(F785*G785,0)</f>
        <v/>
      </c>
      <c r="I785" s="100">
        <f>F785+H785</f>
        <v/>
      </c>
      <c r="J785" s="74" t="inlineStr">
        <is>
          <t>Maio/2026</t>
        </is>
      </c>
    </row>
    <row r="786" ht="14.25" customHeight="1" s="75">
      <c r="A786" s="74" t="inlineStr">
        <is>
          <t>Jurídico</t>
        </is>
      </c>
      <c r="B786" s="74">
        <f>INDEX(SETORES!$B:$B,MATCH(A786,SETORES!$A:$A,0))</f>
        <v/>
      </c>
      <c r="C786" s="74" t="inlineStr">
        <is>
          <t>Empresa Licenciada VOICENET</t>
        </is>
      </c>
      <c r="D786" s="99">
        <f>IF(B786="Clientes",SUMIFS(PARÂMETROS!$D$8:$D$33,PARÂMETROS!$A$8:$A$33,C786,PARÂMETROS!$G$8:$G$33,J786),SUMIFS(PARÂMETROS!$E$8:$E$33,PARÂMETROS!$A$8:$A$33,C786,PARÂMETROS!$G$8:$G$33,J786))</f>
        <v/>
      </c>
      <c r="E786" s="100">
        <f>SUMIFS(SETORES!$D:$D,SETORES!$A:$A,A786,SETORES!$F:$F,J786)</f>
        <v/>
      </c>
      <c r="F786" s="100">
        <f>IFERROR(D786*E786,0)</f>
        <v/>
      </c>
      <c r="G786" s="99">
        <f>SUMIFS(PARÂMETROS!$F$8:$F$33,PARÂMETROS!$A$8:$A$33,C786,PARÂMETROS!$G$8:$G$33,J786)</f>
        <v/>
      </c>
      <c r="H786" s="100">
        <f>IFERROR(F786*G786,0)</f>
        <v/>
      </c>
      <c r="I786" s="100">
        <f>F786+H786</f>
        <v/>
      </c>
      <c r="J786" s="74" t="inlineStr">
        <is>
          <t>Maio/2026</t>
        </is>
      </c>
    </row>
    <row r="787" ht="14.25" customHeight="1" s="75">
      <c r="A787" s="74" t="inlineStr">
        <is>
          <t>Jurídico</t>
        </is>
      </c>
      <c r="B787" s="74">
        <f>INDEX(SETORES!$B:$B,MATCH(A787,SETORES!$A:$A,0))</f>
        <v/>
      </c>
      <c r="C787" s="74" t="inlineStr">
        <is>
          <t>DTEL (uso próprio)</t>
        </is>
      </c>
      <c r="D787" s="99">
        <f>IF(B787="Clientes",SUMIFS(PARÂMETROS!$D$8:$D$33,PARÂMETROS!$A$8:$A$33,C787,PARÂMETROS!$G$8:$G$33,J787),SUMIFS(PARÂMETROS!$E$8:$E$33,PARÂMETROS!$A$8:$A$33,C787,PARÂMETROS!$G$8:$G$33,J787))</f>
        <v/>
      </c>
      <c r="E787" s="100">
        <f>SUMIFS(SETORES!$D:$D,SETORES!$A:$A,A787,SETORES!$F:$F,J787)</f>
        <v/>
      </c>
      <c r="F787" s="100">
        <f>IFERROR(D787*E787,0)</f>
        <v/>
      </c>
      <c r="G787" s="99">
        <f>SUMIFS(PARÂMETROS!$F$8:$F$33,PARÂMETROS!$A$8:$A$33,C787,PARÂMETROS!$G$8:$G$33,J787)</f>
        <v/>
      </c>
      <c r="H787" s="100">
        <f>IFERROR(F787*G787,0)</f>
        <v/>
      </c>
      <c r="I787" s="100">
        <f>F787+H787</f>
        <v/>
      </c>
      <c r="J787" s="74" t="inlineStr">
        <is>
          <t>Maio/2026</t>
        </is>
      </c>
    </row>
    <row r="788" ht="14.25" customHeight="1" s="75">
      <c r="A788" s="74" t="inlineStr">
        <is>
          <t>Jurídico</t>
        </is>
      </c>
      <c r="B788" s="74">
        <f>INDEX(SETORES!$B:$B,MATCH(A788,SETORES!$A:$A,0))</f>
        <v/>
      </c>
      <c r="C788" s="74" t="inlineStr">
        <is>
          <t>Empresa Licenciada DX2</t>
        </is>
      </c>
      <c r="D788" s="99">
        <f>IF(B788="Clientes",SUMIFS(PARÂMETROS!$D$8:$D$33,PARÂMETROS!$A$8:$A$33,C788,PARÂMETROS!$G$8:$G$33,J788),SUMIFS(PARÂMETROS!$E$8:$E$33,PARÂMETROS!$A$8:$A$33,C788,PARÂMETROS!$G$8:$G$33,J788))</f>
        <v/>
      </c>
      <c r="E788" s="100">
        <f>SUMIFS(SETORES!$D:$D,SETORES!$A:$A,A788,SETORES!$F:$F,J788)</f>
        <v/>
      </c>
      <c r="F788" s="100">
        <f>IFERROR(D788*E788,0)</f>
        <v/>
      </c>
      <c r="G788" s="99">
        <f>SUMIFS(PARÂMETROS!$F$8:$F$33,PARÂMETROS!$A$8:$A$33,C788,PARÂMETROS!$G$8:$G$33,J788)</f>
        <v/>
      </c>
      <c r="H788" s="100">
        <f>IFERROR(F788*G788,0)</f>
        <v/>
      </c>
      <c r="I788" s="100">
        <f>F788+H788</f>
        <v/>
      </c>
      <c r="J788" s="74" t="inlineStr">
        <is>
          <t>Junho/2026</t>
        </is>
      </c>
    </row>
    <row r="789" ht="14.25" customHeight="1" s="75">
      <c r="A789" s="74" t="inlineStr">
        <is>
          <t>Jurídico</t>
        </is>
      </c>
      <c r="B789" s="74">
        <f>INDEX(SETORES!$B:$B,MATCH(A789,SETORES!$A:$A,0))</f>
        <v/>
      </c>
      <c r="C789" s="74" t="inlineStr">
        <is>
          <t>Empresa Licenciada H&amp;A</t>
        </is>
      </c>
      <c r="D789" s="99">
        <f>IF(B789="Clientes",SUMIFS(PARÂMETROS!$D$8:$D$33,PARÂMETROS!$A$8:$A$33,C789,PARÂMETROS!$G$8:$G$33,J789),SUMIFS(PARÂMETROS!$E$8:$E$33,PARÂMETROS!$A$8:$A$33,C789,PARÂMETROS!$G$8:$G$33,J789))</f>
        <v/>
      </c>
      <c r="E789" s="100">
        <f>SUMIFS(SETORES!$D:$D,SETORES!$A:$A,A789,SETORES!$F:$F,J789)</f>
        <v/>
      </c>
      <c r="F789" s="100">
        <f>IFERROR(D789*E789,0)</f>
        <v/>
      </c>
      <c r="G789" s="99">
        <f>SUMIFS(PARÂMETROS!$F$8:$F$33,PARÂMETROS!$A$8:$A$33,C789,PARÂMETROS!$G$8:$G$33,J789)</f>
        <v/>
      </c>
      <c r="H789" s="100">
        <f>IFERROR(F789*G789,0)</f>
        <v/>
      </c>
      <c r="I789" s="100">
        <f>F789+H789</f>
        <v/>
      </c>
      <c r="J789" s="74" t="inlineStr">
        <is>
          <t>Junho/2026</t>
        </is>
      </c>
    </row>
    <row r="790" ht="14.25" customHeight="1" s="75">
      <c r="A790" s="74" t="inlineStr">
        <is>
          <t>Jurídico</t>
        </is>
      </c>
      <c r="B790" s="74">
        <f>INDEX(SETORES!$B:$B,MATCH(A790,SETORES!$A:$A,0))</f>
        <v/>
      </c>
      <c r="C790" s="74" t="inlineStr">
        <is>
          <t>Empresa Licenciada SOLON ARAUJO</t>
        </is>
      </c>
      <c r="D790" s="99">
        <f>IF(B790="Clientes",SUMIFS(PARÂMETROS!$D$8:$D$33,PARÂMETROS!$A$8:$A$33,C790,PARÂMETROS!$G$8:$G$33,J790),SUMIFS(PARÂMETROS!$E$8:$E$33,PARÂMETROS!$A$8:$A$33,C790,PARÂMETROS!$G$8:$G$33,J790))</f>
        <v/>
      </c>
      <c r="E790" s="100">
        <f>SUMIFS(SETORES!$D:$D,SETORES!$A:$A,A790,SETORES!$F:$F,J790)</f>
        <v/>
      </c>
      <c r="F790" s="100">
        <f>IFERROR(D790*E790,0)</f>
        <v/>
      </c>
      <c r="G790" s="99">
        <f>SUMIFS(PARÂMETROS!$F$8:$F$33,PARÂMETROS!$A$8:$A$33,C790,PARÂMETROS!$G$8:$G$33,J790)</f>
        <v/>
      </c>
      <c r="H790" s="100">
        <f>IFERROR(F790*G790,0)</f>
        <v/>
      </c>
      <c r="I790" s="100">
        <f>F790+H790</f>
        <v/>
      </c>
      <c r="J790" s="74" t="inlineStr">
        <is>
          <t>Junho/2026</t>
        </is>
      </c>
    </row>
    <row r="791" ht="14.25" customHeight="1" s="75">
      <c r="A791" s="74" t="inlineStr">
        <is>
          <t>Jurídico</t>
        </is>
      </c>
      <c r="B791" s="74">
        <f>INDEX(SETORES!$B:$B,MATCH(A791,SETORES!$A:$A,0))</f>
        <v/>
      </c>
      <c r="C791" s="74" t="inlineStr">
        <is>
          <t>Empresa Licenciada SOARES E LINS</t>
        </is>
      </c>
      <c r="D791" s="99">
        <f>IF(B791="Clientes",SUMIFS(PARÂMETROS!$D$8:$D$33,PARÂMETROS!$A$8:$A$33,C791,PARÂMETROS!$G$8:$G$33,J791),SUMIFS(PARÂMETROS!$E$8:$E$33,PARÂMETROS!$A$8:$A$33,C791,PARÂMETROS!$G$8:$G$33,J791))</f>
        <v/>
      </c>
      <c r="E791" s="100">
        <f>SUMIFS(SETORES!$D:$D,SETORES!$A:$A,A791,SETORES!$F:$F,J791)</f>
        <v/>
      </c>
      <c r="F791" s="100">
        <f>IFERROR(D791*E791,0)</f>
        <v/>
      </c>
      <c r="G791" s="99">
        <f>SUMIFS(PARÂMETROS!$F$8:$F$33,PARÂMETROS!$A$8:$A$33,C791,PARÂMETROS!$G$8:$G$33,J791)</f>
        <v/>
      </c>
      <c r="H791" s="100">
        <f>IFERROR(F791*G791,0)</f>
        <v/>
      </c>
      <c r="I791" s="100">
        <f>F791+H791</f>
        <v/>
      </c>
      <c r="J791" s="74" t="inlineStr">
        <is>
          <t>Junho/2026</t>
        </is>
      </c>
    </row>
    <row r="792" ht="14.25" customHeight="1" s="75">
      <c r="A792" s="74" t="inlineStr">
        <is>
          <t>Jurídico</t>
        </is>
      </c>
      <c r="B792" s="74">
        <f>INDEX(SETORES!$B:$B,MATCH(A792,SETORES!$A:$A,0))</f>
        <v/>
      </c>
      <c r="C792" s="74" t="inlineStr">
        <is>
          <t>Empresa Licenciada SOARES E SILVA</t>
        </is>
      </c>
      <c r="D792" s="99">
        <f>IF(B792="Clientes",SUMIFS(PARÂMETROS!$D$8:$D$33,PARÂMETROS!$A$8:$A$33,C792,PARÂMETROS!$G$8:$G$33,J792),SUMIFS(PARÂMETROS!$E$8:$E$33,PARÂMETROS!$A$8:$A$33,C792,PARÂMETROS!$G$8:$G$33,J792))</f>
        <v/>
      </c>
      <c r="E792" s="100">
        <f>SUMIFS(SETORES!$D:$D,SETORES!$A:$A,A792,SETORES!$F:$F,J792)</f>
        <v/>
      </c>
      <c r="F792" s="100">
        <f>IFERROR(D792*E792,0)</f>
        <v/>
      </c>
      <c r="G792" s="99">
        <f>SUMIFS(PARÂMETROS!$F$8:$F$33,PARÂMETROS!$A$8:$A$33,C792,PARÂMETROS!$G$8:$G$33,J792)</f>
        <v/>
      </c>
      <c r="H792" s="100">
        <f>IFERROR(F792*G792,0)</f>
        <v/>
      </c>
      <c r="I792" s="100">
        <f>F792+H792</f>
        <v/>
      </c>
      <c r="J792" s="74" t="inlineStr">
        <is>
          <t>Junho/2026</t>
        </is>
      </c>
    </row>
    <row r="793" ht="14.25" customHeight="1" s="75">
      <c r="A793" s="74" t="inlineStr">
        <is>
          <t>Jurídico</t>
        </is>
      </c>
      <c r="B793" s="74">
        <f>INDEX(SETORES!$B:$B,MATCH(A793,SETORES!$A:$A,0))</f>
        <v/>
      </c>
      <c r="C793" s="74" t="inlineStr">
        <is>
          <t>Empresa Licenciada SOUZA E SILVA</t>
        </is>
      </c>
      <c r="D793" s="99">
        <f>IF(B793="Clientes",SUMIFS(PARÂMETROS!$D$8:$D$33,PARÂMETROS!$A$8:$A$33,C793,PARÂMETROS!$G$8:$G$33,J793),SUMIFS(PARÂMETROS!$E$8:$E$33,PARÂMETROS!$A$8:$A$33,C793,PARÂMETROS!$G$8:$G$33,J793))</f>
        <v/>
      </c>
      <c r="E793" s="100">
        <f>SUMIFS(SETORES!$D:$D,SETORES!$A:$A,A793,SETORES!$F:$F,J793)</f>
        <v/>
      </c>
      <c r="F793" s="100">
        <f>IFERROR(D793*E793,0)</f>
        <v/>
      </c>
      <c r="G793" s="99">
        <f>SUMIFS(PARÂMETROS!$F$8:$F$33,PARÂMETROS!$A$8:$A$33,C793,PARÂMETROS!$G$8:$G$33,J793)</f>
        <v/>
      </c>
      <c r="H793" s="100">
        <f>IFERROR(F793*G793,0)</f>
        <v/>
      </c>
      <c r="I793" s="100">
        <f>F793+H793</f>
        <v/>
      </c>
      <c r="J793" s="74" t="inlineStr">
        <is>
          <t>Junho/2026</t>
        </is>
      </c>
    </row>
    <row r="794" ht="14.25" customHeight="1" s="75">
      <c r="A794" s="74" t="inlineStr">
        <is>
          <t>Jurídico</t>
        </is>
      </c>
      <c r="B794" s="74">
        <f>INDEX(SETORES!$B:$B,MATCH(A794,SETORES!$A:$A,0))</f>
        <v/>
      </c>
      <c r="C794" s="74" t="inlineStr">
        <is>
          <t>Empresa Licenciada VOICENET</t>
        </is>
      </c>
      <c r="D794" s="99">
        <f>IF(B794="Clientes",SUMIFS(PARÂMETROS!$D$8:$D$33,PARÂMETROS!$A$8:$A$33,C794,PARÂMETROS!$G$8:$G$33,J794),SUMIFS(PARÂMETROS!$E$8:$E$33,PARÂMETROS!$A$8:$A$33,C794,PARÂMETROS!$G$8:$G$33,J794))</f>
        <v/>
      </c>
      <c r="E794" s="100">
        <f>SUMIFS(SETORES!$D:$D,SETORES!$A:$A,A794,SETORES!$F:$F,J794)</f>
        <v/>
      </c>
      <c r="F794" s="100">
        <f>IFERROR(D794*E794,0)</f>
        <v/>
      </c>
      <c r="G794" s="99">
        <f>SUMIFS(PARÂMETROS!$F$8:$F$33,PARÂMETROS!$A$8:$A$33,C794,PARÂMETROS!$G$8:$G$33,J794)</f>
        <v/>
      </c>
      <c r="H794" s="100">
        <f>IFERROR(F794*G794,0)</f>
        <v/>
      </c>
      <c r="I794" s="100">
        <f>F794+H794</f>
        <v/>
      </c>
      <c r="J794" s="74" t="inlineStr">
        <is>
          <t>Junho/2026</t>
        </is>
      </c>
    </row>
    <row r="795" ht="14.25" customHeight="1" s="75">
      <c r="A795" s="74" t="inlineStr">
        <is>
          <t>Jurídico</t>
        </is>
      </c>
      <c r="B795" s="74">
        <f>INDEX(SETORES!$B:$B,MATCH(A795,SETORES!$A:$A,0))</f>
        <v/>
      </c>
      <c r="C795" s="74" t="inlineStr">
        <is>
          <t>DTEL (uso próprio)</t>
        </is>
      </c>
      <c r="D795" s="99">
        <f>IF(B795="Clientes",SUMIFS(PARÂMETROS!$D$8:$D$33,PARÂMETROS!$A$8:$A$33,C795,PARÂMETROS!$G$8:$G$33,J795),SUMIFS(PARÂMETROS!$E$8:$E$33,PARÂMETROS!$A$8:$A$33,C795,PARÂMETROS!$G$8:$G$33,J795))</f>
        <v/>
      </c>
      <c r="E795" s="100">
        <f>SUMIFS(SETORES!$D:$D,SETORES!$A:$A,A795,SETORES!$F:$F,J795)</f>
        <v/>
      </c>
      <c r="F795" s="100">
        <f>IFERROR(D795*E795,0)</f>
        <v/>
      </c>
      <c r="G795" s="99">
        <f>SUMIFS(PARÂMETROS!$F$8:$F$33,PARÂMETROS!$A$8:$A$33,C795,PARÂMETROS!$G$8:$G$33,J795)</f>
        <v/>
      </c>
      <c r="H795" s="100">
        <f>IFERROR(F795*G795,0)</f>
        <v/>
      </c>
      <c r="I795" s="100">
        <f>F795+H795</f>
        <v/>
      </c>
      <c r="J795" s="74" t="inlineStr">
        <is>
          <t>Junho/2026</t>
        </is>
      </c>
    </row>
    <row r="796" ht="14.25" customHeight="1" s="75">
      <c r="A796" s="74" t="inlineStr">
        <is>
          <t>Jurídico</t>
        </is>
      </c>
      <c r="B796" s="74">
        <f>INDEX(SETORES!$B:$B,MATCH(A796,SETORES!$A:$A,0))</f>
        <v/>
      </c>
      <c r="C796" s="74" t="inlineStr">
        <is>
          <t>Empresa Licenciada DX2</t>
        </is>
      </c>
      <c r="D796" s="99">
        <f>IF(B796="Clientes",SUMIFS(PARÂMETROS!$D$8:$D$33,PARÂMETROS!$A$8:$A$33,C796,PARÂMETROS!$G$8:$G$33,J796),SUMIFS(PARÂMETROS!$E$8:$E$33,PARÂMETROS!$A$8:$A$33,C796,PARÂMETROS!$G$8:$G$33,J796))</f>
        <v/>
      </c>
      <c r="E796" s="100">
        <f>SUMIFS(SETORES!$D:$D,SETORES!$A:$A,A796,SETORES!$F:$F,J796)</f>
        <v/>
      </c>
      <c r="F796" s="100">
        <f>IFERROR(D796*E796,0)</f>
        <v/>
      </c>
      <c r="G796" s="99">
        <f>SUMIFS(PARÂMETROS!$F$8:$F$33,PARÂMETROS!$A$8:$A$33,C796,PARÂMETROS!$G$8:$G$33,J796)</f>
        <v/>
      </c>
      <c r="H796" s="100">
        <f>IFERROR(F796*G796,0)</f>
        <v/>
      </c>
      <c r="I796" s="100">
        <f>F796+H796</f>
        <v/>
      </c>
      <c r="J796" s="74" t="inlineStr">
        <is>
          <t>Julho/2026</t>
        </is>
      </c>
    </row>
    <row r="797" ht="14.25" customHeight="1" s="75">
      <c r="A797" s="74" t="inlineStr">
        <is>
          <t>Jurídico</t>
        </is>
      </c>
      <c r="B797" s="74">
        <f>INDEX(SETORES!$B:$B,MATCH(A797,SETORES!$A:$A,0))</f>
        <v/>
      </c>
      <c r="C797" s="74" t="inlineStr">
        <is>
          <t>Empresa Licenciada H&amp;A</t>
        </is>
      </c>
      <c r="D797" s="99">
        <f>IF(B797="Clientes",SUMIFS(PARÂMETROS!$D$8:$D$33,PARÂMETROS!$A$8:$A$33,C797,PARÂMETROS!$G$8:$G$33,J797),SUMIFS(PARÂMETROS!$E$8:$E$33,PARÂMETROS!$A$8:$A$33,C797,PARÂMETROS!$G$8:$G$33,J797))</f>
        <v/>
      </c>
      <c r="E797" s="100">
        <f>SUMIFS(SETORES!$D:$D,SETORES!$A:$A,A797,SETORES!$F:$F,J797)</f>
        <v/>
      </c>
      <c r="F797" s="100">
        <f>IFERROR(D797*E797,0)</f>
        <v/>
      </c>
      <c r="G797" s="99">
        <f>SUMIFS(PARÂMETROS!$F$8:$F$33,PARÂMETROS!$A$8:$A$33,C797,PARÂMETROS!$G$8:$G$33,J797)</f>
        <v/>
      </c>
      <c r="H797" s="100">
        <f>IFERROR(F797*G797,0)</f>
        <v/>
      </c>
      <c r="I797" s="100">
        <f>F797+H797</f>
        <v/>
      </c>
      <c r="J797" s="74" t="inlineStr">
        <is>
          <t>Julho/2026</t>
        </is>
      </c>
    </row>
    <row r="798" ht="14.25" customHeight="1" s="75">
      <c r="A798" s="74" t="inlineStr">
        <is>
          <t>Jurídico</t>
        </is>
      </c>
      <c r="B798" s="74">
        <f>INDEX(SETORES!$B:$B,MATCH(A798,SETORES!$A:$A,0))</f>
        <v/>
      </c>
      <c r="C798" s="74" t="inlineStr">
        <is>
          <t>Empresa Licenciada SOLON ARAUJO</t>
        </is>
      </c>
      <c r="D798" s="99">
        <f>IF(B798="Clientes",SUMIFS(PARÂMETROS!$D$8:$D$33,PARÂMETROS!$A$8:$A$33,C798,PARÂMETROS!$G$8:$G$33,J798),SUMIFS(PARÂMETROS!$E$8:$E$33,PARÂMETROS!$A$8:$A$33,C798,PARÂMETROS!$G$8:$G$33,J798))</f>
        <v/>
      </c>
      <c r="E798" s="100">
        <f>SUMIFS(SETORES!$D:$D,SETORES!$A:$A,A798,SETORES!$F:$F,J798)</f>
        <v/>
      </c>
      <c r="F798" s="100">
        <f>IFERROR(D798*E798,0)</f>
        <v/>
      </c>
      <c r="G798" s="99">
        <f>SUMIFS(PARÂMETROS!$F$8:$F$33,PARÂMETROS!$A$8:$A$33,C798,PARÂMETROS!$G$8:$G$33,J798)</f>
        <v/>
      </c>
      <c r="H798" s="100">
        <f>IFERROR(F798*G798,0)</f>
        <v/>
      </c>
      <c r="I798" s="100">
        <f>F798+H798</f>
        <v/>
      </c>
      <c r="J798" s="74" t="inlineStr">
        <is>
          <t>Julho/2026</t>
        </is>
      </c>
    </row>
    <row r="799" ht="14.25" customHeight="1" s="75">
      <c r="A799" s="74" t="inlineStr">
        <is>
          <t>Jurídico</t>
        </is>
      </c>
      <c r="B799" s="74">
        <f>INDEX(SETORES!$B:$B,MATCH(A799,SETORES!$A:$A,0))</f>
        <v/>
      </c>
      <c r="C799" s="74" t="inlineStr">
        <is>
          <t>Empresa Licenciada SOARES E LINS</t>
        </is>
      </c>
      <c r="D799" s="99">
        <f>IF(B799="Clientes",SUMIFS(PARÂMETROS!$D$8:$D$33,PARÂMETROS!$A$8:$A$33,C799,PARÂMETROS!$G$8:$G$33,J799),SUMIFS(PARÂMETROS!$E$8:$E$33,PARÂMETROS!$A$8:$A$33,C799,PARÂMETROS!$G$8:$G$33,J799))</f>
        <v/>
      </c>
      <c r="E799" s="100">
        <f>SUMIFS(SETORES!$D:$D,SETORES!$A:$A,A799,SETORES!$F:$F,J799)</f>
        <v/>
      </c>
      <c r="F799" s="100">
        <f>IFERROR(D799*E799,0)</f>
        <v/>
      </c>
      <c r="G799" s="99">
        <f>SUMIFS(PARÂMETROS!$F$8:$F$33,PARÂMETROS!$A$8:$A$33,C799,PARÂMETROS!$G$8:$G$33,J799)</f>
        <v/>
      </c>
      <c r="H799" s="100">
        <f>IFERROR(F799*G799,0)</f>
        <v/>
      </c>
      <c r="I799" s="100">
        <f>F799+H799</f>
        <v/>
      </c>
      <c r="J799" s="74" t="inlineStr">
        <is>
          <t>Julho/2026</t>
        </is>
      </c>
    </row>
    <row r="800" ht="14.25" customHeight="1" s="75">
      <c r="A800" s="74" t="inlineStr">
        <is>
          <t>Jurídico</t>
        </is>
      </c>
      <c r="B800" s="74">
        <f>INDEX(SETORES!$B:$B,MATCH(A800,SETORES!$A:$A,0))</f>
        <v/>
      </c>
      <c r="C800" s="74" t="inlineStr">
        <is>
          <t>Empresa Licenciada SOARES E SILVA</t>
        </is>
      </c>
      <c r="D800" s="99">
        <f>IF(B800="Clientes",SUMIFS(PARÂMETROS!$D$8:$D$33,PARÂMETROS!$A$8:$A$33,C800,PARÂMETROS!$G$8:$G$33,J800),SUMIFS(PARÂMETROS!$E$8:$E$33,PARÂMETROS!$A$8:$A$33,C800,PARÂMETROS!$G$8:$G$33,J800))</f>
        <v/>
      </c>
      <c r="E800" s="100">
        <f>SUMIFS(SETORES!$D:$D,SETORES!$A:$A,A800,SETORES!$F:$F,J800)</f>
        <v/>
      </c>
      <c r="F800" s="100">
        <f>IFERROR(D800*E800,0)</f>
        <v/>
      </c>
      <c r="G800" s="99">
        <f>SUMIFS(PARÂMETROS!$F$8:$F$33,PARÂMETROS!$A$8:$A$33,C800,PARÂMETROS!$G$8:$G$33,J800)</f>
        <v/>
      </c>
      <c r="H800" s="100">
        <f>IFERROR(F800*G800,0)</f>
        <v/>
      </c>
      <c r="I800" s="100">
        <f>F800+H800</f>
        <v/>
      </c>
      <c r="J800" s="74" t="inlineStr">
        <is>
          <t>Julho/2026</t>
        </is>
      </c>
    </row>
    <row r="801" ht="14.25" customHeight="1" s="75">
      <c r="A801" s="74" t="inlineStr">
        <is>
          <t>Jurídico</t>
        </is>
      </c>
      <c r="B801" s="74">
        <f>INDEX(SETORES!$B:$B,MATCH(A801,SETORES!$A:$A,0))</f>
        <v/>
      </c>
      <c r="C801" s="74" t="inlineStr">
        <is>
          <t>Empresa Licenciada SOUZA E SILVA</t>
        </is>
      </c>
      <c r="D801" s="99">
        <f>IF(B801="Clientes",SUMIFS(PARÂMETROS!$D$8:$D$33,PARÂMETROS!$A$8:$A$33,C801,PARÂMETROS!$G$8:$G$33,J801),SUMIFS(PARÂMETROS!$E$8:$E$33,PARÂMETROS!$A$8:$A$33,C801,PARÂMETROS!$G$8:$G$33,J801))</f>
        <v/>
      </c>
      <c r="E801" s="100">
        <f>SUMIFS(SETORES!$D:$D,SETORES!$A:$A,A801,SETORES!$F:$F,J801)</f>
        <v/>
      </c>
      <c r="F801" s="100">
        <f>IFERROR(D801*E801,0)</f>
        <v/>
      </c>
      <c r="G801" s="99">
        <f>SUMIFS(PARÂMETROS!$F$8:$F$33,PARÂMETROS!$A$8:$A$33,C801,PARÂMETROS!$G$8:$G$33,J801)</f>
        <v/>
      </c>
      <c r="H801" s="100">
        <f>IFERROR(F801*G801,0)</f>
        <v/>
      </c>
      <c r="I801" s="100">
        <f>F801+H801</f>
        <v/>
      </c>
      <c r="J801" s="74" t="inlineStr">
        <is>
          <t>Julho/2026</t>
        </is>
      </c>
    </row>
    <row r="802" ht="14.25" customHeight="1" s="75">
      <c r="A802" s="74" t="inlineStr">
        <is>
          <t>Jurídico</t>
        </is>
      </c>
      <c r="B802" s="74">
        <f>INDEX(SETORES!$B:$B,MATCH(A802,SETORES!$A:$A,0))</f>
        <v/>
      </c>
      <c r="C802" s="74" t="inlineStr">
        <is>
          <t>Empresa Licenciada VOICENET</t>
        </is>
      </c>
      <c r="D802" s="99">
        <f>IF(B802="Clientes",SUMIFS(PARÂMETROS!$D$8:$D$33,PARÂMETROS!$A$8:$A$33,C802,PARÂMETROS!$G$8:$G$33,J802),SUMIFS(PARÂMETROS!$E$8:$E$33,PARÂMETROS!$A$8:$A$33,C802,PARÂMETROS!$G$8:$G$33,J802))</f>
        <v/>
      </c>
      <c r="E802" s="100">
        <f>SUMIFS(SETORES!$D:$D,SETORES!$A:$A,A802,SETORES!$F:$F,J802)</f>
        <v/>
      </c>
      <c r="F802" s="100">
        <f>IFERROR(D802*E802,0)</f>
        <v/>
      </c>
      <c r="G802" s="99">
        <f>SUMIFS(PARÂMETROS!$F$8:$F$33,PARÂMETROS!$A$8:$A$33,C802,PARÂMETROS!$G$8:$G$33,J802)</f>
        <v/>
      </c>
      <c r="H802" s="100">
        <f>IFERROR(F802*G802,0)</f>
        <v/>
      </c>
      <c r="I802" s="100">
        <f>F802+H802</f>
        <v/>
      </c>
      <c r="J802" s="74" t="inlineStr">
        <is>
          <t>Julho/2026</t>
        </is>
      </c>
    </row>
    <row r="803" ht="14.25" customHeight="1" s="75">
      <c r="A803" s="74" t="inlineStr">
        <is>
          <t>Jurídico</t>
        </is>
      </c>
      <c r="B803" s="74">
        <f>INDEX(SETORES!$B:$B,MATCH(A803,SETORES!$A:$A,0))</f>
        <v/>
      </c>
      <c r="C803" s="74" t="inlineStr">
        <is>
          <t>DTEL (uso próprio)</t>
        </is>
      </c>
      <c r="D803" s="99">
        <f>IF(B803="Clientes",SUMIFS(PARÂMETROS!$D$8:$D$33,PARÂMETROS!$A$8:$A$33,C803,PARÂMETROS!$G$8:$G$33,J803),SUMIFS(PARÂMETROS!$E$8:$E$33,PARÂMETROS!$A$8:$A$33,C803,PARÂMETROS!$G$8:$G$33,J803))</f>
        <v/>
      </c>
      <c r="E803" s="100">
        <f>SUMIFS(SETORES!$D:$D,SETORES!$A:$A,A803,SETORES!$F:$F,J803)</f>
        <v/>
      </c>
      <c r="F803" s="100">
        <f>IFERROR(D803*E803,0)</f>
        <v/>
      </c>
      <c r="G803" s="99">
        <f>SUMIFS(PARÂMETROS!$F$8:$F$33,PARÂMETROS!$A$8:$A$33,C803,PARÂMETROS!$G$8:$G$33,J803)</f>
        <v/>
      </c>
      <c r="H803" s="100">
        <f>IFERROR(F803*G803,0)</f>
        <v/>
      </c>
      <c r="I803" s="100">
        <f>F803+H803</f>
        <v/>
      </c>
      <c r="J803" s="74" t="inlineStr">
        <is>
          <t>Julho/2026</t>
        </is>
      </c>
    </row>
    <row r="804" ht="14.25" customHeight="1" s="75">
      <c r="A804" s="74" t="inlineStr">
        <is>
          <t>Lançamento</t>
        </is>
      </c>
      <c r="B804" s="74">
        <f>INDEX(SETORES!$B:$B,MATCH(A804,SETORES!$A:$A,0))</f>
        <v/>
      </c>
      <c r="C804" s="74" t="inlineStr">
        <is>
          <t>Empresa Licenciada DX2</t>
        </is>
      </c>
      <c r="D804" s="99">
        <f>IF(B804="Clientes",SUMIFS(PARÂMETROS!$D$8:$D$33,PARÂMETROS!$A$8:$A$33,C804,PARÂMETROS!$G$8:$G$33,J804),SUMIFS(PARÂMETROS!$E$8:$E$33,PARÂMETROS!$A$8:$A$33,C804,PARÂMETROS!$G$8:$G$33,J804))</f>
        <v/>
      </c>
      <c r="E804" s="100">
        <f>SUMIFS(SETORES!$D:$D,SETORES!$A:$A,A804,SETORES!$F:$F,J804)</f>
        <v/>
      </c>
      <c r="F804" s="100">
        <f>IFERROR(D804*E804,0)</f>
        <v/>
      </c>
      <c r="G804" s="99">
        <f>SUMIFS(PARÂMETROS!$F$8:$F$33,PARÂMETROS!$A$8:$A$33,C804,PARÂMETROS!$G$8:$G$33,J804)</f>
        <v/>
      </c>
      <c r="H804" s="100">
        <f>IFERROR(F804*G804,0)</f>
        <v/>
      </c>
      <c r="I804" s="100">
        <f>F804+H804</f>
        <v/>
      </c>
      <c r="J804" s="74" t="inlineStr">
        <is>
          <t>Maio/2026</t>
        </is>
      </c>
    </row>
    <row r="805" ht="14.25" customHeight="1" s="75">
      <c r="A805" s="74" t="inlineStr">
        <is>
          <t>Lançamento</t>
        </is>
      </c>
      <c r="B805" s="74">
        <f>INDEX(SETORES!$B:$B,MATCH(A805,SETORES!$A:$A,0))</f>
        <v/>
      </c>
      <c r="C805" s="74" t="inlineStr">
        <is>
          <t>Empresa Licenciada H&amp;A</t>
        </is>
      </c>
      <c r="D805" s="99">
        <f>IF(B805="Clientes",SUMIFS(PARÂMETROS!$D$8:$D$33,PARÂMETROS!$A$8:$A$33,C805,PARÂMETROS!$G$8:$G$33,J805),SUMIFS(PARÂMETROS!$E$8:$E$33,PARÂMETROS!$A$8:$A$33,C805,PARÂMETROS!$G$8:$G$33,J805))</f>
        <v/>
      </c>
      <c r="E805" s="100">
        <f>SUMIFS(SETORES!$D:$D,SETORES!$A:$A,A805,SETORES!$F:$F,J805)</f>
        <v/>
      </c>
      <c r="F805" s="100">
        <f>IFERROR(D805*E805,0)</f>
        <v/>
      </c>
      <c r="G805" s="99">
        <f>SUMIFS(PARÂMETROS!$F$8:$F$33,PARÂMETROS!$A$8:$A$33,C805,PARÂMETROS!$G$8:$G$33,J805)</f>
        <v/>
      </c>
      <c r="H805" s="100">
        <f>IFERROR(F805*G805,0)</f>
        <v/>
      </c>
      <c r="I805" s="100">
        <f>F805+H805</f>
        <v/>
      </c>
      <c r="J805" s="74" t="inlineStr">
        <is>
          <t>Maio/2026</t>
        </is>
      </c>
    </row>
    <row r="806" ht="14.25" customHeight="1" s="75">
      <c r="A806" s="74" t="inlineStr">
        <is>
          <t>Lançamento</t>
        </is>
      </c>
      <c r="B806" s="74">
        <f>INDEX(SETORES!$B:$B,MATCH(A806,SETORES!$A:$A,0))</f>
        <v/>
      </c>
      <c r="C806" s="74" t="inlineStr">
        <is>
          <t>Empresa Licenciada SOLON ARAUJO</t>
        </is>
      </c>
      <c r="D806" s="99">
        <f>IF(B806="Clientes",SUMIFS(PARÂMETROS!$D$8:$D$33,PARÂMETROS!$A$8:$A$33,C806,PARÂMETROS!$G$8:$G$33,J806),SUMIFS(PARÂMETROS!$E$8:$E$33,PARÂMETROS!$A$8:$A$33,C806,PARÂMETROS!$G$8:$G$33,J806))</f>
        <v/>
      </c>
      <c r="E806" s="100">
        <f>SUMIFS(SETORES!$D:$D,SETORES!$A:$A,A806,SETORES!$F:$F,J806)</f>
        <v/>
      </c>
      <c r="F806" s="100">
        <f>IFERROR(D806*E806,0)</f>
        <v/>
      </c>
      <c r="G806" s="99">
        <f>SUMIFS(PARÂMETROS!$F$8:$F$33,PARÂMETROS!$A$8:$A$33,C806,PARÂMETROS!$G$8:$G$33,J806)</f>
        <v/>
      </c>
      <c r="H806" s="100">
        <f>IFERROR(F806*G806,0)</f>
        <v/>
      </c>
      <c r="I806" s="100">
        <f>F806+H806</f>
        <v/>
      </c>
      <c r="J806" s="74" t="inlineStr">
        <is>
          <t>Maio/2026</t>
        </is>
      </c>
    </row>
    <row r="807" ht="14.25" customHeight="1" s="75">
      <c r="A807" s="74" t="inlineStr">
        <is>
          <t>Lançamento</t>
        </is>
      </c>
      <c r="B807" s="74">
        <f>INDEX(SETORES!$B:$B,MATCH(A807,SETORES!$A:$A,0))</f>
        <v/>
      </c>
      <c r="C807" s="74" t="inlineStr">
        <is>
          <t>Empresa Licenciada SOARES E LINS</t>
        </is>
      </c>
      <c r="D807" s="99">
        <f>IF(B807="Clientes",SUMIFS(PARÂMETROS!$D$8:$D$33,PARÂMETROS!$A$8:$A$33,C807,PARÂMETROS!$G$8:$G$33,J807),SUMIFS(PARÂMETROS!$E$8:$E$33,PARÂMETROS!$A$8:$A$33,C807,PARÂMETROS!$G$8:$G$33,J807))</f>
        <v/>
      </c>
      <c r="E807" s="100">
        <f>SUMIFS(SETORES!$D:$D,SETORES!$A:$A,A807,SETORES!$F:$F,J807)</f>
        <v/>
      </c>
      <c r="F807" s="100">
        <f>IFERROR(D807*E807,0)</f>
        <v/>
      </c>
      <c r="G807" s="99">
        <f>SUMIFS(PARÂMETROS!$F$8:$F$33,PARÂMETROS!$A$8:$A$33,C807,PARÂMETROS!$G$8:$G$33,J807)</f>
        <v/>
      </c>
      <c r="H807" s="100">
        <f>IFERROR(F807*G807,0)</f>
        <v/>
      </c>
      <c r="I807" s="100">
        <f>F807+H807</f>
        <v/>
      </c>
      <c r="J807" s="74" t="inlineStr">
        <is>
          <t>Maio/2026</t>
        </is>
      </c>
    </row>
    <row r="808" ht="14.25" customHeight="1" s="75">
      <c r="A808" s="74" t="inlineStr">
        <is>
          <t>Lançamento</t>
        </is>
      </c>
      <c r="B808" s="74">
        <f>INDEX(SETORES!$B:$B,MATCH(A808,SETORES!$A:$A,0))</f>
        <v/>
      </c>
      <c r="C808" s="74" t="inlineStr">
        <is>
          <t>Empresa Licenciada SOARES E SILVA</t>
        </is>
      </c>
      <c r="D808" s="99">
        <f>IF(B808="Clientes",SUMIFS(PARÂMETROS!$D$8:$D$33,PARÂMETROS!$A$8:$A$33,C808,PARÂMETROS!$G$8:$G$33,J808),SUMIFS(PARÂMETROS!$E$8:$E$33,PARÂMETROS!$A$8:$A$33,C808,PARÂMETROS!$G$8:$G$33,J808))</f>
        <v/>
      </c>
      <c r="E808" s="100">
        <f>SUMIFS(SETORES!$D:$D,SETORES!$A:$A,A808,SETORES!$F:$F,J808)</f>
        <v/>
      </c>
      <c r="F808" s="100">
        <f>IFERROR(D808*E808,0)</f>
        <v/>
      </c>
      <c r="G808" s="99">
        <f>SUMIFS(PARÂMETROS!$F$8:$F$33,PARÂMETROS!$A$8:$A$33,C808,PARÂMETROS!$G$8:$G$33,J808)</f>
        <v/>
      </c>
      <c r="H808" s="100">
        <f>IFERROR(F808*G808,0)</f>
        <v/>
      </c>
      <c r="I808" s="100">
        <f>F808+H808</f>
        <v/>
      </c>
      <c r="J808" s="74" t="inlineStr">
        <is>
          <t>Maio/2026</t>
        </is>
      </c>
    </row>
    <row r="809" ht="14.25" customHeight="1" s="75">
      <c r="A809" s="74" t="inlineStr">
        <is>
          <t>Lançamento</t>
        </is>
      </c>
      <c r="B809" s="74">
        <f>INDEX(SETORES!$B:$B,MATCH(A809,SETORES!$A:$A,0))</f>
        <v/>
      </c>
      <c r="C809" s="74" t="inlineStr">
        <is>
          <t>Empresa Licenciada SOUZA E SILVA</t>
        </is>
      </c>
      <c r="D809" s="99">
        <f>IF(B809="Clientes",SUMIFS(PARÂMETROS!$D$8:$D$33,PARÂMETROS!$A$8:$A$33,C809,PARÂMETROS!$G$8:$G$33,J809),SUMIFS(PARÂMETROS!$E$8:$E$33,PARÂMETROS!$A$8:$A$33,C809,PARÂMETROS!$G$8:$G$33,J809))</f>
        <v/>
      </c>
      <c r="E809" s="100">
        <f>SUMIFS(SETORES!$D:$D,SETORES!$A:$A,A809,SETORES!$F:$F,J809)</f>
        <v/>
      </c>
      <c r="F809" s="100">
        <f>IFERROR(D809*E809,0)</f>
        <v/>
      </c>
      <c r="G809" s="99">
        <f>SUMIFS(PARÂMETROS!$F$8:$F$33,PARÂMETROS!$A$8:$A$33,C809,PARÂMETROS!$G$8:$G$33,J809)</f>
        <v/>
      </c>
      <c r="H809" s="100">
        <f>IFERROR(F809*G809,0)</f>
        <v/>
      </c>
      <c r="I809" s="100">
        <f>F809+H809</f>
        <v/>
      </c>
      <c r="J809" s="74" t="inlineStr">
        <is>
          <t>Maio/2026</t>
        </is>
      </c>
    </row>
    <row r="810" ht="14.25" customHeight="1" s="75">
      <c r="A810" s="74" t="inlineStr">
        <is>
          <t>Lançamento</t>
        </is>
      </c>
      <c r="B810" s="74">
        <f>INDEX(SETORES!$B:$B,MATCH(A810,SETORES!$A:$A,0))</f>
        <v/>
      </c>
      <c r="C810" s="74" t="inlineStr">
        <is>
          <t>Empresa Licenciada VOICENET</t>
        </is>
      </c>
      <c r="D810" s="99">
        <f>IF(B810="Clientes",SUMIFS(PARÂMETROS!$D$8:$D$33,PARÂMETROS!$A$8:$A$33,C810,PARÂMETROS!$G$8:$G$33,J810),SUMIFS(PARÂMETROS!$E$8:$E$33,PARÂMETROS!$A$8:$A$33,C810,PARÂMETROS!$G$8:$G$33,J810))</f>
        <v/>
      </c>
      <c r="E810" s="100">
        <f>SUMIFS(SETORES!$D:$D,SETORES!$A:$A,A810,SETORES!$F:$F,J810)</f>
        <v/>
      </c>
      <c r="F810" s="100">
        <f>IFERROR(D810*E810,0)</f>
        <v/>
      </c>
      <c r="G810" s="99">
        <f>SUMIFS(PARÂMETROS!$F$8:$F$33,PARÂMETROS!$A$8:$A$33,C810,PARÂMETROS!$G$8:$G$33,J810)</f>
        <v/>
      </c>
      <c r="H810" s="100">
        <f>IFERROR(F810*G810,0)</f>
        <v/>
      </c>
      <c r="I810" s="100">
        <f>F810+H810</f>
        <v/>
      </c>
      <c r="J810" s="74" t="inlineStr">
        <is>
          <t>Maio/2026</t>
        </is>
      </c>
    </row>
    <row r="811" ht="14.25" customHeight="1" s="75">
      <c r="A811" s="74" t="inlineStr">
        <is>
          <t>Lançamento</t>
        </is>
      </c>
      <c r="B811" s="74">
        <f>INDEX(SETORES!$B:$B,MATCH(A811,SETORES!$A:$A,0))</f>
        <v/>
      </c>
      <c r="C811" s="74" t="inlineStr">
        <is>
          <t>DTEL (uso próprio)</t>
        </is>
      </c>
      <c r="D811" s="99">
        <f>IF(B811="Clientes",SUMIFS(PARÂMETROS!$D$8:$D$33,PARÂMETROS!$A$8:$A$33,C811,PARÂMETROS!$G$8:$G$33,J811),SUMIFS(PARÂMETROS!$E$8:$E$33,PARÂMETROS!$A$8:$A$33,C811,PARÂMETROS!$G$8:$G$33,J811))</f>
        <v/>
      </c>
      <c r="E811" s="100">
        <f>SUMIFS(SETORES!$D:$D,SETORES!$A:$A,A811,SETORES!$F:$F,J811)</f>
        <v/>
      </c>
      <c r="F811" s="100">
        <f>IFERROR(D811*E811,0)</f>
        <v/>
      </c>
      <c r="G811" s="99">
        <f>SUMIFS(PARÂMETROS!$F$8:$F$33,PARÂMETROS!$A$8:$A$33,C811,PARÂMETROS!$G$8:$G$33,J811)</f>
        <v/>
      </c>
      <c r="H811" s="100">
        <f>IFERROR(F811*G811,0)</f>
        <v/>
      </c>
      <c r="I811" s="100">
        <f>F811+H811</f>
        <v/>
      </c>
      <c r="J811" s="74" t="inlineStr">
        <is>
          <t>Maio/2026</t>
        </is>
      </c>
    </row>
    <row r="812" ht="14.25" customHeight="1" s="75">
      <c r="A812" s="74" t="inlineStr">
        <is>
          <t>Lançamento</t>
        </is>
      </c>
      <c r="B812" s="74">
        <f>INDEX(SETORES!$B:$B,MATCH(A812,SETORES!$A:$A,0))</f>
        <v/>
      </c>
      <c r="C812" s="74" t="inlineStr">
        <is>
          <t>Empresa Licenciada DX2</t>
        </is>
      </c>
      <c r="D812" s="99">
        <f>IF(B812="Clientes",SUMIFS(PARÂMETROS!$D$8:$D$33,PARÂMETROS!$A$8:$A$33,C812,PARÂMETROS!$G$8:$G$33,J812),SUMIFS(PARÂMETROS!$E$8:$E$33,PARÂMETROS!$A$8:$A$33,C812,PARÂMETROS!$G$8:$G$33,J812))</f>
        <v/>
      </c>
      <c r="E812" s="100">
        <f>SUMIFS(SETORES!$D:$D,SETORES!$A:$A,A812,SETORES!$F:$F,J812)</f>
        <v/>
      </c>
      <c r="F812" s="100">
        <f>IFERROR(D812*E812,0)</f>
        <v/>
      </c>
      <c r="G812" s="99">
        <f>SUMIFS(PARÂMETROS!$F$8:$F$33,PARÂMETROS!$A$8:$A$33,C812,PARÂMETROS!$G$8:$G$33,J812)</f>
        <v/>
      </c>
      <c r="H812" s="100">
        <f>IFERROR(F812*G812,0)</f>
        <v/>
      </c>
      <c r="I812" s="100">
        <f>F812+H812</f>
        <v/>
      </c>
      <c r="J812" s="74" t="inlineStr">
        <is>
          <t>Junho/2026</t>
        </is>
      </c>
    </row>
    <row r="813" ht="14.25" customHeight="1" s="75">
      <c r="A813" s="74" t="inlineStr">
        <is>
          <t>Lançamento</t>
        </is>
      </c>
      <c r="B813" s="74">
        <f>INDEX(SETORES!$B:$B,MATCH(A813,SETORES!$A:$A,0))</f>
        <v/>
      </c>
      <c r="C813" s="74" t="inlineStr">
        <is>
          <t>Empresa Licenciada H&amp;A</t>
        </is>
      </c>
      <c r="D813" s="99">
        <f>IF(B813="Clientes",SUMIFS(PARÂMETROS!$D$8:$D$33,PARÂMETROS!$A$8:$A$33,C813,PARÂMETROS!$G$8:$G$33,J813),SUMIFS(PARÂMETROS!$E$8:$E$33,PARÂMETROS!$A$8:$A$33,C813,PARÂMETROS!$G$8:$G$33,J813))</f>
        <v/>
      </c>
      <c r="E813" s="100">
        <f>SUMIFS(SETORES!$D:$D,SETORES!$A:$A,A813,SETORES!$F:$F,J813)</f>
        <v/>
      </c>
      <c r="F813" s="100">
        <f>IFERROR(D813*E813,0)</f>
        <v/>
      </c>
      <c r="G813" s="99">
        <f>SUMIFS(PARÂMETROS!$F$8:$F$33,PARÂMETROS!$A$8:$A$33,C813,PARÂMETROS!$G$8:$G$33,J813)</f>
        <v/>
      </c>
      <c r="H813" s="100">
        <f>IFERROR(F813*G813,0)</f>
        <v/>
      </c>
      <c r="I813" s="100">
        <f>F813+H813</f>
        <v/>
      </c>
      <c r="J813" s="74" t="inlineStr">
        <is>
          <t>Junho/2026</t>
        </is>
      </c>
    </row>
    <row r="814" ht="14.25" customHeight="1" s="75">
      <c r="A814" s="74" t="inlineStr">
        <is>
          <t>Lançamento</t>
        </is>
      </c>
      <c r="B814" s="74">
        <f>INDEX(SETORES!$B:$B,MATCH(A814,SETORES!$A:$A,0))</f>
        <v/>
      </c>
      <c r="C814" s="74" t="inlineStr">
        <is>
          <t>Empresa Licenciada SOLON ARAUJO</t>
        </is>
      </c>
      <c r="D814" s="99">
        <f>IF(B814="Clientes",SUMIFS(PARÂMETROS!$D$8:$D$33,PARÂMETROS!$A$8:$A$33,C814,PARÂMETROS!$G$8:$G$33,J814),SUMIFS(PARÂMETROS!$E$8:$E$33,PARÂMETROS!$A$8:$A$33,C814,PARÂMETROS!$G$8:$G$33,J814))</f>
        <v/>
      </c>
      <c r="E814" s="100">
        <f>SUMIFS(SETORES!$D:$D,SETORES!$A:$A,A814,SETORES!$F:$F,J814)</f>
        <v/>
      </c>
      <c r="F814" s="100">
        <f>IFERROR(D814*E814,0)</f>
        <v/>
      </c>
      <c r="G814" s="99">
        <f>SUMIFS(PARÂMETROS!$F$8:$F$33,PARÂMETROS!$A$8:$A$33,C814,PARÂMETROS!$G$8:$G$33,J814)</f>
        <v/>
      </c>
      <c r="H814" s="100">
        <f>IFERROR(F814*G814,0)</f>
        <v/>
      </c>
      <c r="I814" s="100">
        <f>F814+H814</f>
        <v/>
      </c>
      <c r="J814" s="74" t="inlineStr">
        <is>
          <t>Junho/2026</t>
        </is>
      </c>
    </row>
    <row r="815" ht="14.25" customHeight="1" s="75">
      <c r="A815" s="74" t="inlineStr">
        <is>
          <t>Lançamento</t>
        </is>
      </c>
      <c r="B815" s="74">
        <f>INDEX(SETORES!$B:$B,MATCH(A815,SETORES!$A:$A,0))</f>
        <v/>
      </c>
      <c r="C815" s="74" t="inlineStr">
        <is>
          <t>Empresa Licenciada SOARES E LINS</t>
        </is>
      </c>
      <c r="D815" s="99">
        <f>IF(B815="Clientes",SUMIFS(PARÂMETROS!$D$8:$D$33,PARÂMETROS!$A$8:$A$33,C815,PARÂMETROS!$G$8:$G$33,J815),SUMIFS(PARÂMETROS!$E$8:$E$33,PARÂMETROS!$A$8:$A$33,C815,PARÂMETROS!$G$8:$G$33,J815))</f>
        <v/>
      </c>
      <c r="E815" s="100">
        <f>SUMIFS(SETORES!$D:$D,SETORES!$A:$A,A815,SETORES!$F:$F,J815)</f>
        <v/>
      </c>
      <c r="F815" s="100">
        <f>IFERROR(D815*E815,0)</f>
        <v/>
      </c>
      <c r="G815" s="99">
        <f>SUMIFS(PARÂMETROS!$F$8:$F$33,PARÂMETROS!$A$8:$A$33,C815,PARÂMETROS!$G$8:$G$33,J815)</f>
        <v/>
      </c>
      <c r="H815" s="100">
        <f>IFERROR(F815*G815,0)</f>
        <v/>
      </c>
      <c r="I815" s="100">
        <f>F815+H815</f>
        <v/>
      </c>
      <c r="J815" s="74" t="inlineStr">
        <is>
          <t>Junho/2026</t>
        </is>
      </c>
    </row>
    <row r="816" ht="14.25" customHeight="1" s="75">
      <c r="A816" s="74" t="inlineStr">
        <is>
          <t>Lançamento</t>
        </is>
      </c>
      <c r="B816" s="74">
        <f>INDEX(SETORES!$B:$B,MATCH(A816,SETORES!$A:$A,0))</f>
        <v/>
      </c>
      <c r="C816" s="74" t="inlineStr">
        <is>
          <t>Empresa Licenciada SOARES E SILVA</t>
        </is>
      </c>
      <c r="D816" s="99">
        <f>IF(B816="Clientes",SUMIFS(PARÂMETROS!$D$8:$D$33,PARÂMETROS!$A$8:$A$33,C816,PARÂMETROS!$G$8:$G$33,J816),SUMIFS(PARÂMETROS!$E$8:$E$33,PARÂMETROS!$A$8:$A$33,C816,PARÂMETROS!$G$8:$G$33,J816))</f>
        <v/>
      </c>
      <c r="E816" s="100">
        <f>SUMIFS(SETORES!$D:$D,SETORES!$A:$A,A816,SETORES!$F:$F,J816)</f>
        <v/>
      </c>
      <c r="F816" s="100">
        <f>IFERROR(D816*E816,0)</f>
        <v/>
      </c>
      <c r="G816" s="99">
        <f>SUMIFS(PARÂMETROS!$F$8:$F$33,PARÂMETROS!$A$8:$A$33,C816,PARÂMETROS!$G$8:$G$33,J816)</f>
        <v/>
      </c>
      <c r="H816" s="100">
        <f>IFERROR(F816*G816,0)</f>
        <v/>
      </c>
      <c r="I816" s="100">
        <f>F816+H816</f>
        <v/>
      </c>
      <c r="J816" s="74" t="inlineStr">
        <is>
          <t>Junho/2026</t>
        </is>
      </c>
    </row>
    <row r="817" ht="14.25" customHeight="1" s="75">
      <c r="A817" s="74" t="inlineStr">
        <is>
          <t>Lançamento</t>
        </is>
      </c>
      <c r="B817" s="74">
        <f>INDEX(SETORES!$B:$B,MATCH(A817,SETORES!$A:$A,0))</f>
        <v/>
      </c>
      <c r="C817" s="74" t="inlineStr">
        <is>
          <t>Empresa Licenciada SOUZA E SILVA</t>
        </is>
      </c>
      <c r="D817" s="99">
        <f>IF(B817="Clientes",SUMIFS(PARÂMETROS!$D$8:$D$33,PARÂMETROS!$A$8:$A$33,C817,PARÂMETROS!$G$8:$G$33,J817),SUMIFS(PARÂMETROS!$E$8:$E$33,PARÂMETROS!$A$8:$A$33,C817,PARÂMETROS!$G$8:$G$33,J817))</f>
        <v/>
      </c>
      <c r="E817" s="100">
        <f>SUMIFS(SETORES!$D:$D,SETORES!$A:$A,A817,SETORES!$F:$F,J817)</f>
        <v/>
      </c>
      <c r="F817" s="100">
        <f>IFERROR(D817*E817,0)</f>
        <v/>
      </c>
      <c r="G817" s="99">
        <f>SUMIFS(PARÂMETROS!$F$8:$F$33,PARÂMETROS!$A$8:$A$33,C817,PARÂMETROS!$G$8:$G$33,J817)</f>
        <v/>
      </c>
      <c r="H817" s="100">
        <f>IFERROR(F817*G817,0)</f>
        <v/>
      </c>
      <c r="I817" s="100">
        <f>F817+H817</f>
        <v/>
      </c>
      <c r="J817" s="74" t="inlineStr">
        <is>
          <t>Junho/2026</t>
        </is>
      </c>
    </row>
    <row r="818" ht="14.25" customHeight="1" s="75">
      <c r="A818" s="74" t="inlineStr">
        <is>
          <t>Lançamento</t>
        </is>
      </c>
      <c r="B818" s="74">
        <f>INDEX(SETORES!$B:$B,MATCH(A818,SETORES!$A:$A,0))</f>
        <v/>
      </c>
      <c r="C818" s="74" t="inlineStr">
        <is>
          <t>Empresa Licenciada VOICENET</t>
        </is>
      </c>
      <c r="D818" s="99">
        <f>IF(B818="Clientes",SUMIFS(PARÂMETROS!$D$8:$D$33,PARÂMETROS!$A$8:$A$33,C818,PARÂMETROS!$G$8:$G$33,J818),SUMIFS(PARÂMETROS!$E$8:$E$33,PARÂMETROS!$A$8:$A$33,C818,PARÂMETROS!$G$8:$G$33,J818))</f>
        <v/>
      </c>
      <c r="E818" s="100">
        <f>SUMIFS(SETORES!$D:$D,SETORES!$A:$A,A818,SETORES!$F:$F,J818)</f>
        <v/>
      </c>
      <c r="F818" s="100">
        <f>IFERROR(D818*E818,0)</f>
        <v/>
      </c>
      <c r="G818" s="99">
        <f>SUMIFS(PARÂMETROS!$F$8:$F$33,PARÂMETROS!$A$8:$A$33,C818,PARÂMETROS!$G$8:$G$33,J818)</f>
        <v/>
      </c>
      <c r="H818" s="100">
        <f>IFERROR(F818*G818,0)</f>
        <v/>
      </c>
      <c r="I818" s="100">
        <f>F818+H818</f>
        <v/>
      </c>
      <c r="J818" s="74" t="inlineStr">
        <is>
          <t>Junho/2026</t>
        </is>
      </c>
    </row>
    <row r="819" ht="14.25" customHeight="1" s="75">
      <c r="A819" s="74" t="inlineStr">
        <is>
          <t>Lançamento</t>
        </is>
      </c>
      <c r="B819" s="74">
        <f>INDEX(SETORES!$B:$B,MATCH(A819,SETORES!$A:$A,0))</f>
        <v/>
      </c>
      <c r="C819" s="74" t="inlineStr">
        <is>
          <t>DTEL (uso próprio)</t>
        </is>
      </c>
      <c r="D819" s="99">
        <f>IF(B819="Clientes",SUMIFS(PARÂMETROS!$D$8:$D$33,PARÂMETROS!$A$8:$A$33,C819,PARÂMETROS!$G$8:$G$33,J819),SUMIFS(PARÂMETROS!$E$8:$E$33,PARÂMETROS!$A$8:$A$33,C819,PARÂMETROS!$G$8:$G$33,J819))</f>
        <v/>
      </c>
      <c r="E819" s="100">
        <f>SUMIFS(SETORES!$D:$D,SETORES!$A:$A,A819,SETORES!$F:$F,J819)</f>
        <v/>
      </c>
      <c r="F819" s="100">
        <f>IFERROR(D819*E819,0)</f>
        <v/>
      </c>
      <c r="G819" s="99">
        <f>SUMIFS(PARÂMETROS!$F$8:$F$33,PARÂMETROS!$A$8:$A$33,C819,PARÂMETROS!$G$8:$G$33,J819)</f>
        <v/>
      </c>
      <c r="H819" s="100">
        <f>IFERROR(F819*G819,0)</f>
        <v/>
      </c>
      <c r="I819" s="100">
        <f>F819+H819</f>
        <v/>
      </c>
      <c r="J819" s="74" t="inlineStr">
        <is>
          <t>Junho/2026</t>
        </is>
      </c>
    </row>
    <row r="820" ht="14.25" customHeight="1" s="75">
      <c r="A820" s="74" t="inlineStr">
        <is>
          <t>Lançamento</t>
        </is>
      </c>
      <c r="B820" s="74">
        <f>INDEX(SETORES!$B:$B,MATCH(A820,SETORES!$A:$A,0))</f>
        <v/>
      </c>
      <c r="C820" s="74" t="inlineStr">
        <is>
          <t>Empresa Licenciada DX2</t>
        </is>
      </c>
      <c r="D820" s="99">
        <f>IF(B820="Clientes",SUMIFS(PARÂMETROS!$D$8:$D$33,PARÂMETROS!$A$8:$A$33,C820,PARÂMETROS!$G$8:$G$33,J820),SUMIFS(PARÂMETROS!$E$8:$E$33,PARÂMETROS!$A$8:$A$33,C820,PARÂMETROS!$G$8:$G$33,J820))</f>
        <v/>
      </c>
      <c r="E820" s="100">
        <f>SUMIFS(SETORES!$D:$D,SETORES!$A:$A,A820,SETORES!$F:$F,J820)</f>
        <v/>
      </c>
      <c r="F820" s="100">
        <f>IFERROR(D820*E820,0)</f>
        <v/>
      </c>
      <c r="G820" s="99">
        <f>SUMIFS(PARÂMETROS!$F$8:$F$33,PARÂMETROS!$A$8:$A$33,C820,PARÂMETROS!$G$8:$G$33,J820)</f>
        <v/>
      </c>
      <c r="H820" s="100">
        <f>IFERROR(F820*G820,0)</f>
        <v/>
      </c>
      <c r="I820" s="100">
        <f>F820+H820</f>
        <v/>
      </c>
      <c r="J820" s="74" t="inlineStr">
        <is>
          <t>Julho/2026</t>
        </is>
      </c>
    </row>
    <row r="821" ht="14.25" customHeight="1" s="75">
      <c r="A821" s="74" t="inlineStr">
        <is>
          <t>Lançamento</t>
        </is>
      </c>
      <c r="B821" s="74">
        <f>INDEX(SETORES!$B:$B,MATCH(A821,SETORES!$A:$A,0))</f>
        <v/>
      </c>
      <c r="C821" s="74" t="inlineStr">
        <is>
          <t>Empresa Licenciada H&amp;A</t>
        </is>
      </c>
      <c r="D821" s="99">
        <f>IF(B821="Clientes",SUMIFS(PARÂMETROS!$D$8:$D$33,PARÂMETROS!$A$8:$A$33,C821,PARÂMETROS!$G$8:$G$33,J821),SUMIFS(PARÂMETROS!$E$8:$E$33,PARÂMETROS!$A$8:$A$33,C821,PARÂMETROS!$G$8:$G$33,J821))</f>
        <v/>
      </c>
      <c r="E821" s="100">
        <f>SUMIFS(SETORES!$D:$D,SETORES!$A:$A,A821,SETORES!$F:$F,J821)</f>
        <v/>
      </c>
      <c r="F821" s="100">
        <f>IFERROR(D821*E821,0)</f>
        <v/>
      </c>
      <c r="G821" s="99">
        <f>SUMIFS(PARÂMETROS!$F$8:$F$33,PARÂMETROS!$A$8:$A$33,C821,PARÂMETROS!$G$8:$G$33,J821)</f>
        <v/>
      </c>
      <c r="H821" s="100">
        <f>IFERROR(F821*G821,0)</f>
        <v/>
      </c>
      <c r="I821" s="100">
        <f>F821+H821</f>
        <v/>
      </c>
      <c r="J821" s="74" t="inlineStr">
        <is>
          <t>Julho/2026</t>
        </is>
      </c>
    </row>
    <row r="822" ht="14.25" customHeight="1" s="75">
      <c r="A822" s="74" t="inlineStr">
        <is>
          <t>Lançamento</t>
        </is>
      </c>
      <c r="B822" s="74">
        <f>INDEX(SETORES!$B:$B,MATCH(A822,SETORES!$A:$A,0))</f>
        <v/>
      </c>
      <c r="C822" s="74" t="inlineStr">
        <is>
          <t>Empresa Licenciada SOLON ARAUJO</t>
        </is>
      </c>
      <c r="D822" s="99">
        <f>IF(B822="Clientes",SUMIFS(PARÂMETROS!$D$8:$D$33,PARÂMETROS!$A$8:$A$33,C822,PARÂMETROS!$G$8:$G$33,J822),SUMIFS(PARÂMETROS!$E$8:$E$33,PARÂMETROS!$A$8:$A$33,C822,PARÂMETROS!$G$8:$G$33,J822))</f>
        <v/>
      </c>
      <c r="E822" s="100">
        <f>SUMIFS(SETORES!$D:$D,SETORES!$A:$A,A822,SETORES!$F:$F,J822)</f>
        <v/>
      </c>
      <c r="F822" s="100">
        <f>IFERROR(D822*E822,0)</f>
        <v/>
      </c>
      <c r="G822" s="99">
        <f>SUMIFS(PARÂMETROS!$F$8:$F$33,PARÂMETROS!$A$8:$A$33,C822,PARÂMETROS!$G$8:$G$33,J822)</f>
        <v/>
      </c>
      <c r="H822" s="100">
        <f>IFERROR(F822*G822,0)</f>
        <v/>
      </c>
      <c r="I822" s="100">
        <f>F822+H822</f>
        <v/>
      </c>
      <c r="J822" s="74" t="inlineStr">
        <is>
          <t>Julho/2026</t>
        </is>
      </c>
    </row>
    <row r="823" ht="14.25" customHeight="1" s="75">
      <c r="A823" s="74" t="inlineStr">
        <is>
          <t>Lançamento</t>
        </is>
      </c>
      <c r="B823" s="74">
        <f>INDEX(SETORES!$B:$B,MATCH(A823,SETORES!$A:$A,0))</f>
        <v/>
      </c>
      <c r="C823" s="74" t="inlineStr">
        <is>
          <t>Empresa Licenciada SOARES E LINS</t>
        </is>
      </c>
      <c r="D823" s="99">
        <f>IF(B823="Clientes",SUMIFS(PARÂMETROS!$D$8:$D$33,PARÂMETROS!$A$8:$A$33,C823,PARÂMETROS!$G$8:$G$33,J823),SUMIFS(PARÂMETROS!$E$8:$E$33,PARÂMETROS!$A$8:$A$33,C823,PARÂMETROS!$G$8:$G$33,J823))</f>
        <v/>
      </c>
      <c r="E823" s="100">
        <f>SUMIFS(SETORES!$D:$D,SETORES!$A:$A,A823,SETORES!$F:$F,J823)</f>
        <v/>
      </c>
      <c r="F823" s="100">
        <f>IFERROR(D823*E823,0)</f>
        <v/>
      </c>
      <c r="G823" s="99">
        <f>SUMIFS(PARÂMETROS!$F$8:$F$33,PARÂMETROS!$A$8:$A$33,C823,PARÂMETROS!$G$8:$G$33,J823)</f>
        <v/>
      </c>
      <c r="H823" s="100">
        <f>IFERROR(F823*G823,0)</f>
        <v/>
      </c>
      <c r="I823" s="100">
        <f>F823+H823</f>
        <v/>
      </c>
      <c r="J823" s="74" t="inlineStr">
        <is>
          <t>Julho/2026</t>
        </is>
      </c>
    </row>
    <row r="824" ht="14.25" customHeight="1" s="75">
      <c r="A824" s="74" t="inlineStr">
        <is>
          <t>Lançamento</t>
        </is>
      </c>
      <c r="B824" s="74">
        <f>INDEX(SETORES!$B:$B,MATCH(A824,SETORES!$A:$A,0))</f>
        <v/>
      </c>
      <c r="C824" s="74" t="inlineStr">
        <is>
          <t>Empresa Licenciada SOARES E SILVA</t>
        </is>
      </c>
      <c r="D824" s="99">
        <f>IF(B824="Clientes",SUMIFS(PARÂMETROS!$D$8:$D$33,PARÂMETROS!$A$8:$A$33,C824,PARÂMETROS!$G$8:$G$33,J824),SUMIFS(PARÂMETROS!$E$8:$E$33,PARÂMETROS!$A$8:$A$33,C824,PARÂMETROS!$G$8:$G$33,J824))</f>
        <v/>
      </c>
      <c r="E824" s="100">
        <f>SUMIFS(SETORES!$D:$D,SETORES!$A:$A,A824,SETORES!$F:$F,J824)</f>
        <v/>
      </c>
      <c r="F824" s="100">
        <f>IFERROR(D824*E824,0)</f>
        <v/>
      </c>
      <c r="G824" s="99">
        <f>SUMIFS(PARÂMETROS!$F$8:$F$33,PARÂMETROS!$A$8:$A$33,C824,PARÂMETROS!$G$8:$G$33,J824)</f>
        <v/>
      </c>
      <c r="H824" s="100">
        <f>IFERROR(F824*G824,0)</f>
        <v/>
      </c>
      <c r="I824" s="100">
        <f>F824+H824</f>
        <v/>
      </c>
      <c r="J824" s="74" t="inlineStr">
        <is>
          <t>Julho/2026</t>
        </is>
      </c>
    </row>
    <row r="825" ht="14.25" customHeight="1" s="75">
      <c r="A825" s="74" t="inlineStr">
        <is>
          <t>Lançamento</t>
        </is>
      </c>
      <c r="B825" s="74">
        <f>INDEX(SETORES!$B:$B,MATCH(A825,SETORES!$A:$A,0))</f>
        <v/>
      </c>
      <c r="C825" s="74" t="inlineStr">
        <is>
          <t>Empresa Licenciada SOUZA E SILVA</t>
        </is>
      </c>
      <c r="D825" s="99">
        <f>IF(B825="Clientes",SUMIFS(PARÂMETROS!$D$8:$D$33,PARÂMETROS!$A$8:$A$33,C825,PARÂMETROS!$G$8:$G$33,J825),SUMIFS(PARÂMETROS!$E$8:$E$33,PARÂMETROS!$A$8:$A$33,C825,PARÂMETROS!$G$8:$G$33,J825))</f>
        <v/>
      </c>
      <c r="E825" s="100">
        <f>SUMIFS(SETORES!$D:$D,SETORES!$A:$A,A825,SETORES!$F:$F,J825)</f>
        <v/>
      </c>
      <c r="F825" s="100">
        <f>IFERROR(D825*E825,0)</f>
        <v/>
      </c>
      <c r="G825" s="99">
        <f>SUMIFS(PARÂMETROS!$F$8:$F$33,PARÂMETROS!$A$8:$A$33,C825,PARÂMETROS!$G$8:$G$33,J825)</f>
        <v/>
      </c>
      <c r="H825" s="100">
        <f>IFERROR(F825*G825,0)</f>
        <v/>
      </c>
      <c r="I825" s="100">
        <f>F825+H825</f>
        <v/>
      </c>
      <c r="J825" s="74" t="inlineStr">
        <is>
          <t>Julho/2026</t>
        </is>
      </c>
    </row>
    <row r="826" ht="14.25" customHeight="1" s="75">
      <c r="A826" s="74" t="inlineStr">
        <is>
          <t>Lançamento</t>
        </is>
      </c>
      <c r="B826" s="74">
        <f>INDEX(SETORES!$B:$B,MATCH(A826,SETORES!$A:$A,0))</f>
        <v/>
      </c>
      <c r="C826" s="74" t="inlineStr">
        <is>
          <t>Empresa Licenciada VOICENET</t>
        </is>
      </c>
      <c r="D826" s="99">
        <f>IF(B826="Clientes",SUMIFS(PARÂMETROS!$D$8:$D$33,PARÂMETROS!$A$8:$A$33,C826,PARÂMETROS!$G$8:$G$33,J826),SUMIFS(PARÂMETROS!$E$8:$E$33,PARÂMETROS!$A$8:$A$33,C826,PARÂMETROS!$G$8:$G$33,J826))</f>
        <v/>
      </c>
      <c r="E826" s="100">
        <f>SUMIFS(SETORES!$D:$D,SETORES!$A:$A,A826,SETORES!$F:$F,J826)</f>
        <v/>
      </c>
      <c r="F826" s="100">
        <f>IFERROR(D826*E826,0)</f>
        <v/>
      </c>
      <c r="G826" s="99">
        <f>SUMIFS(PARÂMETROS!$F$8:$F$33,PARÂMETROS!$A$8:$A$33,C826,PARÂMETROS!$G$8:$G$33,J826)</f>
        <v/>
      </c>
      <c r="H826" s="100">
        <f>IFERROR(F826*G826,0)</f>
        <v/>
      </c>
      <c r="I826" s="100">
        <f>F826+H826</f>
        <v/>
      </c>
      <c r="J826" s="74" t="inlineStr">
        <is>
          <t>Julho/2026</t>
        </is>
      </c>
    </row>
    <row r="827" ht="14.25" customHeight="1" s="75">
      <c r="A827" s="74" t="inlineStr">
        <is>
          <t>Lançamento</t>
        </is>
      </c>
      <c r="B827" s="74">
        <f>INDEX(SETORES!$B:$B,MATCH(A827,SETORES!$A:$A,0))</f>
        <v/>
      </c>
      <c r="C827" s="74" t="inlineStr">
        <is>
          <t>DTEL (uso próprio)</t>
        </is>
      </c>
      <c r="D827" s="99">
        <f>IF(B827="Clientes",SUMIFS(PARÂMETROS!$D$8:$D$33,PARÂMETROS!$A$8:$A$33,C827,PARÂMETROS!$G$8:$G$33,J827),SUMIFS(PARÂMETROS!$E$8:$E$33,PARÂMETROS!$A$8:$A$33,C827,PARÂMETROS!$G$8:$G$33,J827))</f>
        <v/>
      </c>
      <c r="E827" s="100">
        <f>SUMIFS(SETORES!$D:$D,SETORES!$A:$A,A827,SETORES!$F:$F,J827)</f>
        <v/>
      </c>
      <c r="F827" s="100">
        <f>IFERROR(D827*E827,0)</f>
        <v/>
      </c>
      <c r="G827" s="99">
        <f>SUMIFS(PARÂMETROS!$F$8:$F$33,PARÂMETROS!$A$8:$A$33,C827,PARÂMETROS!$G$8:$G$33,J827)</f>
        <v/>
      </c>
      <c r="H827" s="100">
        <f>IFERROR(F827*G827,0)</f>
        <v/>
      </c>
      <c r="I827" s="100">
        <f>F827+H827</f>
        <v/>
      </c>
      <c r="J827" s="74" t="inlineStr">
        <is>
          <t>Julho/2026</t>
        </is>
      </c>
    </row>
    <row r="828" ht="14.25" customHeight="1" s="75">
      <c r="A828" s="74" t="inlineStr">
        <is>
          <t>Marketing</t>
        </is>
      </c>
      <c r="B828" s="74">
        <f>INDEX(SETORES!$B:$B,MATCH(A828,SETORES!$A:$A,0))</f>
        <v/>
      </c>
      <c r="C828" s="74" t="inlineStr">
        <is>
          <t>Empresa Licenciada DX2</t>
        </is>
      </c>
      <c r="D828" s="99">
        <f>IF(B828="Clientes",SUMIFS(PARÂMETROS!$D$8:$D$33,PARÂMETROS!$A$8:$A$33,C828,PARÂMETROS!$G$8:$G$33,J828),SUMIFS(PARÂMETROS!$E$8:$E$33,PARÂMETROS!$A$8:$A$33,C828,PARÂMETROS!$G$8:$G$33,J828))</f>
        <v/>
      </c>
      <c r="E828" s="100">
        <f>SUMIFS(SETORES!$D:$D,SETORES!$A:$A,A828,SETORES!$F:$F,J828)</f>
        <v/>
      </c>
      <c r="F828" s="100">
        <f>IFERROR(D828*E828,0)</f>
        <v/>
      </c>
      <c r="G828" s="99">
        <f>SUMIFS(PARÂMETROS!$F$8:$F$33,PARÂMETROS!$A$8:$A$33,C828,PARÂMETROS!$G$8:$G$33,J828)</f>
        <v/>
      </c>
      <c r="H828" s="100">
        <f>IFERROR(F828*G828,0)</f>
        <v/>
      </c>
      <c r="I828" s="100">
        <f>F828+H828</f>
        <v/>
      </c>
      <c r="J828" s="74" t="inlineStr">
        <is>
          <t>Maio/2026</t>
        </is>
      </c>
    </row>
    <row r="829" ht="14.25" customHeight="1" s="75">
      <c r="A829" s="74" t="inlineStr">
        <is>
          <t>Marketing</t>
        </is>
      </c>
      <c r="B829" s="74">
        <f>INDEX(SETORES!$B:$B,MATCH(A829,SETORES!$A:$A,0))</f>
        <v/>
      </c>
      <c r="C829" s="74" t="inlineStr">
        <is>
          <t>Empresa Licenciada H&amp;A</t>
        </is>
      </c>
      <c r="D829" s="99">
        <f>IF(B829="Clientes",SUMIFS(PARÂMETROS!$D$8:$D$33,PARÂMETROS!$A$8:$A$33,C829,PARÂMETROS!$G$8:$G$33,J829),SUMIFS(PARÂMETROS!$E$8:$E$33,PARÂMETROS!$A$8:$A$33,C829,PARÂMETROS!$G$8:$G$33,J829))</f>
        <v/>
      </c>
      <c r="E829" s="100">
        <f>SUMIFS(SETORES!$D:$D,SETORES!$A:$A,A829,SETORES!$F:$F,J829)</f>
        <v/>
      </c>
      <c r="F829" s="100">
        <f>IFERROR(D829*E829,0)</f>
        <v/>
      </c>
      <c r="G829" s="99">
        <f>SUMIFS(PARÂMETROS!$F$8:$F$33,PARÂMETROS!$A$8:$A$33,C829,PARÂMETROS!$G$8:$G$33,J829)</f>
        <v/>
      </c>
      <c r="H829" s="100">
        <f>IFERROR(F829*G829,0)</f>
        <v/>
      </c>
      <c r="I829" s="100">
        <f>F829+H829</f>
        <v/>
      </c>
      <c r="J829" s="74" t="inlineStr">
        <is>
          <t>Maio/2026</t>
        </is>
      </c>
    </row>
    <row r="830" ht="14.25" customHeight="1" s="75">
      <c r="A830" s="74" t="inlineStr">
        <is>
          <t>Marketing</t>
        </is>
      </c>
      <c r="B830" s="74">
        <f>INDEX(SETORES!$B:$B,MATCH(A830,SETORES!$A:$A,0))</f>
        <v/>
      </c>
      <c r="C830" s="74" t="inlineStr">
        <is>
          <t>Empresa Licenciada SOLON ARAUJO</t>
        </is>
      </c>
      <c r="D830" s="99">
        <f>IF(B830="Clientes",SUMIFS(PARÂMETROS!$D$8:$D$33,PARÂMETROS!$A$8:$A$33,C830,PARÂMETROS!$G$8:$G$33,J830),SUMIFS(PARÂMETROS!$E$8:$E$33,PARÂMETROS!$A$8:$A$33,C830,PARÂMETROS!$G$8:$G$33,J830))</f>
        <v/>
      </c>
      <c r="E830" s="100">
        <f>SUMIFS(SETORES!$D:$D,SETORES!$A:$A,A830,SETORES!$F:$F,J830)</f>
        <v/>
      </c>
      <c r="F830" s="100">
        <f>IFERROR(D830*E830,0)</f>
        <v/>
      </c>
      <c r="G830" s="99">
        <f>SUMIFS(PARÂMETROS!$F$8:$F$33,PARÂMETROS!$A$8:$A$33,C830,PARÂMETROS!$G$8:$G$33,J830)</f>
        <v/>
      </c>
      <c r="H830" s="100">
        <f>IFERROR(F830*G830,0)</f>
        <v/>
      </c>
      <c r="I830" s="100">
        <f>F830+H830</f>
        <v/>
      </c>
      <c r="J830" s="74" t="inlineStr">
        <is>
          <t>Maio/2026</t>
        </is>
      </c>
    </row>
    <row r="831" ht="14.25" customHeight="1" s="75">
      <c r="A831" s="74" t="inlineStr">
        <is>
          <t>Marketing</t>
        </is>
      </c>
      <c r="B831" s="74">
        <f>INDEX(SETORES!$B:$B,MATCH(A831,SETORES!$A:$A,0))</f>
        <v/>
      </c>
      <c r="C831" s="74" t="inlineStr">
        <is>
          <t>Empresa Licenciada SOARES E LINS</t>
        </is>
      </c>
      <c r="D831" s="99">
        <f>IF(B831="Clientes",SUMIFS(PARÂMETROS!$D$8:$D$33,PARÂMETROS!$A$8:$A$33,C831,PARÂMETROS!$G$8:$G$33,J831),SUMIFS(PARÂMETROS!$E$8:$E$33,PARÂMETROS!$A$8:$A$33,C831,PARÂMETROS!$G$8:$G$33,J831))</f>
        <v/>
      </c>
      <c r="E831" s="100">
        <f>SUMIFS(SETORES!$D:$D,SETORES!$A:$A,A831,SETORES!$F:$F,J831)</f>
        <v/>
      </c>
      <c r="F831" s="100">
        <f>IFERROR(D831*E831,0)</f>
        <v/>
      </c>
      <c r="G831" s="99">
        <f>SUMIFS(PARÂMETROS!$F$8:$F$33,PARÂMETROS!$A$8:$A$33,C831,PARÂMETROS!$G$8:$G$33,J831)</f>
        <v/>
      </c>
      <c r="H831" s="100">
        <f>IFERROR(F831*G831,0)</f>
        <v/>
      </c>
      <c r="I831" s="100">
        <f>F831+H831</f>
        <v/>
      </c>
      <c r="J831" s="74" t="inlineStr">
        <is>
          <t>Maio/2026</t>
        </is>
      </c>
    </row>
    <row r="832" ht="14.25" customHeight="1" s="75">
      <c r="A832" s="74" t="inlineStr">
        <is>
          <t>Marketing</t>
        </is>
      </c>
      <c r="B832" s="74">
        <f>INDEX(SETORES!$B:$B,MATCH(A832,SETORES!$A:$A,0))</f>
        <v/>
      </c>
      <c r="C832" s="74" t="inlineStr">
        <is>
          <t>Empresa Licenciada SOARES E SILVA</t>
        </is>
      </c>
      <c r="D832" s="99">
        <f>IF(B832="Clientes",SUMIFS(PARÂMETROS!$D$8:$D$33,PARÂMETROS!$A$8:$A$33,C832,PARÂMETROS!$G$8:$G$33,J832),SUMIFS(PARÂMETROS!$E$8:$E$33,PARÂMETROS!$A$8:$A$33,C832,PARÂMETROS!$G$8:$G$33,J832))</f>
        <v/>
      </c>
      <c r="E832" s="100">
        <f>SUMIFS(SETORES!$D:$D,SETORES!$A:$A,A832,SETORES!$F:$F,J832)</f>
        <v/>
      </c>
      <c r="F832" s="100">
        <f>IFERROR(D832*E832,0)</f>
        <v/>
      </c>
      <c r="G832" s="99">
        <f>SUMIFS(PARÂMETROS!$F$8:$F$33,PARÂMETROS!$A$8:$A$33,C832,PARÂMETROS!$G$8:$G$33,J832)</f>
        <v/>
      </c>
      <c r="H832" s="100">
        <f>IFERROR(F832*G832,0)</f>
        <v/>
      </c>
      <c r="I832" s="100">
        <f>F832+H832</f>
        <v/>
      </c>
      <c r="J832" s="74" t="inlineStr">
        <is>
          <t>Maio/2026</t>
        </is>
      </c>
    </row>
    <row r="833" ht="14.25" customHeight="1" s="75">
      <c r="A833" s="74" t="inlineStr">
        <is>
          <t>Marketing</t>
        </is>
      </c>
      <c r="B833" s="74">
        <f>INDEX(SETORES!$B:$B,MATCH(A833,SETORES!$A:$A,0))</f>
        <v/>
      </c>
      <c r="C833" s="74" t="inlineStr">
        <is>
          <t>Empresa Licenciada SOUZA E SILVA</t>
        </is>
      </c>
      <c r="D833" s="99">
        <f>IF(B833="Clientes",SUMIFS(PARÂMETROS!$D$8:$D$33,PARÂMETROS!$A$8:$A$33,C833,PARÂMETROS!$G$8:$G$33,J833),SUMIFS(PARÂMETROS!$E$8:$E$33,PARÂMETROS!$A$8:$A$33,C833,PARÂMETROS!$G$8:$G$33,J833))</f>
        <v/>
      </c>
      <c r="E833" s="100">
        <f>SUMIFS(SETORES!$D:$D,SETORES!$A:$A,A833,SETORES!$F:$F,J833)</f>
        <v/>
      </c>
      <c r="F833" s="100">
        <f>IFERROR(D833*E833,0)</f>
        <v/>
      </c>
      <c r="G833" s="99">
        <f>SUMIFS(PARÂMETROS!$F$8:$F$33,PARÂMETROS!$A$8:$A$33,C833,PARÂMETROS!$G$8:$G$33,J833)</f>
        <v/>
      </c>
      <c r="H833" s="100">
        <f>IFERROR(F833*G833,0)</f>
        <v/>
      </c>
      <c r="I833" s="100">
        <f>F833+H833</f>
        <v/>
      </c>
      <c r="J833" s="74" t="inlineStr">
        <is>
          <t>Maio/2026</t>
        </is>
      </c>
    </row>
    <row r="834" ht="14.25" customHeight="1" s="75">
      <c r="A834" s="74" t="inlineStr">
        <is>
          <t>Marketing</t>
        </is>
      </c>
      <c r="B834" s="74">
        <f>INDEX(SETORES!$B:$B,MATCH(A834,SETORES!$A:$A,0))</f>
        <v/>
      </c>
      <c r="C834" s="74" t="inlineStr">
        <is>
          <t>Empresa Licenciada VOICENET</t>
        </is>
      </c>
      <c r="D834" s="99">
        <f>IF(B834="Clientes",SUMIFS(PARÂMETROS!$D$8:$D$33,PARÂMETROS!$A$8:$A$33,C834,PARÂMETROS!$G$8:$G$33,J834),SUMIFS(PARÂMETROS!$E$8:$E$33,PARÂMETROS!$A$8:$A$33,C834,PARÂMETROS!$G$8:$G$33,J834))</f>
        <v/>
      </c>
      <c r="E834" s="100">
        <f>SUMIFS(SETORES!$D:$D,SETORES!$A:$A,A834,SETORES!$F:$F,J834)</f>
        <v/>
      </c>
      <c r="F834" s="100">
        <f>IFERROR(D834*E834,0)</f>
        <v/>
      </c>
      <c r="G834" s="99">
        <f>SUMIFS(PARÂMETROS!$F$8:$F$33,PARÂMETROS!$A$8:$A$33,C834,PARÂMETROS!$G$8:$G$33,J834)</f>
        <v/>
      </c>
      <c r="H834" s="100">
        <f>IFERROR(F834*G834,0)</f>
        <v/>
      </c>
      <c r="I834" s="100">
        <f>F834+H834</f>
        <v/>
      </c>
      <c r="J834" s="74" t="inlineStr">
        <is>
          <t>Maio/2026</t>
        </is>
      </c>
    </row>
    <row r="835" ht="14.25" customHeight="1" s="75">
      <c r="A835" s="74" t="inlineStr">
        <is>
          <t>Marketing</t>
        </is>
      </c>
      <c r="B835" s="74">
        <f>INDEX(SETORES!$B:$B,MATCH(A835,SETORES!$A:$A,0))</f>
        <v/>
      </c>
      <c r="C835" s="74" t="inlineStr">
        <is>
          <t>DTEL (uso próprio)</t>
        </is>
      </c>
      <c r="D835" s="99">
        <f>IF(B835="Clientes",SUMIFS(PARÂMETROS!$D$8:$D$33,PARÂMETROS!$A$8:$A$33,C835,PARÂMETROS!$G$8:$G$33,J835),SUMIFS(PARÂMETROS!$E$8:$E$33,PARÂMETROS!$A$8:$A$33,C835,PARÂMETROS!$G$8:$G$33,J835))</f>
        <v/>
      </c>
      <c r="E835" s="100">
        <f>SUMIFS(SETORES!$D:$D,SETORES!$A:$A,A835,SETORES!$F:$F,J835)</f>
        <v/>
      </c>
      <c r="F835" s="100">
        <f>IFERROR(D835*E835,0)</f>
        <v/>
      </c>
      <c r="G835" s="99">
        <f>SUMIFS(PARÂMETROS!$F$8:$F$33,PARÂMETROS!$A$8:$A$33,C835,PARÂMETROS!$G$8:$G$33,J835)</f>
        <v/>
      </c>
      <c r="H835" s="100">
        <f>IFERROR(F835*G835,0)</f>
        <v/>
      </c>
      <c r="I835" s="100">
        <f>F835+H835</f>
        <v/>
      </c>
      <c r="J835" s="74" t="inlineStr">
        <is>
          <t>Maio/2026</t>
        </is>
      </c>
    </row>
    <row r="836" ht="14.25" customHeight="1" s="75">
      <c r="A836" s="74" t="inlineStr">
        <is>
          <t>Marketing</t>
        </is>
      </c>
      <c r="B836" s="74">
        <f>INDEX(SETORES!$B:$B,MATCH(A836,SETORES!$A:$A,0))</f>
        <v/>
      </c>
      <c r="C836" s="74" t="inlineStr">
        <is>
          <t>Empresa Licenciada DX2</t>
        </is>
      </c>
      <c r="D836" s="99">
        <f>IF(B836="Clientes",SUMIFS(PARÂMETROS!$D$8:$D$33,PARÂMETROS!$A$8:$A$33,C836,PARÂMETROS!$G$8:$G$33,J836),SUMIFS(PARÂMETROS!$E$8:$E$33,PARÂMETROS!$A$8:$A$33,C836,PARÂMETROS!$G$8:$G$33,J836))</f>
        <v/>
      </c>
      <c r="E836" s="100">
        <f>SUMIFS(SETORES!$D:$D,SETORES!$A:$A,A836,SETORES!$F:$F,J836)</f>
        <v/>
      </c>
      <c r="F836" s="100">
        <f>IFERROR(D836*E836,0)</f>
        <v/>
      </c>
      <c r="G836" s="99">
        <f>SUMIFS(PARÂMETROS!$F$8:$F$33,PARÂMETROS!$A$8:$A$33,C836,PARÂMETROS!$G$8:$G$33,J836)</f>
        <v/>
      </c>
      <c r="H836" s="100">
        <f>IFERROR(F836*G836,0)</f>
        <v/>
      </c>
      <c r="I836" s="100">
        <f>F836+H836</f>
        <v/>
      </c>
      <c r="J836" s="74" t="inlineStr">
        <is>
          <t>Junho/2026</t>
        </is>
      </c>
    </row>
    <row r="837" ht="14.25" customHeight="1" s="75">
      <c r="A837" s="74" t="inlineStr">
        <is>
          <t>Marketing</t>
        </is>
      </c>
      <c r="B837" s="74">
        <f>INDEX(SETORES!$B:$B,MATCH(A837,SETORES!$A:$A,0))</f>
        <v/>
      </c>
      <c r="C837" s="74" t="inlineStr">
        <is>
          <t>Empresa Licenciada H&amp;A</t>
        </is>
      </c>
      <c r="D837" s="99">
        <f>IF(B837="Clientes",SUMIFS(PARÂMETROS!$D$8:$D$33,PARÂMETROS!$A$8:$A$33,C837,PARÂMETROS!$G$8:$G$33,J837),SUMIFS(PARÂMETROS!$E$8:$E$33,PARÂMETROS!$A$8:$A$33,C837,PARÂMETROS!$G$8:$G$33,J837))</f>
        <v/>
      </c>
      <c r="E837" s="100">
        <f>SUMIFS(SETORES!$D:$D,SETORES!$A:$A,A837,SETORES!$F:$F,J837)</f>
        <v/>
      </c>
      <c r="F837" s="100">
        <f>IFERROR(D837*E837,0)</f>
        <v/>
      </c>
      <c r="G837" s="99">
        <f>SUMIFS(PARÂMETROS!$F$8:$F$33,PARÂMETROS!$A$8:$A$33,C837,PARÂMETROS!$G$8:$G$33,J837)</f>
        <v/>
      </c>
      <c r="H837" s="100">
        <f>IFERROR(F837*G837,0)</f>
        <v/>
      </c>
      <c r="I837" s="100">
        <f>F837+H837</f>
        <v/>
      </c>
      <c r="J837" s="74" t="inlineStr">
        <is>
          <t>Junho/2026</t>
        </is>
      </c>
    </row>
    <row r="838" ht="14.25" customHeight="1" s="75">
      <c r="A838" s="74" t="inlineStr">
        <is>
          <t>Marketing</t>
        </is>
      </c>
      <c r="B838" s="74">
        <f>INDEX(SETORES!$B:$B,MATCH(A838,SETORES!$A:$A,0))</f>
        <v/>
      </c>
      <c r="C838" s="74" t="inlineStr">
        <is>
          <t>Empresa Licenciada SOLON ARAUJO</t>
        </is>
      </c>
      <c r="D838" s="99">
        <f>IF(B838="Clientes",SUMIFS(PARÂMETROS!$D$8:$D$33,PARÂMETROS!$A$8:$A$33,C838,PARÂMETROS!$G$8:$G$33,J838),SUMIFS(PARÂMETROS!$E$8:$E$33,PARÂMETROS!$A$8:$A$33,C838,PARÂMETROS!$G$8:$G$33,J838))</f>
        <v/>
      </c>
      <c r="E838" s="100">
        <f>SUMIFS(SETORES!$D:$D,SETORES!$A:$A,A838,SETORES!$F:$F,J838)</f>
        <v/>
      </c>
      <c r="F838" s="100">
        <f>IFERROR(D838*E838,0)</f>
        <v/>
      </c>
      <c r="G838" s="99">
        <f>SUMIFS(PARÂMETROS!$F$8:$F$33,PARÂMETROS!$A$8:$A$33,C838,PARÂMETROS!$G$8:$G$33,J838)</f>
        <v/>
      </c>
      <c r="H838" s="100">
        <f>IFERROR(F838*G838,0)</f>
        <v/>
      </c>
      <c r="I838" s="100">
        <f>F838+H838</f>
        <v/>
      </c>
      <c r="J838" s="74" t="inlineStr">
        <is>
          <t>Junho/2026</t>
        </is>
      </c>
    </row>
    <row r="839" ht="14.25" customHeight="1" s="75">
      <c r="A839" s="74" t="inlineStr">
        <is>
          <t>Marketing</t>
        </is>
      </c>
      <c r="B839" s="74">
        <f>INDEX(SETORES!$B:$B,MATCH(A839,SETORES!$A:$A,0))</f>
        <v/>
      </c>
      <c r="C839" s="74" t="inlineStr">
        <is>
          <t>Empresa Licenciada SOARES E LINS</t>
        </is>
      </c>
      <c r="D839" s="99">
        <f>IF(B839="Clientes",SUMIFS(PARÂMETROS!$D$8:$D$33,PARÂMETROS!$A$8:$A$33,C839,PARÂMETROS!$G$8:$G$33,J839),SUMIFS(PARÂMETROS!$E$8:$E$33,PARÂMETROS!$A$8:$A$33,C839,PARÂMETROS!$G$8:$G$33,J839))</f>
        <v/>
      </c>
      <c r="E839" s="100">
        <f>SUMIFS(SETORES!$D:$D,SETORES!$A:$A,A839,SETORES!$F:$F,J839)</f>
        <v/>
      </c>
      <c r="F839" s="100">
        <f>IFERROR(D839*E839,0)</f>
        <v/>
      </c>
      <c r="G839" s="99">
        <f>SUMIFS(PARÂMETROS!$F$8:$F$33,PARÂMETROS!$A$8:$A$33,C839,PARÂMETROS!$G$8:$G$33,J839)</f>
        <v/>
      </c>
      <c r="H839" s="100">
        <f>IFERROR(F839*G839,0)</f>
        <v/>
      </c>
      <c r="I839" s="100">
        <f>F839+H839</f>
        <v/>
      </c>
      <c r="J839" s="74" t="inlineStr">
        <is>
          <t>Junho/2026</t>
        </is>
      </c>
    </row>
    <row r="840" ht="14.25" customHeight="1" s="75">
      <c r="A840" s="74" t="inlineStr">
        <is>
          <t>Marketing</t>
        </is>
      </c>
      <c r="B840" s="74">
        <f>INDEX(SETORES!$B:$B,MATCH(A840,SETORES!$A:$A,0))</f>
        <v/>
      </c>
      <c r="C840" s="74" t="inlineStr">
        <is>
          <t>Empresa Licenciada SOARES E SILVA</t>
        </is>
      </c>
      <c r="D840" s="99">
        <f>IF(B840="Clientes",SUMIFS(PARÂMETROS!$D$8:$D$33,PARÂMETROS!$A$8:$A$33,C840,PARÂMETROS!$G$8:$G$33,J840),SUMIFS(PARÂMETROS!$E$8:$E$33,PARÂMETROS!$A$8:$A$33,C840,PARÂMETROS!$G$8:$G$33,J840))</f>
        <v/>
      </c>
      <c r="E840" s="100">
        <f>SUMIFS(SETORES!$D:$D,SETORES!$A:$A,A840,SETORES!$F:$F,J840)</f>
        <v/>
      </c>
      <c r="F840" s="100">
        <f>IFERROR(D840*E840,0)</f>
        <v/>
      </c>
      <c r="G840" s="99">
        <f>SUMIFS(PARÂMETROS!$F$8:$F$33,PARÂMETROS!$A$8:$A$33,C840,PARÂMETROS!$G$8:$G$33,J840)</f>
        <v/>
      </c>
      <c r="H840" s="100">
        <f>IFERROR(F840*G840,0)</f>
        <v/>
      </c>
      <c r="I840" s="100">
        <f>F840+H840</f>
        <v/>
      </c>
      <c r="J840" s="74" t="inlineStr">
        <is>
          <t>Junho/2026</t>
        </is>
      </c>
    </row>
    <row r="841" ht="14.25" customHeight="1" s="75">
      <c r="A841" s="74" t="inlineStr">
        <is>
          <t>Marketing</t>
        </is>
      </c>
      <c r="B841" s="74">
        <f>INDEX(SETORES!$B:$B,MATCH(A841,SETORES!$A:$A,0))</f>
        <v/>
      </c>
      <c r="C841" s="74" t="inlineStr">
        <is>
          <t>Empresa Licenciada SOUZA E SILVA</t>
        </is>
      </c>
      <c r="D841" s="99">
        <f>IF(B841="Clientes",SUMIFS(PARÂMETROS!$D$8:$D$33,PARÂMETROS!$A$8:$A$33,C841,PARÂMETROS!$G$8:$G$33,J841),SUMIFS(PARÂMETROS!$E$8:$E$33,PARÂMETROS!$A$8:$A$33,C841,PARÂMETROS!$G$8:$G$33,J841))</f>
        <v/>
      </c>
      <c r="E841" s="100">
        <f>SUMIFS(SETORES!$D:$D,SETORES!$A:$A,A841,SETORES!$F:$F,J841)</f>
        <v/>
      </c>
      <c r="F841" s="100">
        <f>IFERROR(D841*E841,0)</f>
        <v/>
      </c>
      <c r="G841" s="99">
        <f>SUMIFS(PARÂMETROS!$F$8:$F$33,PARÂMETROS!$A$8:$A$33,C841,PARÂMETROS!$G$8:$G$33,J841)</f>
        <v/>
      </c>
      <c r="H841" s="100">
        <f>IFERROR(F841*G841,0)</f>
        <v/>
      </c>
      <c r="I841" s="100">
        <f>F841+H841</f>
        <v/>
      </c>
      <c r="J841" s="74" t="inlineStr">
        <is>
          <t>Junho/2026</t>
        </is>
      </c>
    </row>
    <row r="842" ht="14.25" customHeight="1" s="75">
      <c r="A842" s="74" t="inlineStr">
        <is>
          <t>Marketing</t>
        </is>
      </c>
      <c r="B842" s="74">
        <f>INDEX(SETORES!$B:$B,MATCH(A842,SETORES!$A:$A,0))</f>
        <v/>
      </c>
      <c r="C842" s="74" t="inlineStr">
        <is>
          <t>Empresa Licenciada VOICENET</t>
        </is>
      </c>
      <c r="D842" s="99">
        <f>IF(B842="Clientes",SUMIFS(PARÂMETROS!$D$8:$D$33,PARÂMETROS!$A$8:$A$33,C842,PARÂMETROS!$G$8:$G$33,J842),SUMIFS(PARÂMETROS!$E$8:$E$33,PARÂMETROS!$A$8:$A$33,C842,PARÂMETROS!$G$8:$G$33,J842))</f>
        <v/>
      </c>
      <c r="E842" s="100">
        <f>SUMIFS(SETORES!$D:$D,SETORES!$A:$A,A842,SETORES!$F:$F,J842)</f>
        <v/>
      </c>
      <c r="F842" s="100">
        <f>IFERROR(D842*E842,0)</f>
        <v/>
      </c>
      <c r="G842" s="99">
        <f>SUMIFS(PARÂMETROS!$F$8:$F$33,PARÂMETROS!$A$8:$A$33,C842,PARÂMETROS!$G$8:$G$33,J842)</f>
        <v/>
      </c>
      <c r="H842" s="100">
        <f>IFERROR(F842*G842,0)</f>
        <v/>
      </c>
      <c r="I842" s="100">
        <f>F842+H842</f>
        <v/>
      </c>
      <c r="J842" s="74" t="inlineStr">
        <is>
          <t>Junho/2026</t>
        </is>
      </c>
    </row>
    <row r="843" ht="14.25" customHeight="1" s="75">
      <c r="A843" s="74" t="inlineStr">
        <is>
          <t>Marketing</t>
        </is>
      </c>
      <c r="B843" s="74">
        <f>INDEX(SETORES!$B:$B,MATCH(A843,SETORES!$A:$A,0))</f>
        <v/>
      </c>
      <c r="C843" s="74" t="inlineStr">
        <is>
          <t>DTEL (uso próprio)</t>
        </is>
      </c>
      <c r="D843" s="99">
        <f>IF(B843="Clientes",SUMIFS(PARÂMETROS!$D$8:$D$33,PARÂMETROS!$A$8:$A$33,C843,PARÂMETROS!$G$8:$G$33,J843),SUMIFS(PARÂMETROS!$E$8:$E$33,PARÂMETROS!$A$8:$A$33,C843,PARÂMETROS!$G$8:$G$33,J843))</f>
        <v/>
      </c>
      <c r="E843" s="100">
        <f>SUMIFS(SETORES!$D:$D,SETORES!$A:$A,A843,SETORES!$F:$F,J843)</f>
        <v/>
      </c>
      <c r="F843" s="100">
        <f>IFERROR(D843*E843,0)</f>
        <v/>
      </c>
      <c r="G843" s="99">
        <f>SUMIFS(PARÂMETROS!$F$8:$F$33,PARÂMETROS!$A$8:$A$33,C843,PARÂMETROS!$G$8:$G$33,J843)</f>
        <v/>
      </c>
      <c r="H843" s="100">
        <f>IFERROR(F843*G843,0)</f>
        <v/>
      </c>
      <c r="I843" s="100">
        <f>F843+H843</f>
        <v/>
      </c>
      <c r="J843" s="74" t="inlineStr">
        <is>
          <t>Junho/2026</t>
        </is>
      </c>
    </row>
    <row r="844" ht="14.25" customHeight="1" s="75">
      <c r="A844" s="74" t="inlineStr">
        <is>
          <t>Marketing</t>
        </is>
      </c>
      <c r="B844" s="74">
        <f>INDEX(SETORES!$B:$B,MATCH(A844,SETORES!$A:$A,0))</f>
        <v/>
      </c>
      <c r="C844" s="74" t="inlineStr">
        <is>
          <t>Empresa Licenciada DX2</t>
        </is>
      </c>
      <c r="D844" s="99">
        <f>IF(B844="Clientes",SUMIFS(PARÂMETROS!$D$8:$D$33,PARÂMETROS!$A$8:$A$33,C844,PARÂMETROS!$G$8:$G$33,J844),SUMIFS(PARÂMETROS!$E$8:$E$33,PARÂMETROS!$A$8:$A$33,C844,PARÂMETROS!$G$8:$G$33,J844))</f>
        <v/>
      </c>
      <c r="E844" s="100">
        <f>SUMIFS(SETORES!$D:$D,SETORES!$A:$A,A844,SETORES!$F:$F,J844)</f>
        <v/>
      </c>
      <c r="F844" s="100">
        <f>IFERROR(D844*E844,0)</f>
        <v/>
      </c>
      <c r="G844" s="99">
        <f>SUMIFS(PARÂMETROS!$F$8:$F$33,PARÂMETROS!$A$8:$A$33,C844,PARÂMETROS!$G$8:$G$33,J844)</f>
        <v/>
      </c>
      <c r="H844" s="100">
        <f>IFERROR(F844*G844,0)</f>
        <v/>
      </c>
      <c r="I844" s="100">
        <f>F844+H844</f>
        <v/>
      </c>
      <c r="J844" s="74" t="inlineStr">
        <is>
          <t>Julho/2026</t>
        </is>
      </c>
    </row>
    <row r="845" ht="14.25" customHeight="1" s="75">
      <c r="A845" s="74" t="inlineStr">
        <is>
          <t>Marketing</t>
        </is>
      </c>
      <c r="B845" s="74">
        <f>INDEX(SETORES!$B:$B,MATCH(A845,SETORES!$A:$A,0))</f>
        <v/>
      </c>
      <c r="C845" s="74" t="inlineStr">
        <is>
          <t>Empresa Licenciada H&amp;A</t>
        </is>
      </c>
      <c r="D845" s="99">
        <f>IF(B845="Clientes",SUMIFS(PARÂMETROS!$D$8:$D$33,PARÂMETROS!$A$8:$A$33,C845,PARÂMETROS!$G$8:$G$33,J845),SUMIFS(PARÂMETROS!$E$8:$E$33,PARÂMETROS!$A$8:$A$33,C845,PARÂMETROS!$G$8:$G$33,J845))</f>
        <v/>
      </c>
      <c r="E845" s="100">
        <f>SUMIFS(SETORES!$D:$D,SETORES!$A:$A,A845,SETORES!$F:$F,J845)</f>
        <v/>
      </c>
      <c r="F845" s="100">
        <f>IFERROR(D845*E845,0)</f>
        <v/>
      </c>
      <c r="G845" s="99">
        <f>SUMIFS(PARÂMETROS!$F$8:$F$33,PARÂMETROS!$A$8:$A$33,C845,PARÂMETROS!$G$8:$G$33,J845)</f>
        <v/>
      </c>
      <c r="H845" s="100">
        <f>IFERROR(F845*G845,0)</f>
        <v/>
      </c>
      <c r="I845" s="100">
        <f>F845+H845</f>
        <v/>
      </c>
      <c r="J845" s="74" t="inlineStr">
        <is>
          <t>Julho/2026</t>
        </is>
      </c>
    </row>
    <row r="846" ht="14.25" customHeight="1" s="75">
      <c r="A846" s="74" t="inlineStr">
        <is>
          <t>Marketing</t>
        </is>
      </c>
      <c r="B846" s="74">
        <f>INDEX(SETORES!$B:$B,MATCH(A846,SETORES!$A:$A,0))</f>
        <v/>
      </c>
      <c r="C846" s="74" t="inlineStr">
        <is>
          <t>Empresa Licenciada SOLON ARAUJO</t>
        </is>
      </c>
      <c r="D846" s="99">
        <f>IF(B846="Clientes",SUMIFS(PARÂMETROS!$D$8:$D$33,PARÂMETROS!$A$8:$A$33,C846,PARÂMETROS!$G$8:$G$33,J846),SUMIFS(PARÂMETROS!$E$8:$E$33,PARÂMETROS!$A$8:$A$33,C846,PARÂMETROS!$G$8:$G$33,J846))</f>
        <v/>
      </c>
      <c r="E846" s="100">
        <f>SUMIFS(SETORES!$D:$D,SETORES!$A:$A,A846,SETORES!$F:$F,J846)</f>
        <v/>
      </c>
      <c r="F846" s="100">
        <f>IFERROR(D846*E846,0)</f>
        <v/>
      </c>
      <c r="G846" s="99">
        <f>SUMIFS(PARÂMETROS!$F$8:$F$33,PARÂMETROS!$A$8:$A$33,C846,PARÂMETROS!$G$8:$G$33,J846)</f>
        <v/>
      </c>
      <c r="H846" s="100">
        <f>IFERROR(F846*G846,0)</f>
        <v/>
      </c>
      <c r="I846" s="100">
        <f>F846+H846</f>
        <v/>
      </c>
      <c r="J846" s="74" t="inlineStr">
        <is>
          <t>Julho/2026</t>
        </is>
      </c>
    </row>
    <row r="847" ht="14.25" customHeight="1" s="75">
      <c r="A847" s="74" t="inlineStr">
        <is>
          <t>Marketing</t>
        </is>
      </c>
      <c r="B847" s="74">
        <f>INDEX(SETORES!$B:$B,MATCH(A847,SETORES!$A:$A,0))</f>
        <v/>
      </c>
      <c r="C847" s="74" t="inlineStr">
        <is>
          <t>Empresa Licenciada SOARES E LINS</t>
        </is>
      </c>
      <c r="D847" s="99">
        <f>IF(B847="Clientes",SUMIFS(PARÂMETROS!$D$8:$D$33,PARÂMETROS!$A$8:$A$33,C847,PARÂMETROS!$G$8:$G$33,J847),SUMIFS(PARÂMETROS!$E$8:$E$33,PARÂMETROS!$A$8:$A$33,C847,PARÂMETROS!$G$8:$G$33,J847))</f>
        <v/>
      </c>
      <c r="E847" s="100">
        <f>SUMIFS(SETORES!$D:$D,SETORES!$A:$A,A847,SETORES!$F:$F,J847)</f>
        <v/>
      </c>
      <c r="F847" s="100">
        <f>IFERROR(D847*E847,0)</f>
        <v/>
      </c>
      <c r="G847" s="99">
        <f>SUMIFS(PARÂMETROS!$F$8:$F$33,PARÂMETROS!$A$8:$A$33,C847,PARÂMETROS!$G$8:$G$33,J847)</f>
        <v/>
      </c>
      <c r="H847" s="100">
        <f>IFERROR(F847*G847,0)</f>
        <v/>
      </c>
      <c r="I847" s="100">
        <f>F847+H847</f>
        <v/>
      </c>
      <c r="J847" s="74" t="inlineStr">
        <is>
          <t>Julho/2026</t>
        </is>
      </c>
    </row>
    <row r="848" ht="14.25" customHeight="1" s="75">
      <c r="A848" s="74" t="inlineStr">
        <is>
          <t>Marketing</t>
        </is>
      </c>
      <c r="B848" s="74">
        <f>INDEX(SETORES!$B:$B,MATCH(A848,SETORES!$A:$A,0))</f>
        <v/>
      </c>
      <c r="C848" s="74" t="inlineStr">
        <is>
          <t>Empresa Licenciada SOARES E SILVA</t>
        </is>
      </c>
      <c r="D848" s="99">
        <f>IF(B848="Clientes",SUMIFS(PARÂMETROS!$D$8:$D$33,PARÂMETROS!$A$8:$A$33,C848,PARÂMETROS!$G$8:$G$33,J848),SUMIFS(PARÂMETROS!$E$8:$E$33,PARÂMETROS!$A$8:$A$33,C848,PARÂMETROS!$G$8:$G$33,J848))</f>
        <v/>
      </c>
      <c r="E848" s="100">
        <f>SUMIFS(SETORES!$D:$D,SETORES!$A:$A,A848,SETORES!$F:$F,J848)</f>
        <v/>
      </c>
      <c r="F848" s="100">
        <f>IFERROR(D848*E848,0)</f>
        <v/>
      </c>
      <c r="G848" s="99">
        <f>SUMIFS(PARÂMETROS!$F$8:$F$33,PARÂMETROS!$A$8:$A$33,C848,PARÂMETROS!$G$8:$G$33,J848)</f>
        <v/>
      </c>
      <c r="H848" s="100">
        <f>IFERROR(F848*G848,0)</f>
        <v/>
      </c>
      <c r="I848" s="100">
        <f>F848+H848</f>
        <v/>
      </c>
      <c r="J848" s="74" t="inlineStr">
        <is>
          <t>Julho/2026</t>
        </is>
      </c>
    </row>
    <row r="849" ht="14.25" customHeight="1" s="75">
      <c r="A849" s="74" t="inlineStr">
        <is>
          <t>Marketing</t>
        </is>
      </c>
      <c r="B849" s="74">
        <f>INDEX(SETORES!$B:$B,MATCH(A849,SETORES!$A:$A,0))</f>
        <v/>
      </c>
      <c r="C849" s="74" t="inlineStr">
        <is>
          <t>Empresa Licenciada SOUZA E SILVA</t>
        </is>
      </c>
      <c r="D849" s="99">
        <f>IF(B849="Clientes",SUMIFS(PARÂMETROS!$D$8:$D$33,PARÂMETROS!$A$8:$A$33,C849,PARÂMETROS!$G$8:$G$33,J849),SUMIFS(PARÂMETROS!$E$8:$E$33,PARÂMETROS!$A$8:$A$33,C849,PARÂMETROS!$G$8:$G$33,J849))</f>
        <v/>
      </c>
      <c r="E849" s="100">
        <f>SUMIFS(SETORES!$D:$D,SETORES!$A:$A,A849,SETORES!$F:$F,J849)</f>
        <v/>
      </c>
      <c r="F849" s="100">
        <f>IFERROR(D849*E849,0)</f>
        <v/>
      </c>
      <c r="G849" s="99">
        <f>SUMIFS(PARÂMETROS!$F$8:$F$33,PARÂMETROS!$A$8:$A$33,C849,PARÂMETROS!$G$8:$G$33,J849)</f>
        <v/>
      </c>
      <c r="H849" s="100">
        <f>IFERROR(F849*G849,0)</f>
        <v/>
      </c>
      <c r="I849" s="100">
        <f>F849+H849</f>
        <v/>
      </c>
      <c r="J849" s="74" t="inlineStr">
        <is>
          <t>Julho/2026</t>
        </is>
      </c>
    </row>
    <row r="850" ht="14.25" customHeight="1" s="75">
      <c r="A850" s="74" t="inlineStr">
        <is>
          <t>Marketing</t>
        </is>
      </c>
      <c r="B850" s="74">
        <f>INDEX(SETORES!$B:$B,MATCH(A850,SETORES!$A:$A,0))</f>
        <v/>
      </c>
      <c r="C850" s="74" t="inlineStr">
        <is>
          <t>Empresa Licenciada VOICENET</t>
        </is>
      </c>
      <c r="D850" s="99">
        <f>IF(B850="Clientes",SUMIFS(PARÂMETROS!$D$8:$D$33,PARÂMETROS!$A$8:$A$33,C850,PARÂMETROS!$G$8:$G$33,J850),SUMIFS(PARÂMETROS!$E$8:$E$33,PARÂMETROS!$A$8:$A$33,C850,PARÂMETROS!$G$8:$G$33,J850))</f>
        <v/>
      </c>
      <c r="E850" s="100">
        <f>SUMIFS(SETORES!$D:$D,SETORES!$A:$A,A850,SETORES!$F:$F,J850)</f>
        <v/>
      </c>
      <c r="F850" s="100">
        <f>IFERROR(D850*E850,0)</f>
        <v/>
      </c>
      <c r="G850" s="99">
        <f>SUMIFS(PARÂMETROS!$F$8:$F$33,PARÂMETROS!$A$8:$A$33,C850,PARÂMETROS!$G$8:$G$33,J850)</f>
        <v/>
      </c>
      <c r="H850" s="100">
        <f>IFERROR(F850*G850,0)</f>
        <v/>
      </c>
      <c r="I850" s="100">
        <f>F850+H850</f>
        <v/>
      </c>
      <c r="J850" s="74" t="inlineStr">
        <is>
          <t>Julho/2026</t>
        </is>
      </c>
    </row>
    <row r="851" ht="14.25" customHeight="1" s="75">
      <c r="A851" s="74" t="inlineStr">
        <is>
          <t>Marketing</t>
        </is>
      </c>
      <c r="B851" s="74">
        <f>INDEX(SETORES!$B:$B,MATCH(A851,SETORES!$A:$A,0))</f>
        <v/>
      </c>
      <c r="C851" s="74" t="inlineStr">
        <is>
          <t>DTEL (uso próprio)</t>
        </is>
      </c>
      <c r="D851" s="99">
        <f>IF(B851="Clientes",SUMIFS(PARÂMETROS!$D$8:$D$33,PARÂMETROS!$A$8:$A$33,C851,PARÂMETROS!$G$8:$G$33,J851),SUMIFS(PARÂMETROS!$E$8:$E$33,PARÂMETROS!$A$8:$A$33,C851,PARÂMETROS!$G$8:$G$33,J851))</f>
        <v/>
      </c>
      <c r="E851" s="100">
        <f>SUMIFS(SETORES!$D:$D,SETORES!$A:$A,A851,SETORES!$F:$F,J851)</f>
        <v/>
      </c>
      <c r="F851" s="100">
        <f>IFERROR(D851*E851,0)</f>
        <v/>
      </c>
      <c r="G851" s="99">
        <f>SUMIFS(PARÂMETROS!$F$8:$F$33,PARÂMETROS!$A$8:$A$33,C851,PARÂMETROS!$G$8:$G$33,J851)</f>
        <v/>
      </c>
      <c r="H851" s="100">
        <f>IFERROR(F851*G851,0)</f>
        <v/>
      </c>
      <c r="I851" s="100">
        <f>F851+H851</f>
        <v/>
      </c>
      <c r="J851" s="74" t="inlineStr">
        <is>
          <t>Julho/2026</t>
        </is>
      </c>
    </row>
    <row r="852" ht="14.25" customHeight="1" s="75">
      <c r="A852" s="74" t="inlineStr">
        <is>
          <t>Qualidade</t>
        </is>
      </c>
      <c r="B852" s="74">
        <f>INDEX(SETORES!$B:$B,MATCH(A852,SETORES!$A:$A,0))</f>
        <v/>
      </c>
      <c r="C852" s="74" t="inlineStr">
        <is>
          <t>Empresa Licenciada DX2</t>
        </is>
      </c>
      <c r="D852" s="99">
        <f>IF(B852="Clientes",SUMIFS(PARÂMETROS!$D$8:$D$33,PARÂMETROS!$A$8:$A$33,C852,PARÂMETROS!$G$8:$G$33,J852),SUMIFS(PARÂMETROS!$E$8:$E$33,PARÂMETROS!$A$8:$A$33,C852,PARÂMETROS!$G$8:$G$33,J852))</f>
        <v/>
      </c>
      <c r="E852" s="100">
        <f>SUMIFS(SETORES!$D:$D,SETORES!$A:$A,A852,SETORES!$F:$F,J852)</f>
        <v/>
      </c>
      <c r="F852" s="100">
        <f>IFERROR(D852*E852,0)</f>
        <v/>
      </c>
      <c r="G852" s="99">
        <f>SUMIFS(PARÂMETROS!$F$8:$F$33,PARÂMETROS!$A$8:$A$33,C852,PARÂMETROS!$G$8:$G$33,J852)</f>
        <v/>
      </c>
      <c r="H852" s="100">
        <f>IFERROR(F852*G852,0)</f>
        <v/>
      </c>
      <c r="I852" s="100">
        <f>F852+H852</f>
        <v/>
      </c>
      <c r="J852" s="74" t="inlineStr">
        <is>
          <t>Maio/2026</t>
        </is>
      </c>
    </row>
    <row r="853" ht="14.25" customHeight="1" s="75">
      <c r="A853" s="74" t="inlineStr">
        <is>
          <t>Qualidade</t>
        </is>
      </c>
      <c r="B853" s="74">
        <f>INDEX(SETORES!$B:$B,MATCH(A853,SETORES!$A:$A,0))</f>
        <v/>
      </c>
      <c r="C853" s="74" t="inlineStr">
        <is>
          <t>Empresa Licenciada H&amp;A</t>
        </is>
      </c>
      <c r="D853" s="99">
        <f>IF(B853="Clientes",SUMIFS(PARÂMETROS!$D$8:$D$33,PARÂMETROS!$A$8:$A$33,C853,PARÂMETROS!$G$8:$G$33,J853),SUMIFS(PARÂMETROS!$E$8:$E$33,PARÂMETROS!$A$8:$A$33,C853,PARÂMETROS!$G$8:$G$33,J853))</f>
        <v/>
      </c>
      <c r="E853" s="100">
        <f>SUMIFS(SETORES!$D:$D,SETORES!$A:$A,A853,SETORES!$F:$F,J853)</f>
        <v/>
      </c>
      <c r="F853" s="100">
        <f>IFERROR(D853*E853,0)</f>
        <v/>
      </c>
      <c r="G853" s="99">
        <f>SUMIFS(PARÂMETROS!$F$8:$F$33,PARÂMETROS!$A$8:$A$33,C853,PARÂMETROS!$G$8:$G$33,J853)</f>
        <v/>
      </c>
      <c r="H853" s="100">
        <f>IFERROR(F853*G853,0)</f>
        <v/>
      </c>
      <c r="I853" s="100">
        <f>F853+H853</f>
        <v/>
      </c>
      <c r="J853" s="74" t="inlineStr">
        <is>
          <t>Maio/2026</t>
        </is>
      </c>
    </row>
    <row r="854" ht="14.25" customHeight="1" s="75">
      <c r="A854" s="74" t="inlineStr">
        <is>
          <t>Qualidade</t>
        </is>
      </c>
      <c r="B854" s="74">
        <f>INDEX(SETORES!$B:$B,MATCH(A854,SETORES!$A:$A,0))</f>
        <v/>
      </c>
      <c r="C854" s="74" t="inlineStr">
        <is>
          <t>Empresa Licenciada SOLON ARAUJO</t>
        </is>
      </c>
      <c r="D854" s="99">
        <f>IF(B854="Clientes",SUMIFS(PARÂMETROS!$D$8:$D$33,PARÂMETROS!$A$8:$A$33,C854,PARÂMETROS!$G$8:$G$33,J854),SUMIFS(PARÂMETROS!$E$8:$E$33,PARÂMETROS!$A$8:$A$33,C854,PARÂMETROS!$G$8:$G$33,J854))</f>
        <v/>
      </c>
      <c r="E854" s="100">
        <f>SUMIFS(SETORES!$D:$D,SETORES!$A:$A,A854,SETORES!$F:$F,J854)</f>
        <v/>
      </c>
      <c r="F854" s="100">
        <f>IFERROR(D854*E854,0)</f>
        <v/>
      </c>
      <c r="G854" s="99">
        <f>SUMIFS(PARÂMETROS!$F$8:$F$33,PARÂMETROS!$A$8:$A$33,C854,PARÂMETROS!$G$8:$G$33,J854)</f>
        <v/>
      </c>
      <c r="H854" s="100">
        <f>IFERROR(F854*G854,0)</f>
        <v/>
      </c>
      <c r="I854" s="100">
        <f>F854+H854</f>
        <v/>
      </c>
      <c r="J854" s="74" t="inlineStr">
        <is>
          <t>Maio/2026</t>
        </is>
      </c>
    </row>
    <row r="855" ht="14.25" customHeight="1" s="75">
      <c r="A855" s="74" t="inlineStr">
        <is>
          <t>Qualidade</t>
        </is>
      </c>
      <c r="B855" s="74">
        <f>INDEX(SETORES!$B:$B,MATCH(A855,SETORES!$A:$A,0))</f>
        <v/>
      </c>
      <c r="C855" s="74" t="inlineStr">
        <is>
          <t>Empresa Licenciada SOARES E LINS</t>
        </is>
      </c>
      <c r="D855" s="99">
        <f>IF(B855="Clientes",SUMIFS(PARÂMETROS!$D$8:$D$33,PARÂMETROS!$A$8:$A$33,C855,PARÂMETROS!$G$8:$G$33,J855),SUMIFS(PARÂMETROS!$E$8:$E$33,PARÂMETROS!$A$8:$A$33,C855,PARÂMETROS!$G$8:$G$33,J855))</f>
        <v/>
      </c>
      <c r="E855" s="100">
        <f>SUMIFS(SETORES!$D:$D,SETORES!$A:$A,A855,SETORES!$F:$F,J855)</f>
        <v/>
      </c>
      <c r="F855" s="100">
        <f>IFERROR(D855*E855,0)</f>
        <v/>
      </c>
      <c r="G855" s="99">
        <f>SUMIFS(PARÂMETROS!$F$8:$F$33,PARÂMETROS!$A$8:$A$33,C855,PARÂMETROS!$G$8:$G$33,J855)</f>
        <v/>
      </c>
      <c r="H855" s="100">
        <f>IFERROR(F855*G855,0)</f>
        <v/>
      </c>
      <c r="I855" s="100">
        <f>F855+H855</f>
        <v/>
      </c>
      <c r="J855" s="74" t="inlineStr">
        <is>
          <t>Maio/2026</t>
        </is>
      </c>
    </row>
    <row r="856" ht="14.25" customHeight="1" s="75">
      <c r="A856" s="74" t="inlineStr">
        <is>
          <t>Qualidade</t>
        </is>
      </c>
      <c r="B856" s="74">
        <f>INDEX(SETORES!$B:$B,MATCH(A856,SETORES!$A:$A,0))</f>
        <v/>
      </c>
      <c r="C856" s="74" t="inlineStr">
        <is>
          <t>Empresa Licenciada SOARES E SILVA</t>
        </is>
      </c>
      <c r="D856" s="99">
        <f>IF(B856="Clientes",SUMIFS(PARÂMETROS!$D$8:$D$33,PARÂMETROS!$A$8:$A$33,C856,PARÂMETROS!$G$8:$G$33,J856),SUMIFS(PARÂMETROS!$E$8:$E$33,PARÂMETROS!$A$8:$A$33,C856,PARÂMETROS!$G$8:$G$33,J856))</f>
        <v/>
      </c>
      <c r="E856" s="100">
        <f>SUMIFS(SETORES!$D:$D,SETORES!$A:$A,A856,SETORES!$F:$F,J856)</f>
        <v/>
      </c>
      <c r="F856" s="100">
        <f>IFERROR(D856*E856,0)</f>
        <v/>
      </c>
      <c r="G856" s="99">
        <f>SUMIFS(PARÂMETROS!$F$8:$F$33,PARÂMETROS!$A$8:$A$33,C856,PARÂMETROS!$G$8:$G$33,J856)</f>
        <v/>
      </c>
      <c r="H856" s="100">
        <f>IFERROR(F856*G856,0)</f>
        <v/>
      </c>
      <c r="I856" s="100">
        <f>F856+H856</f>
        <v/>
      </c>
      <c r="J856" s="74" t="inlineStr">
        <is>
          <t>Maio/2026</t>
        </is>
      </c>
    </row>
    <row r="857" ht="14.25" customHeight="1" s="75">
      <c r="A857" s="74" t="inlineStr">
        <is>
          <t>Qualidade</t>
        </is>
      </c>
      <c r="B857" s="74">
        <f>INDEX(SETORES!$B:$B,MATCH(A857,SETORES!$A:$A,0))</f>
        <v/>
      </c>
      <c r="C857" s="74" t="inlineStr">
        <is>
          <t>Empresa Licenciada SOUZA E SILVA</t>
        </is>
      </c>
      <c r="D857" s="99">
        <f>IF(B857="Clientes",SUMIFS(PARÂMETROS!$D$8:$D$33,PARÂMETROS!$A$8:$A$33,C857,PARÂMETROS!$G$8:$G$33,J857),SUMIFS(PARÂMETROS!$E$8:$E$33,PARÂMETROS!$A$8:$A$33,C857,PARÂMETROS!$G$8:$G$33,J857))</f>
        <v/>
      </c>
      <c r="E857" s="100">
        <f>SUMIFS(SETORES!$D:$D,SETORES!$A:$A,A857,SETORES!$F:$F,J857)</f>
        <v/>
      </c>
      <c r="F857" s="100">
        <f>IFERROR(D857*E857,0)</f>
        <v/>
      </c>
      <c r="G857" s="99">
        <f>SUMIFS(PARÂMETROS!$F$8:$F$33,PARÂMETROS!$A$8:$A$33,C857,PARÂMETROS!$G$8:$G$33,J857)</f>
        <v/>
      </c>
      <c r="H857" s="100">
        <f>IFERROR(F857*G857,0)</f>
        <v/>
      </c>
      <c r="I857" s="100">
        <f>F857+H857</f>
        <v/>
      </c>
      <c r="J857" s="74" t="inlineStr">
        <is>
          <t>Maio/2026</t>
        </is>
      </c>
    </row>
    <row r="858" ht="14.25" customHeight="1" s="75">
      <c r="A858" s="74" t="inlineStr">
        <is>
          <t>Qualidade</t>
        </is>
      </c>
      <c r="B858" s="74">
        <f>INDEX(SETORES!$B:$B,MATCH(A858,SETORES!$A:$A,0))</f>
        <v/>
      </c>
      <c r="C858" s="74" t="inlineStr">
        <is>
          <t>Empresa Licenciada VOICENET</t>
        </is>
      </c>
      <c r="D858" s="99">
        <f>IF(B858="Clientes",SUMIFS(PARÂMETROS!$D$8:$D$33,PARÂMETROS!$A$8:$A$33,C858,PARÂMETROS!$G$8:$G$33,J858),SUMIFS(PARÂMETROS!$E$8:$E$33,PARÂMETROS!$A$8:$A$33,C858,PARÂMETROS!$G$8:$G$33,J858))</f>
        <v/>
      </c>
      <c r="E858" s="100">
        <f>SUMIFS(SETORES!$D:$D,SETORES!$A:$A,A858,SETORES!$F:$F,J858)</f>
        <v/>
      </c>
      <c r="F858" s="100">
        <f>IFERROR(D858*E858,0)</f>
        <v/>
      </c>
      <c r="G858" s="99">
        <f>SUMIFS(PARÂMETROS!$F$8:$F$33,PARÂMETROS!$A$8:$A$33,C858,PARÂMETROS!$G$8:$G$33,J858)</f>
        <v/>
      </c>
      <c r="H858" s="100">
        <f>IFERROR(F858*G858,0)</f>
        <v/>
      </c>
      <c r="I858" s="100">
        <f>F858+H858</f>
        <v/>
      </c>
      <c r="J858" s="74" t="inlineStr">
        <is>
          <t>Maio/2026</t>
        </is>
      </c>
    </row>
    <row r="859" ht="14.25" customHeight="1" s="75">
      <c r="A859" s="74" t="inlineStr">
        <is>
          <t>Qualidade</t>
        </is>
      </c>
      <c r="B859" s="74">
        <f>INDEX(SETORES!$B:$B,MATCH(A859,SETORES!$A:$A,0))</f>
        <v/>
      </c>
      <c r="C859" s="74" t="inlineStr">
        <is>
          <t>DTEL (uso próprio)</t>
        </is>
      </c>
      <c r="D859" s="99">
        <f>IF(B859="Clientes",SUMIFS(PARÂMETROS!$D$8:$D$33,PARÂMETROS!$A$8:$A$33,C859,PARÂMETROS!$G$8:$G$33,J859),SUMIFS(PARÂMETROS!$E$8:$E$33,PARÂMETROS!$A$8:$A$33,C859,PARÂMETROS!$G$8:$G$33,J859))</f>
        <v/>
      </c>
      <c r="E859" s="100">
        <f>SUMIFS(SETORES!$D:$D,SETORES!$A:$A,A859,SETORES!$F:$F,J859)</f>
        <v/>
      </c>
      <c r="F859" s="100">
        <f>IFERROR(D859*E859,0)</f>
        <v/>
      </c>
      <c r="G859" s="99">
        <f>SUMIFS(PARÂMETROS!$F$8:$F$33,PARÂMETROS!$A$8:$A$33,C859,PARÂMETROS!$G$8:$G$33,J859)</f>
        <v/>
      </c>
      <c r="H859" s="100">
        <f>IFERROR(F859*G859,0)</f>
        <v/>
      </c>
      <c r="I859" s="100">
        <f>F859+H859</f>
        <v/>
      </c>
      <c r="J859" s="74" t="inlineStr">
        <is>
          <t>Maio/2026</t>
        </is>
      </c>
    </row>
    <row r="860" ht="14.25" customHeight="1" s="75">
      <c r="A860" s="74" t="inlineStr">
        <is>
          <t>Qualidade</t>
        </is>
      </c>
      <c r="B860" s="74">
        <f>INDEX(SETORES!$B:$B,MATCH(A860,SETORES!$A:$A,0))</f>
        <v/>
      </c>
      <c r="C860" s="74" t="inlineStr">
        <is>
          <t>Empresa Licenciada DX2</t>
        </is>
      </c>
      <c r="D860" s="99">
        <f>IF(B860="Clientes",SUMIFS(PARÂMETROS!$D$8:$D$33,PARÂMETROS!$A$8:$A$33,C860,PARÂMETROS!$G$8:$G$33,J860),SUMIFS(PARÂMETROS!$E$8:$E$33,PARÂMETROS!$A$8:$A$33,C860,PARÂMETROS!$G$8:$G$33,J860))</f>
        <v/>
      </c>
      <c r="E860" s="100">
        <f>SUMIFS(SETORES!$D:$D,SETORES!$A:$A,A860,SETORES!$F:$F,J860)</f>
        <v/>
      </c>
      <c r="F860" s="100">
        <f>IFERROR(D860*E860,0)</f>
        <v/>
      </c>
      <c r="G860" s="99">
        <f>SUMIFS(PARÂMETROS!$F$8:$F$33,PARÂMETROS!$A$8:$A$33,C860,PARÂMETROS!$G$8:$G$33,J860)</f>
        <v/>
      </c>
      <c r="H860" s="100">
        <f>IFERROR(F860*G860,0)</f>
        <v/>
      </c>
      <c r="I860" s="100">
        <f>F860+H860</f>
        <v/>
      </c>
      <c r="J860" s="74" t="inlineStr">
        <is>
          <t>Junho/2026</t>
        </is>
      </c>
    </row>
    <row r="861" ht="14.25" customHeight="1" s="75">
      <c r="A861" s="74" t="inlineStr">
        <is>
          <t>Qualidade</t>
        </is>
      </c>
      <c r="B861" s="74">
        <f>INDEX(SETORES!$B:$B,MATCH(A861,SETORES!$A:$A,0))</f>
        <v/>
      </c>
      <c r="C861" s="74" t="inlineStr">
        <is>
          <t>Empresa Licenciada H&amp;A</t>
        </is>
      </c>
      <c r="D861" s="99">
        <f>IF(B861="Clientes",SUMIFS(PARÂMETROS!$D$8:$D$33,PARÂMETROS!$A$8:$A$33,C861,PARÂMETROS!$G$8:$G$33,J861),SUMIFS(PARÂMETROS!$E$8:$E$33,PARÂMETROS!$A$8:$A$33,C861,PARÂMETROS!$G$8:$G$33,J861))</f>
        <v/>
      </c>
      <c r="E861" s="100">
        <f>SUMIFS(SETORES!$D:$D,SETORES!$A:$A,A861,SETORES!$F:$F,J861)</f>
        <v/>
      </c>
      <c r="F861" s="100">
        <f>IFERROR(D861*E861,0)</f>
        <v/>
      </c>
      <c r="G861" s="99">
        <f>SUMIFS(PARÂMETROS!$F$8:$F$33,PARÂMETROS!$A$8:$A$33,C861,PARÂMETROS!$G$8:$G$33,J861)</f>
        <v/>
      </c>
      <c r="H861" s="100">
        <f>IFERROR(F861*G861,0)</f>
        <v/>
      </c>
      <c r="I861" s="100">
        <f>F861+H861</f>
        <v/>
      </c>
      <c r="J861" s="74" t="inlineStr">
        <is>
          <t>Junho/2026</t>
        </is>
      </c>
    </row>
    <row r="862" ht="14.25" customHeight="1" s="75">
      <c r="A862" s="74" t="inlineStr">
        <is>
          <t>Qualidade</t>
        </is>
      </c>
      <c r="B862" s="74">
        <f>INDEX(SETORES!$B:$B,MATCH(A862,SETORES!$A:$A,0))</f>
        <v/>
      </c>
      <c r="C862" s="74" t="inlineStr">
        <is>
          <t>Empresa Licenciada SOLON ARAUJO</t>
        </is>
      </c>
      <c r="D862" s="99">
        <f>IF(B862="Clientes",SUMIFS(PARÂMETROS!$D$8:$D$33,PARÂMETROS!$A$8:$A$33,C862,PARÂMETROS!$G$8:$G$33,J862),SUMIFS(PARÂMETROS!$E$8:$E$33,PARÂMETROS!$A$8:$A$33,C862,PARÂMETROS!$G$8:$G$33,J862))</f>
        <v/>
      </c>
      <c r="E862" s="100">
        <f>SUMIFS(SETORES!$D:$D,SETORES!$A:$A,A862,SETORES!$F:$F,J862)</f>
        <v/>
      </c>
      <c r="F862" s="100">
        <f>IFERROR(D862*E862,0)</f>
        <v/>
      </c>
      <c r="G862" s="99">
        <f>SUMIFS(PARÂMETROS!$F$8:$F$33,PARÂMETROS!$A$8:$A$33,C862,PARÂMETROS!$G$8:$G$33,J862)</f>
        <v/>
      </c>
      <c r="H862" s="100">
        <f>IFERROR(F862*G862,0)</f>
        <v/>
      </c>
      <c r="I862" s="100">
        <f>F862+H862</f>
        <v/>
      </c>
      <c r="J862" s="74" t="inlineStr">
        <is>
          <t>Junho/2026</t>
        </is>
      </c>
    </row>
    <row r="863" ht="14.25" customHeight="1" s="75">
      <c r="A863" s="74" t="inlineStr">
        <is>
          <t>Qualidade</t>
        </is>
      </c>
      <c r="B863" s="74">
        <f>INDEX(SETORES!$B:$B,MATCH(A863,SETORES!$A:$A,0))</f>
        <v/>
      </c>
      <c r="C863" s="74" t="inlineStr">
        <is>
          <t>Empresa Licenciada SOARES E LINS</t>
        </is>
      </c>
      <c r="D863" s="99">
        <f>IF(B863="Clientes",SUMIFS(PARÂMETROS!$D$8:$D$33,PARÂMETROS!$A$8:$A$33,C863,PARÂMETROS!$G$8:$G$33,J863),SUMIFS(PARÂMETROS!$E$8:$E$33,PARÂMETROS!$A$8:$A$33,C863,PARÂMETROS!$G$8:$G$33,J863))</f>
        <v/>
      </c>
      <c r="E863" s="100">
        <f>SUMIFS(SETORES!$D:$D,SETORES!$A:$A,A863,SETORES!$F:$F,J863)</f>
        <v/>
      </c>
      <c r="F863" s="100">
        <f>IFERROR(D863*E863,0)</f>
        <v/>
      </c>
      <c r="G863" s="99">
        <f>SUMIFS(PARÂMETROS!$F$8:$F$33,PARÂMETROS!$A$8:$A$33,C863,PARÂMETROS!$G$8:$G$33,J863)</f>
        <v/>
      </c>
      <c r="H863" s="100">
        <f>IFERROR(F863*G863,0)</f>
        <v/>
      </c>
      <c r="I863" s="100">
        <f>F863+H863</f>
        <v/>
      </c>
      <c r="J863" s="74" t="inlineStr">
        <is>
          <t>Junho/2026</t>
        </is>
      </c>
    </row>
    <row r="864" ht="14.25" customHeight="1" s="75">
      <c r="A864" s="74" t="inlineStr">
        <is>
          <t>Qualidade</t>
        </is>
      </c>
      <c r="B864" s="74">
        <f>INDEX(SETORES!$B:$B,MATCH(A864,SETORES!$A:$A,0))</f>
        <v/>
      </c>
      <c r="C864" s="74" t="inlineStr">
        <is>
          <t>Empresa Licenciada SOARES E SILVA</t>
        </is>
      </c>
      <c r="D864" s="99">
        <f>IF(B864="Clientes",SUMIFS(PARÂMETROS!$D$8:$D$33,PARÂMETROS!$A$8:$A$33,C864,PARÂMETROS!$G$8:$G$33,J864),SUMIFS(PARÂMETROS!$E$8:$E$33,PARÂMETROS!$A$8:$A$33,C864,PARÂMETROS!$G$8:$G$33,J864))</f>
        <v/>
      </c>
      <c r="E864" s="100">
        <f>SUMIFS(SETORES!$D:$D,SETORES!$A:$A,A864,SETORES!$F:$F,J864)</f>
        <v/>
      </c>
      <c r="F864" s="100">
        <f>IFERROR(D864*E864,0)</f>
        <v/>
      </c>
      <c r="G864" s="99">
        <f>SUMIFS(PARÂMETROS!$F$8:$F$33,PARÂMETROS!$A$8:$A$33,C864,PARÂMETROS!$G$8:$G$33,J864)</f>
        <v/>
      </c>
      <c r="H864" s="100">
        <f>IFERROR(F864*G864,0)</f>
        <v/>
      </c>
      <c r="I864" s="100">
        <f>F864+H864</f>
        <v/>
      </c>
      <c r="J864" s="74" t="inlineStr">
        <is>
          <t>Junho/2026</t>
        </is>
      </c>
    </row>
    <row r="865" ht="14.25" customHeight="1" s="75">
      <c r="A865" s="74" t="inlineStr">
        <is>
          <t>Qualidade</t>
        </is>
      </c>
      <c r="B865" s="74">
        <f>INDEX(SETORES!$B:$B,MATCH(A865,SETORES!$A:$A,0))</f>
        <v/>
      </c>
      <c r="C865" s="74" t="inlineStr">
        <is>
          <t>Empresa Licenciada SOUZA E SILVA</t>
        </is>
      </c>
      <c r="D865" s="99">
        <f>IF(B865="Clientes",SUMIFS(PARÂMETROS!$D$8:$D$33,PARÂMETROS!$A$8:$A$33,C865,PARÂMETROS!$G$8:$G$33,J865),SUMIFS(PARÂMETROS!$E$8:$E$33,PARÂMETROS!$A$8:$A$33,C865,PARÂMETROS!$G$8:$G$33,J865))</f>
        <v/>
      </c>
      <c r="E865" s="100">
        <f>SUMIFS(SETORES!$D:$D,SETORES!$A:$A,A865,SETORES!$F:$F,J865)</f>
        <v/>
      </c>
      <c r="F865" s="100">
        <f>IFERROR(D865*E865,0)</f>
        <v/>
      </c>
      <c r="G865" s="99">
        <f>SUMIFS(PARÂMETROS!$F$8:$F$33,PARÂMETROS!$A$8:$A$33,C865,PARÂMETROS!$G$8:$G$33,J865)</f>
        <v/>
      </c>
      <c r="H865" s="100">
        <f>IFERROR(F865*G865,0)</f>
        <v/>
      </c>
      <c r="I865" s="100">
        <f>F865+H865</f>
        <v/>
      </c>
      <c r="J865" s="74" t="inlineStr">
        <is>
          <t>Junho/2026</t>
        </is>
      </c>
    </row>
    <row r="866" ht="14.25" customHeight="1" s="75">
      <c r="A866" s="74" t="inlineStr">
        <is>
          <t>Qualidade</t>
        </is>
      </c>
      <c r="B866" s="74">
        <f>INDEX(SETORES!$B:$B,MATCH(A866,SETORES!$A:$A,0))</f>
        <v/>
      </c>
      <c r="C866" s="74" t="inlineStr">
        <is>
          <t>Empresa Licenciada VOICENET</t>
        </is>
      </c>
      <c r="D866" s="99">
        <f>IF(B866="Clientes",SUMIFS(PARÂMETROS!$D$8:$D$33,PARÂMETROS!$A$8:$A$33,C866,PARÂMETROS!$G$8:$G$33,J866),SUMIFS(PARÂMETROS!$E$8:$E$33,PARÂMETROS!$A$8:$A$33,C866,PARÂMETROS!$G$8:$G$33,J866))</f>
        <v/>
      </c>
      <c r="E866" s="100">
        <f>SUMIFS(SETORES!$D:$D,SETORES!$A:$A,A866,SETORES!$F:$F,J866)</f>
        <v/>
      </c>
      <c r="F866" s="100">
        <f>IFERROR(D866*E866,0)</f>
        <v/>
      </c>
      <c r="G866" s="99">
        <f>SUMIFS(PARÂMETROS!$F$8:$F$33,PARÂMETROS!$A$8:$A$33,C866,PARÂMETROS!$G$8:$G$33,J866)</f>
        <v/>
      </c>
      <c r="H866" s="100">
        <f>IFERROR(F866*G866,0)</f>
        <v/>
      </c>
      <c r="I866" s="100">
        <f>F866+H866</f>
        <v/>
      </c>
      <c r="J866" s="74" t="inlineStr">
        <is>
          <t>Junho/2026</t>
        </is>
      </c>
    </row>
    <row r="867" ht="14.25" customHeight="1" s="75">
      <c r="A867" s="74" t="inlineStr">
        <is>
          <t>Qualidade</t>
        </is>
      </c>
      <c r="B867" s="74">
        <f>INDEX(SETORES!$B:$B,MATCH(A867,SETORES!$A:$A,0))</f>
        <v/>
      </c>
      <c r="C867" s="74" t="inlineStr">
        <is>
          <t>DTEL (uso próprio)</t>
        </is>
      </c>
      <c r="D867" s="99">
        <f>IF(B867="Clientes",SUMIFS(PARÂMETROS!$D$8:$D$33,PARÂMETROS!$A$8:$A$33,C867,PARÂMETROS!$G$8:$G$33,J867),SUMIFS(PARÂMETROS!$E$8:$E$33,PARÂMETROS!$A$8:$A$33,C867,PARÂMETROS!$G$8:$G$33,J867))</f>
        <v/>
      </c>
      <c r="E867" s="100">
        <f>SUMIFS(SETORES!$D:$D,SETORES!$A:$A,A867,SETORES!$F:$F,J867)</f>
        <v/>
      </c>
      <c r="F867" s="100">
        <f>IFERROR(D867*E867,0)</f>
        <v/>
      </c>
      <c r="G867" s="99">
        <f>SUMIFS(PARÂMETROS!$F$8:$F$33,PARÂMETROS!$A$8:$A$33,C867,PARÂMETROS!$G$8:$G$33,J867)</f>
        <v/>
      </c>
      <c r="H867" s="100">
        <f>IFERROR(F867*G867,0)</f>
        <v/>
      </c>
      <c r="I867" s="100">
        <f>F867+H867</f>
        <v/>
      </c>
      <c r="J867" s="74" t="inlineStr">
        <is>
          <t>Junho/2026</t>
        </is>
      </c>
    </row>
    <row r="868" ht="14.25" customHeight="1" s="75">
      <c r="A868" s="74" t="inlineStr">
        <is>
          <t>Qualidade</t>
        </is>
      </c>
      <c r="B868" s="74">
        <f>INDEX(SETORES!$B:$B,MATCH(A868,SETORES!$A:$A,0))</f>
        <v/>
      </c>
      <c r="C868" s="74" t="inlineStr">
        <is>
          <t>Empresa Licenciada DX2</t>
        </is>
      </c>
      <c r="D868" s="99">
        <f>IF(B868="Clientes",SUMIFS(PARÂMETROS!$D$8:$D$33,PARÂMETROS!$A$8:$A$33,C868,PARÂMETROS!$G$8:$G$33,J868),SUMIFS(PARÂMETROS!$E$8:$E$33,PARÂMETROS!$A$8:$A$33,C868,PARÂMETROS!$G$8:$G$33,J868))</f>
        <v/>
      </c>
      <c r="E868" s="100">
        <f>SUMIFS(SETORES!$D:$D,SETORES!$A:$A,A868,SETORES!$F:$F,J868)</f>
        <v/>
      </c>
      <c r="F868" s="100">
        <f>IFERROR(D868*E868,0)</f>
        <v/>
      </c>
      <c r="G868" s="99">
        <f>SUMIFS(PARÂMETROS!$F$8:$F$33,PARÂMETROS!$A$8:$A$33,C868,PARÂMETROS!$G$8:$G$33,J868)</f>
        <v/>
      </c>
      <c r="H868" s="100">
        <f>IFERROR(F868*G868,0)</f>
        <v/>
      </c>
      <c r="I868" s="100">
        <f>F868+H868</f>
        <v/>
      </c>
      <c r="J868" s="74" t="inlineStr">
        <is>
          <t>Julho/2026</t>
        </is>
      </c>
    </row>
    <row r="869" ht="14.25" customHeight="1" s="75">
      <c r="A869" s="74" t="inlineStr">
        <is>
          <t>Qualidade</t>
        </is>
      </c>
      <c r="B869" s="74">
        <f>INDEX(SETORES!$B:$B,MATCH(A869,SETORES!$A:$A,0))</f>
        <v/>
      </c>
      <c r="C869" s="74" t="inlineStr">
        <is>
          <t>Empresa Licenciada H&amp;A</t>
        </is>
      </c>
      <c r="D869" s="99">
        <f>IF(B869="Clientes",SUMIFS(PARÂMETROS!$D$8:$D$33,PARÂMETROS!$A$8:$A$33,C869,PARÂMETROS!$G$8:$G$33,J869),SUMIFS(PARÂMETROS!$E$8:$E$33,PARÂMETROS!$A$8:$A$33,C869,PARÂMETROS!$G$8:$G$33,J869))</f>
        <v/>
      </c>
      <c r="E869" s="100">
        <f>SUMIFS(SETORES!$D:$D,SETORES!$A:$A,A869,SETORES!$F:$F,J869)</f>
        <v/>
      </c>
      <c r="F869" s="100">
        <f>IFERROR(D869*E869,0)</f>
        <v/>
      </c>
      <c r="G869" s="99">
        <f>SUMIFS(PARÂMETROS!$F$8:$F$33,PARÂMETROS!$A$8:$A$33,C869,PARÂMETROS!$G$8:$G$33,J869)</f>
        <v/>
      </c>
      <c r="H869" s="100">
        <f>IFERROR(F869*G869,0)</f>
        <v/>
      </c>
      <c r="I869" s="100">
        <f>F869+H869</f>
        <v/>
      </c>
      <c r="J869" s="74" t="inlineStr">
        <is>
          <t>Julho/2026</t>
        </is>
      </c>
    </row>
    <row r="870" ht="14.25" customHeight="1" s="75">
      <c r="A870" s="74" t="inlineStr">
        <is>
          <t>Qualidade</t>
        </is>
      </c>
      <c r="B870" s="74">
        <f>INDEX(SETORES!$B:$B,MATCH(A870,SETORES!$A:$A,0))</f>
        <v/>
      </c>
      <c r="C870" s="74" t="inlineStr">
        <is>
          <t>Empresa Licenciada SOLON ARAUJO</t>
        </is>
      </c>
      <c r="D870" s="99">
        <f>IF(B870="Clientes",SUMIFS(PARÂMETROS!$D$8:$D$33,PARÂMETROS!$A$8:$A$33,C870,PARÂMETROS!$G$8:$G$33,J870),SUMIFS(PARÂMETROS!$E$8:$E$33,PARÂMETROS!$A$8:$A$33,C870,PARÂMETROS!$G$8:$G$33,J870))</f>
        <v/>
      </c>
      <c r="E870" s="100">
        <f>SUMIFS(SETORES!$D:$D,SETORES!$A:$A,A870,SETORES!$F:$F,J870)</f>
        <v/>
      </c>
      <c r="F870" s="100">
        <f>IFERROR(D870*E870,0)</f>
        <v/>
      </c>
      <c r="G870" s="99">
        <f>SUMIFS(PARÂMETROS!$F$8:$F$33,PARÂMETROS!$A$8:$A$33,C870,PARÂMETROS!$G$8:$G$33,J870)</f>
        <v/>
      </c>
      <c r="H870" s="100">
        <f>IFERROR(F870*G870,0)</f>
        <v/>
      </c>
      <c r="I870" s="100">
        <f>F870+H870</f>
        <v/>
      </c>
      <c r="J870" s="74" t="inlineStr">
        <is>
          <t>Julho/2026</t>
        </is>
      </c>
    </row>
    <row r="871" ht="14.25" customHeight="1" s="75">
      <c r="A871" s="74" t="inlineStr">
        <is>
          <t>Qualidade</t>
        </is>
      </c>
      <c r="B871" s="74">
        <f>INDEX(SETORES!$B:$B,MATCH(A871,SETORES!$A:$A,0))</f>
        <v/>
      </c>
      <c r="C871" s="74" t="inlineStr">
        <is>
          <t>Empresa Licenciada SOARES E LINS</t>
        </is>
      </c>
      <c r="D871" s="99">
        <f>IF(B871="Clientes",SUMIFS(PARÂMETROS!$D$8:$D$33,PARÂMETROS!$A$8:$A$33,C871,PARÂMETROS!$G$8:$G$33,J871),SUMIFS(PARÂMETROS!$E$8:$E$33,PARÂMETROS!$A$8:$A$33,C871,PARÂMETROS!$G$8:$G$33,J871))</f>
        <v/>
      </c>
      <c r="E871" s="100">
        <f>SUMIFS(SETORES!$D:$D,SETORES!$A:$A,A871,SETORES!$F:$F,J871)</f>
        <v/>
      </c>
      <c r="F871" s="100">
        <f>IFERROR(D871*E871,0)</f>
        <v/>
      </c>
      <c r="G871" s="99">
        <f>SUMIFS(PARÂMETROS!$F$8:$F$33,PARÂMETROS!$A$8:$A$33,C871,PARÂMETROS!$G$8:$G$33,J871)</f>
        <v/>
      </c>
      <c r="H871" s="100">
        <f>IFERROR(F871*G871,0)</f>
        <v/>
      </c>
      <c r="I871" s="100">
        <f>F871+H871</f>
        <v/>
      </c>
      <c r="J871" s="74" t="inlineStr">
        <is>
          <t>Julho/2026</t>
        </is>
      </c>
    </row>
    <row r="872" ht="14.25" customHeight="1" s="75">
      <c r="A872" s="74" t="inlineStr">
        <is>
          <t>Qualidade</t>
        </is>
      </c>
      <c r="B872" s="74">
        <f>INDEX(SETORES!$B:$B,MATCH(A872,SETORES!$A:$A,0))</f>
        <v/>
      </c>
      <c r="C872" s="74" t="inlineStr">
        <is>
          <t>Empresa Licenciada SOARES E SILVA</t>
        </is>
      </c>
      <c r="D872" s="99">
        <f>IF(B872="Clientes",SUMIFS(PARÂMETROS!$D$8:$D$33,PARÂMETROS!$A$8:$A$33,C872,PARÂMETROS!$G$8:$G$33,J872),SUMIFS(PARÂMETROS!$E$8:$E$33,PARÂMETROS!$A$8:$A$33,C872,PARÂMETROS!$G$8:$G$33,J872))</f>
        <v/>
      </c>
      <c r="E872" s="100">
        <f>SUMIFS(SETORES!$D:$D,SETORES!$A:$A,A872,SETORES!$F:$F,J872)</f>
        <v/>
      </c>
      <c r="F872" s="100">
        <f>IFERROR(D872*E872,0)</f>
        <v/>
      </c>
      <c r="G872" s="99">
        <f>SUMIFS(PARÂMETROS!$F$8:$F$33,PARÂMETROS!$A$8:$A$33,C872,PARÂMETROS!$G$8:$G$33,J872)</f>
        <v/>
      </c>
      <c r="H872" s="100">
        <f>IFERROR(F872*G872,0)</f>
        <v/>
      </c>
      <c r="I872" s="100">
        <f>F872+H872</f>
        <v/>
      </c>
      <c r="J872" s="74" t="inlineStr">
        <is>
          <t>Julho/2026</t>
        </is>
      </c>
    </row>
    <row r="873" ht="14.25" customHeight="1" s="75">
      <c r="A873" s="74" t="inlineStr">
        <is>
          <t>Qualidade</t>
        </is>
      </c>
      <c r="B873" s="74">
        <f>INDEX(SETORES!$B:$B,MATCH(A873,SETORES!$A:$A,0))</f>
        <v/>
      </c>
      <c r="C873" s="74" t="inlineStr">
        <is>
          <t>Empresa Licenciada SOUZA E SILVA</t>
        </is>
      </c>
      <c r="D873" s="99">
        <f>IF(B873="Clientes",SUMIFS(PARÂMETROS!$D$8:$D$33,PARÂMETROS!$A$8:$A$33,C873,PARÂMETROS!$G$8:$G$33,J873),SUMIFS(PARÂMETROS!$E$8:$E$33,PARÂMETROS!$A$8:$A$33,C873,PARÂMETROS!$G$8:$G$33,J873))</f>
        <v/>
      </c>
      <c r="E873" s="100">
        <f>SUMIFS(SETORES!$D:$D,SETORES!$A:$A,A873,SETORES!$F:$F,J873)</f>
        <v/>
      </c>
      <c r="F873" s="100">
        <f>IFERROR(D873*E873,0)</f>
        <v/>
      </c>
      <c r="G873" s="99">
        <f>SUMIFS(PARÂMETROS!$F$8:$F$33,PARÂMETROS!$A$8:$A$33,C873,PARÂMETROS!$G$8:$G$33,J873)</f>
        <v/>
      </c>
      <c r="H873" s="100">
        <f>IFERROR(F873*G873,0)</f>
        <v/>
      </c>
      <c r="I873" s="100">
        <f>F873+H873</f>
        <v/>
      </c>
      <c r="J873" s="74" t="inlineStr">
        <is>
          <t>Julho/2026</t>
        </is>
      </c>
    </row>
    <row r="874" ht="14.25" customHeight="1" s="75">
      <c r="A874" s="74" t="inlineStr">
        <is>
          <t>Qualidade</t>
        </is>
      </c>
      <c r="B874" s="74">
        <f>INDEX(SETORES!$B:$B,MATCH(A874,SETORES!$A:$A,0))</f>
        <v/>
      </c>
      <c r="C874" s="74" t="inlineStr">
        <is>
          <t>Empresa Licenciada VOICENET</t>
        </is>
      </c>
      <c r="D874" s="99">
        <f>IF(B874="Clientes",SUMIFS(PARÂMETROS!$D$8:$D$33,PARÂMETROS!$A$8:$A$33,C874,PARÂMETROS!$G$8:$G$33,J874),SUMIFS(PARÂMETROS!$E$8:$E$33,PARÂMETROS!$A$8:$A$33,C874,PARÂMETROS!$G$8:$G$33,J874))</f>
        <v/>
      </c>
      <c r="E874" s="100">
        <f>SUMIFS(SETORES!$D:$D,SETORES!$A:$A,A874,SETORES!$F:$F,J874)</f>
        <v/>
      </c>
      <c r="F874" s="100">
        <f>IFERROR(D874*E874,0)</f>
        <v/>
      </c>
      <c r="G874" s="99">
        <f>SUMIFS(PARÂMETROS!$F$8:$F$33,PARÂMETROS!$A$8:$A$33,C874,PARÂMETROS!$G$8:$G$33,J874)</f>
        <v/>
      </c>
      <c r="H874" s="100">
        <f>IFERROR(F874*G874,0)</f>
        <v/>
      </c>
      <c r="I874" s="100">
        <f>F874+H874</f>
        <v/>
      </c>
      <c r="J874" s="74" t="inlineStr">
        <is>
          <t>Julho/2026</t>
        </is>
      </c>
    </row>
    <row r="875" ht="14.25" customHeight="1" s="75">
      <c r="A875" s="74" t="inlineStr">
        <is>
          <t>Qualidade</t>
        </is>
      </c>
      <c r="B875" s="74">
        <f>INDEX(SETORES!$B:$B,MATCH(A875,SETORES!$A:$A,0))</f>
        <v/>
      </c>
      <c r="C875" s="74" t="inlineStr">
        <is>
          <t>DTEL (uso próprio)</t>
        </is>
      </c>
      <c r="D875" s="99">
        <f>IF(B875="Clientes",SUMIFS(PARÂMETROS!$D$8:$D$33,PARÂMETROS!$A$8:$A$33,C875,PARÂMETROS!$G$8:$G$33,J875),SUMIFS(PARÂMETROS!$E$8:$E$33,PARÂMETROS!$A$8:$A$33,C875,PARÂMETROS!$G$8:$G$33,J875))</f>
        <v/>
      </c>
      <c r="E875" s="100">
        <f>SUMIFS(SETORES!$D:$D,SETORES!$A:$A,A875,SETORES!$F:$F,J875)</f>
        <v/>
      </c>
      <c r="F875" s="100">
        <f>IFERROR(D875*E875,0)</f>
        <v/>
      </c>
      <c r="G875" s="99">
        <f>SUMIFS(PARÂMETROS!$F$8:$F$33,PARÂMETROS!$A$8:$A$33,C875,PARÂMETROS!$G$8:$G$33,J875)</f>
        <v/>
      </c>
      <c r="H875" s="100">
        <f>IFERROR(F875*G875,0)</f>
        <v/>
      </c>
      <c r="I875" s="100">
        <f>F875+H875</f>
        <v/>
      </c>
      <c r="J875" s="74" t="inlineStr">
        <is>
          <t>Julho/2026</t>
        </is>
      </c>
    </row>
    <row r="876" ht="14.25" customHeight="1" s="75">
      <c r="A876" s="74" t="inlineStr">
        <is>
          <t>TIC</t>
        </is>
      </c>
      <c r="B876" s="74">
        <f>INDEX(SETORES!$B:$B,MATCH(A876,SETORES!$A:$A,0))</f>
        <v/>
      </c>
      <c r="C876" s="74" t="inlineStr">
        <is>
          <t>Empresa Licenciada DX2</t>
        </is>
      </c>
      <c r="D876" s="99">
        <f>IF(B876="Clientes",SUMIFS(PARÂMETROS!$D$8:$D$33,PARÂMETROS!$A$8:$A$33,C876,PARÂMETROS!$G$8:$G$33,J876),SUMIFS(PARÂMETROS!$E$8:$E$33,PARÂMETROS!$A$8:$A$33,C876,PARÂMETROS!$G$8:$G$33,J876))</f>
        <v/>
      </c>
      <c r="E876" s="100">
        <f>SUMIFS(SETORES!$D:$D,SETORES!$A:$A,A876,SETORES!$F:$F,J876)</f>
        <v/>
      </c>
      <c r="F876" s="100">
        <f>IFERROR(D876*E876,0)</f>
        <v/>
      </c>
      <c r="G876" s="99">
        <f>SUMIFS(PARÂMETROS!$F$8:$F$33,PARÂMETROS!$A$8:$A$33,C876,PARÂMETROS!$G$8:$G$33,J876)</f>
        <v/>
      </c>
      <c r="H876" s="100">
        <f>IFERROR(F876*G876,0)</f>
        <v/>
      </c>
      <c r="I876" s="100">
        <f>F876+H876</f>
        <v/>
      </c>
      <c r="J876" s="74" t="inlineStr">
        <is>
          <t>Maio/2026</t>
        </is>
      </c>
    </row>
    <row r="877" ht="14.25" customHeight="1" s="75">
      <c r="A877" s="74" t="inlineStr">
        <is>
          <t>TIC</t>
        </is>
      </c>
      <c r="B877" s="74">
        <f>INDEX(SETORES!$B:$B,MATCH(A877,SETORES!$A:$A,0))</f>
        <v/>
      </c>
      <c r="C877" s="74" t="inlineStr">
        <is>
          <t>Empresa Licenciada H&amp;A</t>
        </is>
      </c>
      <c r="D877" s="99">
        <f>IF(B877="Clientes",SUMIFS(PARÂMETROS!$D$8:$D$33,PARÂMETROS!$A$8:$A$33,C877,PARÂMETROS!$G$8:$G$33,J877),SUMIFS(PARÂMETROS!$E$8:$E$33,PARÂMETROS!$A$8:$A$33,C877,PARÂMETROS!$G$8:$G$33,J877))</f>
        <v/>
      </c>
      <c r="E877" s="100">
        <f>SUMIFS(SETORES!$D:$D,SETORES!$A:$A,A877,SETORES!$F:$F,J877)</f>
        <v/>
      </c>
      <c r="F877" s="100">
        <f>IFERROR(D877*E877,0)</f>
        <v/>
      </c>
      <c r="G877" s="99">
        <f>SUMIFS(PARÂMETROS!$F$8:$F$33,PARÂMETROS!$A$8:$A$33,C877,PARÂMETROS!$G$8:$G$33,J877)</f>
        <v/>
      </c>
      <c r="H877" s="100">
        <f>IFERROR(F877*G877,0)</f>
        <v/>
      </c>
      <c r="I877" s="100">
        <f>F877+H877</f>
        <v/>
      </c>
      <c r="J877" s="74" t="inlineStr">
        <is>
          <t>Maio/2026</t>
        </is>
      </c>
    </row>
    <row r="878" ht="14.25" customHeight="1" s="75">
      <c r="A878" s="74" t="inlineStr">
        <is>
          <t>TIC</t>
        </is>
      </c>
      <c r="B878" s="74">
        <f>INDEX(SETORES!$B:$B,MATCH(A878,SETORES!$A:$A,0))</f>
        <v/>
      </c>
      <c r="C878" s="74" t="inlineStr">
        <is>
          <t>Empresa Licenciada SOLON ARAUJO</t>
        </is>
      </c>
      <c r="D878" s="99">
        <f>IF(B878="Clientes",SUMIFS(PARÂMETROS!$D$8:$D$33,PARÂMETROS!$A$8:$A$33,C878,PARÂMETROS!$G$8:$G$33,J878),SUMIFS(PARÂMETROS!$E$8:$E$33,PARÂMETROS!$A$8:$A$33,C878,PARÂMETROS!$G$8:$G$33,J878))</f>
        <v/>
      </c>
      <c r="E878" s="100">
        <f>SUMIFS(SETORES!$D:$D,SETORES!$A:$A,A878,SETORES!$F:$F,J878)</f>
        <v/>
      </c>
      <c r="F878" s="100">
        <f>IFERROR(D878*E878,0)</f>
        <v/>
      </c>
      <c r="G878" s="99">
        <f>SUMIFS(PARÂMETROS!$F$8:$F$33,PARÂMETROS!$A$8:$A$33,C878,PARÂMETROS!$G$8:$G$33,J878)</f>
        <v/>
      </c>
      <c r="H878" s="100">
        <f>IFERROR(F878*G878,0)</f>
        <v/>
      </c>
      <c r="I878" s="100">
        <f>F878+H878</f>
        <v/>
      </c>
      <c r="J878" s="74" t="inlineStr">
        <is>
          <t>Maio/2026</t>
        </is>
      </c>
    </row>
    <row r="879" ht="14.25" customHeight="1" s="75">
      <c r="A879" s="74" t="inlineStr">
        <is>
          <t>TIC</t>
        </is>
      </c>
      <c r="B879" s="74">
        <f>INDEX(SETORES!$B:$B,MATCH(A879,SETORES!$A:$A,0))</f>
        <v/>
      </c>
      <c r="C879" s="74" t="inlineStr">
        <is>
          <t>Empresa Licenciada SOARES E LINS</t>
        </is>
      </c>
      <c r="D879" s="99">
        <f>IF(B879="Clientes",SUMIFS(PARÂMETROS!$D$8:$D$33,PARÂMETROS!$A$8:$A$33,C879,PARÂMETROS!$G$8:$G$33,J879),SUMIFS(PARÂMETROS!$E$8:$E$33,PARÂMETROS!$A$8:$A$33,C879,PARÂMETROS!$G$8:$G$33,J879))</f>
        <v/>
      </c>
      <c r="E879" s="100">
        <f>SUMIFS(SETORES!$D:$D,SETORES!$A:$A,A879,SETORES!$F:$F,J879)</f>
        <v/>
      </c>
      <c r="F879" s="100">
        <f>IFERROR(D879*E879,0)</f>
        <v/>
      </c>
      <c r="G879" s="99">
        <f>SUMIFS(PARÂMETROS!$F$8:$F$33,PARÂMETROS!$A$8:$A$33,C879,PARÂMETROS!$G$8:$G$33,J879)</f>
        <v/>
      </c>
      <c r="H879" s="100">
        <f>IFERROR(F879*G879,0)</f>
        <v/>
      </c>
      <c r="I879" s="100">
        <f>F879+H879</f>
        <v/>
      </c>
      <c r="J879" s="74" t="inlineStr">
        <is>
          <t>Maio/2026</t>
        </is>
      </c>
    </row>
    <row r="880" ht="14.25" customHeight="1" s="75">
      <c r="A880" s="74" t="inlineStr">
        <is>
          <t>TIC</t>
        </is>
      </c>
      <c r="B880" s="74">
        <f>INDEX(SETORES!$B:$B,MATCH(A880,SETORES!$A:$A,0))</f>
        <v/>
      </c>
      <c r="C880" s="74" t="inlineStr">
        <is>
          <t>Empresa Licenciada SOARES E SILVA</t>
        </is>
      </c>
      <c r="D880" s="99">
        <f>IF(B880="Clientes",SUMIFS(PARÂMETROS!$D$8:$D$33,PARÂMETROS!$A$8:$A$33,C880,PARÂMETROS!$G$8:$G$33,J880),SUMIFS(PARÂMETROS!$E$8:$E$33,PARÂMETROS!$A$8:$A$33,C880,PARÂMETROS!$G$8:$G$33,J880))</f>
        <v/>
      </c>
      <c r="E880" s="100">
        <f>SUMIFS(SETORES!$D:$D,SETORES!$A:$A,A880,SETORES!$F:$F,J880)</f>
        <v/>
      </c>
      <c r="F880" s="100">
        <f>IFERROR(D880*E880,0)</f>
        <v/>
      </c>
      <c r="G880" s="99">
        <f>SUMIFS(PARÂMETROS!$F$8:$F$33,PARÂMETROS!$A$8:$A$33,C880,PARÂMETROS!$G$8:$G$33,J880)</f>
        <v/>
      </c>
      <c r="H880" s="100">
        <f>IFERROR(F880*G880,0)</f>
        <v/>
      </c>
      <c r="I880" s="100">
        <f>F880+H880</f>
        <v/>
      </c>
      <c r="J880" s="74" t="inlineStr">
        <is>
          <t>Maio/2026</t>
        </is>
      </c>
    </row>
    <row r="881" ht="14.25" customHeight="1" s="75">
      <c r="A881" s="74" t="inlineStr">
        <is>
          <t>TIC</t>
        </is>
      </c>
      <c r="B881" s="74">
        <f>INDEX(SETORES!$B:$B,MATCH(A881,SETORES!$A:$A,0))</f>
        <v/>
      </c>
      <c r="C881" s="74" t="inlineStr">
        <is>
          <t>Empresa Licenciada SOUZA E SILVA</t>
        </is>
      </c>
      <c r="D881" s="99">
        <f>IF(B881="Clientes",SUMIFS(PARÂMETROS!$D$8:$D$33,PARÂMETROS!$A$8:$A$33,C881,PARÂMETROS!$G$8:$G$33,J881),SUMIFS(PARÂMETROS!$E$8:$E$33,PARÂMETROS!$A$8:$A$33,C881,PARÂMETROS!$G$8:$G$33,J881))</f>
        <v/>
      </c>
      <c r="E881" s="100">
        <f>SUMIFS(SETORES!$D:$D,SETORES!$A:$A,A881,SETORES!$F:$F,J881)</f>
        <v/>
      </c>
      <c r="F881" s="100">
        <f>IFERROR(D881*E881,0)</f>
        <v/>
      </c>
      <c r="G881" s="99">
        <f>SUMIFS(PARÂMETROS!$F$8:$F$33,PARÂMETROS!$A$8:$A$33,C881,PARÂMETROS!$G$8:$G$33,J881)</f>
        <v/>
      </c>
      <c r="H881" s="100">
        <f>IFERROR(F881*G881,0)</f>
        <v/>
      </c>
      <c r="I881" s="100">
        <f>F881+H881</f>
        <v/>
      </c>
      <c r="J881" s="74" t="inlineStr">
        <is>
          <t>Maio/2026</t>
        </is>
      </c>
    </row>
    <row r="882" ht="14.25" customHeight="1" s="75">
      <c r="A882" s="74" t="inlineStr">
        <is>
          <t>TIC</t>
        </is>
      </c>
      <c r="B882" s="74">
        <f>INDEX(SETORES!$B:$B,MATCH(A882,SETORES!$A:$A,0))</f>
        <v/>
      </c>
      <c r="C882" s="74" t="inlineStr">
        <is>
          <t>Empresa Licenciada VOICENET</t>
        </is>
      </c>
      <c r="D882" s="99">
        <f>IF(B882="Clientes",SUMIFS(PARÂMETROS!$D$8:$D$33,PARÂMETROS!$A$8:$A$33,C882,PARÂMETROS!$G$8:$G$33,J882),SUMIFS(PARÂMETROS!$E$8:$E$33,PARÂMETROS!$A$8:$A$33,C882,PARÂMETROS!$G$8:$G$33,J882))</f>
        <v/>
      </c>
      <c r="E882" s="100">
        <f>SUMIFS(SETORES!$D:$D,SETORES!$A:$A,A882,SETORES!$F:$F,J882)</f>
        <v/>
      </c>
      <c r="F882" s="100">
        <f>IFERROR(D882*E882,0)</f>
        <v/>
      </c>
      <c r="G882" s="99">
        <f>SUMIFS(PARÂMETROS!$F$8:$F$33,PARÂMETROS!$A$8:$A$33,C882,PARÂMETROS!$G$8:$G$33,J882)</f>
        <v/>
      </c>
      <c r="H882" s="100">
        <f>IFERROR(F882*G882,0)</f>
        <v/>
      </c>
      <c r="I882" s="100">
        <f>F882+H882</f>
        <v/>
      </c>
      <c r="J882" s="74" t="inlineStr">
        <is>
          <t>Maio/2026</t>
        </is>
      </c>
    </row>
    <row r="883" ht="14.25" customHeight="1" s="75">
      <c r="A883" s="74" t="inlineStr">
        <is>
          <t>TIC</t>
        </is>
      </c>
      <c r="B883" s="74">
        <f>INDEX(SETORES!$B:$B,MATCH(A883,SETORES!$A:$A,0))</f>
        <v/>
      </c>
      <c r="C883" s="74" t="inlineStr">
        <is>
          <t>DTEL (uso próprio)</t>
        </is>
      </c>
      <c r="D883" s="99">
        <f>IF(B883="Clientes",SUMIFS(PARÂMETROS!$D$8:$D$33,PARÂMETROS!$A$8:$A$33,C883,PARÂMETROS!$G$8:$G$33,J883),SUMIFS(PARÂMETROS!$E$8:$E$33,PARÂMETROS!$A$8:$A$33,C883,PARÂMETROS!$G$8:$G$33,J883))</f>
        <v/>
      </c>
      <c r="E883" s="100">
        <f>SUMIFS(SETORES!$D:$D,SETORES!$A:$A,A883,SETORES!$F:$F,J883)</f>
        <v/>
      </c>
      <c r="F883" s="100">
        <f>IFERROR(D883*E883,0)</f>
        <v/>
      </c>
      <c r="G883" s="99">
        <f>SUMIFS(PARÂMETROS!$F$8:$F$33,PARÂMETROS!$A$8:$A$33,C883,PARÂMETROS!$G$8:$G$33,J883)</f>
        <v/>
      </c>
      <c r="H883" s="100">
        <f>IFERROR(F883*G883,0)</f>
        <v/>
      </c>
      <c r="I883" s="100">
        <f>F883+H883</f>
        <v/>
      </c>
      <c r="J883" s="74" t="inlineStr">
        <is>
          <t>Maio/2026</t>
        </is>
      </c>
    </row>
    <row r="884" ht="14.25" customHeight="1" s="75">
      <c r="A884" s="74" t="inlineStr">
        <is>
          <t>TIC</t>
        </is>
      </c>
      <c r="B884" s="74">
        <f>INDEX(SETORES!$B:$B,MATCH(A884,SETORES!$A:$A,0))</f>
        <v/>
      </c>
      <c r="C884" s="74" t="inlineStr">
        <is>
          <t>Empresa Licenciada DX2</t>
        </is>
      </c>
      <c r="D884" s="99">
        <f>IF(B884="Clientes",SUMIFS(PARÂMETROS!$D$8:$D$33,PARÂMETROS!$A$8:$A$33,C884,PARÂMETROS!$G$8:$G$33,J884),SUMIFS(PARÂMETROS!$E$8:$E$33,PARÂMETROS!$A$8:$A$33,C884,PARÂMETROS!$G$8:$G$33,J884))</f>
        <v/>
      </c>
      <c r="E884" s="100">
        <f>SUMIFS(SETORES!$D:$D,SETORES!$A:$A,A884,SETORES!$F:$F,J884)</f>
        <v/>
      </c>
      <c r="F884" s="100">
        <f>IFERROR(D884*E884,0)</f>
        <v/>
      </c>
      <c r="G884" s="99">
        <f>SUMIFS(PARÂMETROS!$F$8:$F$33,PARÂMETROS!$A$8:$A$33,C884,PARÂMETROS!$G$8:$G$33,J884)</f>
        <v/>
      </c>
      <c r="H884" s="100">
        <f>IFERROR(F884*G884,0)</f>
        <v/>
      </c>
      <c r="I884" s="100">
        <f>F884+H884</f>
        <v/>
      </c>
      <c r="J884" s="74" t="inlineStr">
        <is>
          <t>Junho/2026</t>
        </is>
      </c>
    </row>
    <row r="885" ht="14.25" customHeight="1" s="75">
      <c r="A885" s="74" t="inlineStr">
        <is>
          <t>TIC</t>
        </is>
      </c>
      <c r="B885" s="74">
        <f>INDEX(SETORES!$B:$B,MATCH(A885,SETORES!$A:$A,0))</f>
        <v/>
      </c>
      <c r="C885" s="74" t="inlineStr">
        <is>
          <t>Empresa Licenciada H&amp;A</t>
        </is>
      </c>
      <c r="D885" s="99">
        <f>IF(B885="Clientes",SUMIFS(PARÂMETROS!$D$8:$D$33,PARÂMETROS!$A$8:$A$33,C885,PARÂMETROS!$G$8:$G$33,J885),SUMIFS(PARÂMETROS!$E$8:$E$33,PARÂMETROS!$A$8:$A$33,C885,PARÂMETROS!$G$8:$G$33,J885))</f>
        <v/>
      </c>
      <c r="E885" s="100">
        <f>SUMIFS(SETORES!$D:$D,SETORES!$A:$A,A885,SETORES!$F:$F,J885)</f>
        <v/>
      </c>
      <c r="F885" s="100">
        <f>IFERROR(D885*E885,0)</f>
        <v/>
      </c>
      <c r="G885" s="99">
        <f>SUMIFS(PARÂMETROS!$F$8:$F$33,PARÂMETROS!$A$8:$A$33,C885,PARÂMETROS!$G$8:$G$33,J885)</f>
        <v/>
      </c>
      <c r="H885" s="100">
        <f>IFERROR(F885*G885,0)</f>
        <v/>
      </c>
      <c r="I885" s="100">
        <f>F885+H885</f>
        <v/>
      </c>
      <c r="J885" s="74" t="inlineStr">
        <is>
          <t>Junho/2026</t>
        </is>
      </c>
    </row>
    <row r="886" ht="14.25" customHeight="1" s="75">
      <c r="A886" s="74" t="inlineStr">
        <is>
          <t>TIC</t>
        </is>
      </c>
      <c r="B886" s="74">
        <f>INDEX(SETORES!$B:$B,MATCH(A886,SETORES!$A:$A,0))</f>
        <v/>
      </c>
      <c r="C886" s="74" t="inlineStr">
        <is>
          <t>Empresa Licenciada SOLON ARAUJO</t>
        </is>
      </c>
      <c r="D886" s="99">
        <f>IF(B886="Clientes",SUMIFS(PARÂMETROS!$D$8:$D$33,PARÂMETROS!$A$8:$A$33,C886,PARÂMETROS!$G$8:$G$33,J886),SUMIFS(PARÂMETROS!$E$8:$E$33,PARÂMETROS!$A$8:$A$33,C886,PARÂMETROS!$G$8:$G$33,J886))</f>
        <v/>
      </c>
      <c r="E886" s="100">
        <f>SUMIFS(SETORES!$D:$D,SETORES!$A:$A,A886,SETORES!$F:$F,J886)</f>
        <v/>
      </c>
      <c r="F886" s="100">
        <f>IFERROR(D886*E886,0)</f>
        <v/>
      </c>
      <c r="G886" s="99">
        <f>SUMIFS(PARÂMETROS!$F$8:$F$33,PARÂMETROS!$A$8:$A$33,C886,PARÂMETROS!$G$8:$G$33,J886)</f>
        <v/>
      </c>
      <c r="H886" s="100">
        <f>IFERROR(F886*G886,0)</f>
        <v/>
      </c>
      <c r="I886" s="100">
        <f>F886+H886</f>
        <v/>
      </c>
      <c r="J886" s="74" t="inlineStr">
        <is>
          <t>Junho/2026</t>
        </is>
      </c>
    </row>
    <row r="887" ht="14.25" customHeight="1" s="75">
      <c r="A887" s="74" t="inlineStr">
        <is>
          <t>TIC</t>
        </is>
      </c>
      <c r="B887" s="74">
        <f>INDEX(SETORES!$B:$B,MATCH(A887,SETORES!$A:$A,0))</f>
        <v/>
      </c>
      <c r="C887" s="74" t="inlineStr">
        <is>
          <t>Empresa Licenciada SOARES E LINS</t>
        </is>
      </c>
      <c r="D887" s="99">
        <f>IF(B887="Clientes",SUMIFS(PARÂMETROS!$D$8:$D$33,PARÂMETROS!$A$8:$A$33,C887,PARÂMETROS!$G$8:$G$33,J887),SUMIFS(PARÂMETROS!$E$8:$E$33,PARÂMETROS!$A$8:$A$33,C887,PARÂMETROS!$G$8:$G$33,J887))</f>
        <v/>
      </c>
      <c r="E887" s="100">
        <f>SUMIFS(SETORES!$D:$D,SETORES!$A:$A,A887,SETORES!$F:$F,J887)</f>
        <v/>
      </c>
      <c r="F887" s="100">
        <f>IFERROR(D887*E887,0)</f>
        <v/>
      </c>
      <c r="G887" s="99">
        <f>SUMIFS(PARÂMETROS!$F$8:$F$33,PARÂMETROS!$A$8:$A$33,C887,PARÂMETROS!$G$8:$G$33,J887)</f>
        <v/>
      </c>
      <c r="H887" s="100">
        <f>IFERROR(F887*G887,0)</f>
        <v/>
      </c>
      <c r="I887" s="100">
        <f>F887+H887</f>
        <v/>
      </c>
      <c r="J887" s="74" t="inlineStr">
        <is>
          <t>Junho/2026</t>
        </is>
      </c>
    </row>
    <row r="888" ht="14.25" customHeight="1" s="75">
      <c r="A888" s="74" t="inlineStr">
        <is>
          <t>TIC</t>
        </is>
      </c>
      <c r="B888" s="74">
        <f>INDEX(SETORES!$B:$B,MATCH(A888,SETORES!$A:$A,0))</f>
        <v/>
      </c>
      <c r="C888" s="74" t="inlineStr">
        <is>
          <t>Empresa Licenciada SOARES E SILVA</t>
        </is>
      </c>
      <c r="D888" s="99">
        <f>IF(B888="Clientes",SUMIFS(PARÂMETROS!$D$8:$D$33,PARÂMETROS!$A$8:$A$33,C888,PARÂMETROS!$G$8:$G$33,J888),SUMIFS(PARÂMETROS!$E$8:$E$33,PARÂMETROS!$A$8:$A$33,C888,PARÂMETROS!$G$8:$G$33,J888))</f>
        <v/>
      </c>
      <c r="E888" s="100">
        <f>SUMIFS(SETORES!$D:$D,SETORES!$A:$A,A888,SETORES!$F:$F,J888)</f>
        <v/>
      </c>
      <c r="F888" s="100">
        <f>IFERROR(D888*E888,0)</f>
        <v/>
      </c>
      <c r="G888" s="99">
        <f>SUMIFS(PARÂMETROS!$F$8:$F$33,PARÂMETROS!$A$8:$A$33,C888,PARÂMETROS!$G$8:$G$33,J888)</f>
        <v/>
      </c>
      <c r="H888" s="100">
        <f>IFERROR(F888*G888,0)</f>
        <v/>
      </c>
      <c r="I888" s="100">
        <f>F888+H888</f>
        <v/>
      </c>
      <c r="J888" s="74" t="inlineStr">
        <is>
          <t>Junho/2026</t>
        </is>
      </c>
    </row>
    <row r="889" ht="14.25" customHeight="1" s="75">
      <c r="A889" s="74" t="inlineStr">
        <is>
          <t>TIC</t>
        </is>
      </c>
      <c r="B889" s="74">
        <f>INDEX(SETORES!$B:$B,MATCH(A889,SETORES!$A:$A,0))</f>
        <v/>
      </c>
      <c r="C889" s="74" t="inlineStr">
        <is>
          <t>Empresa Licenciada SOUZA E SILVA</t>
        </is>
      </c>
      <c r="D889" s="99">
        <f>IF(B889="Clientes",SUMIFS(PARÂMETROS!$D$8:$D$33,PARÂMETROS!$A$8:$A$33,C889,PARÂMETROS!$G$8:$G$33,J889),SUMIFS(PARÂMETROS!$E$8:$E$33,PARÂMETROS!$A$8:$A$33,C889,PARÂMETROS!$G$8:$G$33,J889))</f>
        <v/>
      </c>
      <c r="E889" s="100">
        <f>SUMIFS(SETORES!$D:$D,SETORES!$A:$A,A889,SETORES!$F:$F,J889)</f>
        <v/>
      </c>
      <c r="F889" s="100">
        <f>IFERROR(D889*E889,0)</f>
        <v/>
      </c>
      <c r="G889" s="99">
        <f>SUMIFS(PARÂMETROS!$F$8:$F$33,PARÂMETROS!$A$8:$A$33,C889,PARÂMETROS!$G$8:$G$33,J889)</f>
        <v/>
      </c>
      <c r="H889" s="100">
        <f>IFERROR(F889*G889,0)</f>
        <v/>
      </c>
      <c r="I889" s="100">
        <f>F889+H889</f>
        <v/>
      </c>
      <c r="J889" s="74" t="inlineStr">
        <is>
          <t>Junho/2026</t>
        </is>
      </c>
    </row>
    <row r="890" ht="14.25" customHeight="1" s="75">
      <c r="A890" s="74" t="inlineStr">
        <is>
          <t>TIC</t>
        </is>
      </c>
      <c r="B890" s="74">
        <f>INDEX(SETORES!$B:$B,MATCH(A890,SETORES!$A:$A,0))</f>
        <v/>
      </c>
      <c r="C890" s="74" t="inlineStr">
        <is>
          <t>Empresa Licenciada VOICENET</t>
        </is>
      </c>
      <c r="D890" s="99">
        <f>IF(B890="Clientes",SUMIFS(PARÂMETROS!$D$8:$D$33,PARÂMETROS!$A$8:$A$33,C890,PARÂMETROS!$G$8:$G$33,J890),SUMIFS(PARÂMETROS!$E$8:$E$33,PARÂMETROS!$A$8:$A$33,C890,PARÂMETROS!$G$8:$G$33,J890))</f>
        <v/>
      </c>
      <c r="E890" s="100">
        <f>SUMIFS(SETORES!$D:$D,SETORES!$A:$A,A890,SETORES!$F:$F,J890)</f>
        <v/>
      </c>
      <c r="F890" s="100">
        <f>IFERROR(D890*E890,0)</f>
        <v/>
      </c>
      <c r="G890" s="99">
        <f>SUMIFS(PARÂMETROS!$F$8:$F$33,PARÂMETROS!$A$8:$A$33,C890,PARÂMETROS!$G$8:$G$33,J890)</f>
        <v/>
      </c>
      <c r="H890" s="100">
        <f>IFERROR(F890*G890,0)</f>
        <v/>
      </c>
      <c r="I890" s="100">
        <f>F890+H890</f>
        <v/>
      </c>
      <c r="J890" s="74" t="inlineStr">
        <is>
          <t>Junho/2026</t>
        </is>
      </c>
    </row>
    <row r="891" ht="14.25" customHeight="1" s="75">
      <c r="A891" s="74" t="inlineStr">
        <is>
          <t>TIC</t>
        </is>
      </c>
      <c r="B891" s="74">
        <f>INDEX(SETORES!$B:$B,MATCH(A891,SETORES!$A:$A,0))</f>
        <v/>
      </c>
      <c r="C891" s="74" t="inlineStr">
        <is>
          <t>DTEL (uso próprio)</t>
        </is>
      </c>
      <c r="D891" s="99">
        <f>IF(B891="Clientes",SUMIFS(PARÂMETROS!$D$8:$D$33,PARÂMETROS!$A$8:$A$33,C891,PARÂMETROS!$G$8:$G$33,J891),SUMIFS(PARÂMETROS!$E$8:$E$33,PARÂMETROS!$A$8:$A$33,C891,PARÂMETROS!$G$8:$G$33,J891))</f>
        <v/>
      </c>
      <c r="E891" s="100">
        <f>SUMIFS(SETORES!$D:$D,SETORES!$A:$A,A891,SETORES!$F:$F,J891)</f>
        <v/>
      </c>
      <c r="F891" s="100">
        <f>IFERROR(D891*E891,0)</f>
        <v/>
      </c>
      <c r="G891" s="99">
        <f>SUMIFS(PARÂMETROS!$F$8:$F$33,PARÂMETROS!$A$8:$A$33,C891,PARÂMETROS!$G$8:$G$33,J891)</f>
        <v/>
      </c>
      <c r="H891" s="100">
        <f>IFERROR(F891*G891,0)</f>
        <v/>
      </c>
      <c r="I891" s="100">
        <f>F891+H891</f>
        <v/>
      </c>
      <c r="J891" s="74" t="inlineStr">
        <is>
          <t>Junho/2026</t>
        </is>
      </c>
    </row>
    <row r="892" ht="14.25" customHeight="1" s="75">
      <c r="A892" s="74" t="inlineStr">
        <is>
          <t>TIC</t>
        </is>
      </c>
      <c r="B892" s="74">
        <f>INDEX(SETORES!$B:$B,MATCH(A892,SETORES!$A:$A,0))</f>
        <v/>
      </c>
      <c r="C892" s="74" t="inlineStr">
        <is>
          <t>Empresa Licenciada DX2</t>
        </is>
      </c>
      <c r="D892" s="99">
        <f>IF(B892="Clientes",SUMIFS(PARÂMETROS!$D$8:$D$33,PARÂMETROS!$A$8:$A$33,C892,PARÂMETROS!$G$8:$G$33,J892),SUMIFS(PARÂMETROS!$E$8:$E$33,PARÂMETROS!$A$8:$A$33,C892,PARÂMETROS!$G$8:$G$33,J892))</f>
        <v/>
      </c>
      <c r="E892" s="100">
        <f>SUMIFS(SETORES!$D:$D,SETORES!$A:$A,A892,SETORES!$F:$F,J892)</f>
        <v/>
      </c>
      <c r="F892" s="100">
        <f>IFERROR(D892*E892,0)</f>
        <v/>
      </c>
      <c r="G892" s="99">
        <f>SUMIFS(PARÂMETROS!$F$8:$F$33,PARÂMETROS!$A$8:$A$33,C892,PARÂMETROS!$G$8:$G$33,J892)</f>
        <v/>
      </c>
      <c r="H892" s="100">
        <f>IFERROR(F892*G892,0)</f>
        <v/>
      </c>
      <c r="I892" s="100">
        <f>F892+H892</f>
        <v/>
      </c>
      <c r="J892" s="74" t="inlineStr">
        <is>
          <t>Julho/2026</t>
        </is>
      </c>
    </row>
    <row r="893" ht="14.25" customHeight="1" s="75">
      <c r="A893" s="74" t="inlineStr">
        <is>
          <t>TIC</t>
        </is>
      </c>
      <c r="B893" s="74">
        <f>INDEX(SETORES!$B:$B,MATCH(A893,SETORES!$A:$A,0))</f>
        <v/>
      </c>
      <c r="C893" s="74" t="inlineStr">
        <is>
          <t>Empresa Licenciada H&amp;A</t>
        </is>
      </c>
      <c r="D893" s="99">
        <f>IF(B893="Clientes",SUMIFS(PARÂMETROS!$D$8:$D$33,PARÂMETROS!$A$8:$A$33,C893,PARÂMETROS!$G$8:$G$33,J893),SUMIFS(PARÂMETROS!$E$8:$E$33,PARÂMETROS!$A$8:$A$33,C893,PARÂMETROS!$G$8:$G$33,J893))</f>
        <v/>
      </c>
      <c r="E893" s="100">
        <f>SUMIFS(SETORES!$D:$D,SETORES!$A:$A,A893,SETORES!$F:$F,J893)</f>
        <v/>
      </c>
      <c r="F893" s="100">
        <f>IFERROR(D893*E893,0)</f>
        <v/>
      </c>
      <c r="G893" s="99">
        <f>SUMIFS(PARÂMETROS!$F$8:$F$33,PARÂMETROS!$A$8:$A$33,C893,PARÂMETROS!$G$8:$G$33,J893)</f>
        <v/>
      </c>
      <c r="H893" s="100">
        <f>IFERROR(F893*G893,0)</f>
        <v/>
      </c>
      <c r="I893" s="100">
        <f>F893+H893</f>
        <v/>
      </c>
      <c r="J893" s="74" t="inlineStr">
        <is>
          <t>Julho/2026</t>
        </is>
      </c>
    </row>
    <row r="894" ht="14.25" customHeight="1" s="75">
      <c r="A894" s="74" t="inlineStr">
        <is>
          <t>TIC</t>
        </is>
      </c>
      <c r="B894" s="74">
        <f>INDEX(SETORES!$B:$B,MATCH(A894,SETORES!$A:$A,0))</f>
        <v/>
      </c>
      <c r="C894" s="74" t="inlineStr">
        <is>
          <t>Empresa Licenciada SOLON ARAUJO</t>
        </is>
      </c>
      <c r="D894" s="99">
        <f>IF(B894="Clientes",SUMIFS(PARÂMETROS!$D$8:$D$33,PARÂMETROS!$A$8:$A$33,C894,PARÂMETROS!$G$8:$G$33,J894),SUMIFS(PARÂMETROS!$E$8:$E$33,PARÂMETROS!$A$8:$A$33,C894,PARÂMETROS!$G$8:$G$33,J894))</f>
        <v/>
      </c>
      <c r="E894" s="100">
        <f>SUMIFS(SETORES!$D:$D,SETORES!$A:$A,A894,SETORES!$F:$F,J894)</f>
        <v/>
      </c>
      <c r="F894" s="100">
        <f>IFERROR(D894*E894,0)</f>
        <v/>
      </c>
      <c r="G894" s="99">
        <f>SUMIFS(PARÂMETROS!$F$8:$F$33,PARÂMETROS!$A$8:$A$33,C894,PARÂMETROS!$G$8:$G$33,J894)</f>
        <v/>
      </c>
      <c r="H894" s="100">
        <f>IFERROR(F894*G894,0)</f>
        <v/>
      </c>
      <c r="I894" s="100">
        <f>F894+H894</f>
        <v/>
      </c>
      <c r="J894" s="74" t="inlineStr">
        <is>
          <t>Julho/2026</t>
        </is>
      </c>
    </row>
    <row r="895" ht="14.25" customHeight="1" s="75">
      <c r="A895" s="74" t="inlineStr">
        <is>
          <t>TIC</t>
        </is>
      </c>
      <c r="B895" s="74">
        <f>INDEX(SETORES!$B:$B,MATCH(A895,SETORES!$A:$A,0))</f>
        <v/>
      </c>
      <c r="C895" s="74" t="inlineStr">
        <is>
          <t>Empresa Licenciada SOARES E LINS</t>
        </is>
      </c>
      <c r="D895" s="99">
        <f>IF(B895="Clientes",SUMIFS(PARÂMETROS!$D$8:$D$33,PARÂMETROS!$A$8:$A$33,C895,PARÂMETROS!$G$8:$G$33,J895),SUMIFS(PARÂMETROS!$E$8:$E$33,PARÂMETROS!$A$8:$A$33,C895,PARÂMETROS!$G$8:$G$33,J895))</f>
        <v/>
      </c>
      <c r="E895" s="100">
        <f>SUMIFS(SETORES!$D:$D,SETORES!$A:$A,A895,SETORES!$F:$F,J895)</f>
        <v/>
      </c>
      <c r="F895" s="100">
        <f>IFERROR(D895*E895,0)</f>
        <v/>
      </c>
      <c r="G895" s="99">
        <f>SUMIFS(PARÂMETROS!$F$8:$F$33,PARÂMETROS!$A$8:$A$33,C895,PARÂMETROS!$G$8:$G$33,J895)</f>
        <v/>
      </c>
      <c r="H895" s="100">
        <f>IFERROR(F895*G895,0)</f>
        <v/>
      </c>
      <c r="I895" s="100">
        <f>F895+H895</f>
        <v/>
      </c>
      <c r="J895" s="74" t="inlineStr">
        <is>
          <t>Julho/2026</t>
        </is>
      </c>
    </row>
    <row r="896" ht="14.25" customHeight="1" s="75">
      <c r="A896" s="74" t="inlineStr">
        <is>
          <t>TIC</t>
        </is>
      </c>
      <c r="B896" s="74">
        <f>INDEX(SETORES!$B:$B,MATCH(A896,SETORES!$A:$A,0))</f>
        <v/>
      </c>
      <c r="C896" s="74" t="inlineStr">
        <is>
          <t>Empresa Licenciada SOARES E SILVA</t>
        </is>
      </c>
      <c r="D896" s="99">
        <f>IF(B896="Clientes",SUMIFS(PARÂMETROS!$D$8:$D$33,PARÂMETROS!$A$8:$A$33,C896,PARÂMETROS!$G$8:$G$33,J896),SUMIFS(PARÂMETROS!$E$8:$E$33,PARÂMETROS!$A$8:$A$33,C896,PARÂMETROS!$G$8:$G$33,J896))</f>
        <v/>
      </c>
      <c r="E896" s="100">
        <f>SUMIFS(SETORES!$D:$D,SETORES!$A:$A,A896,SETORES!$F:$F,J896)</f>
        <v/>
      </c>
      <c r="F896" s="100">
        <f>IFERROR(D896*E896,0)</f>
        <v/>
      </c>
      <c r="G896" s="99">
        <f>SUMIFS(PARÂMETROS!$F$8:$F$33,PARÂMETROS!$A$8:$A$33,C896,PARÂMETROS!$G$8:$G$33,J896)</f>
        <v/>
      </c>
      <c r="H896" s="100">
        <f>IFERROR(F896*G896,0)</f>
        <v/>
      </c>
      <c r="I896" s="100">
        <f>F896+H896</f>
        <v/>
      </c>
      <c r="J896" s="74" t="inlineStr">
        <is>
          <t>Julho/2026</t>
        </is>
      </c>
    </row>
    <row r="897" ht="14.25" customHeight="1" s="75">
      <c r="A897" s="74" t="inlineStr">
        <is>
          <t>TIC</t>
        </is>
      </c>
      <c r="B897" s="74">
        <f>INDEX(SETORES!$B:$B,MATCH(A897,SETORES!$A:$A,0))</f>
        <v/>
      </c>
      <c r="C897" s="74" t="inlineStr">
        <is>
          <t>Empresa Licenciada SOUZA E SILVA</t>
        </is>
      </c>
      <c r="D897" s="99">
        <f>IF(B897="Clientes",SUMIFS(PARÂMETROS!$D$8:$D$33,PARÂMETROS!$A$8:$A$33,C897,PARÂMETROS!$G$8:$G$33,J897),SUMIFS(PARÂMETROS!$E$8:$E$33,PARÂMETROS!$A$8:$A$33,C897,PARÂMETROS!$G$8:$G$33,J897))</f>
        <v/>
      </c>
      <c r="E897" s="100">
        <f>SUMIFS(SETORES!$D:$D,SETORES!$A:$A,A897,SETORES!$F:$F,J897)</f>
        <v/>
      </c>
      <c r="F897" s="100">
        <f>IFERROR(D897*E897,0)</f>
        <v/>
      </c>
      <c r="G897" s="99">
        <f>SUMIFS(PARÂMETROS!$F$8:$F$33,PARÂMETROS!$A$8:$A$33,C897,PARÂMETROS!$G$8:$G$33,J897)</f>
        <v/>
      </c>
      <c r="H897" s="100">
        <f>IFERROR(F897*G897,0)</f>
        <v/>
      </c>
      <c r="I897" s="100">
        <f>F897+H897</f>
        <v/>
      </c>
      <c r="J897" s="74" t="inlineStr">
        <is>
          <t>Julho/2026</t>
        </is>
      </c>
    </row>
    <row r="898" ht="14.25" customHeight="1" s="75">
      <c r="A898" s="74" t="inlineStr">
        <is>
          <t>TIC</t>
        </is>
      </c>
      <c r="B898" s="74">
        <f>INDEX(SETORES!$B:$B,MATCH(A898,SETORES!$A:$A,0))</f>
        <v/>
      </c>
      <c r="C898" s="74" t="inlineStr">
        <is>
          <t>Empresa Licenciada VOICENET</t>
        </is>
      </c>
      <c r="D898" s="99">
        <f>IF(B898="Clientes",SUMIFS(PARÂMETROS!$D$8:$D$33,PARÂMETROS!$A$8:$A$33,C898,PARÂMETROS!$G$8:$G$33,J898),SUMIFS(PARÂMETROS!$E$8:$E$33,PARÂMETROS!$A$8:$A$33,C898,PARÂMETROS!$G$8:$G$33,J898))</f>
        <v/>
      </c>
      <c r="E898" s="100">
        <f>SUMIFS(SETORES!$D:$D,SETORES!$A:$A,A898,SETORES!$F:$F,J898)</f>
        <v/>
      </c>
      <c r="F898" s="100">
        <f>IFERROR(D898*E898,0)</f>
        <v/>
      </c>
      <c r="G898" s="99">
        <f>SUMIFS(PARÂMETROS!$F$8:$F$33,PARÂMETROS!$A$8:$A$33,C898,PARÂMETROS!$G$8:$G$33,J898)</f>
        <v/>
      </c>
      <c r="H898" s="100">
        <f>IFERROR(F898*G898,0)</f>
        <v/>
      </c>
      <c r="I898" s="100">
        <f>F898+H898</f>
        <v/>
      </c>
      <c r="J898" s="74" t="inlineStr">
        <is>
          <t>Julho/2026</t>
        </is>
      </c>
    </row>
    <row r="899" ht="14.25" customHeight="1" s="75">
      <c r="A899" s="74" t="inlineStr">
        <is>
          <t>TIC</t>
        </is>
      </c>
      <c r="B899" s="74">
        <f>INDEX(SETORES!$B:$B,MATCH(A899,SETORES!$A:$A,0))</f>
        <v/>
      </c>
      <c r="C899" s="74" t="inlineStr">
        <is>
          <t>DTEL (uso próprio)</t>
        </is>
      </c>
      <c r="D899" s="99">
        <f>IF(B899="Clientes",SUMIFS(PARÂMETROS!$D$8:$D$33,PARÂMETROS!$A$8:$A$33,C899,PARÂMETROS!$G$8:$G$33,J899),SUMIFS(PARÂMETROS!$E$8:$E$33,PARÂMETROS!$A$8:$A$33,C899,PARÂMETROS!$G$8:$G$33,J899))</f>
        <v/>
      </c>
      <c r="E899" s="100">
        <f>SUMIFS(SETORES!$D:$D,SETORES!$A:$A,A899,SETORES!$F:$F,J899)</f>
        <v/>
      </c>
      <c r="F899" s="100">
        <f>IFERROR(D899*E899,0)</f>
        <v/>
      </c>
      <c r="G899" s="99">
        <f>SUMIFS(PARÂMETROS!$F$8:$F$33,PARÂMETROS!$A$8:$A$33,C899,PARÂMETROS!$G$8:$G$33,J899)</f>
        <v/>
      </c>
      <c r="H899" s="100">
        <f>IFERROR(F899*G899,0)</f>
        <v/>
      </c>
      <c r="I899" s="100">
        <f>F899+H899</f>
        <v/>
      </c>
      <c r="J899" s="74" t="inlineStr">
        <is>
          <t>Julho/2026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74" min="1" max="1"/>
    <col width="16" customWidth="1" style="74" min="2" max="2"/>
    <col width="55" customWidth="1" style="74" min="3" max="3"/>
    <col width="20" customWidth="1" style="74" min="4" max="4"/>
    <col width="18" customWidth="1" style="74" min="5" max="5"/>
    <col width="13" customWidth="1" style="74" min="6" max="6"/>
    <col width="22" customWidth="1" style="74" min="7" max="7"/>
  </cols>
  <sheetData>
    <row r="1" ht="25.5" customHeight="1" s="75">
      <c r="A1" s="76" t="inlineStr">
        <is>
          <t>SETORES — CRITÉRIO DE RATEIO</t>
        </is>
      </c>
    </row>
    <row r="2" ht="15" customHeight="1" s="75">
      <c r="A2" s="79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5">
      <c r="A4" s="80" t="inlineStr">
        <is>
          <t>Setor</t>
        </is>
      </c>
      <c r="B4" s="80" t="inlineStr">
        <is>
          <t>Critério de Rateio</t>
        </is>
      </c>
      <c r="C4" s="80" t="inlineStr">
        <is>
          <t>Justificativa</t>
        </is>
      </c>
      <c r="D4" s="80" t="inlineStr">
        <is>
          <t>Custo Total do Mês</t>
        </is>
      </c>
      <c r="E4" s="80" t="inlineStr">
        <is>
          <t>Custo Unitário</t>
        </is>
      </c>
      <c r="F4" s="80" t="inlineStr">
        <is>
          <t>Mês</t>
        </is>
      </c>
      <c r="G4" s="80" t="inlineStr">
        <is>
          <t>Nº de Funcionários/Clientes</t>
        </is>
      </c>
    </row>
    <row r="5" ht="15" customHeight="1" s="75">
      <c r="A5" s="101" t="n"/>
      <c r="B5" s="102" t="n"/>
      <c r="C5" s="103" t="n"/>
      <c r="D5" s="104">
        <f>SUMIFS('CUSTOS MENSAIS'!$F:$F,'CUSTOS MENSAIS'!$A:$A,A5,'CUSTOS MENSAIS'!$H:$H,F5)</f>
        <v/>
      </c>
      <c r="E5" s="104">
        <f>IFERROR(D5/IF(B5="Clientes",SUMIFS(PARÂMETROS!$B$8:$B$33,PARÂMETROS!$G$8:$G$33,F5),SUMIFS(PARÂMETROS!$C$8:$C$33,PARÂMETROS!$G$8:$G$33,F5)),0)</f>
        <v/>
      </c>
      <c r="F5" s="105" t="n"/>
      <c r="G5" s="106">
        <f>IF(B5="Clientes",SUMIFS(PARÂMETROS!$B$8:$B$33,PARÂMETROS!$G$8:$G$33,F5),SUMIFS(PARÂMETROS!$C$8:$C$33,PARÂMETROS!$G$8:$G$33,F5))</f>
        <v/>
      </c>
    </row>
    <row r="6" ht="15" customHeight="1" s="75">
      <c r="A6" s="101" t="inlineStr">
        <is>
          <t>NOC</t>
        </is>
      </c>
      <c r="B6" s="102" t="inlineStr">
        <is>
          <t>Clientes</t>
        </is>
      </c>
      <c r="C6" s="103" t="inlineStr">
        <is>
          <t>Infraestrutura de rede/NOC escala com o nº de clientes ativos</t>
        </is>
      </c>
      <c r="D6" s="107">
        <f>SUMIFS('CUSTOS MENSAIS'!$F:$F,'CUSTOS MENSAIS'!$A:$A,A6,'CUSTOS MENSAIS'!$H:$H,F6)</f>
        <v/>
      </c>
      <c r="E6" s="107">
        <f>IFERROR(D6/IF(B6="Clientes",SUMIFS(PARÂMETROS!$B$8:$B$33,PARÂMETROS!$G$8:$G$33,F6),SUMIFS(PARÂMETROS!$C$8:$C$33,PARÂMETROS!$G$8:$G$33,F6)),0)</f>
        <v/>
      </c>
      <c r="F6" s="105" t="inlineStr">
        <is>
          <t>Maio/2026</t>
        </is>
      </c>
      <c r="G6" s="106">
        <f>IF(B6="Clientes",SUMIFS(PARÂMETROS!$B$8:$B$33,PARÂMETROS!$G$8:$G$33,F6),SUMIFS(PARÂMETROS!$C$8:$C$33,PARÂMETROS!$G$8:$G$33,F6))</f>
        <v/>
      </c>
    </row>
    <row r="7" ht="15" customHeight="1" s="75">
      <c r="A7" s="101" t="inlineStr">
        <is>
          <t>RH</t>
        </is>
      </c>
      <c r="B7" s="102" t="inlineStr">
        <is>
          <t>Funcionários</t>
        </is>
      </c>
      <c r="C7" s="103" t="inlineStr">
        <is>
          <t>Recursos Humanos atende diretamente aos colaboradores</t>
        </is>
      </c>
      <c r="D7" s="107">
        <f>SUMIFS('CUSTOS MENSAIS'!$F:$F,'CUSTOS MENSAIS'!$A:$A,A7,'CUSTOS MENSAIS'!$H:$H,F7)</f>
        <v/>
      </c>
      <c r="E7" s="107">
        <f>IFERROR(D7/IF(B7="Clientes",SUMIFS(PARÂMETROS!$B$8:$B$33,PARÂMETROS!$G$8:$G$33,F7),SUMIFS(PARÂMETROS!$C$8:$C$33,PARÂMETROS!$G$8:$G$33,F7)),0)</f>
        <v/>
      </c>
      <c r="F7" s="105" t="inlineStr">
        <is>
          <t>Maio/2026</t>
        </is>
      </c>
      <c r="G7" s="106">
        <f>IF(B7="Clientes",SUMIFS(PARÂMETROS!$B$8:$B$33,PARÂMETROS!$G$8:$G$33,F7),SUMIFS(PARÂMETROS!$C$8:$C$33,PARÂMETROS!$G$8:$G$33,F7))</f>
        <v/>
      </c>
    </row>
    <row r="8" ht="15" customHeight="1" s="75">
      <c r="A8" s="101" t="inlineStr">
        <is>
          <t>DP</t>
        </is>
      </c>
      <c r="B8" s="102" t="inlineStr">
        <is>
          <t>Funcionários</t>
        </is>
      </c>
      <c r="C8" s="103" t="inlineStr">
        <is>
          <t>Departamento Pessoal atende à folha de colaboradores</t>
        </is>
      </c>
      <c r="D8" s="107">
        <f>SUMIFS('CUSTOS MENSAIS'!$F:$F,'CUSTOS MENSAIS'!$A:$A,A8,'CUSTOS MENSAIS'!$H:$H,F8)</f>
        <v/>
      </c>
      <c r="E8" s="107">
        <f>IFERROR(D8/IF(B8="Clientes",SUMIFS(PARÂMETROS!$B$8:$B$33,PARÂMETROS!$G$8:$G$33,F8),SUMIFS(PARÂMETROS!$C$8:$C$33,PARÂMETROS!$G$8:$G$33,F8)),0)</f>
        <v/>
      </c>
      <c r="F8" s="105" t="inlineStr">
        <is>
          <t>Maio/2026</t>
        </is>
      </c>
      <c r="G8" s="106">
        <f>IF(B8="Clientes",SUMIFS(PARÂMETROS!$B$8:$B$33,PARÂMETROS!$G$8:$G$33,F8),SUMIFS(PARÂMETROS!$C$8:$C$33,PARÂMETROS!$G$8:$G$33,F8))</f>
        <v/>
      </c>
    </row>
    <row r="9" ht="15" customHeight="1" s="75">
      <c r="A9" s="101" t="inlineStr">
        <is>
          <t>Gestão de Atendimento</t>
        </is>
      </c>
      <c r="B9" s="102" t="inlineStr">
        <is>
          <t>Clientes</t>
        </is>
      </c>
      <c r="C9" s="103" t="inlineStr">
        <is>
          <t>Atendimento administrativo e presencial de loja escala com o volume de clientes atendidos</t>
        </is>
      </c>
      <c r="D9" s="107">
        <f>SUMIFS('CUSTOS MENSAIS'!$F:$F,'CUSTOS MENSAIS'!$A:$A,A9,'CUSTOS MENSAIS'!$H:$H,F9)</f>
        <v/>
      </c>
      <c r="E9" s="107">
        <f>IFERROR(D9/IF(B9="Clientes",SUMIFS(PARÂMETROS!$B$8:$B$33,PARÂMETROS!$G$8:$G$33,F9),SUMIFS(PARÂMETROS!$C$8:$C$33,PARÂMETROS!$G$8:$G$33,F9)),0)</f>
        <v/>
      </c>
      <c r="F9" s="105" t="inlineStr">
        <is>
          <t>Maio/2026</t>
        </is>
      </c>
      <c r="G9" s="106">
        <f>IF(B9="Clientes",SUMIFS(PARÂMETROS!$B$8:$B$33,PARÂMETROS!$G$8:$G$33,F9),SUMIFS(PARÂMETROS!$C$8:$C$33,PARÂMETROS!$G$8:$G$33,F9))</f>
        <v/>
      </c>
    </row>
    <row r="10" ht="15" customHeight="1" s="75">
      <c r="A10" s="101" t="inlineStr">
        <is>
          <t>CAC</t>
        </is>
      </c>
      <c r="B10" s="102" t="inlineStr">
        <is>
          <t>Clientes</t>
        </is>
      </c>
      <c r="C10" s="103" t="inlineStr">
        <is>
          <t>Central de Atendimento ao Cliente atende diretamente a base de clientes de cada empresa</t>
        </is>
      </c>
      <c r="D10" s="107">
        <f>SUMIFS('CUSTOS MENSAIS'!$F:$F,'CUSTOS MENSAIS'!$A:$A,A10,'CUSTOS MENSAIS'!$H:$H,F10)</f>
        <v/>
      </c>
      <c r="E10" s="107">
        <f>IFERROR(D10/IF(B10="Clientes",SUMIFS(PARÂMETROS!$B$8:$B$33,PARÂMETROS!$G$8:$G$33,F10),SUMIFS(PARÂMETROS!$C$8:$C$33,PARÂMETROS!$G$8:$G$33,F10)),0)</f>
        <v/>
      </c>
      <c r="F10" s="105" t="inlineStr">
        <is>
          <t>Maio/2026</t>
        </is>
      </c>
      <c r="G10" s="106">
        <f>IF(B10="Clientes",SUMIFS(PARÂMETROS!$B$8:$B$33,PARÂMETROS!$G$8:$G$33,F10),SUMIFS(PARÂMETROS!$C$8:$C$33,PARÂMETROS!$G$8:$G$33,F10))</f>
        <v/>
      </c>
    </row>
    <row r="11" ht="15" customHeight="1" s="75">
      <c r="A11" s="101" t="inlineStr">
        <is>
          <t>Financeiro</t>
        </is>
      </c>
      <c r="B11" s="102" t="inlineStr">
        <is>
          <t>Clientes</t>
        </is>
      </c>
      <c r="C11" s="103" t="inlineStr">
        <is>
          <t>Financeiro cuida da gestão financeira e de faturamento da operação</t>
        </is>
      </c>
      <c r="D11" s="107">
        <f>SUMIFS('CUSTOS MENSAIS'!$F:$F,'CUSTOS MENSAIS'!$A:$A,A11,'CUSTOS MENSAIS'!$H:$H,F11)</f>
        <v/>
      </c>
      <c r="E11" s="107">
        <f>IFERROR(D11/IF(B11="Clientes",SUMIFS(PARÂMETROS!$B$8:$B$33,PARÂMETROS!$G$8:$G$33,F11),SUMIFS(PARÂMETROS!$C$8:$C$33,PARÂMETROS!$G$8:$G$33,F11)),0)</f>
        <v/>
      </c>
      <c r="F11" s="105" t="inlineStr">
        <is>
          <t>Maio/2026</t>
        </is>
      </c>
      <c r="G11" s="106">
        <f>IF(B11="Clientes",SUMIFS(PARÂMETROS!$B$8:$B$33,PARÂMETROS!$G$8:$G$33,F11),SUMIFS(PARÂMETROS!$C$8:$C$33,PARÂMETROS!$G$8:$G$33,F11))</f>
        <v/>
      </c>
    </row>
    <row r="12" ht="15" customHeight="1" s="75">
      <c r="A12" s="101" t="inlineStr">
        <is>
          <t>NRC</t>
        </is>
      </c>
      <c r="B12" s="102" t="inlineStr">
        <is>
          <t>Clientes</t>
        </is>
      </c>
      <c r="C12" s="103" t="inlineStr">
        <is>
          <t>Serviço de Atendimento ao Cliente escala com o volume de clientes atendidos</t>
        </is>
      </c>
      <c r="D12" s="107">
        <f>SUMIFS('CUSTOS MENSAIS'!$F:$F,'CUSTOS MENSAIS'!$A:$A,A12,'CUSTOS MENSAIS'!$H:$H,F12)</f>
        <v/>
      </c>
      <c r="E12" s="107">
        <f>IFERROR(D12/IF(B12="Clientes",SUMIFS(PARÂMETROS!$B$8:$B$33,PARÂMETROS!$G$8:$G$33,F12),SUMIFS(PARÂMETROS!$C$8:$C$33,PARÂMETROS!$G$8:$G$33,F12)),0)</f>
        <v/>
      </c>
      <c r="F12" s="105" t="inlineStr">
        <is>
          <t>Maio/2026</t>
        </is>
      </c>
      <c r="G12" s="106">
        <f>IF(B12="Clientes",SUMIFS(PARÂMETROS!$B$8:$B$33,PARÂMETROS!$G$8:$G$33,F12),SUMIFS(PARÂMETROS!$C$8:$C$33,PARÂMETROS!$G$8:$G$33,F12))</f>
        <v/>
      </c>
    </row>
    <row r="13" ht="15" customHeight="1" s="75">
      <c r="A13" s="101" t="inlineStr">
        <is>
          <t>Cobrança</t>
        </is>
      </c>
      <c r="B13" s="102" t="inlineStr">
        <is>
          <t>Clientes</t>
        </is>
      </c>
      <c r="C13" s="103" t="inlineStr">
        <is>
          <t>Cobrança atua sobre a carteira de clientes inadimplentes de cada empresa</t>
        </is>
      </c>
      <c r="D13" s="107">
        <f>SUMIFS('CUSTOS MENSAIS'!$F:$F,'CUSTOS MENSAIS'!$A:$A,A13,'CUSTOS MENSAIS'!$H:$H,F13)</f>
        <v/>
      </c>
      <c r="E13" s="107">
        <f>IFERROR(D13/IF(B13="Clientes",SUMIFS(PARÂMETROS!$B$8:$B$33,PARÂMETROS!$G$8:$G$33,F13),SUMIFS(PARÂMETROS!$C$8:$C$33,PARÂMETROS!$G$8:$G$33,F13)),0)</f>
        <v/>
      </c>
      <c r="F13" s="105" t="inlineStr">
        <is>
          <t>Maio/2026</t>
        </is>
      </c>
      <c r="G13" s="106">
        <f>IF(B13="Clientes",SUMIFS(PARÂMETROS!$B$8:$B$33,PARÂMETROS!$G$8:$G$33,F13),SUMIFS(PARÂMETROS!$C$8:$C$33,PARÂMETROS!$G$8:$G$33,F13))</f>
        <v/>
      </c>
    </row>
    <row r="14" ht="15" customHeight="1" s="75">
      <c r="A14" s="101" t="inlineStr">
        <is>
          <t>Retenção</t>
        </is>
      </c>
      <c r="B14" s="102" t="inlineStr">
        <is>
          <t>Clientes</t>
        </is>
      </c>
      <c r="C14" s="103" t="inlineStr">
        <is>
          <t>Retenção atua sobre a base de clientes de cada empresa para evitar cancelamento</t>
        </is>
      </c>
      <c r="D14" s="107">
        <f>SUMIFS('CUSTOS MENSAIS'!$F:$F,'CUSTOS MENSAIS'!$A:$A,A14,'CUSTOS MENSAIS'!$H:$H,F14)</f>
        <v/>
      </c>
      <c r="E14" s="107">
        <f>IFERROR(D14/IF(B14="Clientes",SUMIFS(PARÂMETROS!$B$8:$B$33,PARÂMETROS!$G$8:$G$33,F14),SUMIFS(PARÂMETROS!$C$8:$C$33,PARÂMETROS!$G$8:$G$33,F14)),0)</f>
        <v/>
      </c>
      <c r="F14" s="105" t="inlineStr">
        <is>
          <t>Maio/2026</t>
        </is>
      </c>
      <c r="G14" s="106">
        <f>IF(B14="Clientes",SUMIFS(PARÂMETROS!$B$8:$B$33,PARÂMETROS!$G$8:$G$33,F14),SUMIFS(PARÂMETROS!$C$8:$C$33,PARÂMETROS!$G$8:$G$33,F14))</f>
        <v/>
      </c>
    </row>
    <row r="15" ht="15" customHeight="1" s="75">
      <c r="A15" s="101" t="inlineStr">
        <is>
          <t>Contabilidade</t>
        </is>
      </c>
      <c r="B15" s="102" t="inlineStr">
        <is>
          <t>Clientes</t>
        </is>
      </c>
      <c r="C15" s="103" t="inlineStr">
        <is>
          <t>Contabilidade realiza a escrituração fiscal e contábil da operação</t>
        </is>
      </c>
      <c r="D15" s="107">
        <f>SUMIFS('CUSTOS MENSAIS'!$F:$F,'CUSTOS MENSAIS'!$A:$A,A15,'CUSTOS MENSAIS'!$H:$H,F15)</f>
        <v/>
      </c>
      <c r="E15" s="107">
        <f>IFERROR(D15/IF(B15="Clientes",SUMIFS(PARÂMETROS!$B$8:$B$33,PARÂMETROS!$G$8:$G$33,F15),SUMIFS(PARÂMETROS!$C$8:$C$33,PARÂMETROS!$G$8:$G$33,F15)),0)</f>
        <v/>
      </c>
      <c r="F15" s="105" t="inlineStr">
        <is>
          <t>Maio/2026</t>
        </is>
      </c>
      <c r="G15" s="106">
        <f>IF(B15="Clientes",SUMIFS(PARÂMETROS!$B$8:$B$33,PARÂMETROS!$G$8:$G$33,F15),SUMIFS(PARÂMETROS!$C$8:$C$33,PARÂMETROS!$G$8:$G$33,F15))</f>
        <v/>
      </c>
    </row>
    <row r="16" ht="15" customHeight="1" s="75">
      <c r="A16" s="101" t="inlineStr">
        <is>
          <t>Controladoria</t>
        </is>
      </c>
      <c r="B16" s="102" t="inlineStr">
        <is>
          <t>Clientes</t>
        </is>
      </c>
      <c r="C16" s="103" t="inlineStr">
        <is>
          <t>Controladoria acompanha os indicadores financeiros da operação</t>
        </is>
      </c>
      <c r="D16" s="107">
        <f>SUMIFS('CUSTOS MENSAIS'!$F:$F,'CUSTOS MENSAIS'!$A:$A,A16,'CUSTOS MENSAIS'!$H:$H,F16)</f>
        <v/>
      </c>
      <c r="E16" s="107">
        <f>IFERROR(D16/IF(B16="Clientes",SUMIFS(PARÂMETROS!$B$8:$B$33,PARÂMETROS!$G$8:$G$33,F16),SUMIFS(PARÂMETROS!$C$8:$C$33,PARÂMETROS!$G$8:$G$33,F16)),0)</f>
        <v/>
      </c>
      <c r="F16" s="105" t="inlineStr">
        <is>
          <t>Maio/2026</t>
        </is>
      </c>
      <c r="G16" s="106">
        <f>IF(B16="Clientes",SUMIFS(PARÂMETROS!$B$8:$B$33,PARÂMETROS!$G$8:$G$33,F16),SUMIFS(PARÂMETROS!$C$8:$C$33,PARÂMETROS!$G$8:$G$33,F16))</f>
        <v/>
      </c>
    </row>
    <row r="17" ht="15" customHeight="1" s="75">
      <c r="A17" s="101" t="inlineStr">
        <is>
          <t>Diretoria Operacional</t>
        </is>
      </c>
      <c r="B17" s="102" t="inlineStr">
        <is>
          <t>Clientes</t>
        </is>
      </c>
      <c r="C17" s="103" t="inlineStr">
        <is>
          <t>Diretoria Operacional coordena a operação das áreas técnicas e de atendimento</t>
        </is>
      </c>
      <c r="D17" s="107">
        <f>SUMIFS('CUSTOS MENSAIS'!$F:$F,'CUSTOS MENSAIS'!$A:$A,A17,'CUSTOS MENSAIS'!$H:$H,F17)</f>
        <v/>
      </c>
      <c r="E17" s="107">
        <f>IFERROR(D17/IF(B17="Clientes",SUMIFS(PARÂMETROS!$B$8:$B$33,PARÂMETROS!$G$8:$G$33,F17),SUMIFS(PARÂMETROS!$C$8:$C$33,PARÂMETROS!$G$8:$G$33,F17)),0)</f>
        <v/>
      </c>
      <c r="F17" s="105" t="inlineStr">
        <is>
          <t>Maio/2026</t>
        </is>
      </c>
      <c r="G17" s="106">
        <f>IF(B17="Clientes",SUMIFS(PARÂMETROS!$B$8:$B$33,PARÂMETROS!$G$8:$G$33,F17),SUMIFS(PARÂMETROS!$C$8:$C$33,PARÂMETROS!$G$8:$G$33,F17))</f>
        <v/>
      </c>
    </row>
    <row r="18" ht="15" customHeight="1" s="75">
      <c r="A18" s="101" t="inlineStr">
        <is>
          <t>Compras</t>
        </is>
      </c>
      <c r="B18" s="102" t="inlineStr">
        <is>
          <t>Clientes</t>
        </is>
      </c>
      <c r="C18" s="103" t="inlineStr">
        <is>
          <t>Compras administra a aquisição de materiais e serviços para a operação</t>
        </is>
      </c>
      <c r="D18" s="107">
        <f>SUMIFS('CUSTOS MENSAIS'!$F:$F,'CUSTOS MENSAIS'!$A:$A,A18,'CUSTOS MENSAIS'!$H:$H,F18)</f>
        <v/>
      </c>
      <c r="E18" s="107">
        <f>IFERROR(D18/IF(B18="Clientes",SUMIFS(PARÂMETROS!$B$8:$B$33,PARÂMETROS!$G$8:$G$33,F18),SUMIFS(PARÂMETROS!$C$8:$C$33,PARÂMETROS!$G$8:$G$33,F18)),0)</f>
        <v/>
      </c>
      <c r="F18" s="105" t="inlineStr">
        <is>
          <t>Maio/2026</t>
        </is>
      </c>
      <c r="G18" s="106">
        <f>IF(B18="Clientes",SUMIFS(PARÂMETROS!$B$8:$B$33,PARÂMETROS!$G$8:$G$33,F18),SUMIFS(PARÂMETROS!$C$8:$C$33,PARÂMETROS!$G$8:$G$33,F18))</f>
        <v/>
      </c>
    </row>
    <row r="19" ht="14.25" customHeight="1" s="75">
      <c r="A19" s="101" t="inlineStr">
        <is>
          <t>Segurança do Trabalho</t>
        </is>
      </c>
      <c r="B19" s="102" t="inlineStr">
        <is>
          <t>Funcionários</t>
        </is>
      </c>
      <c r="C19" s="103" t="inlineStr">
        <is>
          <t>Segurança do Trabalho cuida da saúde e segurança dos colaboradores</t>
        </is>
      </c>
      <c r="D19" s="107">
        <f>SUMIFS('CUSTOS MENSAIS'!$F:$F,'CUSTOS MENSAIS'!$A:$A,A19,'CUSTOS MENSAIS'!$H:$H,F19)</f>
        <v/>
      </c>
      <c r="E19" s="107">
        <f>IFERROR(D19/IF(B19="Clientes",SUMIFS(PARÂMETROS!$B$8:$B$33,PARÂMETROS!$G$8:$G$33,F19),SUMIFS(PARÂMETROS!$C$8:$C$33,PARÂMETROS!$G$8:$G$33,F19)),0)</f>
        <v/>
      </c>
      <c r="F19" s="105" t="inlineStr">
        <is>
          <t>Maio/2026</t>
        </is>
      </c>
      <c r="G19" s="106">
        <f>IF(B19="Clientes",SUMIFS(PARÂMETROS!$B$8:$B$33,PARÂMETROS!$G$8:$G$33,F19),SUMIFS(PARÂMETROS!$C$8:$C$33,PARÂMETROS!$G$8:$G$33,F19))</f>
        <v/>
      </c>
    </row>
    <row r="20" ht="15" customHeight="1" s="75">
      <c r="A20" s="101" t="inlineStr">
        <is>
          <t>Engenharia</t>
        </is>
      </c>
      <c r="B20" s="102" t="inlineStr">
        <is>
          <t>Clientes</t>
        </is>
      </c>
      <c r="C20" s="103" t="inlineStr">
        <is>
          <t>Engenharia realiza a instalação e manutenção da infraestrutura de rede</t>
        </is>
      </c>
      <c r="D20" s="107">
        <f>SUMIFS('CUSTOS MENSAIS'!$F:$F,'CUSTOS MENSAIS'!$A:$A,A20,'CUSTOS MENSAIS'!$H:$H,F20)</f>
        <v/>
      </c>
      <c r="E20" s="107">
        <f>IFERROR(D20/IF(B20="Clientes",SUMIFS(PARÂMETROS!$B$8:$B$33,PARÂMETROS!$G$8:$G$33,F20),SUMIFS(PARÂMETROS!$C$8:$C$33,PARÂMETROS!$G$8:$G$33,F20)),0)</f>
        <v/>
      </c>
      <c r="F20" s="105" t="inlineStr">
        <is>
          <t>Maio/2026</t>
        </is>
      </c>
      <c r="G20" s="106">
        <f>IF(B20="Clientes",SUMIFS(PARÂMETROS!$B$8:$B$33,PARÂMETROS!$G$8:$G$33,F20),SUMIFS(PARÂMETROS!$C$8:$C$33,PARÂMETROS!$G$8:$G$33,F20))</f>
        <v/>
      </c>
    </row>
    <row r="21" ht="15" customHeight="1" s="75">
      <c r="A21" s="101" t="inlineStr">
        <is>
          <t>Obras</t>
        </is>
      </c>
      <c r="B21" s="102" t="inlineStr">
        <is>
          <t>Clientes</t>
        </is>
      </c>
      <c r="C21" s="103" t="inlineStr">
        <is>
          <t>Obras executa construção e manutenção civil da infraestrutura</t>
        </is>
      </c>
      <c r="D21" s="107">
        <f>SUMIFS('CUSTOS MENSAIS'!$F:$F,'CUSTOS MENSAIS'!$A:$A,A21,'CUSTOS MENSAIS'!$H:$H,F21)</f>
        <v/>
      </c>
      <c r="E21" s="107">
        <f>IFERROR(D21/IF(B21="Clientes",SUMIFS(PARÂMETROS!$B$8:$B$33,PARÂMETROS!$G$8:$G$33,F21),SUMIFS(PARÂMETROS!$C$8:$C$33,PARÂMETROS!$G$8:$G$33,F21)),0)</f>
        <v/>
      </c>
      <c r="F21" s="105" t="inlineStr">
        <is>
          <t>Maio/2026</t>
        </is>
      </c>
      <c r="G21" s="106">
        <f>IF(B21="Clientes",SUMIFS(PARÂMETROS!$B$8:$B$33,PARÂMETROS!$G$8:$G$33,F21),SUMIFS(PARÂMETROS!$C$8:$C$33,PARÂMETROS!$G$8:$G$33,F21))</f>
        <v/>
      </c>
    </row>
    <row r="22" ht="15" customHeight="1" s="75">
      <c r="A22" s="101" t="inlineStr">
        <is>
          <t>Manutenção Predial</t>
        </is>
      </c>
      <c r="B22" s="102" t="inlineStr">
        <is>
          <t>Clientes</t>
        </is>
      </c>
      <c r="C22" s="103" t="inlineStr">
        <is>
          <t>Manutenção Predial cuida da manutenção das instalações físicas</t>
        </is>
      </c>
      <c r="D22" s="107">
        <f>SUMIFS('CUSTOS MENSAIS'!$F:$F,'CUSTOS MENSAIS'!$A:$A,A22,'CUSTOS MENSAIS'!$H:$H,F22)</f>
        <v/>
      </c>
      <c r="E22" s="107">
        <f>IFERROR(D22/IF(B22="Clientes",SUMIFS(PARÂMETROS!$B$8:$B$33,PARÂMETROS!$G$8:$G$33,F22),SUMIFS(PARÂMETROS!$C$8:$C$33,PARÂMETROS!$G$8:$G$33,F22)),0)</f>
        <v/>
      </c>
      <c r="F22" s="105" t="inlineStr">
        <is>
          <t>Maio/2026</t>
        </is>
      </c>
      <c r="G22" s="106">
        <f>IF(B22="Clientes",SUMIFS(PARÂMETROS!$B$8:$B$33,PARÂMETROS!$G$8:$G$33,F22),SUMIFS(PARÂMETROS!$C$8:$C$33,PARÂMETROS!$G$8:$G$33,F22))</f>
        <v/>
      </c>
    </row>
    <row r="23" ht="15" customHeight="1" s="75">
      <c r="A23" s="101" t="inlineStr">
        <is>
          <t>Logística</t>
        </is>
      </c>
      <c r="B23" s="102" t="inlineStr">
        <is>
          <t>Clientes</t>
        </is>
      </c>
      <c r="C23" s="103" t="inlineStr">
        <is>
          <t>Logística administra o armazenamento e a distribuição de materiais e equipamentos</t>
        </is>
      </c>
      <c r="D23" s="107">
        <f>SUMIFS('CUSTOS MENSAIS'!$F:$F,'CUSTOS MENSAIS'!$A:$A,A23,'CUSTOS MENSAIS'!$H:$H,F23)</f>
        <v/>
      </c>
      <c r="E23" s="107">
        <f>IFERROR(D23/IF(B23="Clientes",SUMIFS(PARÂMETROS!$B$8:$B$33,PARÂMETROS!$G$8:$G$33,F23),SUMIFS(PARÂMETROS!$C$8:$C$33,PARÂMETROS!$G$8:$G$33,F23)),0)</f>
        <v/>
      </c>
      <c r="F23" s="105" t="inlineStr">
        <is>
          <t>Maio/2026</t>
        </is>
      </c>
      <c r="G23" s="106">
        <f>IF(B23="Clientes",SUMIFS(PARÂMETROS!$B$8:$B$33,PARÂMETROS!$G$8:$G$33,F23),SUMIFS(PARÂMETROS!$C$8:$C$33,PARÂMETROS!$G$8:$G$33,F23))</f>
        <v/>
      </c>
    </row>
    <row r="24" ht="15" customHeight="1" s="75">
      <c r="A24" s="101" t="inlineStr">
        <is>
          <t>Oficina</t>
        </is>
      </c>
      <c r="B24" s="102" t="inlineStr">
        <is>
          <t>Clientes</t>
        </is>
      </c>
      <c r="C24" s="103" t="inlineStr">
        <is>
          <t>Oficina realiza a manutenção da frota de veículos</t>
        </is>
      </c>
      <c r="D24" s="107">
        <f>SUMIFS('CUSTOS MENSAIS'!$F:$F,'CUSTOS MENSAIS'!$A:$A,A24,'CUSTOS MENSAIS'!$H:$H,F24)</f>
        <v/>
      </c>
      <c r="E24" s="107">
        <f>IFERROR(D24/IF(B24="Clientes",SUMIFS(PARÂMETROS!$B$8:$B$33,PARÂMETROS!$G$8:$G$33,F24),SUMIFS(PARÂMETROS!$C$8:$C$33,PARÂMETROS!$G$8:$G$33,F24)),0)</f>
        <v/>
      </c>
      <c r="F24" s="105" t="inlineStr">
        <is>
          <t>Maio/2026</t>
        </is>
      </c>
      <c r="G24" s="106">
        <f>IF(B24="Clientes",SUMIFS(PARÂMETROS!$B$8:$B$33,PARÂMETROS!$G$8:$G$33,F24),SUMIFS(PARÂMETROS!$C$8:$C$33,PARÂMETROS!$G$8:$G$33,F24))</f>
        <v/>
      </c>
    </row>
    <row r="25" ht="15" customHeight="1" s="75">
      <c r="A25" s="101" t="inlineStr">
        <is>
          <t>Estoque</t>
        </is>
      </c>
      <c r="B25" s="102" t="inlineStr">
        <is>
          <t>Clientes</t>
        </is>
      </c>
      <c r="C25" s="103" t="inlineStr">
        <is>
          <t>Estoque controla o armazenamento e a movimentação de materiais</t>
        </is>
      </c>
      <c r="D25" s="107">
        <f>SUMIFS('CUSTOS MENSAIS'!$F:$F,'CUSTOS MENSAIS'!$A:$A,A25,'CUSTOS MENSAIS'!$H:$H,F25)</f>
        <v/>
      </c>
      <c r="E25" s="107">
        <f>IFERROR(D25/IF(B25="Clientes",SUMIFS(PARÂMETROS!$B$8:$B$33,PARÂMETROS!$G$8:$G$33,F25),SUMIFS(PARÂMETROS!$C$8:$C$33,PARÂMETROS!$G$8:$G$33,F25)),0)</f>
        <v/>
      </c>
      <c r="F25" s="105" t="inlineStr">
        <is>
          <t>Maio/2026</t>
        </is>
      </c>
      <c r="G25" s="106">
        <f>IF(B25="Clientes",SUMIFS(PARÂMETROS!$B$8:$B$33,PARÂMETROS!$G$8:$G$33,F25),SUMIFS(PARÂMETROS!$C$8:$C$33,PARÂMETROS!$G$8:$G$33,F25))</f>
        <v/>
      </c>
    </row>
    <row r="26" ht="15" customHeight="1" s="75">
      <c r="A26" s="101" t="inlineStr">
        <is>
          <t>Televendas</t>
        </is>
      </c>
      <c r="B26" s="102" t="inlineStr">
        <is>
          <t>Clientes</t>
        </is>
      </c>
      <c r="C26" s="103" t="inlineStr">
        <is>
          <t>Televendas realiza vendas por telefone para novos clientes</t>
        </is>
      </c>
      <c r="D26" s="107">
        <f>SUMIFS('CUSTOS MENSAIS'!$F:$F,'CUSTOS MENSAIS'!$A:$A,A26,'CUSTOS MENSAIS'!$H:$H,F26)</f>
        <v/>
      </c>
      <c r="E26" s="107">
        <f>IFERROR(D26/IF(B26="Clientes",SUMIFS(PARÂMETROS!$B$8:$B$33,PARÂMETROS!$G$8:$G$33,F26),SUMIFS(PARÂMETROS!$C$8:$C$33,PARÂMETROS!$G$8:$G$33,F26)),0)</f>
        <v/>
      </c>
      <c r="F26" s="105" t="inlineStr">
        <is>
          <t>Maio/2026</t>
        </is>
      </c>
      <c r="G26" s="106">
        <f>IF(B26="Clientes",SUMIFS(PARÂMETROS!$B$8:$B$33,PARÂMETROS!$G$8:$G$33,F26),SUMIFS(PARÂMETROS!$C$8:$C$33,PARÂMETROS!$G$8:$G$33,F26))</f>
        <v/>
      </c>
    </row>
    <row r="27" ht="15" customHeight="1" s="75">
      <c r="A27" s="101" t="inlineStr">
        <is>
          <t>Suporte Orbix</t>
        </is>
      </c>
      <c r="B27" s="102" t="inlineStr">
        <is>
          <t>Clientes</t>
        </is>
      </c>
      <c r="C27" s="103" t="inlineStr">
        <is>
          <t>Suporte Orbix dá suporte técnico à operação Orbix</t>
        </is>
      </c>
      <c r="D27" s="107">
        <f>SUMIFS('CUSTOS MENSAIS'!$F:$F,'CUSTOS MENSAIS'!$A:$A,A27,'CUSTOS MENSAIS'!$H:$H,F27)</f>
        <v/>
      </c>
      <c r="E27" s="107">
        <f>IFERROR(D27/IF(B27="Clientes",SUMIFS(PARÂMETROS!$B$8:$B$33,PARÂMETROS!$G$8:$G$33,F27),SUMIFS(PARÂMETROS!$C$8:$C$33,PARÂMETROS!$G$8:$G$33,F27)),0)</f>
        <v/>
      </c>
      <c r="F27" s="105" t="inlineStr">
        <is>
          <t>Maio/2026</t>
        </is>
      </c>
      <c r="G27" s="106">
        <f>IF(B27="Clientes",SUMIFS(PARÂMETROS!$B$8:$B$33,PARÂMETROS!$G$8:$G$33,F27),SUMIFS(PARÂMETROS!$C$8:$C$33,PARÂMETROS!$G$8:$G$33,F27))</f>
        <v/>
      </c>
    </row>
    <row r="28" ht="15" customHeight="1" s="75">
      <c r="A28" s="101" t="inlineStr">
        <is>
          <t>Suporte da Central</t>
        </is>
      </c>
      <c r="B28" s="102" t="inlineStr">
        <is>
          <t>Clientes</t>
        </is>
      </c>
      <c r="C28" s="103" t="inlineStr">
        <is>
          <t>Suporte da Central dá suporte técnico à central de atendimento</t>
        </is>
      </c>
      <c r="D28" s="107">
        <f>SUMIFS('CUSTOS MENSAIS'!$F:$F,'CUSTOS MENSAIS'!$A:$A,A28,'CUSTOS MENSAIS'!$H:$H,F28)</f>
        <v/>
      </c>
      <c r="E28" s="107">
        <f>IFERROR(D28/IF(B28="Clientes",SUMIFS(PARÂMETROS!$B$8:$B$33,PARÂMETROS!$G$8:$G$33,F28),SUMIFS(PARÂMETROS!$C$8:$C$33,PARÂMETROS!$G$8:$G$33,F28)),0)</f>
        <v/>
      </c>
      <c r="F28" s="105" t="inlineStr">
        <is>
          <t>Maio/2026</t>
        </is>
      </c>
      <c r="G28" s="106">
        <f>IF(B28="Clientes",SUMIFS(PARÂMETROS!$B$8:$B$33,PARÂMETROS!$G$8:$G$33,F28),SUMIFS(PARÂMETROS!$C$8:$C$33,PARÂMETROS!$G$8:$G$33,F28))</f>
        <v/>
      </c>
    </row>
    <row r="29" ht="15" customHeight="1" s="75">
      <c r="A29" s="101" t="inlineStr">
        <is>
          <t>Comercial Corporativo</t>
        </is>
      </c>
      <c r="B29" s="102" t="inlineStr">
        <is>
          <t>Clientes</t>
        </is>
      </c>
      <c r="C29" s="103" t="inlineStr">
        <is>
          <t>Comercial Corporativo realiza vendas para clientes corporativos</t>
        </is>
      </c>
      <c r="D29" s="107">
        <f>SUMIFS('CUSTOS MENSAIS'!$F:$F,'CUSTOS MENSAIS'!$A:$A,A29,'CUSTOS MENSAIS'!$H:$H,F29)</f>
        <v/>
      </c>
      <c r="E29" s="107">
        <f>IFERROR(D29/IF(B29="Clientes",SUMIFS(PARÂMETROS!$B$8:$B$33,PARÂMETROS!$G$8:$G$33,F29),SUMIFS(PARÂMETROS!$C$8:$C$33,PARÂMETROS!$G$8:$G$33,F29)),0)</f>
        <v/>
      </c>
      <c r="F29" s="105" t="inlineStr">
        <is>
          <t>Maio/2026</t>
        </is>
      </c>
      <c r="G29" s="106">
        <f>IF(B29="Clientes",SUMIFS(PARÂMETROS!$B$8:$B$33,PARÂMETROS!$G$8:$G$33,F29),SUMIFS(PARÂMETROS!$C$8:$C$33,PARÂMETROS!$G$8:$G$33,F29))</f>
        <v/>
      </c>
    </row>
    <row r="30" ht="15" customHeight="1" s="75">
      <c r="A30" s="101" t="inlineStr">
        <is>
          <t>Administrativo</t>
        </is>
      </c>
      <c r="B30" s="102" t="inlineStr">
        <is>
          <t>Funcionários</t>
        </is>
      </c>
      <c r="C30" s="103" t="inlineStr">
        <is>
          <t>Administrativo reúne os softwares e sistemas corporativos usados pela operação</t>
        </is>
      </c>
      <c r="D30" s="107">
        <f>SUMIFS('CUSTOS MENSAIS'!$F:$F,'CUSTOS MENSAIS'!$A:$A,A30,'CUSTOS MENSAIS'!$H:$H,F30)</f>
        <v/>
      </c>
      <c r="E30" s="107">
        <f>IFERROR(D30/IF(B30="Clientes",SUMIFS(PARÂMETROS!$B$8:$B$33,PARÂMETROS!$G$8:$G$33,F30),SUMIFS(PARÂMETROS!$C$8:$C$33,PARÂMETROS!$G$8:$G$33,F30)),0)</f>
        <v/>
      </c>
      <c r="F30" s="105" t="inlineStr">
        <is>
          <t>Maio/2026</t>
        </is>
      </c>
      <c r="G30" s="106">
        <f>IF(B30="Clientes",SUMIFS(PARÂMETROS!$B$8:$B$33,PARÂMETROS!$G$8:$G$33,F30),SUMIFS(PARÂMETROS!$C$8:$C$33,PARÂMETROS!$G$8:$G$33,F30))</f>
        <v/>
      </c>
    </row>
    <row r="31" ht="15" customHeight="1" s="75">
      <c r="A31" s="101" t="inlineStr">
        <is>
          <t>Qualidade</t>
        </is>
      </c>
      <c r="B31" s="102" t="inlineStr">
        <is>
          <t>Clientes</t>
        </is>
      </c>
      <c r="C31" s="103" t="inlineStr">
        <is>
          <t>Área de Qualidade garante o padrão de atendimento e dos serviços prestados aos clientes</t>
        </is>
      </c>
      <c r="D31" s="107">
        <f>SUMIFS('CUSTOS MENSAIS'!$F:$F,'CUSTOS MENSAIS'!$A:$A,A31,'CUSTOS MENSAIS'!$H:$H,F31)</f>
        <v/>
      </c>
      <c r="E31" s="107">
        <f>IFERROR(D31/IF(B31="Clientes",SUMIFS(PARÂMETROS!$B$8:$B$33,PARÂMETROS!$G$8:$G$33,F31),SUMIFS(PARÂMETROS!$C$8:$C$33,PARÂMETROS!$G$8:$G$33,F31)),0)</f>
        <v/>
      </c>
      <c r="F31" s="105" t="inlineStr">
        <is>
          <t>Maio/2026</t>
        </is>
      </c>
      <c r="G31" s="106">
        <f>IF(B31="Clientes",SUMIFS(PARÂMETROS!$B$8:$B$33,PARÂMETROS!$G$8:$G$33,F31),SUMIFS(PARÂMETROS!$C$8:$C$33,PARÂMETROS!$G$8:$G$33,F31))</f>
        <v/>
      </c>
    </row>
    <row r="32" ht="15" customHeight="1" s="75">
      <c r="A32" s="101" t="inlineStr">
        <is>
          <t>Jurídico</t>
        </is>
      </c>
      <c r="B32" s="102" t="inlineStr">
        <is>
          <t>Clientes</t>
        </is>
      </c>
      <c r="C32" s="103" t="inlineStr">
        <is>
          <t>Jurídico atua nas demandas legais e contratuais da operação</t>
        </is>
      </c>
      <c r="D32" s="107">
        <f>SUMIFS('CUSTOS MENSAIS'!$F:$F,'CUSTOS MENSAIS'!$A:$A,A32,'CUSTOS MENSAIS'!$H:$H,F32)</f>
        <v/>
      </c>
      <c r="E32" s="107">
        <f>IFERROR(D32/IF(B32="Clientes",SUMIFS(PARÂMETROS!$B$8:$B$33,PARÂMETROS!$G$8:$G$33,F32),SUMIFS(PARÂMETROS!$C$8:$C$33,PARÂMETROS!$G$8:$G$33,F32)),0)</f>
        <v/>
      </c>
      <c r="F32" s="105" t="inlineStr">
        <is>
          <t>Maio/2026</t>
        </is>
      </c>
      <c r="G32" s="106">
        <f>IF(B32="Clientes",SUMIFS(PARÂMETROS!$B$8:$B$33,PARÂMETROS!$G$8:$G$33,F32),SUMIFS(PARÂMETROS!$C$8:$C$33,PARÂMETROS!$G$8:$G$33,F32))</f>
        <v/>
      </c>
    </row>
    <row r="33" ht="15" customHeight="1" s="75">
      <c r="A33" s="101" t="inlineStr">
        <is>
          <t>Marketing</t>
        </is>
      </c>
      <c r="B33" s="102" t="inlineStr">
        <is>
          <t>Clientes</t>
        </is>
      </c>
      <c r="C33" s="103" t="inlineStr">
        <is>
          <t>Marketing atua na captação, retenção e comunicação com a base de clientes</t>
        </is>
      </c>
      <c r="D33" s="107">
        <f>SUMIFS('CUSTOS MENSAIS'!$F:$F,'CUSTOS MENSAIS'!$A:$A,A33,'CUSTOS MENSAIS'!$H:$H,F33)</f>
        <v/>
      </c>
      <c r="E33" s="107">
        <f>IFERROR(D33/IF(B33="Clientes",SUMIFS(PARÂMETROS!$B$8:$B$33,PARÂMETROS!$G$8:$G$33,F33),SUMIFS(PARÂMETROS!$C$8:$C$33,PARÂMETROS!$G$8:$G$33,F33)),0)</f>
        <v/>
      </c>
      <c r="F33" s="105" t="inlineStr">
        <is>
          <t>Maio/2026</t>
        </is>
      </c>
      <c r="G33" s="106">
        <f>IF(B33="Clientes",SUMIFS(PARÂMETROS!$B$8:$B$33,PARÂMETROS!$G$8:$G$33,F33),SUMIFS(PARÂMETROS!$C$8:$C$33,PARÂMETROS!$G$8:$G$33,F33))</f>
        <v/>
      </c>
    </row>
    <row r="34" ht="14.25" customHeight="1" s="75">
      <c r="A34" s="101" t="inlineStr">
        <is>
          <t>TIC</t>
        </is>
      </c>
      <c r="B34" s="102" t="inlineStr">
        <is>
          <t>Clientes</t>
        </is>
      </c>
      <c r="C34" s="103" t="inlineStr">
        <is>
          <t>TIC dá suporte de infraestrutura de tecnologia à operação voltada aos clientes</t>
        </is>
      </c>
      <c r="D34" s="107">
        <f>SUMIFS('CUSTOS MENSAIS'!$F:$F,'CUSTOS MENSAIS'!$A:$A,A34,'CUSTOS MENSAIS'!$H:$H,F34)</f>
        <v/>
      </c>
      <c r="E34" s="107">
        <f>IFERROR(D34/IF(B34="Clientes",SUMIFS(PARÂMETROS!$B$8:$B$33,PARÂMETROS!$G$8:$G$33,F34),SUMIFS(PARÂMETROS!$C$8:$C$33,PARÂMETROS!$G$8:$G$33,F34)),0)</f>
        <v/>
      </c>
      <c r="F34" s="105" t="inlineStr">
        <is>
          <t>Maio/2026</t>
        </is>
      </c>
      <c r="G34" s="106">
        <f>IF(B34="Clientes",SUMIFS(PARÂMETROS!$B$8:$B$33,PARÂMETROS!$G$8:$G$33,F34),SUMIFS(PARÂMETROS!$C$8:$C$33,PARÂMETROS!$G$8:$G$33,F34))</f>
        <v/>
      </c>
    </row>
    <row r="35" ht="14.25" customHeight="1" s="75">
      <c r="A35" s="101" t="inlineStr">
        <is>
          <t>COE</t>
        </is>
      </c>
      <c r="B35" s="102" t="inlineStr">
        <is>
          <t>Clientes</t>
        </is>
      </c>
      <c r="C35" s="103" t="inlineStr">
        <is>
          <t>Centro de Operações Especiais (COE) trata despacho e demandas operacionais ligadas à base de clientes</t>
        </is>
      </c>
      <c r="D35" s="107">
        <f>SUMIFS('CUSTOS MENSAIS'!$F:$F,'CUSTOS MENSAIS'!$A:$A,A35,'CUSTOS MENSAIS'!$H:$H,F35)</f>
        <v/>
      </c>
      <c r="E35" s="107">
        <f>IFERROR(D35/IF(B35="Clientes",SUMIFS(PARÂMETROS!$B$8:$B$33,PARÂMETROS!$G$8:$G$33,F35),SUMIFS(PARÂMETROS!$C$8:$C$33,PARÂMETROS!$G$8:$G$33,F35)),0)</f>
        <v/>
      </c>
      <c r="F35" s="105" t="inlineStr">
        <is>
          <t>Maio/2026</t>
        </is>
      </c>
      <c r="G35" s="106">
        <f>IF(B35="Clientes",SUMIFS(PARÂMETROS!$B$8:$B$33,PARÂMETROS!$G$8:$G$33,F35),SUMIFS(PARÂMETROS!$C$8:$C$33,PARÂMETROS!$G$8:$G$33,F35))</f>
        <v/>
      </c>
    </row>
    <row r="36" ht="14.25" customHeight="1" s="75">
      <c r="A36" s="101" t="inlineStr">
        <is>
          <t>Fique Móvel</t>
        </is>
      </c>
      <c r="B36" s="102" t="inlineStr">
        <is>
          <t>Clientes</t>
        </is>
      </c>
      <c r="C36" s="103" t="inlineStr">
        <is>
          <t>Fique Móvel é equipe de vendas que atua diretamente na captação de clientes</t>
        </is>
      </c>
      <c r="D36" s="107">
        <f>SUMIFS('CUSTOS MENSAIS'!$F:$F,'CUSTOS MENSAIS'!$A:$A,A36,'CUSTOS MENSAIS'!$H:$H,F36)</f>
        <v/>
      </c>
      <c r="E36" s="107">
        <f>IFERROR(D36/IF(B36="Clientes",SUMIFS(PARÂMETROS!$B$8:$B$33,PARÂMETROS!$G$8:$G$33,F36),SUMIFS(PARÂMETROS!$C$8:$C$33,PARÂMETROS!$G$8:$G$33,F36)),0)</f>
        <v/>
      </c>
      <c r="F36" s="105" t="inlineStr">
        <is>
          <t>Maio/2026</t>
        </is>
      </c>
      <c r="G36" s="106">
        <f>IF(B36="Clientes",SUMIFS(PARÂMETROS!$B$8:$B$33,PARÂMETROS!$G$8:$G$33,F36),SUMIFS(PARÂMETROS!$C$8:$C$33,PARÂMETROS!$G$8:$G$33,F36))</f>
        <v/>
      </c>
    </row>
    <row r="37" ht="14.25" customHeight="1" s="75">
      <c r="A37" s="101" t="inlineStr">
        <is>
          <t>Lançamento</t>
        </is>
      </c>
      <c r="B37" s="102" t="inlineStr">
        <is>
          <t>Clientes</t>
        </is>
      </c>
      <c r="C37" s="103" t="inlineStr">
        <is>
          <t>Equipe de Lançamento realiza a instalação/lançamento de rede para atender novos clientes</t>
        </is>
      </c>
      <c r="D37" s="107">
        <f>SUMIFS('CUSTOS MENSAIS'!$F:$F,'CUSTOS MENSAIS'!$A:$A,A37,'CUSTOS MENSAIS'!$H:$H,F37)</f>
        <v/>
      </c>
      <c r="E37" s="107">
        <f>IFERROR(D37/IF(B37="Clientes",SUMIFS(PARÂMETROS!$B$8:$B$33,PARÂMETROS!$G$8:$G$33,F37),SUMIFS(PARÂMETROS!$C$8:$C$33,PARÂMETROS!$G$8:$G$33,F37)),0)</f>
        <v/>
      </c>
      <c r="F37" s="105" t="inlineStr">
        <is>
          <t>Maio/2026</t>
        </is>
      </c>
      <c r="G37" s="106">
        <f>IF(B37="Clientes",SUMIFS(PARÂMETROS!$B$8:$B$33,PARÂMETROS!$G$8:$G$33,F37),SUMIFS(PARÂMETROS!$C$8:$C$33,PARÂMETROS!$G$8:$G$33,F37))</f>
        <v/>
      </c>
    </row>
    <row r="38" ht="14.25" customHeight="1" s="75">
      <c r="A38" s="101" t="inlineStr">
        <is>
          <t>Fusão</t>
        </is>
      </c>
      <c r="B38" s="102" t="inlineStr">
        <is>
          <t>Clientes</t>
        </is>
      </c>
      <c r="C38" s="103" t="inlineStr">
        <is>
          <t>Equipe de Fusão realiza fusão/manutenção de fibra óptica para atender a base de clientes</t>
        </is>
      </c>
      <c r="D38" s="107">
        <f>SUMIFS('CUSTOS MENSAIS'!$F:$F,'CUSTOS MENSAIS'!$A:$A,A38,'CUSTOS MENSAIS'!$H:$H,F38)</f>
        <v/>
      </c>
      <c r="E38" s="107">
        <f>IFERROR(D38/IF(B38="Clientes",SUMIFS(PARÂMETROS!$B$8:$B$33,PARÂMETROS!$G$8:$G$33,F38),SUMIFS(PARÂMETROS!$C$8:$C$33,PARÂMETROS!$G$8:$G$33,F38)),0)</f>
        <v/>
      </c>
      <c r="F38" s="105" t="inlineStr">
        <is>
          <t>Maio/2026</t>
        </is>
      </c>
      <c r="G38" s="106">
        <f>IF(B38="Clientes",SUMIFS(PARÂMETROS!$B$8:$B$33,PARÂMETROS!$G$8:$G$33,F38),SUMIFS(PARÂMETROS!$C$8:$C$33,PARÂMETROS!$G$8:$G$33,F38))</f>
        <v/>
      </c>
    </row>
    <row r="39" ht="14.25" customHeight="1" s="75">
      <c r="A39" s="101" t="inlineStr">
        <is>
          <t>Diretoria Adm</t>
        </is>
      </c>
      <c r="B39" s="102" t="inlineStr">
        <is>
          <t>Clientes</t>
        </is>
      </c>
      <c r="C39" s="103" t="inlineStr">
        <is>
          <t>Diretoria Administrativa realiza a gestão administrativa executiva da operação</t>
        </is>
      </c>
      <c r="D39" s="107">
        <f>SUMIFS('CUSTOS MENSAIS'!$F:$F,'CUSTOS MENSAIS'!$A:$A,A39,'CUSTOS MENSAIS'!$H:$H,F39)</f>
        <v/>
      </c>
      <c r="E39" s="107">
        <f>IFERROR(D39/IF(B39="Clientes",SUMIFS(PARÂMETROS!$B$8:$B$33,PARÂMETROS!$G$8:$G$33,F39),SUMIFS(PARÂMETROS!$C$8:$C$33,PARÂMETROS!$G$8:$G$33,F39)),0)</f>
        <v/>
      </c>
      <c r="F39" s="105" t="inlineStr">
        <is>
          <t>Maio/2026</t>
        </is>
      </c>
      <c r="G39" s="106">
        <f>IF(B39="Clientes",SUMIFS(PARÂMETROS!$B$8:$B$33,PARÂMETROS!$G$8:$G$33,F39),SUMIFS(PARÂMETROS!$C$8:$C$33,PARÂMETROS!$G$8:$G$33,F39))</f>
        <v/>
      </c>
    </row>
    <row r="40" ht="14.25" customHeight="1" s="75">
      <c r="A40" s="101" t="inlineStr">
        <is>
          <t>Cozinha</t>
        </is>
      </c>
      <c r="B40" s="102" t="inlineStr">
        <is>
          <t>Funcionários</t>
        </is>
      </c>
      <c r="C40" s="103" t="inlineStr">
        <is>
          <t>Cozinha prepara as refeições dos colaboradores</t>
        </is>
      </c>
      <c r="D40" s="107">
        <f>SUMIFS('CUSTOS MENSAIS'!$F:$F,'CUSTOS MENSAIS'!$A:$A,A40,'CUSTOS MENSAIS'!$H:$H,F40)</f>
        <v/>
      </c>
      <c r="E40" s="107">
        <f>IFERROR(D40/G40,0)</f>
        <v/>
      </c>
      <c r="F40" s="105" t="inlineStr">
        <is>
          <t>Maio/2026</t>
        </is>
      </c>
      <c r="G40" s="106">
        <f>SUMIFS(PARÂMETROS!$C$8:$C$33,PARÂMETROS!$G$8:$G$33,F40,PARÂMETROS!$A$8:$A$33,"DTEL (uso próprio)")</f>
        <v/>
      </c>
    </row>
    <row r="41" ht="14.25" customHeight="1" s="75">
      <c r="A41" s="108" t="inlineStr">
        <is>
          <t>TOTAL GERAL — Maio/2026</t>
        </is>
      </c>
      <c r="B41" s="121" t="n"/>
      <c r="C41" s="110" t="n"/>
      <c r="D41" s="122">
        <f>SUM(D5:D40)+D114+D117</f>
        <v/>
      </c>
      <c r="E41" s="122" t="n"/>
      <c r="F41" s="121" t="n"/>
      <c r="G41" s="112" t="n"/>
    </row>
    <row r="42" ht="14.25" customHeight="1" s="75">
      <c r="A42" s="101" t="inlineStr">
        <is>
          <t>NOC</t>
        </is>
      </c>
      <c r="B42" s="102" t="inlineStr">
        <is>
          <t>Clientes</t>
        </is>
      </c>
      <c r="C42" s="103" t="inlineStr">
        <is>
          <t>Infraestrutura de rede/NOC escala com o nº de clientes ativos</t>
        </is>
      </c>
      <c r="D42" s="107">
        <f>SUMIFS('CUSTOS MENSAIS'!$F:$F,'CUSTOS MENSAIS'!$A:$A,A42,'CUSTOS MENSAIS'!$H:$H,F42)</f>
        <v/>
      </c>
      <c r="E42" s="107">
        <f>IFERROR(D42/IF(B42="Clientes",SUMIFS(PARÂMETROS!$B$8:$B$33,PARÂMETROS!$G$8:$G$33,F42),SUMIFS(PARÂMETROS!$C$8:$C$33,PARÂMETROS!$G$8:$G$33,F42)),0)</f>
        <v/>
      </c>
      <c r="F42" s="105" t="inlineStr">
        <is>
          <t>Junho/2026</t>
        </is>
      </c>
      <c r="G42" s="106">
        <f>IF(B42="Clientes",SUMIFS(PARÂMETROS!$B$8:$B$33,PARÂMETROS!$G$8:$G$33,F42),SUMIFS(PARÂMETROS!$C$8:$C$33,PARÂMETROS!$G$8:$G$33,F42))</f>
        <v/>
      </c>
    </row>
    <row r="43" ht="14.25" customHeight="1" s="75">
      <c r="A43" s="101" t="inlineStr">
        <is>
          <t>RH</t>
        </is>
      </c>
      <c r="B43" s="102" t="inlineStr">
        <is>
          <t>Funcionários</t>
        </is>
      </c>
      <c r="C43" s="103" t="inlineStr">
        <is>
          <t>Recursos Humanos atende diretamente aos colaboradores</t>
        </is>
      </c>
      <c r="D43" s="107">
        <f>SUMIFS('CUSTOS MENSAIS'!$F:$F,'CUSTOS MENSAIS'!$A:$A,A43,'CUSTOS MENSAIS'!$H:$H,F43)</f>
        <v/>
      </c>
      <c r="E43" s="107">
        <f>IFERROR(D43/IF(B43="Clientes",SUMIFS(PARÂMETROS!$B$8:$B$33,PARÂMETROS!$G$8:$G$33,F43),SUMIFS(PARÂMETROS!$C$8:$C$33,PARÂMETROS!$G$8:$G$33,F43)),0)</f>
        <v/>
      </c>
      <c r="F43" s="105" t="inlineStr">
        <is>
          <t>Junho/2026</t>
        </is>
      </c>
      <c r="G43" s="106">
        <f>IF(B43="Clientes",SUMIFS(PARÂMETROS!$B$8:$B$33,PARÂMETROS!$G$8:$G$33,F43),SUMIFS(PARÂMETROS!$C$8:$C$33,PARÂMETROS!$G$8:$G$33,F43))</f>
        <v/>
      </c>
    </row>
    <row r="44" ht="14.25" customHeight="1" s="75">
      <c r="A44" s="101" t="inlineStr">
        <is>
          <t>DP</t>
        </is>
      </c>
      <c r="B44" s="102" t="inlineStr">
        <is>
          <t>Funcionários</t>
        </is>
      </c>
      <c r="C44" s="103" t="inlineStr">
        <is>
          <t>Departamento Pessoal atende à folha de colaboradores</t>
        </is>
      </c>
      <c r="D44" s="107">
        <f>SUMIFS('CUSTOS MENSAIS'!$F:$F,'CUSTOS MENSAIS'!$A:$A,A44,'CUSTOS MENSAIS'!$H:$H,F44)</f>
        <v/>
      </c>
      <c r="E44" s="107">
        <f>IFERROR(D44/IF(B44="Clientes",SUMIFS(PARÂMETROS!$B$8:$B$33,PARÂMETROS!$G$8:$G$33,F44),SUMIFS(PARÂMETROS!$C$8:$C$33,PARÂMETROS!$G$8:$G$33,F44)),0)</f>
        <v/>
      </c>
      <c r="F44" s="105" t="inlineStr">
        <is>
          <t>Junho/2026</t>
        </is>
      </c>
      <c r="G44" s="106">
        <f>IF(B44="Clientes",SUMIFS(PARÂMETROS!$B$8:$B$33,PARÂMETROS!$G$8:$G$33,F44),SUMIFS(PARÂMETROS!$C$8:$C$33,PARÂMETROS!$G$8:$G$33,F44))</f>
        <v/>
      </c>
    </row>
    <row r="45" ht="14.25" customHeight="1" s="75">
      <c r="A45" s="101" t="inlineStr">
        <is>
          <t>Gestão de Atendimento</t>
        </is>
      </c>
      <c r="B45" s="102" t="inlineStr">
        <is>
          <t>Clientes</t>
        </is>
      </c>
      <c r="C45" s="103" t="inlineStr">
        <is>
          <t>Atendimento administrativo e presencial de loja escala com o volume de clientes atendidos</t>
        </is>
      </c>
      <c r="D45" s="107">
        <f>SUMIFS('CUSTOS MENSAIS'!$F:$F,'CUSTOS MENSAIS'!$A:$A,A45,'CUSTOS MENSAIS'!$H:$H,F45)</f>
        <v/>
      </c>
      <c r="E45" s="107">
        <f>IFERROR(D45/IF(B45="Clientes",SUMIFS(PARÂMETROS!$B$8:$B$33,PARÂMETROS!$G$8:$G$33,F45),SUMIFS(PARÂMETROS!$C$8:$C$33,PARÂMETROS!$G$8:$G$33,F45)),0)</f>
        <v/>
      </c>
      <c r="F45" s="105" t="inlineStr">
        <is>
          <t>Junho/2026</t>
        </is>
      </c>
      <c r="G45" s="106">
        <f>IF(B45="Clientes",SUMIFS(PARÂMETROS!$B$8:$B$33,PARÂMETROS!$G$8:$G$33,F45),SUMIFS(PARÂMETROS!$C$8:$C$33,PARÂMETROS!$G$8:$G$33,F45))</f>
        <v/>
      </c>
    </row>
    <row r="46" ht="14.25" customHeight="1" s="75">
      <c r="A46" s="101" t="inlineStr">
        <is>
          <t>CAC</t>
        </is>
      </c>
      <c r="B46" s="102" t="inlineStr">
        <is>
          <t>Clientes</t>
        </is>
      </c>
      <c r="C46" s="103" t="inlineStr">
        <is>
          <t>Central de Atendimento ao Cliente atende diretamente a base de clientes de cada empresa</t>
        </is>
      </c>
      <c r="D46" s="107">
        <f>SUMIFS('CUSTOS MENSAIS'!$F:$F,'CUSTOS MENSAIS'!$A:$A,A46,'CUSTOS MENSAIS'!$H:$H,F46)</f>
        <v/>
      </c>
      <c r="E46" s="107">
        <f>IFERROR(D46/IF(B46="Clientes",SUMIFS(PARÂMETROS!$B$8:$B$33,PARÂMETROS!$G$8:$G$33,F46),SUMIFS(PARÂMETROS!$C$8:$C$33,PARÂMETROS!$G$8:$G$33,F46)),0)</f>
        <v/>
      </c>
      <c r="F46" s="105" t="inlineStr">
        <is>
          <t>Junho/2026</t>
        </is>
      </c>
      <c r="G46" s="106">
        <f>IF(B46="Clientes",SUMIFS(PARÂMETROS!$B$8:$B$33,PARÂMETROS!$G$8:$G$33,F46),SUMIFS(PARÂMETROS!$C$8:$C$33,PARÂMETROS!$G$8:$G$33,F46))</f>
        <v/>
      </c>
    </row>
    <row r="47" ht="14.25" customHeight="1" s="75">
      <c r="A47" s="101" t="inlineStr">
        <is>
          <t>Financeiro</t>
        </is>
      </c>
      <c r="B47" s="102" t="inlineStr">
        <is>
          <t>Clientes</t>
        </is>
      </c>
      <c r="C47" s="103" t="inlineStr">
        <is>
          <t>Financeiro cuida da gestão financeira e de faturamento da operação</t>
        </is>
      </c>
      <c r="D47" s="107">
        <f>SUMIFS('CUSTOS MENSAIS'!$F:$F,'CUSTOS MENSAIS'!$A:$A,A47,'CUSTOS MENSAIS'!$H:$H,F47)</f>
        <v/>
      </c>
      <c r="E47" s="107">
        <f>IFERROR(D47/IF(B47="Clientes",SUMIFS(PARÂMETROS!$B$8:$B$33,PARÂMETROS!$G$8:$G$33,F47),SUMIFS(PARÂMETROS!$C$8:$C$33,PARÂMETROS!$G$8:$G$33,F47)),0)</f>
        <v/>
      </c>
      <c r="F47" s="105" t="inlineStr">
        <is>
          <t>Junho/2026</t>
        </is>
      </c>
      <c r="G47" s="106">
        <f>IF(B47="Clientes",SUMIFS(PARÂMETROS!$B$8:$B$33,PARÂMETROS!$G$8:$G$33,F47),SUMIFS(PARÂMETROS!$C$8:$C$33,PARÂMETROS!$G$8:$G$33,F47))</f>
        <v/>
      </c>
    </row>
    <row r="48" ht="14.25" customHeight="1" s="75">
      <c r="A48" s="101" t="inlineStr">
        <is>
          <t>NRC</t>
        </is>
      </c>
      <c r="B48" s="102" t="inlineStr">
        <is>
          <t>Clientes</t>
        </is>
      </c>
      <c r="C48" s="103" t="inlineStr">
        <is>
          <t>Serviço de Atendimento ao Cliente escala com o volume de clientes atendidos</t>
        </is>
      </c>
      <c r="D48" s="107">
        <f>SUMIFS('CUSTOS MENSAIS'!$F:$F,'CUSTOS MENSAIS'!$A:$A,A48,'CUSTOS MENSAIS'!$H:$H,F48)</f>
        <v/>
      </c>
      <c r="E48" s="107">
        <f>IFERROR(D48/IF(B48="Clientes",SUMIFS(PARÂMETROS!$B$8:$B$33,PARÂMETROS!$G$8:$G$33,F48),SUMIFS(PARÂMETROS!$C$8:$C$33,PARÂMETROS!$G$8:$G$33,F48)),0)</f>
        <v/>
      </c>
      <c r="F48" s="105" t="inlineStr">
        <is>
          <t>Junho/2026</t>
        </is>
      </c>
      <c r="G48" s="106">
        <f>IF(B48="Clientes",SUMIFS(PARÂMETROS!$B$8:$B$33,PARÂMETROS!$G$8:$G$33,F48),SUMIFS(PARÂMETROS!$C$8:$C$33,PARÂMETROS!$G$8:$G$33,F48))</f>
        <v/>
      </c>
    </row>
    <row r="49" ht="14.25" customHeight="1" s="75">
      <c r="A49" s="101" t="inlineStr">
        <is>
          <t>Cobrança</t>
        </is>
      </c>
      <c r="B49" s="102" t="inlineStr">
        <is>
          <t>Clientes</t>
        </is>
      </c>
      <c r="C49" s="103" t="inlineStr">
        <is>
          <t>Cobrança atua sobre a carteira de clientes inadimplentes de cada empresa</t>
        </is>
      </c>
      <c r="D49" s="107">
        <f>SUMIFS('CUSTOS MENSAIS'!$F:$F,'CUSTOS MENSAIS'!$A:$A,A49,'CUSTOS MENSAIS'!$H:$H,F49)</f>
        <v/>
      </c>
      <c r="E49" s="107">
        <f>IFERROR(D49/IF(B49="Clientes",SUMIFS(PARÂMETROS!$B$8:$B$33,PARÂMETROS!$G$8:$G$33,F49),SUMIFS(PARÂMETROS!$C$8:$C$33,PARÂMETROS!$G$8:$G$33,F49)),0)</f>
        <v/>
      </c>
      <c r="F49" s="105" t="inlineStr">
        <is>
          <t>Junho/2026</t>
        </is>
      </c>
      <c r="G49" s="106">
        <f>IF(B49="Clientes",SUMIFS(PARÂMETROS!$B$8:$B$33,PARÂMETROS!$G$8:$G$33,F49),SUMIFS(PARÂMETROS!$C$8:$C$33,PARÂMETROS!$G$8:$G$33,F49))</f>
        <v/>
      </c>
    </row>
    <row r="50" ht="14.25" customHeight="1" s="75">
      <c r="A50" s="101" t="inlineStr">
        <is>
          <t>Retenção</t>
        </is>
      </c>
      <c r="B50" s="102" t="inlineStr">
        <is>
          <t>Clientes</t>
        </is>
      </c>
      <c r="C50" s="103" t="inlineStr">
        <is>
          <t>Retenção atua sobre a base de clientes de cada empresa para evitar cancelamento</t>
        </is>
      </c>
      <c r="D50" s="107">
        <f>SUMIFS('CUSTOS MENSAIS'!$F:$F,'CUSTOS MENSAIS'!$A:$A,A50,'CUSTOS MENSAIS'!$H:$H,F50)</f>
        <v/>
      </c>
      <c r="E50" s="107">
        <f>IFERROR(D50/IF(B50="Clientes",SUMIFS(PARÂMETROS!$B$8:$B$33,PARÂMETROS!$G$8:$G$33,F50),SUMIFS(PARÂMETROS!$C$8:$C$33,PARÂMETROS!$G$8:$G$33,F50)),0)</f>
        <v/>
      </c>
      <c r="F50" s="105" t="inlineStr">
        <is>
          <t>Junho/2026</t>
        </is>
      </c>
      <c r="G50" s="106">
        <f>IF(B50="Clientes",SUMIFS(PARÂMETROS!$B$8:$B$33,PARÂMETROS!$G$8:$G$33,F50),SUMIFS(PARÂMETROS!$C$8:$C$33,PARÂMETROS!$G$8:$G$33,F50))</f>
        <v/>
      </c>
    </row>
    <row r="51" ht="14.25" customHeight="1" s="75">
      <c r="A51" s="101" t="inlineStr">
        <is>
          <t>Contabilidade</t>
        </is>
      </c>
      <c r="B51" s="102" t="inlineStr">
        <is>
          <t>Clientes</t>
        </is>
      </c>
      <c r="C51" s="103" t="inlineStr">
        <is>
          <t>Contabilidade realiza a escrituração fiscal e contábil da operação</t>
        </is>
      </c>
      <c r="D51" s="107">
        <f>SUMIFS('CUSTOS MENSAIS'!$F:$F,'CUSTOS MENSAIS'!$A:$A,A51,'CUSTOS MENSAIS'!$H:$H,F51)</f>
        <v/>
      </c>
      <c r="E51" s="107">
        <f>IFERROR(D51/IF(B51="Clientes",SUMIFS(PARÂMETROS!$B$8:$B$33,PARÂMETROS!$G$8:$G$33,F51),SUMIFS(PARÂMETROS!$C$8:$C$33,PARÂMETROS!$G$8:$G$33,F51)),0)</f>
        <v/>
      </c>
      <c r="F51" s="105" t="inlineStr">
        <is>
          <t>Junho/2026</t>
        </is>
      </c>
      <c r="G51" s="106">
        <f>IF(B51="Clientes",SUMIFS(PARÂMETROS!$B$8:$B$33,PARÂMETROS!$G$8:$G$33,F51),SUMIFS(PARÂMETROS!$C$8:$C$33,PARÂMETROS!$G$8:$G$33,F51))</f>
        <v/>
      </c>
    </row>
    <row r="52" ht="14.25" customHeight="1" s="75">
      <c r="A52" s="101" t="inlineStr">
        <is>
          <t>Controladoria</t>
        </is>
      </c>
      <c r="B52" s="102" t="inlineStr">
        <is>
          <t>Clientes</t>
        </is>
      </c>
      <c r="C52" s="103" t="inlineStr">
        <is>
          <t>Controladoria acompanha os indicadores financeiros da operação</t>
        </is>
      </c>
      <c r="D52" s="107">
        <f>SUMIFS('CUSTOS MENSAIS'!$F:$F,'CUSTOS MENSAIS'!$A:$A,A52,'CUSTOS MENSAIS'!$H:$H,F52)</f>
        <v/>
      </c>
      <c r="E52" s="107">
        <f>IFERROR(D52/IF(B52="Clientes",SUMIFS(PARÂMETROS!$B$8:$B$33,PARÂMETROS!$G$8:$G$33,F52),SUMIFS(PARÂMETROS!$C$8:$C$33,PARÂMETROS!$G$8:$G$33,F52)),0)</f>
        <v/>
      </c>
      <c r="F52" s="105" t="inlineStr">
        <is>
          <t>Junho/2026</t>
        </is>
      </c>
      <c r="G52" s="106">
        <f>IF(B52="Clientes",SUMIFS(PARÂMETROS!$B$8:$B$33,PARÂMETROS!$G$8:$G$33,F52),SUMIFS(PARÂMETROS!$C$8:$C$33,PARÂMETROS!$G$8:$G$33,F52))</f>
        <v/>
      </c>
    </row>
    <row r="53" ht="14.25" customHeight="1" s="75">
      <c r="A53" s="101" t="inlineStr">
        <is>
          <t>Diretoria Operacional</t>
        </is>
      </c>
      <c r="B53" s="102" t="inlineStr">
        <is>
          <t>Clientes</t>
        </is>
      </c>
      <c r="C53" s="103" t="inlineStr">
        <is>
          <t>Diretoria Operacional coordena a operação das áreas técnicas e de atendimento</t>
        </is>
      </c>
      <c r="D53" s="107">
        <f>SUMIFS('CUSTOS MENSAIS'!$F:$F,'CUSTOS MENSAIS'!$A:$A,A53,'CUSTOS MENSAIS'!$H:$H,F53)</f>
        <v/>
      </c>
      <c r="E53" s="107">
        <f>IFERROR(D53/IF(B53="Clientes",SUMIFS(PARÂMETROS!$B$8:$B$33,PARÂMETROS!$G$8:$G$33,F53),SUMIFS(PARÂMETROS!$C$8:$C$33,PARÂMETROS!$G$8:$G$33,F53)),0)</f>
        <v/>
      </c>
      <c r="F53" s="105" t="inlineStr">
        <is>
          <t>Junho/2026</t>
        </is>
      </c>
      <c r="G53" s="106">
        <f>IF(B53="Clientes",SUMIFS(PARÂMETROS!$B$8:$B$33,PARÂMETROS!$G$8:$G$33,F53),SUMIFS(PARÂMETROS!$C$8:$C$33,PARÂMETROS!$G$8:$G$33,F53))</f>
        <v/>
      </c>
    </row>
    <row r="54" ht="14.25" customHeight="1" s="75">
      <c r="A54" s="101" t="inlineStr">
        <is>
          <t>Compras</t>
        </is>
      </c>
      <c r="B54" s="102" t="inlineStr">
        <is>
          <t>Clientes</t>
        </is>
      </c>
      <c r="C54" s="103" t="inlineStr">
        <is>
          <t>Compras administra a aquisição de materiais e serviços para a operação</t>
        </is>
      </c>
      <c r="D54" s="107">
        <f>SUMIFS('CUSTOS MENSAIS'!$F:$F,'CUSTOS MENSAIS'!$A:$A,A54,'CUSTOS MENSAIS'!$H:$H,F54)</f>
        <v/>
      </c>
      <c r="E54" s="107">
        <f>IFERROR(D54/IF(B54="Clientes",SUMIFS(PARÂMETROS!$B$8:$B$33,PARÂMETROS!$G$8:$G$33,F54),SUMIFS(PARÂMETROS!$C$8:$C$33,PARÂMETROS!$G$8:$G$33,F54)),0)</f>
        <v/>
      </c>
      <c r="F54" s="105" t="inlineStr">
        <is>
          <t>Junho/2026</t>
        </is>
      </c>
      <c r="G54" s="106">
        <f>IF(B54="Clientes",SUMIFS(PARÂMETROS!$B$8:$B$33,PARÂMETROS!$G$8:$G$33,F54),SUMIFS(PARÂMETROS!$C$8:$C$33,PARÂMETROS!$G$8:$G$33,F54))</f>
        <v/>
      </c>
    </row>
    <row r="55" ht="14.25" customHeight="1" s="75">
      <c r="A55" s="101" t="inlineStr">
        <is>
          <t>Segurança do Trabalho</t>
        </is>
      </c>
      <c r="B55" s="102" t="inlineStr">
        <is>
          <t>Funcionários</t>
        </is>
      </c>
      <c r="C55" s="103" t="inlineStr">
        <is>
          <t>Segurança do Trabalho cuida da saúde e segurança dos colaboradores</t>
        </is>
      </c>
      <c r="D55" s="107">
        <f>SUMIFS('CUSTOS MENSAIS'!$F:$F,'CUSTOS MENSAIS'!$A:$A,A55,'CUSTOS MENSAIS'!$H:$H,F55)</f>
        <v/>
      </c>
      <c r="E55" s="107">
        <f>IFERROR(D55/IF(B55="Clientes",SUMIFS(PARÂMETROS!$B$8:$B$33,PARÂMETROS!$G$8:$G$33,F55),SUMIFS(PARÂMETROS!$C$8:$C$33,PARÂMETROS!$G$8:$G$33,F55)),0)</f>
        <v/>
      </c>
      <c r="F55" s="105" t="inlineStr">
        <is>
          <t>Junho/2026</t>
        </is>
      </c>
      <c r="G55" s="106">
        <f>IF(B55="Clientes",SUMIFS(PARÂMETROS!$B$8:$B$33,PARÂMETROS!$G$8:$G$33,F55),SUMIFS(PARÂMETROS!$C$8:$C$33,PARÂMETROS!$G$8:$G$33,F55))</f>
        <v/>
      </c>
    </row>
    <row r="56" ht="14.25" customHeight="1" s="75">
      <c r="A56" s="101" t="inlineStr">
        <is>
          <t>Engenharia</t>
        </is>
      </c>
      <c r="B56" s="102" t="inlineStr">
        <is>
          <t>Clientes</t>
        </is>
      </c>
      <c r="C56" s="103" t="inlineStr">
        <is>
          <t>Engenharia realiza a instalação e manutenção da infraestrutura de rede</t>
        </is>
      </c>
      <c r="D56" s="107">
        <f>SUMIFS('CUSTOS MENSAIS'!$F:$F,'CUSTOS MENSAIS'!$A:$A,A56,'CUSTOS MENSAIS'!$H:$H,F56)</f>
        <v/>
      </c>
      <c r="E56" s="107">
        <f>IFERROR(D56/IF(B56="Clientes",SUMIFS(PARÂMETROS!$B$8:$B$33,PARÂMETROS!$G$8:$G$33,F56),SUMIFS(PARÂMETROS!$C$8:$C$33,PARÂMETROS!$G$8:$G$33,F56)),0)</f>
        <v/>
      </c>
      <c r="F56" s="105" t="inlineStr">
        <is>
          <t>Junho/2026</t>
        </is>
      </c>
      <c r="G56" s="106">
        <f>IF(B56="Clientes",SUMIFS(PARÂMETROS!$B$8:$B$33,PARÂMETROS!$G$8:$G$33,F56),SUMIFS(PARÂMETROS!$C$8:$C$33,PARÂMETROS!$G$8:$G$33,F56))</f>
        <v/>
      </c>
    </row>
    <row r="57" ht="14.25" customHeight="1" s="75">
      <c r="A57" s="101" t="inlineStr">
        <is>
          <t>Obras</t>
        </is>
      </c>
      <c r="B57" s="102" t="inlineStr">
        <is>
          <t>Clientes</t>
        </is>
      </c>
      <c r="C57" s="103" t="inlineStr">
        <is>
          <t>Obras executa construção e manutenção civil da infraestrutura</t>
        </is>
      </c>
      <c r="D57" s="107">
        <f>SUMIFS('CUSTOS MENSAIS'!$F:$F,'CUSTOS MENSAIS'!$A:$A,A57,'CUSTOS MENSAIS'!$H:$H,F57)</f>
        <v/>
      </c>
      <c r="E57" s="107">
        <f>IFERROR(D57/IF(B57="Clientes",SUMIFS(PARÂMETROS!$B$8:$B$33,PARÂMETROS!$G$8:$G$33,F57),SUMIFS(PARÂMETROS!$C$8:$C$33,PARÂMETROS!$G$8:$G$33,F57)),0)</f>
        <v/>
      </c>
      <c r="F57" s="105" t="inlineStr">
        <is>
          <t>Junho/2026</t>
        </is>
      </c>
      <c r="G57" s="106">
        <f>IF(B57="Clientes",SUMIFS(PARÂMETROS!$B$8:$B$33,PARÂMETROS!$G$8:$G$33,F57),SUMIFS(PARÂMETROS!$C$8:$C$33,PARÂMETROS!$G$8:$G$33,F57))</f>
        <v/>
      </c>
    </row>
    <row r="58" ht="15" customHeight="1" s="75">
      <c r="A58" s="101" t="inlineStr">
        <is>
          <t>Manutenção Predial</t>
        </is>
      </c>
      <c r="B58" s="102" t="inlineStr">
        <is>
          <t>Clientes</t>
        </is>
      </c>
      <c r="C58" s="103" t="inlineStr">
        <is>
          <t>Manutenção Predial cuida da manutenção das instalações físicas</t>
        </is>
      </c>
      <c r="D58" s="107">
        <f>SUMIFS('CUSTOS MENSAIS'!$F:$F,'CUSTOS MENSAIS'!$A:$A,A58,'CUSTOS MENSAIS'!$H:$H,F58)</f>
        <v/>
      </c>
      <c r="E58" s="107">
        <f>IFERROR(D58/IF(B58="Clientes",SUMIFS(PARÂMETROS!$B$8:$B$33,PARÂMETROS!$G$8:$G$33,F58),SUMIFS(PARÂMETROS!$C$8:$C$33,PARÂMETROS!$G$8:$G$33,F58)),0)</f>
        <v/>
      </c>
      <c r="F58" s="105" t="inlineStr">
        <is>
          <t>Junho/2026</t>
        </is>
      </c>
      <c r="G58" s="106">
        <f>IF(B58="Clientes",SUMIFS(PARÂMETROS!$B$8:$B$33,PARÂMETROS!$G$8:$G$33,F58),SUMIFS(PARÂMETROS!$C$8:$C$33,PARÂMETROS!$G$8:$G$33,F58))</f>
        <v/>
      </c>
    </row>
    <row r="59" ht="15" customHeight="1" s="75">
      <c r="A59" s="101" t="inlineStr">
        <is>
          <t>Logística</t>
        </is>
      </c>
      <c r="B59" s="102" t="inlineStr">
        <is>
          <t>Clientes</t>
        </is>
      </c>
      <c r="C59" s="103" t="inlineStr">
        <is>
          <t>Logística administra o armazenamento e a distribuição de materiais e equipamentos</t>
        </is>
      </c>
      <c r="D59" s="107">
        <f>SUMIFS('CUSTOS MENSAIS'!$F:$F,'CUSTOS MENSAIS'!$A:$A,A59,'CUSTOS MENSAIS'!$H:$H,F59)</f>
        <v/>
      </c>
      <c r="E59" s="107">
        <f>IFERROR(D59/IF(B59="Clientes",SUMIFS(PARÂMETROS!$B$8:$B$33,PARÂMETROS!$G$8:$G$33,F59),SUMIFS(PARÂMETROS!$C$8:$C$33,PARÂMETROS!$G$8:$G$33,F59)),0)</f>
        <v/>
      </c>
      <c r="F59" s="105" t="inlineStr">
        <is>
          <t>Junho/2026</t>
        </is>
      </c>
      <c r="G59" s="106">
        <f>IF(B59="Clientes",SUMIFS(PARÂMETROS!$B$8:$B$33,PARÂMETROS!$G$8:$G$33,F59),SUMIFS(PARÂMETROS!$C$8:$C$33,PARÂMETROS!$G$8:$G$33,F59))</f>
        <v/>
      </c>
    </row>
    <row r="60" ht="15" customHeight="1" s="75">
      <c r="A60" s="101" t="inlineStr">
        <is>
          <t>Oficina</t>
        </is>
      </c>
      <c r="B60" s="102" t="inlineStr">
        <is>
          <t>Clientes</t>
        </is>
      </c>
      <c r="C60" s="103" t="inlineStr">
        <is>
          <t>Oficina realiza a manutenção da frota de veículos</t>
        </is>
      </c>
      <c r="D60" s="107">
        <f>SUMIFS('CUSTOS MENSAIS'!$F:$F,'CUSTOS MENSAIS'!$A:$A,A60,'CUSTOS MENSAIS'!$H:$H,F60)</f>
        <v/>
      </c>
      <c r="E60" s="107">
        <f>IFERROR(D60/IF(B60="Clientes",SUMIFS(PARÂMETROS!$B$8:$B$33,PARÂMETROS!$G$8:$G$33,F60),SUMIFS(PARÂMETROS!$C$8:$C$33,PARÂMETROS!$G$8:$G$33,F60)),0)</f>
        <v/>
      </c>
      <c r="F60" s="105" t="inlineStr">
        <is>
          <t>Junho/2026</t>
        </is>
      </c>
      <c r="G60" s="106">
        <f>IF(B60="Clientes",SUMIFS(PARÂMETROS!$B$8:$B$33,PARÂMETROS!$G$8:$G$33,F60),SUMIFS(PARÂMETROS!$C$8:$C$33,PARÂMETROS!$G$8:$G$33,F60))</f>
        <v/>
      </c>
    </row>
    <row r="61" ht="15" customHeight="1" s="75">
      <c r="A61" s="101" t="inlineStr">
        <is>
          <t>Estoque</t>
        </is>
      </c>
      <c r="B61" s="102" t="inlineStr">
        <is>
          <t>Clientes</t>
        </is>
      </c>
      <c r="C61" s="103" t="inlineStr">
        <is>
          <t>Estoque controla o armazenamento e a movimentação de materiais</t>
        </is>
      </c>
      <c r="D61" s="107">
        <f>SUMIFS('CUSTOS MENSAIS'!$F:$F,'CUSTOS MENSAIS'!$A:$A,A61,'CUSTOS MENSAIS'!$H:$H,F61)</f>
        <v/>
      </c>
      <c r="E61" s="107">
        <f>IFERROR(D61/IF(B61="Clientes",SUMIFS(PARÂMETROS!$B$8:$B$33,PARÂMETROS!$G$8:$G$33,F61),SUMIFS(PARÂMETROS!$C$8:$C$33,PARÂMETROS!$G$8:$G$33,F61)),0)</f>
        <v/>
      </c>
      <c r="F61" s="105" t="inlineStr">
        <is>
          <t>Junho/2026</t>
        </is>
      </c>
      <c r="G61" s="106">
        <f>IF(B61="Clientes",SUMIFS(PARÂMETROS!$B$8:$B$33,PARÂMETROS!$G$8:$G$33,F61),SUMIFS(PARÂMETROS!$C$8:$C$33,PARÂMETROS!$G$8:$G$33,F61))</f>
        <v/>
      </c>
    </row>
    <row r="62" ht="15" customHeight="1" s="75">
      <c r="A62" s="101" t="inlineStr">
        <is>
          <t>Televendas</t>
        </is>
      </c>
      <c r="B62" s="102" t="inlineStr">
        <is>
          <t>Clientes</t>
        </is>
      </c>
      <c r="C62" s="103" t="inlineStr">
        <is>
          <t>Televendas realiza vendas por telefone para novos clientes</t>
        </is>
      </c>
      <c r="D62" s="107">
        <f>SUMIFS('CUSTOS MENSAIS'!$F:$F,'CUSTOS MENSAIS'!$A:$A,A62,'CUSTOS MENSAIS'!$H:$H,F62)</f>
        <v/>
      </c>
      <c r="E62" s="107">
        <f>IFERROR(D62/IF(B62="Clientes",SUMIFS(PARÂMETROS!$B$8:$B$33,PARÂMETROS!$G$8:$G$33,F62),SUMIFS(PARÂMETROS!$C$8:$C$33,PARÂMETROS!$G$8:$G$33,F62)),0)</f>
        <v/>
      </c>
      <c r="F62" s="105" t="inlineStr">
        <is>
          <t>Junho/2026</t>
        </is>
      </c>
      <c r="G62" s="106">
        <f>IF(B62="Clientes",SUMIFS(PARÂMETROS!$B$8:$B$33,PARÂMETROS!$G$8:$G$33,F62),SUMIFS(PARÂMETROS!$C$8:$C$33,PARÂMETROS!$G$8:$G$33,F62))</f>
        <v/>
      </c>
    </row>
    <row r="63" ht="15" customHeight="1" s="75">
      <c r="A63" s="101" t="inlineStr">
        <is>
          <t>Suporte Orbix</t>
        </is>
      </c>
      <c r="B63" s="102" t="inlineStr">
        <is>
          <t>Clientes</t>
        </is>
      </c>
      <c r="C63" s="103" t="inlineStr">
        <is>
          <t>Suporte Orbix dá suporte técnico à operação Orbix</t>
        </is>
      </c>
      <c r="D63" s="107">
        <f>SUMIFS('CUSTOS MENSAIS'!$F:$F,'CUSTOS MENSAIS'!$A:$A,A63,'CUSTOS MENSAIS'!$H:$H,F63)</f>
        <v/>
      </c>
      <c r="E63" s="107">
        <f>IFERROR(D63/IF(B63="Clientes",SUMIFS(PARÂMETROS!$B$8:$B$33,PARÂMETROS!$G$8:$G$33,F63),SUMIFS(PARÂMETROS!$C$8:$C$33,PARÂMETROS!$G$8:$G$33,F63)),0)</f>
        <v/>
      </c>
      <c r="F63" s="105" t="inlineStr">
        <is>
          <t>Junho/2026</t>
        </is>
      </c>
      <c r="G63" s="106">
        <f>IF(B63="Clientes",SUMIFS(PARÂMETROS!$B$8:$B$33,PARÂMETROS!$G$8:$G$33,F63),SUMIFS(PARÂMETROS!$C$8:$C$33,PARÂMETROS!$G$8:$G$33,F63))</f>
        <v/>
      </c>
    </row>
    <row r="64" ht="15" customHeight="1" s="75">
      <c r="A64" s="101" t="inlineStr">
        <is>
          <t>Suporte da Central</t>
        </is>
      </c>
      <c r="B64" s="102" t="inlineStr">
        <is>
          <t>Clientes</t>
        </is>
      </c>
      <c r="C64" s="103" t="inlineStr">
        <is>
          <t>Suporte da Central dá suporte técnico à central de atendimento</t>
        </is>
      </c>
      <c r="D64" s="107">
        <f>SUMIFS('CUSTOS MENSAIS'!$F:$F,'CUSTOS MENSAIS'!$A:$A,A64,'CUSTOS MENSAIS'!$H:$H,F64)</f>
        <v/>
      </c>
      <c r="E64" s="107">
        <f>IFERROR(D64/IF(B64="Clientes",SUMIFS(PARÂMETROS!$B$8:$B$33,PARÂMETROS!$G$8:$G$33,F64),SUMIFS(PARÂMETROS!$C$8:$C$33,PARÂMETROS!$G$8:$G$33,F64)),0)</f>
        <v/>
      </c>
      <c r="F64" s="105" t="inlineStr">
        <is>
          <t>Junho/2026</t>
        </is>
      </c>
      <c r="G64" s="106">
        <f>IF(B64="Clientes",SUMIFS(PARÂMETROS!$B$8:$B$33,PARÂMETROS!$G$8:$G$33,F64),SUMIFS(PARÂMETROS!$C$8:$C$33,PARÂMETROS!$G$8:$G$33,F64))</f>
        <v/>
      </c>
    </row>
    <row r="65" ht="15" customHeight="1" s="75">
      <c r="A65" s="101" t="inlineStr">
        <is>
          <t>Comercial Corporativo</t>
        </is>
      </c>
      <c r="B65" s="102" t="inlineStr">
        <is>
          <t>Clientes</t>
        </is>
      </c>
      <c r="C65" s="103" t="inlineStr">
        <is>
          <t>Comercial Corporativo realiza vendas para clientes corporativos</t>
        </is>
      </c>
      <c r="D65" s="107">
        <f>SUMIFS('CUSTOS MENSAIS'!$F:$F,'CUSTOS MENSAIS'!$A:$A,A65,'CUSTOS MENSAIS'!$H:$H,F65)</f>
        <v/>
      </c>
      <c r="E65" s="107">
        <f>IFERROR(D65/IF(B65="Clientes",SUMIFS(PARÂMETROS!$B$8:$B$33,PARÂMETROS!$G$8:$G$33,F65),SUMIFS(PARÂMETROS!$C$8:$C$33,PARÂMETROS!$G$8:$G$33,F65)),0)</f>
        <v/>
      </c>
      <c r="F65" s="105" t="inlineStr">
        <is>
          <t>Junho/2026</t>
        </is>
      </c>
      <c r="G65" s="106">
        <f>IF(B65="Clientes",SUMIFS(PARÂMETROS!$B$8:$B$33,PARÂMETROS!$G$8:$G$33,F65),SUMIFS(PARÂMETROS!$C$8:$C$33,PARÂMETROS!$G$8:$G$33,F65))</f>
        <v/>
      </c>
    </row>
    <row r="66" ht="15" customHeight="1" s="75">
      <c r="A66" s="101" t="inlineStr">
        <is>
          <t>Administrativo</t>
        </is>
      </c>
      <c r="B66" s="102" t="inlineStr">
        <is>
          <t>Funcionários</t>
        </is>
      </c>
      <c r="C66" s="103" t="inlineStr">
        <is>
          <t>Administrativo reúne os softwares e sistemas corporativos usados pela operação</t>
        </is>
      </c>
      <c r="D66" s="107">
        <f>SUMIFS('CUSTOS MENSAIS'!$F:$F,'CUSTOS MENSAIS'!$A:$A,A66,'CUSTOS MENSAIS'!$H:$H,F66)</f>
        <v/>
      </c>
      <c r="E66" s="107">
        <f>IFERROR(D66/IF(B66="Clientes",SUMIFS(PARÂMETROS!$B$8:$B$33,PARÂMETROS!$G$8:$G$33,F66),SUMIFS(PARÂMETROS!$C$8:$C$33,PARÂMETROS!$G$8:$G$33,F66)),0)</f>
        <v/>
      </c>
      <c r="F66" s="105" t="inlineStr">
        <is>
          <t>Junho/2026</t>
        </is>
      </c>
      <c r="G66" s="106">
        <f>IF(B66="Clientes",SUMIFS(PARÂMETROS!$B$8:$B$33,PARÂMETROS!$G$8:$G$33,F66),SUMIFS(PARÂMETROS!$C$8:$C$33,PARÂMETROS!$G$8:$G$33,F66))</f>
        <v/>
      </c>
    </row>
    <row r="67" ht="15" customHeight="1" s="75">
      <c r="A67" s="101" t="inlineStr">
        <is>
          <t>Qualidade</t>
        </is>
      </c>
      <c r="B67" s="102" t="inlineStr">
        <is>
          <t>Clientes</t>
        </is>
      </c>
      <c r="C67" s="103" t="inlineStr">
        <is>
          <t>Área de Qualidade garante o padrão de atendimento e dos serviços prestados aos clientes</t>
        </is>
      </c>
      <c r="D67" s="107">
        <f>SUMIFS('CUSTOS MENSAIS'!$F:$F,'CUSTOS MENSAIS'!$A:$A,A67,'CUSTOS MENSAIS'!$H:$H,F67)</f>
        <v/>
      </c>
      <c r="E67" s="107">
        <f>IFERROR(D67/IF(B67="Clientes",SUMIFS(PARÂMETROS!$B$8:$B$33,PARÂMETROS!$G$8:$G$33,F67),SUMIFS(PARÂMETROS!$C$8:$C$33,PARÂMETROS!$G$8:$G$33,F67)),0)</f>
        <v/>
      </c>
      <c r="F67" s="105" t="inlineStr">
        <is>
          <t>Junho/2026</t>
        </is>
      </c>
      <c r="G67" s="106">
        <f>IF(B67="Clientes",SUMIFS(PARÂMETROS!$B$8:$B$33,PARÂMETROS!$G$8:$G$33,F67),SUMIFS(PARÂMETROS!$C$8:$C$33,PARÂMETROS!$G$8:$G$33,F67))</f>
        <v/>
      </c>
    </row>
    <row r="68" ht="15" customHeight="1" s="75">
      <c r="A68" s="101" t="inlineStr">
        <is>
          <t>Jurídico</t>
        </is>
      </c>
      <c r="B68" s="102" t="inlineStr">
        <is>
          <t>Clientes</t>
        </is>
      </c>
      <c r="C68" s="103" t="inlineStr">
        <is>
          <t>Jurídico atua nas demandas legais e contratuais da operação</t>
        </is>
      </c>
      <c r="D68" s="107">
        <f>SUMIFS('CUSTOS MENSAIS'!$F:$F,'CUSTOS MENSAIS'!$A:$A,A68,'CUSTOS MENSAIS'!$H:$H,F68)</f>
        <v/>
      </c>
      <c r="E68" s="107">
        <f>IFERROR(D68/IF(B68="Clientes",SUMIFS(PARÂMETROS!$B$8:$B$33,PARÂMETROS!$G$8:$G$33,F68),SUMIFS(PARÂMETROS!$C$8:$C$33,PARÂMETROS!$G$8:$G$33,F68)),0)</f>
        <v/>
      </c>
      <c r="F68" s="105" t="inlineStr">
        <is>
          <t>Junho/2026</t>
        </is>
      </c>
      <c r="G68" s="106">
        <f>IF(B68="Clientes",SUMIFS(PARÂMETROS!$B$8:$B$33,PARÂMETROS!$G$8:$G$33,F68),SUMIFS(PARÂMETROS!$C$8:$C$33,PARÂMETROS!$G$8:$G$33,F68))</f>
        <v/>
      </c>
    </row>
    <row r="69" ht="15" customHeight="1" s="75">
      <c r="A69" s="101" t="inlineStr">
        <is>
          <t>Marketing</t>
        </is>
      </c>
      <c r="B69" s="102" t="inlineStr">
        <is>
          <t>Clientes</t>
        </is>
      </c>
      <c r="C69" s="103" t="inlineStr">
        <is>
          <t>Marketing atua na captação, retenção e comunicação com a base de clientes</t>
        </is>
      </c>
      <c r="D69" s="107">
        <f>SUMIFS('CUSTOS MENSAIS'!$F:$F,'CUSTOS MENSAIS'!$A:$A,A69,'CUSTOS MENSAIS'!$H:$H,F69)</f>
        <v/>
      </c>
      <c r="E69" s="107">
        <f>IFERROR(D69/IF(B69="Clientes",SUMIFS(PARÂMETROS!$B$8:$B$33,PARÂMETROS!$G$8:$G$33,F69),SUMIFS(PARÂMETROS!$C$8:$C$33,PARÂMETROS!$G$8:$G$33,F69)),0)</f>
        <v/>
      </c>
      <c r="F69" s="105" t="inlineStr">
        <is>
          <t>Junho/2026</t>
        </is>
      </c>
      <c r="G69" s="106">
        <f>IF(B69="Clientes",SUMIFS(PARÂMETROS!$B$8:$B$33,PARÂMETROS!$G$8:$G$33,F69),SUMIFS(PARÂMETROS!$C$8:$C$33,PARÂMETROS!$G$8:$G$33,F69))</f>
        <v/>
      </c>
    </row>
    <row r="70" ht="15" customHeight="1" s="75">
      <c r="A70" s="101" t="inlineStr">
        <is>
          <t>TIC</t>
        </is>
      </c>
      <c r="B70" s="102" t="inlineStr">
        <is>
          <t>Clientes</t>
        </is>
      </c>
      <c r="C70" s="103" t="inlineStr">
        <is>
          <t>TIC dá suporte de infraestrutura de tecnologia à operação voltada aos clientes</t>
        </is>
      </c>
      <c r="D70" s="107">
        <f>SUMIFS('CUSTOS MENSAIS'!$F:$F,'CUSTOS MENSAIS'!$A:$A,A70,'CUSTOS MENSAIS'!$H:$H,F70)</f>
        <v/>
      </c>
      <c r="E70" s="107">
        <f>IFERROR(D70/IF(B70="Clientes",SUMIFS(PARÂMETROS!$B$8:$B$33,PARÂMETROS!$G$8:$G$33,F70),SUMIFS(PARÂMETROS!$C$8:$C$33,PARÂMETROS!$G$8:$G$33,F70)),0)</f>
        <v/>
      </c>
      <c r="F70" s="105" t="inlineStr">
        <is>
          <t>Junho/2026</t>
        </is>
      </c>
      <c r="G70" s="106">
        <f>IF(B70="Clientes",SUMIFS(PARÂMETROS!$B$8:$B$33,PARÂMETROS!$G$8:$G$33,F70),SUMIFS(PARÂMETROS!$C$8:$C$33,PARÂMETROS!$G$8:$G$33,F70))</f>
        <v/>
      </c>
    </row>
    <row r="71" ht="15" customHeight="1" s="75">
      <c r="A71" s="101" t="inlineStr">
        <is>
          <t>COE</t>
        </is>
      </c>
      <c r="B71" s="102" t="inlineStr">
        <is>
          <t>Clientes</t>
        </is>
      </c>
      <c r="C71" s="103" t="inlineStr">
        <is>
          <t>Centro de Operações Especiais (COE) trata despacho e demandas operacionais ligadas à base de clientes</t>
        </is>
      </c>
      <c r="D71" s="107">
        <f>SUMIFS('CUSTOS MENSAIS'!$F:$F,'CUSTOS MENSAIS'!$A:$A,A71,'CUSTOS MENSAIS'!$H:$H,F71)</f>
        <v/>
      </c>
      <c r="E71" s="107">
        <f>IFERROR(D71/IF(B71="Clientes",SUMIFS(PARÂMETROS!$B$8:$B$33,PARÂMETROS!$G$8:$G$33,F71),SUMIFS(PARÂMETROS!$C$8:$C$33,PARÂMETROS!$G$8:$G$33,F71)),0)</f>
        <v/>
      </c>
      <c r="F71" s="105" t="inlineStr">
        <is>
          <t>Junho/2026</t>
        </is>
      </c>
      <c r="G71" s="106">
        <f>IF(B71="Clientes",SUMIFS(PARÂMETROS!$B$8:$B$33,PARÂMETROS!$G$8:$G$33,F71),SUMIFS(PARÂMETROS!$C$8:$C$33,PARÂMETROS!$G$8:$G$33,F71))</f>
        <v/>
      </c>
    </row>
    <row r="72" ht="14.25" customHeight="1" s="75">
      <c r="A72" s="101" t="inlineStr">
        <is>
          <t>Fique Móvel</t>
        </is>
      </c>
      <c r="B72" s="102" t="inlineStr">
        <is>
          <t>Clientes</t>
        </is>
      </c>
      <c r="C72" s="103" t="inlineStr">
        <is>
          <t>Fique Móvel é equipe de vendas que atua diretamente na captação de clientes</t>
        </is>
      </c>
      <c r="D72" s="107">
        <f>SUMIFS('CUSTOS MENSAIS'!$F:$F,'CUSTOS MENSAIS'!$A:$A,A72,'CUSTOS MENSAIS'!$H:$H,F72)</f>
        <v/>
      </c>
      <c r="E72" s="107">
        <f>IFERROR(D72/IF(B72="Clientes",SUMIFS(PARÂMETROS!$B$8:$B$33,PARÂMETROS!$G$8:$G$33,F72),SUMIFS(PARÂMETROS!$C$8:$C$33,PARÂMETROS!$G$8:$G$33,F72)),0)</f>
        <v/>
      </c>
      <c r="F72" s="105" t="inlineStr">
        <is>
          <t>Junho/2026</t>
        </is>
      </c>
      <c r="G72" s="106">
        <f>IF(B72="Clientes",SUMIFS(PARÂMETROS!$B$8:$B$33,PARÂMETROS!$G$8:$G$33,F72),SUMIFS(PARÂMETROS!$C$8:$C$33,PARÂMETROS!$G$8:$G$33,F72))</f>
        <v/>
      </c>
    </row>
    <row r="73" ht="15" customHeight="1" s="75">
      <c r="A73" s="101" t="inlineStr">
        <is>
          <t>Lançamento</t>
        </is>
      </c>
      <c r="B73" s="102" t="inlineStr">
        <is>
          <t>Clientes</t>
        </is>
      </c>
      <c r="C73" s="103" t="inlineStr">
        <is>
          <t>Equipe de Lançamento realiza a instalação/lançamento de rede para atender novos clientes</t>
        </is>
      </c>
      <c r="D73" s="107">
        <f>SUMIFS('CUSTOS MENSAIS'!$F:$F,'CUSTOS MENSAIS'!$A:$A,A73,'CUSTOS MENSAIS'!$H:$H,F73)</f>
        <v/>
      </c>
      <c r="E73" s="107">
        <f>IFERROR(D73/IF(B73="Clientes",SUMIFS(PARÂMETROS!$B$8:$B$33,PARÂMETROS!$G$8:$G$33,F73),SUMIFS(PARÂMETROS!$C$8:$C$33,PARÂMETROS!$G$8:$G$33,F73)),0)</f>
        <v/>
      </c>
      <c r="F73" s="105" t="inlineStr">
        <is>
          <t>Junho/2026</t>
        </is>
      </c>
      <c r="G73" s="106">
        <f>IF(B73="Clientes",SUMIFS(PARÂMETROS!$B$8:$B$33,PARÂMETROS!$G$8:$G$33,F73),SUMIFS(PARÂMETROS!$C$8:$C$33,PARÂMETROS!$G$8:$G$33,F73))</f>
        <v/>
      </c>
    </row>
    <row r="74" ht="15" customHeight="1" s="75">
      <c r="A74" s="101" t="inlineStr">
        <is>
          <t>Fusão</t>
        </is>
      </c>
      <c r="B74" s="102" t="inlineStr">
        <is>
          <t>Clientes</t>
        </is>
      </c>
      <c r="C74" s="103" t="inlineStr">
        <is>
          <t>Equipe de Fusão realiza fusão/manutenção de fibra óptica para atender a base de clientes</t>
        </is>
      </c>
      <c r="D74" s="107">
        <f>SUMIFS('CUSTOS MENSAIS'!$F:$F,'CUSTOS MENSAIS'!$A:$A,A74,'CUSTOS MENSAIS'!$H:$H,F74)</f>
        <v/>
      </c>
      <c r="E74" s="107">
        <f>IFERROR(D74/IF(B74="Clientes",SUMIFS(PARÂMETROS!$B$8:$B$33,PARÂMETROS!$G$8:$G$33,F74),SUMIFS(PARÂMETROS!$C$8:$C$33,PARÂMETROS!$G$8:$G$33,F74)),0)</f>
        <v/>
      </c>
      <c r="F74" s="105" t="inlineStr">
        <is>
          <t>Junho/2026</t>
        </is>
      </c>
      <c r="G74" s="106">
        <f>IF(B74="Clientes",SUMIFS(PARÂMETROS!$B$8:$B$33,PARÂMETROS!$G$8:$G$33,F74),SUMIFS(PARÂMETROS!$C$8:$C$33,PARÂMETROS!$G$8:$G$33,F74))</f>
        <v/>
      </c>
    </row>
    <row r="75" ht="15" customHeight="1" s="75">
      <c r="A75" s="101" t="inlineStr">
        <is>
          <t>Diretoria Adm</t>
        </is>
      </c>
      <c r="B75" s="102" t="inlineStr">
        <is>
          <t>Clientes</t>
        </is>
      </c>
      <c r="C75" s="103" t="inlineStr">
        <is>
          <t>Diretoria Administrativa realiza a gestão administrativa executiva da operação</t>
        </is>
      </c>
      <c r="D75" s="107">
        <f>SUMIFS('CUSTOS MENSAIS'!$F:$F,'CUSTOS MENSAIS'!$A:$A,A75,'CUSTOS MENSAIS'!$H:$H,F75)</f>
        <v/>
      </c>
      <c r="E75" s="107">
        <f>IFERROR(D75/IF(B75="Clientes",SUMIFS(PARÂMETROS!$B$8:$B$33,PARÂMETROS!$G$8:$G$33,F75),SUMIFS(PARÂMETROS!$C$8:$C$33,PARÂMETROS!$G$8:$G$33,F75)),0)</f>
        <v/>
      </c>
      <c r="F75" s="105" t="inlineStr">
        <is>
          <t>Junho/2026</t>
        </is>
      </c>
      <c r="G75" s="106">
        <f>IF(B75="Clientes",SUMIFS(PARÂMETROS!$B$8:$B$33,PARÂMETROS!$G$8:$G$33,F75),SUMIFS(PARÂMETROS!$C$8:$C$33,PARÂMETROS!$G$8:$G$33,F75))</f>
        <v/>
      </c>
    </row>
    <row r="76" ht="15" customHeight="1" s="75">
      <c r="A76" s="101" t="inlineStr">
        <is>
          <t>Cozinha</t>
        </is>
      </c>
      <c r="B76" s="102" t="inlineStr">
        <is>
          <t>Funcionários</t>
        </is>
      </c>
      <c r="C76" s="103" t="inlineStr">
        <is>
          <t>Cozinha prepara as refeições dos colaboradores</t>
        </is>
      </c>
      <c r="D76" s="107">
        <f>SUMIFS('CUSTOS MENSAIS'!$F:$F,'CUSTOS MENSAIS'!$A:$A,A76,'CUSTOS MENSAIS'!$H:$H,F76)</f>
        <v/>
      </c>
      <c r="E76" s="107">
        <f>IFERROR(D76/G76,0)</f>
        <v/>
      </c>
      <c r="F76" s="105" t="inlineStr">
        <is>
          <t>Junho/2026</t>
        </is>
      </c>
      <c r="G76" s="106">
        <f>SUMIFS(PARÂMETROS!$C$8:$C$33,PARÂMETROS!$G$8:$G$33,F76,PARÂMETROS!$A$8:$A$33,"DTEL (uso próprio)")</f>
        <v/>
      </c>
    </row>
    <row r="77" ht="15" customHeight="1" s="75">
      <c r="A77" s="108" t="inlineStr">
        <is>
          <t>TOTAL GERAL — Junho/2026</t>
        </is>
      </c>
      <c r="B77" s="121" t="n"/>
      <c r="C77" s="110" t="n"/>
      <c r="D77" s="122">
        <f>SUM(D42:D76)+D115+D118</f>
        <v/>
      </c>
      <c r="E77" s="122" t="n"/>
      <c r="F77" s="121" t="n"/>
      <c r="G77" s="112" t="n"/>
    </row>
    <row r="78" ht="15" customHeight="1" s="75">
      <c r="A78" s="101" t="inlineStr">
        <is>
          <t>NOC</t>
        </is>
      </c>
      <c r="B78" s="102" t="inlineStr">
        <is>
          <t>Clientes</t>
        </is>
      </c>
      <c r="C78" s="103" t="inlineStr">
        <is>
          <t>Infraestrutura de rede/NOC escala com o nº de clientes ativos</t>
        </is>
      </c>
      <c r="D78" s="107">
        <f>SUMIFS('CUSTOS MENSAIS'!$F:$F,'CUSTOS MENSAIS'!$A:$A,A78,'CUSTOS MENSAIS'!$H:$H,F78)</f>
        <v/>
      </c>
      <c r="E78" s="107">
        <f>IFERROR(D78/IF(B78="Clientes",SUMIFS(PARÂMETROS!$B$8:$B$33,PARÂMETROS!$G$8:$G$33,F78),SUMIFS(PARÂMETROS!$C$8:$C$33,PARÂMETROS!$G$8:$G$33,F78)),0)</f>
        <v/>
      </c>
      <c r="F78" s="105" t="inlineStr">
        <is>
          <t>Julho/2026</t>
        </is>
      </c>
      <c r="G78" s="106">
        <f>IF(B78="Clientes",SUMIFS(PARÂMETROS!$B$8:$B$33,PARÂMETROS!$G$8:$G$33,F78),SUMIFS(PARÂMETROS!$C$8:$C$33,PARÂMETROS!$G$8:$G$33,F78))</f>
        <v/>
      </c>
    </row>
    <row r="79" ht="15" customHeight="1" s="75">
      <c r="A79" s="101" t="inlineStr">
        <is>
          <t>RH</t>
        </is>
      </c>
      <c r="B79" s="102" t="inlineStr">
        <is>
          <t>Funcionários</t>
        </is>
      </c>
      <c r="C79" s="103" t="inlineStr">
        <is>
          <t>Recursos Humanos atende diretamente aos colaboradores</t>
        </is>
      </c>
      <c r="D79" s="107">
        <f>SUMIFS('CUSTOS MENSAIS'!$F:$F,'CUSTOS MENSAIS'!$A:$A,A79,'CUSTOS MENSAIS'!$H:$H,F79)</f>
        <v/>
      </c>
      <c r="E79" s="107">
        <f>IFERROR(D79/IF(B79="Clientes",SUMIFS(PARÂMETROS!$B$8:$B$33,PARÂMETROS!$G$8:$G$33,F79),SUMIFS(PARÂMETROS!$C$8:$C$33,PARÂMETROS!$G$8:$G$33,F79)),0)</f>
        <v/>
      </c>
      <c r="F79" s="105" t="inlineStr">
        <is>
          <t>Julho/2026</t>
        </is>
      </c>
      <c r="G79" s="106">
        <f>IF(B79="Clientes",SUMIFS(PARÂMETROS!$B$8:$B$33,PARÂMETROS!$G$8:$G$33,F79),SUMIFS(PARÂMETROS!$C$8:$C$33,PARÂMETROS!$G$8:$G$33,F79))</f>
        <v/>
      </c>
    </row>
    <row r="80" ht="15" customHeight="1" s="75">
      <c r="A80" s="101" t="inlineStr">
        <is>
          <t>DP</t>
        </is>
      </c>
      <c r="B80" s="102" t="inlineStr">
        <is>
          <t>Funcionários</t>
        </is>
      </c>
      <c r="C80" s="103" t="inlineStr">
        <is>
          <t>Departamento Pessoal atende à folha de colaboradores</t>
        </is>
      </c>
      <c r="D80" s="107">
        <f>SUMIFS('CUSTOS MENSAIS'!$F:$F,'CUSTOS MENSAIS'!$A:$A,A80,'CUSTOS MENSAIS'!$H:$H,F80)</f>
        <v/>
      </c>
      <c r="E80" s="107">
        <f>IFERROR(D80/IF(B80="Clientes",SUMIFS(PARÂMETROS!$B$8:$B$33,PARÂMETROS!$G$8:$G$33,F80),SUMIFS(PARÂMETROS!$C$8:$C$33,PARÂMETROS!$G$8:$G$33,F80)),0)</f>
        <v/>
      </c>
      <c r="F80" s="105" t="inlineStr">
        <is>
          <t>Julho/2026</t>
        </is>
      </c>
      <c r="G80" s="106">
        <f>IF(B80="Clientes",SUMIFS(PARÂMETROS!$B$8:$B$33,PARÂMETROS!$G$8:$G$33,F80),SUMIFS(PARÂMETROS!$C$8:$C$33,PARÂMETROS!$G$8:$G$33,F80))</f>
        <v/>
      </c>
    </row>
    <row r="81" ht="15" customHeight="1" s="75">
      <c r="A81" s="101" t="inlineStr">
        <is>
          <t>Gestão de Atendimento</t>
        </is>
      </c>
      <c r="B81" s="102" t="inlineStr">
        <is>
          <t>Clientes</t>
        </is>
      </c>
      <c r="C81" s="103" t="inlineStr">
        <is>
          <t>Atendimento administrativo e presencial de loja escala com o volume de clientes atendidos</t>
        </is>
      </c>
      <c r="D81" s="107">
        <f>SUMIFS('CUSTOS MENSAIS'!$F:$F,'CUSTOS MENSAIS'!$A:$A,A81,'CUSTOS MENSAIS'!$H:$H,F81)</f>
        <v/>
      </c>
      <c r="E81" s="107">
        <f>IFERROR(D81/IF(B81="Clientes",SUMIFS(PARÂMETROS!$B$8:$B$33,PARÂMETROS!$G$8:$G$33,F81),SUMIFS(PARÂMETROS!$C$8:$C$33,PARÂMETROS!$G$8:$G$33,F81)),0)</f>
        <v/>
      </c>
      <c r="F81" s="105" t="inlineStr">
        <is>
          <t>Julho/2026</t>
        </is>
      </c>
      <c r="G81" s="106">
        <f>IF(B81="Clientes",SUMIFS(PARÂMETROS!$B$8:$B$33,PARÂMETROS!$G$8:$G$33,F81),SUMIFS(PARÂMETROS!$C$8:$C$33,PARÂMETROS!$G$8:$G$33,F81))</f>
        <v/>
      </c>
    </row>
    <row r="82" ht="15" customHeight="1" s="75">
      <c r="A82" s="101" t="inlineStr">
        <is>
          <t>CAC</t>
        </is>
      </c>
      <c r="B82" s="102" t="inlineStr">
        <is>
          <t>Clientes</t>
        </is>
      </c>
      <c r="C82" s="103" t="inlineStr">
        <is>
          <t>Central de Atendimento ao Cliente atende diretamente a base de clientes de cada empresa</t>
        </is>
      </c>
      <c r="D82" s="107">
        <f>SUMIFS('CUSTOS MENSAIS'!$F:$F,'CUSTOS MENSAIS'!$A:$A,A82,'CUSTOS MENSAIS'!$H:$H,F82)</f>
        <v/>
      </c>
      <c r="E82" s="107">
        <f>IFERROR(D82/IF(B82="Clientes",SUMIFS(PARÂMETROS!$B$8:$B$33,PARÂMETROS!$G$8:$G$33,F82),SUMIFS(PARÂMETROS!$C$8:$C$33,PARÂMETROS!$G$8:$G$33,F82)),0)</f>
        <v/>
      </c>
      <c r="F82" s="105" t="inlineStr">
        <is>
          <t>Julho/2026</t>
        </is>
      </c>
      <c r="G82" s="106">
        <f>IF(B82="Clientes",SUMIFS(PARÂMETROS!$B$8:$B$33,PARÂMETROS!$G$8:$G$33,F82),SUMIFS(PARÂMETROS!$C$8:$C$33,PARÂMETROS!$G$8:$G$33,F82))</f>
        <v/>
      </c>
    </row>
    <row r="83" ht="15" customHeight="1" s="75">
      <c r="A83" s="101" t="inlineStr">
        <is>
          <t>Financeiro</t>
        </is>
      </c>
      <c r="B83" s="102" t="inlineStr">
        <is>
          <t>Clientes</t>
        </is>
      </c>
      <c r="C83" s="103" t="inlineStr">
        <is>
          <t>Financeiro cuida da gestão financeira e de faturamento da operação</t>
        </is>
      </c>
      <c r="D83" s="107">
        <f>SUMIFS('CUSTOS MENSAIS'!$F:$F,'CUSTOS MENSAIS'!$A:$A,A83,'CUSTOS MENSAIS'!$H:$H,F83)</f>
        <v/>
      </c>
      <c r="E83" s="107">
        <f>IFERROR(D83/IF(B83="Clientes",SUMIFS(PARÂMETROS!$B$8:$B$33,PARÂMETROS!$G$8:$G$33,F83),SUMIFS(PARÂMETROS!$C$8:$C$33,PARÂMETROS!$G$8:$G$33,F83)),0)</f>
        <v/>
      </c>
      <c r="F83" s="105" t="inlineStr">
        <is>
          <t>Julho/2026</t>
        </is>
      </c>
      <c r="G83" s="106">
        <f>IF(B83="Clientes",SUMIFS(PARÂMETROS!$B$8:$B$33,PARÂMETROS!$G$8:$G$33,F83),SUMIFS(PARÂMETROS!$C$8:$C$33,PARÂMETROS!$G$8:$G$33,F83))</f>
        <v/>
      </c>
    </row>
    <row r="84" ht="14.25" customHeight="1" s="75">
      <c r="A84" s="101" t="inlineStr">
        <is>
          <t>NRC</t>
        </is>
      </c>
      <c r="B84" s="102" t="inlineStr">
        <is>
          <t>Clientes</t>
        </is>
      </c>
      <c r="C84" s="103" t="inlineStr">
        <is>
          <t>Serviço de Atendimento ao Cliente escala com o volume de clientes atendidos</t>
        </is>
      </c>
      <c r="D84" s="107">
        <f>SUMIFS('CUSTOS MENSAIS'!$F:$F,'CUSTOS MENSAIS'!$A:$A,A84,'CUSTOS MENSAIS'!$H:$H,F84)</f>
        <v/>
      </c>
      <c r="E84" s="107">
        <f>IFERROR(D84/IF(B84="Clientes",SUMIFS(PARÂMETROS!$B$8:$B$33,PARÂMETROS!$G$8:$G$33,F84),SUMIFS(PARÂMETROS!$C$8:$C$33,PARÂMETROS!$G$8:$G$33,F84)),0)</f>
        <v/>
      </c>
      <c r="F84" s="105" t="inlineStr">
        <is>
          <t>Julho/2026</t>
        </is>
      </c>
      <c r="G84" s="106">
        <f>IF(B84="Clientes",SUMIFS(PARÂMETROS!$B$8:$B$33,PARÂMETROS!$G$8:$G$33,F84),SUMIFS(PARÂMETROS!$C$8:$C$33,PARÂMETROS!$G$8:$G$33,F84))</f>
        <v/>
      </c>
    </row>
    <row r="85" ht="14.25" customHeight="1" s="75">
      <c r="A85" s="101" t="inlineStr">
        <is>
          <t>Cobrança</t>
        </is>
      </c>
      <c r="B85" s="102" t="inlineStr">
        <is>
          <t>Clientes</t>
        </is>
      </c>
      <c r="C85" s="103" t="inlineStr">
        <is>
          <t>Cobrança atua sobre a carteira de clientes inadimplentes de cada empresa</t>
        </is>
      </c>
      <c r="D85" s="107">
        <f>SUMIFS('CUSTOS MENSAIS'!$F:$F,'CUSTOS MENSAIS'!$A:$A,A85,'CUSTOS MENSAIS'!$H:$H,F85)</f>
        <v/>
      </c>
      <c r="E85" s="107">
        <f>IFERROR(D85/IF(B85="Clientes",SUMIFS(PARÂMETROS!$B$8:$B$33,PARÂMETROS!$G$8:$G$33,F85),SUMIFS(PARÂMETROS!$C$8:$C$33,PARÂMETROS!$G$8:$G$33,F85)),0)</f>
        <v/>
      </c>
      <c r="F85" s="105" t="inlineStr">
        <is>
          <t>Julho/2026</t>
        </is>
      </c>
      <c r="G85" s="106">
        <f>IF(B85="Clientes",SUMIFS(PARÂMETROS!$B$8:$B$33,PARÂMETROS!$G$8:$G$33,F85),SUMIFS(PARÂMETROS!$C$8:$C$33,PARÂMETROS!$G$8:$G$33,F85))</f>
        <v/>
      </c>
    </row>
    <row r="86" ht="14.25" customHeight="1" s="75">
      <c r="A86" s="101" t="inlineStr">
        <is>
          <t>Retenção</t>
        </is>
      </c>
      <c r="B86" s="102" t="inlineStr">
        <is>
          <t>Clientes</t>
        </is>
      </c>
      <c r="C86" s="103" t="inlineStr">
        <is>
          <t>Retenção atua sobre a base de clientes de cada empresa para evitar cancelamento</t>
        </is>
      </c>
      <c r="D86" s="107">
        <f>SUMIFS('CUSTOS MENSAIS'!$F:$F,'CUSTOS MENSAIS'!$A:$A,A86,'CUSTOS MENSAIS'!$H:$H,F86)</f>
        <v/>
      </c>
      <c r="E86" s="107">
        <f>IFERROR(D86/IF(B86="Clientes",SUMIFS(PARÂMETROS!$B$8:$B$33,PARÂMETROS!$G$8:$G$33,F86),SUMIFS(PARÂMETROS!$C$8:$C$33,PARÂMETROS!$G$8:$G$33,F86)),0)</f>
        <v/>
      </c>
      <c r="F86" s="105" t="inlineStr">
        <is>
          <t>Julho/2026</t>
        </is>
      </c>
      <c r="G86" s="106">
        <f>IF(B86="Clientes",SUMIFS(PARÂMETROS!$B$8:$B$33,PARÂMETROS!$G$8:$G$33,F86),SUMIFS(PARÂMETROS!$C$8:$C$33,PARÂMETROS!$G$8:$G$33,F86))</f>
        <v/>
      </c>
    </row>
    <row r="87" ht="14.25" customHeight="1" s="75">
      <c r="A87" s="101" t="inlineStr">
        <is>
          <t>Contabilidade</t>
        </is>
      </c>
      <c r="B87" s="102" t="inlineStr">
        <is>
          <t>Clientes</t>
        </is>
      </c>
      <c r="C87" s="103" t="inlineStr">
        <is>
          <t>Contabilidade realiza a escrituração fiscal e contábil da operação</t>
        </is>
      </c>
      <c r="D87" s="107">
        <f>SUMIFS('CUSTOS MENSAIS'!$F:$F,'CUSTOS MENSAIS'!$A:$A,A87,'CUSTOS MENSAIS'!$H:$H,F87)</f>
        <v/>
      </c>
      <c r="E87" s="107">
        <f>IFERROR(D87/IF(B87="Clientes",SUMIFS(PARÂMETROS!$B$8:$B$33,PARÂMETROS!$G$8:$G$33,F87),SUMIFS(PARÂMETROS!$C$8:$C$33,PARÂMETROS!$G$8:$G$33,F87)),0)</f>
        <v/>
      </c>
      <c r="F87" s="105" t="inlineStr">
        <is>
          <t>Julho/2026</t>
        </is>
      </c>
      <c r="G87" s="106">
        <f>IF(B87="Clientes",SUMIFS(PARÂMETROS!$B$8:$B$33,PARÂMETROS!$G$8:$G$33,F87),SUMIFS(PARÂMETROS!$C$8:$C$33,PARÂMETROS!$G$8:$G$33,F87))</f>
        <v/>
      </c>
    </row>
    <row r="88" ht="14.25" customHeight="1" s="75">
      <c r="A88" s="101" t="inlineStr">
        <is>
          <t>Controladoria</t>
        </is>
      </c>
      <c r="B88" s="102" t="inlineStr">
        <is>
          <t>Clientes</t>
        </is>
      </c>
      <c r="C88" s="103" t="inlineStr">
        <is>
          <t>Controladoria acompanha os indicadores financeiros da operação</t>
        </is>
      </c>
      <c r="D88" s="107">
        <f>SUMIFS('CUSTOS MENSAIS'!$F:$F,'CUSTOS MENSAIS'!$A:$A,A88,'CUSTOS MENSAIS'!$H:$H,F88)</f>
        <v/>
      </c>
      <c r="E88" s="107">
        <f>IFERROR(D88/IF(B88="Clientes",SUMIFS(PARÂMETROS!$B$8:$B$33,PARÂMETROS!$G$8:$G$33,F88),SUMIFS(PARÂMETROS!$C$8:$C$33,PARÂMETROS!$G$8:$G$33,F88)),0)</f>
        <v/>
      </c>
      <c r="F88" s="105" t="inlineStr">
        <is>
          <t>Julho/2026</t>
        </is>
      </c>
      <c r="G88" s="106">
        <f>IF(B88="Clientes",SUMIFS(PARÂMETROS!$B$8:$B$33,PARÂMETROS!$G$8:$G$33,F88),SUMIFS(PARÂMETROS!$C$8:$C$33,PARÂMETROS!$G$8:$G$33,F88))</f>
        <v/>
      </c>
    </row>
    <row r="89" ht="14.25" customHeight="1" s="75">
      <c r="A89" s="101" t="inlineStr">
        <is>
          <t>Diretoria Operacional</t>
        </is>
      </c>
      <c r="B89" s="102" t="inlineStr">
        <is>
          <t>Clientes</t>
        </is>
      </c>
      <c r="C89" s="103" t="inlineStr">
        <is>
          <t>Diretoria Operacional coordena a operação das áreas técnicas e de atendimento</t>
        </is>
      </c>
      <c r="D89" s="107">
        <f>SUMIFS('CUSTOS MENSAIS'!$F:$F,'CUSTOS MENSAIS'!$A:$A,A89,'CUSTOS MENSAIS'!$H:$H,F89)</f>
        <v/>
      </c>
      <c r="E89" s="107">
        <f>IFERROR(D89/IF(B89="Clientes",SUMIFS(PARÂMETROS!$B$8:$B$33,PARÂMETROS!$G$8:$G$33,F89),SUMIFS(PARÂMETROS!$C$8:$C$33,PARÂMETROS!$G$8:$G$33,F89)),0)</f>
        <v/>
      </c>
      <c r="F89" s="105" t="inlineStr">
        <is>
          <t>Julho/2026</t>
        </is>
      </c>
      <c r="G89" s="106">
        <f>IF(B89="Clientes",SUMIFS(PARÂMETROS!$B$8:$B$33,PARÂMETROS!$G$8:$G$33,F89),SUMIFS(PARÂMETROS!$C$8:$C$33,PARÂMETROS!$G$8:$G$33,F89))</f>
        <v/>
      </c>
    </row>
    <row r="90" ht="14.25" customHeight="1" s="75">
      <c r="A90" s="101" t="inlineStr">
        <is>
          <t>Compras</t>
        </is>
      </c>
      <c r="B90" s="102" t="inlineStr">
        <is>
          <t>Clientes</t>
        </is>
      </c>
      <c r="C90" s="103" t="inlineStr">
        <is>
          <t>Compras administra a aquisição de materiais e serviços para a operação</t>
        </is>
      </c>
      <c r="D90" s="107">
        <f>SUMIFS('CUSTOS MENSAIS'!$F:$F,'CUSTOS MENSAIS'!$A:$A,A90,'CUSTOS MENSAIS'!$H:$H,F90)</f>
        <v/>
      </c>
      <c r="E90" s="107">
        <f>IFERROR(D90/IF(B90="Clientes",SUMIFS(PARÂMETROS!$B$8:$B$33,PARÂMETROS!$G$8:$G$33,F90),SUMIFS(PARÂMETROS!$C$8:$C$33,PARÂMETROS!$G$8:$G$33,F90)),0)</f>
        <v/>
      </c>
      <c r="F90" s="105" t="inlineStr">
        <is>
          <t>Julho/2026</t>
        </is>
      </c>
      <c r="G90" s="106">
        <f>IF(B90="Clientes",SUMIFS(PARÂMETROS!$B$8:$B$33,PARÂMETROS!$G$8:$G$33,F90),SUMIFS(PARÂMETROS!$C$8:$C$33,PARÂMETROS!$G$8:$G$33,F90))</f>
        <v/>
      </c>
    </row>
    <row r="91" ht="14.25" customHeight="1" s="75">
      <c r="A91" s="101" t="inlineStr">
        <is>
          <t>Segurança do Trabalho</t>
        </is>
      </c>
      <c r="B91" s="102" t="inlineStr">
        <is>
          <t>Funcionários</t>
        </is>
      </c>
      <c r="C91" s="103" t="inlineStr">
        <is>
          <t>Segurança do Trabalho cuida da saúde e segurança dos colaboradores</t>
        </is>
      </c>
      <c r="D91" s="107">
        <f>SUMIFS('CUSTOS MENSAIS'!$F:$F,'CUSTOS MENSAIS'!$A:$A,A91,'CUSTOS MENSAIS'!$H:$H,F91)</f>
        <v/>
      </c>
      <c r="E91" s="107">
        <f>IFERROR(D91/IF(B91="Clientes",SUMIFS(PARÂMETROS!$B$8:$B$33,PARÂMETROS!$G$8:$G$33,F91),SUMIFS(PARÂMETROS!$C$8:$C$33,PARÂMETROS!$G$8:$G$33,F91)),0)</f>
        <v/>
      </c>
      <c r="F91" s="105" t="inlineStr">
        <is>
          <t>Julho/2026</t>
        </is>
      </c>
      <c r="G91" s="106">
        <f>IF(B91="Clientes",SUMIFS(PARÂMETROS!$B$8:$B$33,PARÂMETROS!$G$8:$G$33,F91),SUMIFS(PARÂMETROS!$C$8:$C$33,PARÂMETROS!$G$8:$G$33,F91))</f>
        <v/>
      </c>
    </row>
    <row r="92" ht="14.25" customHeight="1" s="75">
      <c r="A92" s="101" t="inlineStr">
        <is>
          <t>Engenharia</t>
        </is>
      </c>
      <c r="B92" s="102" t="inlineStr">
        <is>
          <t>Clientes</t>
        </is>
      </c>
      <c r="C92" s="103" t="inlineStr">
        <is>
          <t>Engenharia realiza a instalação e manutenção da infraestrutura de rede</t>
        </is>
      </c>
      <c r="D92" s="107">
        <f>SUMIFS('CUSTOS MENSAIS'!$F:$F,'CUSTOS MENSAIS'!$A:$A,A92,'CUSTOS MENSAIS'!$H:$H,F92)</f>
        <v/>
      </c>
      <c r="E92" s="107">
        <f>IFERROR(D92/IF(B92="Clientes",SUMIFS(PARÂMETROS!$B$8:$B$33,PARÂMETROS!$G$8:$G$33,F92),SUMIFS(PARÂMETROS!$C$8:$C$33,PARÂMETROS!$G$8:$G$33,F92)),0)</f>
        <v/>
      </c>
      <c r="F92" s="105" t="inlineStr">
        <is>
          <t>Julho/2026</t>
        </is>
      </c>
      <c r="G92" s="106">
        <f>IF(B92="Clientes",SUMIFS(PARÂMETROS!$B$8:$B$33,PARÂMETROS!$G$8:$G$33,F92),SUMIFS(PARÂMETROS!$C$8:$C$33,PARÂMETROS!$G$8:$G$33,F92))</f>
        <v/>
      </c>
    </row>
    <row r="93" ht="14.25" customHeight="1" s="75">
      <c r="A93" s="101" t="inlineStr">
        <is>
          <t>Obras</t>
        </is>
      </c>
      <c r="B93" s="102" t="inlineStr">
        <is>
          <t>Clientes</t>
        </is>
      </c>
      <c r="C93" s="103" t="inlineStr">
        <is>
          <t>Obras executa construção e manutenção civil da infraestrutura</t>
        </is>
      </c>
      <c r="D93" s="107">
        <f>SUMIFS('CUSTOS MENSAIS'!$F:$F,'CUSTOS MENSAIS'!$A:$A,A93,'CUSTOS MENSAIS'!$H:$H,F93)</f>
        <v/>
      </c>
      <c r="E93" s="107">
        <f>IFERROR(D93/IF(B93="Clientes",SUMIFS(PARÂMETROS!$B$8:$B$33,PARÂMETROS!$G$8:$G$33,F93),SUMIFS(PARÂMETROS!$C$8:$C$33,PARÂMETROS!$G$8:$G$33,F93)),0)</f>
        <v/>
      </c>
      <c r="F93" s="105" t="inlineStr">
        <is>
          <t>Julho/2026</t>
        </is>
      </c>
      <c r="G93" s="106">
        <f>IF(B93="Clientes",SUMIFS(PARÂMETROS!$B$8:$B$33,PARÂMETROS!$G$8:$G$33,F93),SUMIFS(PARÂMETROS!$C$8:$C$33,PARÂMETROS!$G$8:$G$33,F93))</f>
        <v/>
      </c>
    </row>
    <row r="94" ht="14.25" customHeight="1" s="75">
      <c r="A94" s="101" t="inlineStr">
        <is>
          <t>Manutenção Predial</t>
        </is>
      </c>
      <c r="B94" s="102" t="inlineStr">
        <is>
          <t>Clientes</t>
        </is>
      </c>
      <c r="C94" s="103" t="inlineStr">
        <is>
          <t>Manutenção Predial cuida da manutenção das instalações físicas</t>
        </is>
      </c>
      <c r="D94" s="107">
        <f>SUMIFS('CUSTOS MENSAIS'!$F:$F,'CUSTOS MENSAIS'!$A:$A,A94,'CUSTOS MENSAIS'!$H:$H,F94)</f>
        <v/>
      </c>
      <c r="E94" s="107">
        <f>IFERROR(D94/IF(B94="Clientes",SUMIFS(PARÂMETROS!$B$8:$B$33,PARÂMETROS!$G$8:$G$33,F94),SUMIFS(PARÂMETROS!$C$8:$C$33,PARÂMETROS!$G$8:$G$33,F94)),0)</f>
        <v/>
      </c>
      <c r="F94" s="105" t="inlineStr">
        <is>
          <t>Julho/2026</t>
        </is>
      </c>
      <c r="G94" s="106">
        <f>IF(B94="Clientes",SUMIFS(PARÂMETROS!$B$8:$B$33,PARÂMETROS!$G$8:$G$33,F94),SUMIFS(PARÂMETROS!$C$8:$C$33,PARÂMETROS!$G$8:$G$33,F94))</f>
        <v/>
      </c>
    </row>
    <row r="95" ht="14.25" customHeight="1" s="75">
      <c r="A95" s="101" t="inlineStr">
        <is>
          <t>Logística</t>
        </is>
      </c>
      <c r="B95" s="102" t="inlineStr">
        <is>
          <t>Clientes</t>
        </is>
      </c>
      <c r="C95" s="103" t="inlineStr">
        <is>
          <t>Logística administra o armazenamento e a distribuição de materiais e equipamentos</t>
        </is>
      </c>
      <c r="D95" s="107">
        <f>SUMIFS('CUSTOS MENSAIS'!$F:$F,'CUSTOS MENSAIS'!$A:$A,A95,'CUSTOS MENSAIS'!$H:$H,F95)</f>
        <v/>
      </c>
      <c r="E95" s="107">
        <f>IFERROR(D95/IF(B95="Clientes",SUMIFS(PARÂMETROS!$B$8:$B$33,PARÂMETROS!$G$8:$G$33,F95),SUMIFS(PARÂMETROS!$C$8:$C$33,PARÂMETROS!$G$8:$G$33,F95)),0)</f>
        <v/>
      </c>
      <c r="F95" s="105" t="inlineStr">
        <is>
          <t>Julho/2026</t>
        </is>
      </c>
      <c r="G95" s="106">
        <f>IF(B95="Clientes",SUMIFS(PARÂMETROS!$B$8:$B$33,PARÂMETROS!$G$8:$G$33,F95),SUMIFS(PARÂMETROS!$C$8:$C$33,PARÂMETROS!$G$8:$G$33,F95))</f>
        <v/>
      </c>
    </row>
    <row r="96" ht="14.25" customHeight="1" s="75">
      <c r="A96" s="101" t="inlineStr">
        <is>
          <t>Oficina</t>
        </is>
      </c>
      <c r="B96" s="102" t="inlineStr">
        <is>
          <t>Clientes</t>
        </is>
      </c>
      <c r="C96" s="103" t="inlineStr">
        <is>
          <t>Oficina realiza a manutenção da frota de veículos</t>
        </is>
      </c>
      <c r="D96" s="107">
        <f>SUMIFS('CUSTOS MENSAIS'!$F:$F,'CUSTOS MENSAIS'!$A:$A,A96,'CUSTOS MENSAIS'!$H:$H,F96)</f>
        <v/>
      </c>
      <c r="E96" s="107">
        <f>IFERROR(D96/IF(B96="Clientes",SUMIFS(PARÂMETROS!$B$8:$B$33,PARÂMETROS!$G$8:$G$33,F96),SUMIFS(PARÂMETROS!$C$8:$C$33,PARÂMETROS!$G$8:$G$33,F96)),0)</f>
        <v/>
      </c>
      <c r="F96" s="105" t="inlineStr">
        <is>
          <t>Julho/2026</t>
        </is>
      </c>
      <c r="G96" s="106">
        <f>IF(B96="Clientes",SUMIFS(PARÂMETROS!$B$8:$B$33,PARÂMETROS!$G$8:$G$33,F96),SUMIFS(PARÂMETROS!$C$8:$C$33,PARÂMETROS!$G$8:$G$33,F96))</f>
        <v/>
      </c>
    </row>
    <row r="97" ht="14.25" customHeight="1" s="75">
      <c r="A97" s="101" t="inlineStr">
        <is>
          <t>Estoque</t>
        </is>
      </c>
      <c r="B97" s="102" t="inlineStr">
        <is>
          <t>Clientes</t>
        </is>
      </c>
      <c r="C97" s="103" t="inlineStr">
        <is>
          <t>Estoque controla o armazenamento e a movimentação de materiais</t>
        </is>
      </c>
      <c r="D97" s="107">
        <f>SUMIFS('CUSTOS MENSAIS'!$F:$F,'CUSTOS MENSAIS'!$A:$A,A97,'CUSTOS MENSAIS'!$H:$H,F97)</f>
        <v/>
      </c>
      <c r="E97" s="107">
        <f>IFERROR(D97/IF(B97="Clientes",SUMIFS(PARÂMETROS!$B$8:$B$33,PARÂMETROS!$G$8:$G$33,F97),SUMIFS(PARÂMETROS!$C$8:$C$33,PARÂMETROS!$G$8:$G$33,F97)),0)</f>
        <v/>
      </c>
      <c r="F97" s="105" t="inlineStr">
        <is>
          <t>Julho/2026</t>
        </is>
      </c>
      <c r="G97" s="106">
        <f>IF(B97="Clientes",SUMIFS(PARÂMETROS!$B$8:$B$33,PARÂMETROS!$G$8:$G$33,F97),SUMIFS(PARÂMETROS!$C$8:$C$33,PARÂMETROS!$G$8:$G$33,F97))</f>
        <v/>
      </c>
    </row>
    <row r="98" ht="14.25" customHeight="1" s="75">
      <c r="A98" s="101" t="inlineStr">
        <is>
          <t>Televendas</t>
        </is>
      </c>
      <c r="B98" s="102" t="inlineStr">
        <is>
          <t>Clientes</t>
        </is>
      </c>
      <c r="C98" s="103" t="inlineStr">
        <is>
          <t>Televendas realiza vendas por telefone para novos clientes</t>
        </is>
      </c>
      <c r="D98" s="107">
        <f>SUMIFS('CUSTOS MENSAIS'!$F:$F,'CUSTOS MENSAIS'!$A:$A,A98,'CUSTOS MENSAIS'!$H:$H,F98)</f>
        <v/>
      </c>
      <c r="E98" s="107">
        <f>IFERROR(D98/IF(B98="Clientes",SUMIFS(PARÂMETROS!$B$8:$B$33,PARÂMETROS!$G$8:$G$33,F98),SUMIFS(PARÂMETROS!$C$8:$C$33,PARÂMETROS!$G$8:$G$33,F98)),0)</f>
        <v/>
      </c>
      <c r="F98" s="105" t="inlineStr">
        <is>
          <t>Julho/2026</t>
        </is>
      </c>
      <c r="G98" s="106">
        <f>IF(B98="Clientes",SUMIFS(PARÂMETROS!$B$8:$B$33,PARÂMETROS!$G$8:$G$33,F98),SUMIFS(PARÂMETROS!$C$8:$C$33,PARÂMETROS!$G$8:$G$33,F98))</f>
        <v/>
      </c>
    </row>
    <row r="99" ht="14.25" customHeight="1" s="75">
      <c r="A99" s="101" t="inlineStr">
        <is>
          <t>Suporte Orbix</t>
        </is>
      </c>
      <c r="B99" s="102" t="inlineStr">
        <is>
          <t>Clientes</t>
        </is>
      </c>
      <c r="C99" s="103" t="inlineStr">
        <is>
          <t>Suporte Orbix dá suporte técnico à operação Orbix</t>
        </is>
      </c>
      <c r="D99" s="107">
        <f>SUMIFS('CUSTOS MENSAIS'!$F:$F,'CUSTOS MENSAIS'!$A:$A,A99,'CUSTOS MENSAIS'!$H:$H,F99)</f>
        <v/>
      </c>
      <c r="E99" s="107">
        <f>IFERROR(D99/IF(B99="Clientes",SUMIFS(PARÂMETROS!$B$8:$B$33,PARÂMETROS!$G$8:$G$33,F99),SUMIFS(PARÂMETROS!$C$8:$C$33,PARÂMETROS!$G$8:$G$33,F99)),0)</f>
        <v/>
      </c>
      <c r="F99" s="105" t="inlineStr">
        <is>
          <t>Julho/2026</t>
        </is>
      </c>
      <c r="G99" s="106">
        <f>IF(B99="Clientes",SUMIFS(PARÂMETROS!$B$8:$B$33,PARÂMETROS!$G$8:$G$33,F99),SUMIFS(PARÂMETROS!$C$8:$C$33,PARÂMETROS!$G$8:$G$33,F99))</f>
        <v/>
      </c>
    </row>
    <row r="100" ht="14.25" customHeight="1" s="75">
      <c r="A100" s="101" t="inlineStr">
        <is>
          <t>Suporte da Central</t>
        </is>
      </c>
      <c r="B100" s="102" t="inlineStr">
        <is>
          <t>Clientes</t>
        </is>
      </c>
      <c r="C100" s="103" t="inlineStr">
        <is>
          <t>Suporte da Central dá suporte técnico à central de atendimento</t>
        </is>
      </c>
      <c r="D100" s="107">
        <f>SUMIFS('CUSTOS MENSAIS'!$F:$F,'CUSTOS MENSAIS'!$A:$A,A100,'CUSTOS MENSAIS'!$H:$H,F100)</f>
        <v/>
      </c>
      <c r="E100" s="107">
        <f>IFERROR(D100/IF(B100="Clientes",SUMIFS(PARÂMETROS!$B$8:$B$33,PARÂMETROS!$G$8:$G$33,F100),SUMIFS(PARÂMETROS!$C$8:$C$33,PARÂMETROS!$G$8:$G$33,F100)),0)</f>
        <v/>
      </c>
      <c r="F100" s="105" t="inlineStr">
        <is>
          <t>Julho/2026</t>
        </is>
      </c>
      <c r="G100" s="106">
        <f>IF(B100="Clientes",SUMIFS(PARÂMETROS!$B$8:$B$33,PARÂMETROS!$G$8:$G$33,F100),SUMIFS(PARÂMETROS!$C$8:$C$33,PARÂMETROS!$G$8:$G$33,F100))</f>
        <v/>
      </c>
    </row>
    <row r="101" ht="14.25" customHeight="1" s="75">
      <c r="A101" s="101" t="inlineStr">
        <is>
          <t>Comercial Corporativo</t>
        </is>
      </c>
      <c r="B101" s="102" t="inlineStr">
        <is>
          <t>Clientes</t>
        </is>
      </c>
      <c r="C101" s="103" t="inlineStr">
        <is>
          <t>Comercial Corporativo realiza vendas para clientes corporativos</t>
        </is>
      </c>
      <c r="D101" s="107">
        <f>SUMIFS('CUSTOS MENSAIS'!$F:$F,'CUSTOS MENSAIS'!$A:$A,A101,'CUSTOS MENSAIS'!$H:$H,F101)</f>
        <v/>
      </c>
      <c r="E101" s="107">
        <f>IFERROR(D101/IF(B101="Clientes",SUMIFS(PARÂMETROS!$B$8:$B$33,PARÂMETROS!$G$8:$G$33,F101),SUMIFS(PARÂMETROS!$C$8:$C$33,PARÂMETROS!$G$8:$G$33,F101)),0)</f>
        <v/>
      </c>
      <c r="F101" s="105" t="inlineStr">
        <is>
          <t>Julho/2026</t>
        </is>
      </c>
      <c r="G101" s="106">
        <f>IF(B101="Clientes",SUMIFS(PARÂMETROS!$B$8:$B$33,PARÂMETROS!$G$8:$G$33,F101),SUMIFS(PARÂMETROS!$C$8:$C$33,PARÂMETROS!$G$8:$G$33,F101))</f>
        <v/>
      </c>
    </row>
    <row r="102" ht="14.25" customHeight="1" s="75">
      <c r="A102" s="101" t="inlineStr">
        <is>
          <t>Administrativo</t>
        </is>
      </c>
      <c r="B102" s="102" t="inlineStr">
        <is>
          <t>Funcionários</t>
        </is>
      </c>
      <c r="C102" s="103" t="inlineStr">
        <is>
          <t>Administrativo reúne os softwares e sistemas corporativos usados pela operação</t>
        </is>
      </c>
      <c r="D102" s="107">
        <f>SUMIFS('CUSTOS MENSAIS'!$F:$F,'CUSTOS MENSAIS'!$A:$A,A102,'CUSTOS MENSAIS'!$H:$H,F102)</f>
        <v/>
      </c>
      <c r="E102" s="107">
        <f>IFERROR(D102/IF(B102="Clientes",SUMIFS(PARÂMETROS!$B$8:$B$33,PARÂMETROS!$G$8:$G$33,F102),SUMIFS(PARÂMETROS!$C$8:$C$33,PARÂMETROS!$G$8:$G$33,F102)),0)</f>
        <v/>
      </c>
      <c r="F102" s="105" t="inlineStr">
        <is>
          <t>Julho/2026</t>
        </is>
      </c>
      <c r="G102" s="106">
        <f>IF(B102="Clientes",SUMIFS(PARÂMETROS!$B$8:$B$33,PARÂMETROS!$G$8:$G$33,F102),SUMIFS(PARÂMETROS!$C$8:$C$33,PARÂMETROS!$G$8:$G$33,F102))</f>
        <v/>
      </c>
    </row>
    <row r="103" ht="14.25" customHeight="1" s="75">
      <c r="A103" s="101" t="inlineStr">
        <is>
          <t>Qualidade</t>
        </is>
      </c>
      <c r="B103" s="102" t="inlineStr">
        <is>
          <t>Clientes</t>
        </is>
      </c>
      <c r="C103" s="103" t="inlineStr">
        <is>
          <t>Área de Qualidade garante o padrão de atendimento e dos serviços prestados aos clientes</t>
        </is>
      </c>
      <c r="D103" s="107">
        <f>SUMIFS('CUSTOS MENSAIS'!$F:$F,'CUSTOS MENSAIS'!$A:$A,A103,'CUSTOS MENSAIS'!$H:$H,F103)</f>
        <v/>
      </c>
      <c r="E103" s="107">
        <f>IFERROR(D103/IF(B103="Clientes",SUMIFS(PARÂMETROS!$B$8:$B$33,PARÂMETROS!$G$8:$G$33,F103),SUMIFS(PARÂMETROS!$C$8:$C$33,PARÂMETROS!$G$8:$G$33,F103)),0)</f>
        <v/>
      </c>
      <c r="F103" s="105" t="inlineStr">
        <is>
          <t>Julho/2026</t>
        </is>
      </c>
      <c r="G103" s="106">
        <f>IF(B103="Clientes",SUMIFS(PARÂMETROS!$B$8:$B$33,PARÂMETROS!$G$8:$G$33,F103),SUMIFS(PARÂMETROS!$C$8:$C$33,PARÂMETROS!$G$8:$G$33,F103))</f>
        <v/>
      </c>
    </row>
    <row r="104" ht="14.25" customHeight="1" s="75">
      <c r="A104" s="101" t="inlineStr">
        <is>
          <t>Jurídico</t>
        </is>
      </c>
      <c r="B104" s="102" t="inlineStr">
        <is>
          <t>Clientes</t>
        </is>
      </c>
      <c r="C104" s="103" t="inlineStr">
        <is>
          <t>Jurídico atua nas demandas legais e contratuais da operação</t>
        </is>
      </c>
      <c r="D104" s="107">
        <f>SUMIFS('CUSTOS MENSAIS'!$F:$F,'CUSTOS MENSAIS'!$A:$A,A104,'CUSTOS MENSAIS'!$H:$H,F104)</f>
        <v/>
      </c>
      <c r="E104" s="107">
        <f>IFERROR(D104/IF(B104="Clientes",SUMIFS(PARÂMETROS!$B$8:$B$33,PARÂMETROS!$G$8:$G$33,F104),SUMIFS(PARÂMETROS!$C$8:$C$33,PARÂMETROS!$G$8:$G$33,F104)),0)</f>
        <v/>
      </c>
      <c r="F104" s="105" t="inlineStr">
        <is>
          <t>Julho/2026</t>
        </is>
      </c>
      <c r="G104" s="106">
        <f>IF(B104="Clientes",SUMIFS(PARÂMETROS!$B$8:$B$33,PARÂMETROS!$G$8:$G$33,F104),SUMIFS(PARÂMETROS!$C$8:$C$33,PARÂMETROS!$G$8:$G$33,F104))</f>
        <v/>
      </c>
    </row>
    <row r="105" ht="14.25" customHeight="1" s="75">
      <c r="A105" s="101" t="inlineStr">
        <is>
          <t>Marketing</t>
        </is>
      </c>
      <c r="B105" s="102" t="inlineStr">
        <is>
          <t>Clientes</t>
        </is>
      </c>
      <c r="C105" s="103" t="inlineStr">
        <is>
          <t>Marketing atua na captação, retenção e comunicação com a base de clientes</t>
        </is>
      </c>
      <c r="D105" s="107">
        <f>SUMIFS('CUSTOS MENSAIS'!$F:$F,'CUSTOS MENSAIS'!$A:$A,A105,'CUSTOS MENSAIS'!$H:$H,F105)</f>
        <v/>
      </c>
      <c r="E105" s="107">
        <f>IFERROR(D105/IF(B105="Clientes",SUMIFS(PARÂMETROS!$B$8:$B$33,PARÂMETROS!$G$8:$G$33,F105),SUMIFS(PARÂMETROS!$C$8:$C$33,PARÂMETROS!$G$8:$G$33,F105)),0)</f>
        <v/>
      </c>
      <c r="F105" s="105" t="inlineStr">
        <is>
          <t>Julho/2026</t>
        </is>
      </c>
      <c r="G105" s="106">
        <f>IF(B105="Clientes",SUMIFS(PARÂMETROS!$B$8:$B$33,PARÂMETROS!$G$8:$G$33,F105),SUMIFS(PARÂMETROS!$C$8:$C$33,PARÂMETROS!$G$8:$G$33,F105))</f>
        <v/>
      </c>
    </row>
    <row r="106" ht="14.25" customHeight="1" s="75">
      <c r="A106" s="101" t="inlineStr">
        <is>
          <t>TIC</t>
        </is>
      </c>
      <c r="B106" s="102" t="inlineStr">
        <is>
          <t>Clientes</t>
        </is>
      </c>
      <c r="C106" s="103" t="inlineStr">
        <is>
          <t>TIC dá suporte de infraestrutura de tecnologia à operação voltada aos clientes</t>
        </is>
      </c>
      <c r="D106" s="107">
        <f>SUMIFS('CUSTOS MENSAIS'!$F:$F,'CUSTOS MENSAIS'!$A:$A,A106,'CUSTOS MENSAIS'!$H:$H,F106)</f>
        <v/>
      </c>
      <c r="E106" s="107">
        <f>IFERROR(D106/IF(B106="Clientes",SUMIFS(PARÂMETROS!$B$8:$B$33,PARÂMETROS!$G$8:$G$33,F106),SUMIFS(PARÂMETROS!$C$8:$C$33,PARÂMETROS!$G$8:$G$33,F106)),0)</f>
        <v/>
      </c>
      <c r="F106" s="105" t="inlineStr">
        <is>
          <t>Julho/2026</t>
        </is>
      </c>
      <c r="G106" s="106">
        <f>IF(B106="Clientes",SUMIFS(PARÂMETROS!$B$8:$B$33,PARÂMETROS!$G$8:$G$33,F106),SUMIFS(PARÂMETROS!$C$8:$C$33,PARÂMETROS!$G$8:$G$33,F106))</f>
        <v/>
      </c>
    </row>
    <row r="107" ht="14.25" customHeight="1" s="75">
      <c r="A107" s="101" t="inlineStr">
        <is>
          <t>COE</t>
        </is>
      </c>
      <c r="B107" s="102" t="inlineStr">
        <is>
          <t>Clientes</t>
        </is>
      </c>
      <c r="C107" s="103" t="inlineStr">
        <is>
          <t>Centro de Operações Especiais (COE) trata despacho e demandas operacionais ligadas à base de clientes</t>
        </is>
      </c>
      <c r="D107" s="107">
        <f>SUMIFS('CUSTOS MENSAIS'!$F:$F,'CUSTOS MENSAIS'!$A:$A,A107,'CUSTOS MENSAIS'!$H:$H,F107)</f>
        <v/>
      </c>
      <c r="E107" s="107">
        <f>IFERROR(D107/IF(B107="Clientes",SUMIFS(PARÂMETROS!$B$8:$B$33,PARÂMETROS!$G$8:$G$33,F107),SUMIFS(PARÂMETROS!$C$8:$C$33,PARÂMETROS!$G$8:$G$33,F107)),0)</f>
        <v/>
      </c>
      <c r="F107" s="105" t="inlineStr">
        <is>
          <t>Julho/2026</t>
        </is>
      </c>
      <c r="G107" s="106">
        <f>IF(B107="Clientes",SUMIFS(PARÂMETROS!$B$8:$B$33,PARÂMETROS!$G$8:$G$33,F107),SUMIFS(PARÂMETROS!$C$8:$C$33,PARÂMETROS!$G$8:$G$33,F107))</f>
        <v/>
      </c>
    </row>
    <row r="108" ht="14.25" customHeight="1" s="75">
      <c r="A108" s="101" t="inlineStr">
        <is>
          <t>Fique Móvel</t>
        </is>
      </c>
      <c r="B108" s="102" t="inlineStr">
        <is>
          <t>Clientes</t>
        </is>
      </c>
      <c r="C108" s="103" t="inlineStr">
        <is>
          <t>Fique Móvel é equipe de vendas que atua diretamente na captação de clientes</t>
        </is>
      </c>
      <c r="D108" s="107">
        <f>SUMIFS('CUSTOS MENSAIS'!$F:$F,'CUSTOS MENSAIS'!$A:$A,A108,'CUSTOS MENSAIS'!$H:$H,F108)</f>
        <v/>
      </c>
      <c r="E108" s="107">
        <f>IFERROR(D108/IF(B108="Clientes",SUMIFS(PARÂMETROS!$B$8:$B$33,PARÂMETROS!$G$8:$G$33,F108),SUMIFS(PARÂMETROS!$C$8:$C$33,PARÂMETROS!$G$8:$G$33,F108)),0)</f>
        <v/>
      </c>
      <c r="F108" s="105" t="inlineStr">
        <is>
          <t>Julho/2026</t>
        </is>
      </c>
      <c r="G108" s="106">
        <f>IF(B108="Clientes",SUMIFS(PARÂMETROS!$B$8:$B$33,PARÂMETROS!$G$8:$G$33,F108),SUMIFS(PARÂMETROS!$C$8:$C$33,PARÂMETROS!$G$8:$G$33,F108))</f>
        <v/>
      </c>
    </row>
    <row r="109" ht="14.25" customHeight="1" s="75">
      <c r="A109" s="101" t="inlineStr">
        <is>
          <t>Lançamento</t>
        </is>
      </c>
      <c r="B109" s="102" t="inlineStr">
        <is>
          <t>Clientes</t>
        </is>
      </c>
      <c r="C109" s="103" t="inlineStr">
        <is>
          <t>Equipe de Lançamento realiza a instalação/lançamento de rede para atender novos clientes</t>
        </is>
      </c>
      <c r="D109" s="107">
        <f>SUMIFS('CUSTOS MENSAIS'!$F:$F,'CUSTOS MENSAIS'!$A:$A,A109,'CUSTOS MENSAIS'!$H:$H,F109)</f>
        <v/>
      </c>
      <c r="E109" s="107">
        <f>IFERROR(D109/IF(B109="Clientes",SUMIFS(PARÂMETROS!$B$8:$B$33,PARÂMETROS!$G$8:$G$33,F109),SUMIFS(PARÂMETROS!$C$8:$C$33,PARÂMETROS!$G$8:$G$33,F109)),0)</f>
        <v/>
      </c>
      <c r="F109" s="105" t="inlineStr">
        <is>
          <t>Julho/2026</t>
        </is>
      </c>
      <c r="G109" s="106">
        <f>IF(B109="Clientes",SUMIFS(PARÂMETROS!$B$8:$B$33,PARÂMETROS!$G$8:$G$33,F109),SUMIFS(PARÂMETROS!$C$8:$C$33,PARÂMETROS!$G$8:$G$33,F109))</f>
        <v/>
      </c>
    </row>
    <row r="110" ht="14.25" customHeight="1" s="75">
      <c r="A110" s="101" t="inlineStr">
        <is>
          <t>Fusão</t>
        </is>
      </c>
      <c r="B110" s="102" t="inlineStr">
        <is>
          <t>Clientes</t>
        </is>
      </c>
      <c r="C110" s="103" t="inlineStr">
        <is>
          <t>Equipe de Fusão realiza fusão/manutenção de fibra óptica para atender a base de clientes</t>
        </is>
      </c>
      <c r="D110" s="107">
        <f>SUMIFS('CUSTOS MENSAIS'!$F:$F,'CUSTOS MENSAIS'!$A:$A,A110,'CUSTOS MENSAIS'!$H:$H,F110)</f>
        <v/>
      </c>
      <c r="E110" s="107">
        <f>IFERROR(D110/IF(B110="Clientes",SUMIFS(PARÂMETROS!$B$8:$B$33,PARÂMETROS!$G$8:$G$33,F110),SUMIFS(PARÂMETROS!$C$8:$C$33,PARÂMETROS!$G$8:$G$33,F110)),0)</f>
        <v/>
      </c>
      <c r="F110" s="105" t="inlineStr">
        <is>
          <t>Julho/2026</t>
        </is>
      </c>
      <c r="G110" s="106">
        <f>IF(B110="Clientes",SUMIFS(PARÂMETROS!$B$8:$B$33,PARÂMETROS!$G$8:$G$33,F110),SUMIFS(PARÂMETROS!$C$8:$C$33,PARÂMETROS!$G$8:$G$33,F110))</f>
        <v/>
      </c>
    </row>
    <row r="111" ht="14.25" customHeight="1" s="75">
      <c r="A111" s="101" t="inlineStr">
        <is>
          <t>Diretoria Adm</t>
        </is>
      </c>
      <c r="B111" s="102" t="inlineStr">
        <is>
          <t>Clientes</t>
        </is>
      </c>
      <c r="C111" s="103" t="inlineStr">
        <is>
          <t>Diretoria Administrativa realiza a gestão administrativa executiva da operação</t>
        </is>
      </c>
      <c r="D111" s="107">
        <f>SUMIFS('CUSTOS MENSAIS'!$F:$F,'CUSTOS MENSAIS'!$A:$A,A111,'CUSTOS MENSAIS'!$H:$H,F111)</f>
        <v/>
      </c>
      <c r="E111" s="107">
        <f>IFERROR(D111/IF(B111="Clientes",SUMIFS(PARÂMETROS!$B$8:$B$33,PARÂMETROS!$G$8:$G$33,F111),SUMIFS(PARÂMETROS!$C$8:$C$33,PARÂMETROS!$G$8:$G$33,F111)),0)</f>
        <v/>
      </c>
      <c r="F111" s="105" t="inlineStr">
        <is>
          <t>Julho/2026</t>
        </is>
      </c>
      <c r="G111" s="106">
        <f>IF(B111="Clientes",SUMIFS(PARÂMETROS!$B$8:$B$33,PARÂMETROS!$G$8:$G$33,F111),SUMIFS(PARÂMETROS!$C$8:$C$33,PARÂMETROS!$G$8:$G$33,F111))</f>
        <v/>
      </c>
    </row>
    <row r="112" ht="14.25" customHeight="1" s="75">
      <c r="A112" s="101" t="inlineStr">
        <is>
          <t>Cozinha</t>
        </is>
      </c>
      <c r="B112" s="102" t="inlineStr">
        <is>
          <t>Funcionários</t>
        </is>
      </c>
      <c r="C112" s="103" t="inlineStr">
        <is>
          <t>Cozinha prepara as refeições dos colaboradores</t>
        </is>
      </c>
      <c r="D112" s="107">
        <f>SUMIFS('CUSTOS MENSAIS'!$F:$F,'CUSTOS MENSAIS'!$A:$A,A112,'CUSTOS MENSAIS'!$H:$H,F112)</f>
        <v/>
      </c>
      <c r="E112" s="107">
        <f>IFERROR(D112/G112,0)</f>
        <v/>
      </c>
      <c r="F112" s="105" t="inlineStr">
        <is>
          <t>Julho/2026</t>
        </is>
      </c>
      <c r="G112" s="106">
        <f>SUMIFS(PARÂMETROS!$C$8:$C$33,PARÂMETROS!$G$8:$G$33,F112,PARÂMETROS!$A$8:$A$33,"DTEL (uso próprio)")</f>
        <v/>
      </c>
    </row>
    <row r="113" ht="14.25" customHeight="1" s="75">
      <c r="A113" s="108" t="inlineStr">
        <is>
          <t>TOTAL GERAL — Julho/2026</t>
        </is>
      </c>
      <c r="B113" s="121" t="n"/>
      <c r="C113" s="110" t="n"/>
      <c r="D113" s="122">
        <f>SUM(D78:D112)+D116+D119</f>
        <v/>
      </c>
      <c r="E113" s="122" t="n"/>
      <c r="F113" s="121" t="n"/>
      <c r="G113" s="112" t="n"/>
    </row>
    <row r="114" ht="14.25" customHeight="1" s="75">
      <c r="A114" s="101" t="inlineStr">
        <is>
          <t>Backoffice Comercial Varejo</t>
        </is>
      </c>
      <c r="B114" s="102" t="inlineStr">
        <is>
          <t>Clientes</t>
        </is>
      </c>
      <c r="C114" s="103" t="inlineStr">
        <is>
          <t>Equipe de backoffice do Comercial Varejo dá suporte administrativo às vendas e atende à base de clientes</t>
        </is>
      </c>
      <c r="D114" s="107">
        <f>SUMIFS('CUSTOS MENSAIS'!$F:$F,'CUSTOS MENSAIS'!$A:$A,A114,'CUSTOS MENSAIS'!$H:$H,F114)</f>
        <v/>
      </c>
      <c r="E114" s="107">
        <f>IFERROR(D114/IF(B114="Clientes",SUMIFS(PARÂMETROS!$B$8:$B$33,PARÂMETROS!$G$8:$G$33,F114),SUMIFS(PARÂMETROS!$C$8:$C$33,PARÂMETROS!$G$8:$G$33,F114)),0)</f>
        <v/>
      </c>
      <c r="F114" s="105" t="inlineStr">
        <is>
          <t>Maio/2026</t>
        </is>
      </c>
      <c r="G114" s="106">
        <f>IF(B114="Clientes",SUMIFS(PARÂMETROS!$B$8:$B$33,PARÂMETROS!$G$8:$G$33,F114),SUMIFS(PARÂMETROS!$C$8:$C$33,PARÂMETROS!$G$8:$G$33,F114))</f>
        <v/>
      </c>
    </row>
    <row r="115" ht="14.25" customHeight="1" s="75">
      <c r="A115" s="101" t="inlineStr">
        <is>
          <t>Backoffice Comercial Varejo</t>
        </is>
      </c>
      <c r="B115" s="102" t="inlineStr">
        <is>
          <t>Clientes</t>
        </is>
      </c>
      <c r="C115" s="103" t="inlineStr">
        <is>
          <t>Equipe de backoffice do Comercial Varejo dá suporte administrativo às vendas e atende à base de clientes</t>
        </is>
      </c>
      <c r="D115" s="107">
        <f>SUMIFS('CUSTOS MENSAIS'!$F:$F,'CUSTOS MENSAIS'!$A:$A,A115,'CUSTOS MENSAIS'!$H:$H,F115)</f>
        <v/>
      </c>
      <c r="E115" s="107">
        <f>IFERROR(D115/IF(B115="Clientes",SUMIFS(PARÂMETROS!$B$8:$B$33,PARÂMETROS!$G$8:$G$33,F115),SUMIFS(PARÂMETROS!$C$8:$C$33,PARÂMETROS!$G$8:$G$33,F115)),0)</f>
        <v/>
      </c>
      <c r="F115" s="105" t="inlineStr">
        <is>
          <t>Junho/2026</t>
        </is>
      </c>
      <c r="G115" s="106">
        <f>IF(B115="Clientes",SUMIFS(PARÂMETROS!$B$8:$B$33,PARÂMETROS!$G$8:$G$33,F115),SUMIFS(PARÂMETROS!$C$8:$C$33,PARÂMETROS!$G$8:$G$33,F115))</f>
        <v/>
      </c>
    </row>
    <row r="116" ht="14.25" customHeight="1" s="75">
      <c r="A116" s="101" t="inlineStr">
        <is>
          <t>Backoffice Comercial Varejo</t>
        </is>
      </c>
      <c r="B116" s="102" t="inlineStr">
        <is>
          <t>Clientes</t>
        </is>
      </c>
      <c r="C116" s="103" t="inlineStr">
        <is>
          <t>Equipe de backoffice do Comercial Varejo dá suporte administrativo às vendas e atende à base de clientes</t>
        </is>
      </c>
      <c r="D116" s="107">
        <f>SUMIFS('CUSTOS MENSAIS'!$F:$F,'CUSTOS MENSAIS'!$A:$A,A116,'CUSTOS MENSAIS'!$H:$H,F116)</f>
        <v/>
      </c>
      <c r="E116" s="107">
        <f>IFERROR(D116/IF(B116="Clientes",SUMIFS(PARÂMETROS!$B$8:$B$33,PARÂMETROS!$G$8:$G$33,F116),SUMIFS(PARÂMETROS!$C$8:$C$33,PARÂMETROS!$G$8:$G$33,F116)),0)</f>
        <v/>
      </c>
      <c r="F116" s="105" t="inlineStr">
        <is>
          <t>Julho/2026</t>
        </is>
      </c>
      <c r="G116" s="106">
        <f>IF(B116="Clientes",SUMIFS(PARÂMETROS!$B$8:$B$33,PARÂMETROS!$G$8:$G$33,F116),SUMIFS(PARÂMETROS!$C$8:$C$33,PARÂMETROS!$G$8:$G$33,F116))</f>
        <v/>
      </c>
    </row>
    <row r="117" ht="14.25" customHeight="1" s="75">
      <c r="A117" s="101" t="inlineStr">
        <is>
          <t>Serviços Gerais</t>
        </is>
      </c>
      <c r="B117" s="102" t="inlineStr">
        <is>
          <t>Funcionários</t>
        </is>
      </c>
      <c r="C117" s="103" t="inlineStr">
        <is>
          <t>Serviços Gerais realiza limpeza e apoio predial para os colaboradores</t>
        </is>
      </c>
      <c r="D117" s="107">
        <f>SUMIFS('CUSTOS MENSAIS'!$F:$F,'CUSTOS MENSAIS'!$A:$A,A117,'CUSTOS MENSAIS'!$H:$H,F117)</f>
        <v/>
      </c>
      <c r="E117" s="107">
        <f>IFERROR(D117/IF(B117="Clientes",SUMIFS(PARÂMETROS!$B$8:$B$33,PARÂMETROS!$G$8:$G$33,F117),SUMIFS(PARÂMETROS!$C$8:$C$33,PARÂMETROS!$G$8:$G$33,F117)),0)</f>
        <v/>
      </c>
      <c r="F117" s="105" t="inlineStr">
        <is>
          <t>Maio/2026</t>
        </is>
      </c>
      <c r="G117" s="106">
        <f>IF(B117="Clientes",SUMIFS(PARÂMETROS!$B$8:$B$33,PARÂMETROS!$G$8:$G$33,F117),SUMIFS(PARÂMETROS!$C$8:$C$33,PARÂMETROS!$G$8:$G$33,F117))</f>
        <v/>
      </c>
    </row>
    <row r="118" ht="14.25" customHeight="1" s="75">
      <c r="A118" s="101" t="inlineStr">
        <is>
          <t>Serviços Gerais</t>
        </is>
      </c>
      <c r="B118" s="102" t="inlineStr">
        <is>
          <t>Funcionários</t>
        </is>
      </c>
      <c r="C118" s="103" t="inlineStr">
        <is>
          <t>Serviços Gerais realiza limpeza e apoio predial para os colaboradores</t>
        </is>
      </c>
      <c r="D118" s="107">
        <f>SUMIFS('CUSTOS MENSAIS'!$F:$F,'CUSTOS MENSAIS'!$A:$A,A118,'CUSTOS MENSAIS'!$H:$H,F118)</f>
        <v/>
      </c>
      <c r="E118" s="107">
        <f>IFERROR(D118/IF(B118="Clientes",SUMIFS(PARÂMETROS!$B$8:$B$33,PARÂMETROS!$G$8:$G$33,F118),SUMIFS(PARÂMETROS!$C$8:$C$33,PARÂMETROS!$G$8:$G$33,F118)),0)</f>
        <v/>
      </c>
      <c r="F118" s="105" t="inlineStr">
        <is>
          <t>Junho/2026</t>
        </is>
      </c>
      <c r="G118" s="106">
        <f>IF(B118="Clientes",SUMIFS(PARÂMETROS!$B$8:$B$33,PARÂMETROS!$G$8:$G$33,F118),SUMIFS(PARÂMETROS!$C$8:$C$33,PARÂMETROS!$G$8:$G$33,F118))</f>
        <v/>
      </c>
    </row>
    <row r="119" ht="14.25" customHeight="1" s="75">
      <c r="A119" s="101" t="inlineStr">
        <is>
          <t>Serviços Gerais</t>
        </is>
      </c>
      <c r="B119" s="102" t="inlineStr">
        <is>
          <t>Funcionários</t>
        </is>
      </c>
      <c r="C119" s="103" t="inlineStr">
        <is>
          <t>Serviços Gerais realiza limpeza e apoio predial para os colaboradores</t>
        </is>
      </c>
      <c r="D119" s="107">
        <f>SUMIFS('CUSTOS MENSAIS'!$F:$F,'CUSTOS MENSAIS'!$A:$A,A119,'CUSTOS MENSAIS'!$H:$H,F119)</f>
        <v/>
      </c>
      <c r="E119" s="107">
        <f>IFERROR(D119/IF(B119="Clientes",SUMIFS(PARÂMETROS!$B$8:$B$33,PARÂMETROS!$G$8:$G$33,F119),SUMIFS(PARÂMETROS!$C$8:$C$33,PARÂMETROS!$G$8:$G$33,F119)),0)</f>
        <v/>
      </c>
      <c r="F119" s="105" t="inlineStr">
        <is>
          <t>Julho/2026</t>
        </is>
      </c>
      <c r="G119" s="106">
        <f>IF(B119="Clientes",SUMIFS(PARÂMETROS!$B$8:$B$33,PARÂMETROS!$G$8:$G$33,F119),SUMIFS(PARÂMETROS!$C$8:$C$33,PARÂMETROS!$G$8:$G$33,F119))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742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F5" activeCellId="0" sqref="F5"/>
    </sheetView>
  </sheetViews>
  <sheetFormatPr baseColWidth="8" defaultColWidth="8.66796875" defaultRowHeight="14.25" zeroHeight="0" outlineLevelRow="0"/>
  <cols>
    <col width="21.22" customWidth="1" style="74" min="1" max="1"/>
    <col width="20.66" customWidth="1" style="74" min="2" max="2"/>
    <col width="50" customWidth="1" style="74" min="3" max="3"/>
    <col width="15.78" customWidth="1" style="74" min="4" max="4"/>
    <col width="18.34" customWidth="1" style="74" min="5" max="5"/>
    <col width="16.56" customWidth="1" style="74" min="6" max="6"/>
    <col width="16" customWidth="1" style="74" min="7" max="7"/>
    <col width="12" customWidth="1" style="74" min="8" max="8"/>
  </cols>
  <sheetData>
    <row r="1" ht="14.25" customHeight="1" s="75">
      <c r="A1" s="74" t="inlineStr">
        <is>
          <t>CUSTOS MENSAIS — POR SETOR</t>
        </is>
      </c>
    </row>
    <row r="2" ht="14.25" customHeight="1" s="75">
      <c r="A2" s="79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5">
      <c r="A4" s="80" t="inlineStr">
        <is>
          <t>Setor</t>
        </is>
      </c>
      <c r="B4" s="80" t="inlineStr">
        <is>
          <t>Categoria</t>
        </is>
      </c>
      <c r="C4" s="80" t="inlineStr">
        <is>
          <t>Descrição do Custo</t>
        </is>
      </c>
      <c r="D4" s="80" t="inlineStr">
        <is>
          <t>Quantidade</t>
        </is>
      </c>
      <c r="E4" s="80" t="inlineStr">
        <is>
          <t>Valor Unitário</t>
        </is>
      </c>
      <c r="F4" s="80" t="inlineStr">
        <is>
          <t xml:space="preserve">Total do Mês </t>
        </is>
      </c>
      <c r="G4" s="80" t="inlineStr">
        <is>
          <t>Critério de Rateio</t>
        </is>
      </c>
      <c r="H4" s="80" t="inlineStr">
        <is>
          <t>Mês</t>
        </is>
      </c>
    </row>
    <row r="5" ht="14.25" customHeight="1" s="75">
      <c r="A5" s="90" t="inlineStr">
        <is>
          <t>Gestão de Atendimento</t>
        </is>
      </c>
      <c r="B5" s="90" t="inlineStr">
        <is>
          <t>Custo Fixo</t>
        </is>
      </c>
      <c r="C5" s="90" t="inlineStr">
        <is>
          <t>Material de escritório (suprimentos de informática)</t>
        </is>
      </c>
      <c r="D5" s="117" t="n"/>
      <c r="E5" s="118" t="n"/>
      <c r="F5" s="96" t="n">
        <v>0</v>
      </c>
      <c r="G5" s="90">
        <f>INDEX(SETORES!$B:$B,MATCH(A5,SETORES!$A:$A,0))</f>
        <v/>
      </c>
      <c r="H5" s="90" t="inlineStr">
        <is>
          <t>Maio/2026</t>
        </is>
      </c>
    </row>
    <row r="6" ht="14.25" customHeight="1" s="75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t="14.25" customHeight="1" s="75">
      <c r="A7" s="90" t="inlineStr">
        <is>
          <t>Gestão de Atendimento</t>
        </is>
      </c>
      <c r="B7" s="90" t="inlineStr">
        <is>
          <t>Custo Fixo</t>
        </is>
      </c>
      <c r="C7" s="90" t="inlineStr">
        <is>
          <t>Energia elétrica (rateio)</t>
        </is>
      </c>
      <c r="D7" s="117" t="n">
        <v>1</v>
      </c>
      <c r="E7" s="118" t="n">
        <v>42.554</v>
      </c>
      <c r="F7" s="96" t="n">
        <v>42.554</v>
      </c>
      <c r="G7" s="90">
        <f>INDEX(SETORES!$B:$B,MATCH(A7,SETORES!$A:$A,0))</f>
        <v/>
      </c>
      <c r="H7" s="90" t="inlineStr">
        <is>
          <t>Maio/2026</t>
        </is>
      </c>
    </row>
    <row r="8" ht="14.25" customHeight="1" s="75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t="14.25" customHeight="1" s="75">
      <c r="A9" s="90" t="inlineStr">
        <is>
          <t>Gestão de Atendimento</t>
        </is>
      </c>
      <c r="B9" s="90" t="inlineStr">
        <is>
          <t>Custo Fixo</t>
        </is>
      </c>
      <c r="C9" s="90" t="inlineStr">
        <is>
          <t>Telefonia móvel corporativa</t>
        </is>
      </c>
      <c r="D9" s="117" t="n"/>
      <c r="E9" s="118" t="n"/>
      <c r="F9" s="96">
        <f>IFERROR(D9*E9,0)</f>
        <v/>
      </c>
      <c r="G9" s="90">
        <f>INDEX(SETORES!$B:$B,MATCH(A9,SETORES!$A:$A,0))</f>
        <v/>
      </c>
      <c r="H9" s="90" t="inlineStr">
        <is>
          <t>Maio/2026</t>
        </is>
      </c>
    </row>
    <row r="10" ht="14.25" customHeight="1" s="75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t="14.25" customHeight="1" s="75">
      <c r="A11" s="90" t="inlineStr">
        <is>
          <t>Gestão de Atendimento</t>
        </is>
      </c>
      <c r="B11" s="90" t="inlineStr">
        <is>
          <t>Custo Variável</t>
        </is>
      </c>
      <c r="C11" s="90" t="inlineStr">
        <is>
          <t>Fardamento novo</t>
        </is>
      </c>
      <c r="D11" s="117" t="n">
        <v>1</v>
      </c>
      <c r="E11" s="118" t="n">
        <v>174</v>
      </c>
      <c r="F11" s="96">
        <f>IFERROR(D11*E11,0)</f>
        <v/>
      </c>
      <c r="G11" s="90">
        <f>INDEX(SETORES!$B:$B,MATCH(A11,SETORES!$A:$A,0))</f>
        <v/>
      </c>
      <c r="H11" s="90" t="inlineStr">
        <is>
          <t>Maio/2026</t>
        </is>
      </c>
    </row>
    <row r="12" ht="14.25" customHeight="1" s="75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t="14.25" customHeight="1" s="75">
      <c r="A13" s="90" t="inlineStr">
        <is>
          <t>Gestão de Atendimento</t>
        </is>
      </c>
      <c r="B13" s="90" t="inlineStr">
        <is>
          <t>Custo Variável</t>
        </is>
      </c>
      <c r="C13" s="90" t="inlineStr">
        <is>
          <t>Exames médicos</t>
        </is>
      </c>
      <c r="D13" s="117" t="n"/>
      <c r="E13" s="118" t="n"/>
      <c r="F13" s="96">
        <f>IFERROR(D13*E13,0)</f>
        <v/>
      </c>
      <c r="G13" s="90">
        <f>INDEX(SETORES!$B:$B,MATCH(A13,SETORES!$A:$A,0))</f>
        <v/>
      </c>
      <c r="H13" s="90" t="inlineStr">
        <is>
          <t>Maio/2026</t>
        </is>
      </c>
    </row>
    <row r="14" ht="14.25" customHeight="1" s="75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t="14.25" customHeight="1" s="75">
      <c r="A15" s="90" t="inlineStr">
        <is>
          <t>Gestão de Atendimento</t>
        </is>
      </c>
      <c r="B15" s="90" t="inlineStr">
        <is>
          <t>Custo Fixo</t>
        </is>
      </c>
      <c r="C15" s="90" t="inlineStr">
        <is>
          <t>Gympass</t>
        </is>
      </c>
      <c r="D15" s="117" t="n">
        <v>5</v>
      </c>
      <c r="E15" s="118" t="n">
        <v>10.05</v>
      </c>
      <c r="F15" s="96">
        <f>IFERROR(D15*E15,0)</f>
        <v/>
      </c>
      <c r="G15" s="90">
        <f>INDEX(SETORES!$B:$B,MATCH(A15,SETORES!$A:$A,0))</f>
        <v/>
      </c>
      <c r="H15" s="90" t="inlineStr">
        <is>
          <t>Maio/2026</t>
        </is>
      </c>
    </row>
    <row r="16" ht="14.25" customHeight="1" s="75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t="14.25" customHeight="1" s="75">
      <c r="A17" s="90" t="inlineStr">
        <is>
          <t>Gestão de Atendimento</t>
        </is>
      </c>
      <c r="B17" s="90" t="inlineStr">
        <is>
          <t>Custo Fixo</t>
        </is>
      </c>
      <c r="C17" s="90" t="inlineStr">
        <is>
          <t>Despesas com SST</t>
        </is>
      </c>
      <c r="D17" s="117" t="n">
        <v>5</v>
      </c>
      <c r="E17" s="118" t="n">
        <v>64.56999999999999</v>
      </c>
      <c r="F17" s="96">
        <f>IFERROR(D17*E17,0)</f>
        <v/>
      </c>
      <c r="G17" s="90">
        <f>INDEX(SETORES!$B:$B,MATCH(A17,SETORES!$A:$A,0))</f>
        <v/>
      </c>
      <c r="H17" s="90" t="inlineStr">
        <is>
          <t>Maio/2026</t>
        </is>
      </c>
    </row>
    <row r="18" ht="14.25" customHeight="1" s="75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t="14.25" customHeight="1" s="75">
      <c r="A19" s="90" t="inlineStr">
        <is>
          <t>Gestão de Atendimento</t>
        </is>
      </c>
      <c r="B19" s="90" t="inlineStr">
        <is>
          <t>Custo Fixo</t>
        </is>
      </c>
      <c r="C19" s="90" t="inlineStr">
        <is>
          <t>Despesas com DP</t>
        </is>
      </c>
      <c r="D19" s="117" t="n">
        <v>5</v>
      </c>
      <c r="E19" s="118" t="n">
        <v>47.79</v>
      </c>
      <c r="F19" s="96">
        <f>IFERROR(D19*E19,0)</f>
        <v/>
      </c>
      <c r="G19" s="90">
        <f>INDEX(SETORES!$B:$B,MATCH(A19,SETORES!$A:$A,0))</f>
        <v/>
      </c>
      <c r="H19" s="90" t="inlineStr">
        <is>
          <t>Maio/2026</t>
        </is>
      </c>
    </row>
    <row r="20" ht="14.25" customHeight="1" s="75">
      <c r="A20" s="113" t="inlineStr">
        <is>
          <t>Administrativo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t="14.25" customHeight="1" s="75">
      <c r="A21" s="90" t="inlineStr">
        <is>
          <t>Administrativo</t>
        </is>
      </c>
      <c r="B21" s="90" t="inlineStr">
        <is>
          <t>Custo Fixo</t>
        </is>
      </c>
      <c r="C21" s="90" t="inlineStr">
        <is>
          <t>Plataforma do aplicativo Vexpenses</t>
        </is>
      </c>
      <c r="D21" s="117" t="n">
        <v>1</v>
      </c>
      <c r="E21" s="118" t="n">
        <v>1614.4</v>
      </c>
      <c r="F21" s="96">
        <f>IFERROR(D21*E21,0)</f>
        <v/>
      </c>
      <c r="G21" s="90">
        <f>INDEX(SETORES!$B:$B,MATCH(A21,SETORES!$A:$A,0))</f>
        <v/>
      </c>
      <c r="H21" s="90" t="inlineStr">
        <is>
          <t>Maio/2026</t>
        </is>
      </c>
    </row>
    <row r="22" ht="14.25" customHeight="1" s="75">
      <c r="A22" s="113" t="inlineStr">
        <is>
          <t>Administrativo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t="14.25" customHeight="1" s="75">
      <c r="A23" s="90" t="inlineStr">
        <is>
          <t>Administrativo</t>
        </is>
      </c>
      <c r="B23" s="90" t="inlineStr">
        <is>
          <t>Custo Fixo</t>
        </is>
      </c>
      <c r="C23" s="90" t="inlineStr">
        <is>
          <t>Software exclusivo fiberschool (RH)</t>
        </is>
      </c>
      <c r="D23" s="117" t="n">
        <v>1</v>
      </c>
      <c r="E23" s="118" t="n">
        <v>2500</v>
      </c>
      <c r="F23" s="96">
        <f>IFERROR(D23*E23,0)</f>
        <v/>
      </c>
      <c r="G23" s="90">
        <f>INDEX(SETORES!$B:$B,MATCH(A23,SETORES!$A:$A,0))</f>
        <v/>
      </c>
      <c r="H23" s="90" t="inlineStr">
        <is>
          <t>Maio/2026</t>
        </is>
      </c>
    </row>
    <row r="24" ht="14.25" customHeight="1" s="75">
      <c r="A24" s="113" t="inlineStr">
        <is>
          <t>Administrativo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t="14.25" customHeight="1" s="75">
      <c r="A25" s="90" t="inlineStr">
        <is>
          <t>Administrativo</t>
        </is>
      </c>
      <c r="B25" s="90" t="inlineStr">
        <is>
          <t>Custo Fixo</t>
        </is>
      </c>
      <c r="C25" s="90" t="inlineStr">
        <is>
          <t>Licenças de software/sistemas corporativos (DP)</t>
        </is>
      </c>
      <c r="D25" s="117" t="n">
        <v>1</v>
      </c>
      <c r="E25" s="118" t="n">
        <v>2559.44</v>
      </c>
      <c r="F25" s="96">
        <f>IFERROR(D25*E25,0)</f>
        <v/>
      </c>
      <c r="G25" s="90">
        <f>INDEX(SETORES!$B:$B,MATCH(A25,SETORES!$A:$A,0))</f>
        <v/>
      </c>
      <c r="H25" s="90" t="inlineStr">
        <is>
          <t>Maio/2026</t>
        </is>
      </c>
    </row>
    <row r="26" ht="14.25" customHeight="1" s="75">
      <c r="A26" s="113" t="inlineStr">
        <is>
          <t>Administrativo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t="14.25" customHeight="1" s="75">
      <c r="A27" s="90" t="inlineStr">
        <is>
          <t>Administrativo</t>
        </is>
      </c>
      <c r="B27" s="90" t="inlineStr">
        <is>
          <t>Custo Fixo</t>
        </is>
      </c>
      <c r="C27" s="90" t="inlineStr">
        <is>
          <t>Software exclusivo B2D (Arquivar) (DP)</t>
        </is>
      </c>
      <c r="D27" s="117" t="n">
        <v>1</v>
      </c>
      <c r="E27" s="118" t="n">
        <v>837.0599999999999</v>
      </c>
      <c r="F27" s="96">
        <f>IFERROR(D27*E27,0)</f>
        <v/>
      </c>
      <c r="G27" s="90">
        <f>INDEX(SETORES!$B:$B,MATCH(A27,SETORES!$A:$A,0))</f>
        <v/>
      </c>
      <c r="H27" s="90" t="inlineStr">
        <is>
          <t>Maio/2026</t>
        </is>
      </c>
    </row>
    <row r="28" ht="14.25" customHeight="1" s="75">
      <c r="A28" s="113" t="inlineStr">
        <is>
          <t>Administrativo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t="14.25" customHeight="1" s="75">
      <c r="A29" s="90" t="inlineStr">
        <is>
          <t>Administrativo</t>
        </is>
      </c>
      <c r="B29" s="90" t="inlineStr">
        <is>
          <t>Custo Fixo</t>
        </is>
      </c>
      <c r="C29" s="90" t="inlineStr">
        <is>
          <t>Licenças de software/sistemas corporativos (Contabilidade)</t>
        </is>
      </c>
      <c r="D29" s="117" t="n">
        <v>1</v>
      </c>
      <c r="E29" s="118" t="n">
        <v>2559.45</v>
      </c>
      <c r="F29" s="96">
        <f>IFERROR(D29*E29,0)</f>
        <v/>
      </c>
      <c r="G29" s="90">
        <f>INDEX(SETORES!$B:$B,MATCH(A29,SETORES!$A:$A,0))</f>
        <v/>
      </c>
      <c r="H29" s="90" t="inlineStr">
        <is>
          <t>Maio/2026</t>
        </is>
      </c>
    </row>
    <row r="30" ht="14.25" customHeight="1" s="75">
      <c r="A30" s="113" t="inlineStr">
        <is>
          <t>Administrativo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t="14.25" customHeight="1" s="75">
      <c r="A31" s="90" t="inlineStr">
        <is>
          <t>Administrativo</t>
        </is>
      </c>
      <c r="B31" s="90" t="inlineStr">
        <is>
          <t>Custo Fixo</t>
        </is>
      </c>
      <c r="C31" s="90" t="inlineStr">
        <is>
          <t>Licenças de software/sistemas corporativos (Engenharia)</t>
        </is>
      </c>
      <c r="D31" s="117" t="n">
        <v>1</v>
      </c>
      <c r="E31" s="118" t="n">
        <v>666.2</v>
      </c>
      <c r="F31" s="96">
        <f>IFERROR(D31*E31,0)</f>
        <v/>
      </c>
      <c r="G31" s="90">
        <f>INDEX(SETORES!$B:$B,MATCH(A31,SETORES!$A:$A,0))</f>
        <v/>
      </c>
      <c r="H31" s="90" t="inlineStr">
        <is>
          <t>Maio/2026</t>
        </is>
      </c>
    </row>
    <row r="32" ht="14.25" customHeight="1" s="75">
      <c r="A32" s="113" t="inlineStr">
        <is>
          <t>Administrativo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t="14.25" customHeight="1" s="75">
      <c r="A33" s="90" t="inlineStr">
        <is>
          <t>Administrativo</t>
        </is>
      </c>
      <c r="B33" s="90" t="inlineStr">
        <is>
          <t>Custo Fixo</t>
        </is>
      </c>
      <c r="C33" s="90" t="inlineStr">
        <is>
          <t>Sistema de assinatura eletronica (autentique) (TIC)</t>
        </is>
      </c>
      <c r="D33" s="117" t="n">
        <v>1</v>
      </c>
      <c r="E33" s="118" t="n">
        <v>99</v>
      </c>
      <c r="F33" s="96">
        <f>IFERROR(D33*E33,0)</f>
        <v/>
      </c>
      <c r="G33" s="90">
        <f>INDEX(SETORES!$B:$B,MATCH(A33,SETORES!$A:$A,0))</f>
        <v/>
      </c>
      <c r="H33" s="90" t="inlineStr">
        <is>
          <t>Maio/2026</t>
        </is>
      </c>
    </row>
    <row r="34" ht="14.25" customHeight="1" s="75">
      <c r="A34" s="113" t="inlineStr">
        <is>
          <t>Administrativo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t="14.25" customHeight="1" s="75">
      <c r="A35" s="90" t="inlineStr">
        <is>
          <t>CAC</t>
        </is>
      </c>
      <c r="B35" s="90" t="inlineStr">
        <is>
          <t>Custo Fixo</t>
        </is>
      </c>
      <c r="C35" s="90" t="inlineStr">
        <is>
          <t>Material de escritório (suprimentos de informática)</t>
        </is>
      </c>
      <c r="D35" s="117" t="n"/>
      <c r="E35" s="118" t="n"/>
      <c r="F35" s="96" t="n">
        <v>0</v>
      </c>
      <c r="G35" s="90">
        <f>INDEX(SETORES!$B:$B,MATCH(A35,SETORES!$A:$A,0))</f>
        <v/>
      </c>
      <c r="H35" s="90" t="inlineStr">
        <is>
          <t>Maio/2026</t>
        </is>
      </c>
    </row>
    <row r="36" ht="14.25" customHeight="1" s="75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t="14.25" customHeight="1" s="75">
      <c r="A37" s="90" t="inlineStr">
        <is>
          <t>CAC</t>
        </is>
      </c>
      <c r="B37" s="90" t="inlineStr">
        <is>
          <t>Custo Fixo</t>
        </is>
      </c>
      <c r="C37" s="90" t="inlineStr">
        <is>
          <t>Energia elétrica (rateio)</t>
        </is>
      </c>
      <c r="D37" s="117" t="n">
        <v>1</v>
      </c>
      <c r="E37" s="118" t="n">
        <v>34.0432</v>
      </c>
      <c r="F37" s="96" t="n">
        <v>34.0432</v>
      </c>
      <c r="G37" s="90">
        <f>INDEX(SETORES!$B:$B,MATCH(A37,SETORES!$A:$A,0))</f>
        <v/>
      </c>
      <c r="H37" s="90" t="inlineStr">
        <is>
          <t>Maio/2026</t>
        </is>
      </c>
    </row>
    <row r="38" ht="14.25" customHeight="1" s="75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t="14.25" customHeight="1" s="75">
      <c r="A39" s="90" t="inlineStr">
        <is>
          <t>CAC</t>
        </is>
      </c>
      <c r="B39" s="90" t="inlineStr">
        <is>
          <t>Custo Fixo</t>
        </is>
      </c>
      <c r="C39" s="90" t="inlineStr">
        <is>
          <t>Telefonia móvel corporativa</t>
        </is>
      </c>
      <c r="D39" s="117" t="n"/>
      <c r="E39" s="118" t="n"/>
      <c r="F39" s="96">
        <f>IFERROR(D39*E39,0)</f>
        <v/>
      </c>
      <c r="G39" s="90">
        <f>INDEX(SETORES!$B:$B,MATCH(A39,SETORES!$A:$A,0))</f>
        <v/>
      </c>
      <c r="H39" s="90" t="inlineStr">
        <is>
          <t>Maio/2026</t>
        </is>
      </c>
    </row>
    <row r="40" ht="14.25" customHeight="1" s="75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t="14.25" customHeight="1" s="75">
      <c r="A41" s="90" t="inlineStr">
        <is>
          <t>CAC</t>
        </is>
      </c>
      <c r="B41" s="90" t="inlineStr">
        <is>
          <t>Custo Variável</t>
        </is>
      </c>
      <c r="C41" s="90" t="inlineStr">
        <is>
          <t>Fardamento novo</t>
        </is>
      </c>
      <c r="D41" s="117" t="n">
        <v>1</v>
      </c>
      <c r="E41" s="118" t="n">
        <v>174</v>
      </c>
      <c r="F41" s="96">
        <f>IFERROR(D41*E41,0)</f>
        <v/>
      </c>
      <c r="G41" s="90">
        <f>INDEX(SETORES!$B:$B,MATCH(A41,SETORES!$A:$A,0))</f>
        <v/>
      </c>
      <c r="H41" s="90" t="inlineStr">
        <is>
          <t>Maio/2026</t>
        </is>
      </c>
    </row>
    <row r="42" ht="14.25" customHeight="1" s="75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t="14.25" customHeight="1" s="75">
      <c r="A43" s="90" t="inlineStr">
        <is>
          <t>CAC</t>
        </is>
      </c>
      <c r="B43" s="90" t="inlineStr">
        <is>
          <t>Custo Variável</t>
        </is>
      </c>
      <c r="C43" s="90" t="inlineStr">
        <is>
          <t>Exames médicos</t>
        </is>
      </c>
      <c r="D43" s="117" t="n">
        <v>1</v>
      </c>
      <c r="E43" s="118" t="n">
        <v>950</v>
      </c>
      <c r="F43" s="96">
        <f>IFERROR(D43*E43,0)</f>
        <v/>
      </c>
      <c r="G43" s="90">
        <f>INDEX(SETORES!$B:$B,MATCH(A43,SETORES!$A:$A,0))</f>
        <v/>
      </c>
      <c r="H43" s="90" t="inlineStr">
        <is>
          <t>Maio/2026</t>
        </is>
      </c>
    </row>
    <row r="44" ht="14.25" customHeight="1" s="75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t="14.25" customHeight="1" s="75">
      <c r="A45" s="90" t="inlineStr">
        <is>
          <t>CAC</t>
        </is>
      </c>
      <c r="B45" s="90" t="inlineStr">
        <is>
          <t>Custo Fixo</t>
        </is>
      </c>
      <c r="C45" s="90" t="inlineStr">
        <is>
          <t>Gympass</t>
        </is>
      </c>
      <c r="D45" s="117" t="n">
        <v>4</v>
      </c>
      <c r="E45" s="118" t="n">
        <v>10.05</v>
      </c>
      <c r="F45" s="96">
        <f>IFERROR(D45*E45,0)</f>
        <v/>
      </c>
      <c r="G45" s="90">
        <f>INDEX(SETORES!$B:$B,MATCH(A45,SETORES!$A:$A,0))</f>
        <v/>
      </c>
      <c r="H45" s="90" t="inlineStr">
        <is>
          <t>Maio/2026</t>
        </is>
      </c>
    </row>
    <row r="46" ht="14.25" customHeight="1" s="75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t="14.25" customHeight="1" s="75">
      <c r="A47" s="90" t="inlineStr">
        <is>
          <t>CAC</t>
        </is>
      </c>
      <c r="B47" s="90" t="inlineStr">
        <is>
          <t>Custo Fixo</t>
        </is>
      </c>
      <c r="C47" s="90" t="inlineStr">
        <is>
          <t>Despesas com SST</t>
        </is>
      </c>
      <c r="D47" s="117" t="n">
        <v>4</v>
      </c>
      <c r="E47" s="118" t="n">
        <v>64.56999999999999</v>
      </c>
      <c r="F47" s="96">
        <f>IFERROR(D47*E47,0)</f>
        <v/>
      </c>
      <c r="G47" s="90">
        <f>INDEX(SETORES!$B:$B,MATCH(A47,SETORES!$A:$A,0))</f>
        <v/>
      </c>
      <c r="H47" s="90" t="inlineStr">
        <is>
          <t>Maio/2026</t>
        </is>
      </c>
    </row>
    <row r="48" ht="14.25" customHeight="1" s="75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t="14.25" customHeight="1" s="75">
      <c r="A49" s="90" t="inlineStr">
        <is>
          <t>CAC</t>
        </is>
      </c>
      <c r="B49" s="90" t="inlineStr">
        <is>
          <t>Custo Fixo</t>
        </is>
      </c>
      <c r="C49" s="90" t="inlineStr">
        <is>
          <t>Despesas com DP</t>
        </is>
      </c>
      <c r="D49" s="117" t="n">
        <v>4</v>
      </c>
      <c r="E49" s="118" t="n">
        <v>47.79</v>
      </c>
      <c r="F49" s="96">
        <f>IFERROR(D49*E49,0)</f>
        <v/>
      </c>
      <c r="G49" s="90">
        <f>INDEX(SETORES!$B:$B,MATCH(A49,SETORES!$A:$A,0))</f>
        <v/>
      </c>
      <c r="H49" s="90" t="inlineStr">
        <is>
          <t>Maio/2026</t>
        </is>
      </c>
    </row>
    <row r="50" ht="14.25" customHeight="1" s="75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t="14.25" customHeight="1" s="75">
      <c r="A51" s="90" t="inlineStr">
        <is>
          <t>Cobrança</t>
        </is>
      </c>
      <c r="B51" s="90" t="inlineStr">
        <is>
          <t>Custo Fixo</t>
        </is>
      </c>
      <c r="C51" s="90" t="inlineStr">
        <is>
          <t>Material de uso coletivo (copa/limpeza)</t>
        </is>
      </c>
      <c r="D51" s="117" t="n">
        <v>1</v>
      </c>
      <c r="E51" s="118" t="n">
        <v>339.577241</v>
      </c>
      <c r="F51" s="96" t="n">
        <v>339.577241</v>
      </c>
      <c r="G51" s="90">
        <f>INDEX(SETORES!$B:$B,MATCH(A51,SETORES!$A:$A,0))</f>
        <v/>
      </c>
      <c r="H51" s="90" t="inlineStr">
        <is>
          <t>Maio/2026</t>
        </is>
      </c>
    </row>
    <row r="52" ht="14.25" customHeight="1" s="75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t="14.25" customHeight="1" s="75">
      <c r="A53" s="90" t="inlineStr">
        <is>
          <t>Cobrança</t>
        </is>
      </c>
      <c r="B53" s="90" t="inlineStr">
        <is>
          <t>Custo Fixo</t>
        </is>
      </c>
      <c r="C53" s="90" t="inlineStr">
        <is>
          <t>Água e esgoto (rateio)</t>
        </is>
      </c>
      <c r="D53" s="117" t="n">
        <v>1</v>
      </c>
      <c r="E53" s="118" t="n">
        <v>0</v>
      </c>
      <c r="F53" s="96" t="n">
        <v>0</v>
      </c>
      <c r="G53" s="90">
        <f>INDEX(SETORES!$B:$B,MATCH(A53,SETORES!$A:$A,0))</f>
        <v/>
      </c>
      <c r="H53" s="90" t="inlineStr">
        <is>
          <t>Maio/2026</t>
        </is>
      </c>
    </row>
    <row r="54" ht="14.25" customHeight="1" s="75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t="14.25" customHeight="1" s="75">
      <c r="A55" s="90" t="inlineStr">
        <is>
          <t>Cobrança</t>
        </is>
      </c>
      <c r="B55" s="90" t="inlineStr">
        <is>
          <t>Custo Fixo</t>
        </is>
      </c>
      <c r="C55" s="90" t="inlineStr">
        <is>
          <t>Folha de pagamento (salários)</t>
        </is>
      </c>
      <c r="D55" s="117" t="n">
        <v>1</v>
      </c>
      <c r="E55" s="118" t="n">
        <v>35259.81</v>
      </c>
      <c r="F55" s="96">
        <f>IFERROR(E55,0)</f>
        <v/>
      </c>
      <c r="G55" s="90">
        <f>INDEX(SETORES!$B:$B,MATCH(A55,SETORES!$A:$A,0))</f>
        <v/>
      </c>
      <c r="H55" s="90" t="inlineStr">
        <is>
          <t>Maio/2026</t>
        </is>
      </c>
    </row>
    <row r="56" ht="14.25" customHeight="1" s="75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t="14.25" customHeight="1" s="75">
      <c r="A57" s="90" t="inlineStr">
        <is>
          <t>Cobrança</t>
        </is>
      </c>
      <c r="B57" s="90" t="inlineStr">
        <is>
          <t>Custo Variável</t>
        </is>
      </c>
      <c r="C57" s="90" t="inlineStr">
        <is>
          <t>Fardamento substituição</t>
        </is>
      </c>
      <c r="D57" s="117" t="n">
        <v>1</v>
      </c>
      <c r="E57" s="118" t="n">
        <v>181.33</v>
      </c>
      <c r="F57" s="96">
        <f>IFERROR(D57*E57,0)</f>
        <v/>
      </c>
      <c r="G57" s="90">
        <f>INDEX(SETORES!$B:$B,MATCH(A57,SETORES!$A:$A,0))</f>
        <v/>
      </c>
      <c r="H57" s="90" t="inlineStr">
        <is>
          <t>Maio/2026</t>
        </is>
      </c>
    </row>
    <row r="58" ht="14.25" customHeight="1" s="75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t="14.25" customHeight="1" s="75">
      <c r="A59" s="90" t="inlineStr">
        <is>
          <t>Cobrança</t>
        </is>
      </c>
      <c r="B59" s="90" t="inlineStr">
        <is>
          <t>Custo Fixo</t>
        </is>
      </c>
      <c r="C59" s="90" t="inlineStr">
        <is>
          <t>Licença de e-mail corporativo</t>
        </is>
      </c>
      <c r="D59" s="117" t="n">
        <v>13</v>
      </c>
      <c r="E59" s="118" t="n">
        <v>50</v>
      </c>
      <c r="F59" s="96">
        <f>IFERROR(D59*E59,0)</f>
        <v/>
      </c>
      <c r="G59" s="90">
        <f>INDEX(SETORES!$B:$B,MATCH(A59,SETORES!$A:$A,0))</f>
        <v/>
      </c>
      <c r="H59" s="90" t="inlineStr">
        <is>
          <t>Maio/2026</t>
        </is>
      </c>
    </row>
    <row r="60" ht="14.25" customHeight="1" s="75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t="14.25" customHeight="1" s="75">
      <c r="A61" s="90" t="inlineStr">
        <is>
          <t>Cobrança</t>
        </is>
      </c>
      <c r="B61" s="90" t="inlineStr">
        <is>
          <t>Custo Fixo</t>
        </is>
      </c>
      <c r="C61" s="90" t="inlineStr">
        <is>
          <t>Telefonia de entrada Algar</t>
        </is>
      </c>
      <c r="D61" s="117" t="n">
        <v>1</v>
      </c>
      <c r="E61" s="118" t="n">
        <v>1641.85</v>
      </c>
      <c r="F61" s="96">
        <f>IFERROR(D61*E61,0)</f>
        <v/>
      </c>
      <c r="G61" s="90">
        <f>INDEX(SETORES!$B:$B,MATCH(A61,SETORES!$A:$A,0))</f>
        <v/>
      </c>
      <c r="H61" s="90" t="inlineStr">
        <is>
          <t>Maio/2026</t>
        </is>
      </c>
    </row>
    <row r="62" ht="14.25" customHeight="1" s="75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t="14.25" customHeight="1" s="75">
      <c r="A63" s="90" t="inlineStr">
        <is>
          <t>Cobrança</t>
        </is>
      </c>
      <c r="B63" s="90" t="inlineStr">
        <is>
          <t>Custo Fixo</t>
        </is>
      </c>
      <c r="C63" s="90" t="inlineStr">
        <is>
          <t>Software Google brasil (trafego pago)</t>
        </is>
      </c>
      <c r="D63" s="117" t="n">
        <v>1</v>
      </c>
      <c r="E63" s="118" t="n">
        <v>34.482408</v>
      </c>
      <c r="F63" s="96">
        <f>IFERROR(D63*E63,0)</f>
        <v/>
      </c>
      <c r="G63" s="90">
        <f>INDEX(SETORES!$B:$B,MATCH(A63,SETORES!$A:$A,0))</f>
        <v/>
      </c>
      <c r="H63" s="90" t="inlineStr">
        <is>
          <t>Maio/2026</t>
        </is>
      </c>
    </row>
    <row r="64" ht="14.25" customHeight="1" s="75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t="14.25" customHeight="1" s="75">
      <c r="A65" s="90" t="inlineStr">
        <is>
          <t>Cobrança</t>
        </is>
      </c>
      <c r="B65" s="90" t="inlineStr">
        <is>
          <t>Custo Variável</t>
        </is>
      </c>
      <c r="C65" s="90" t="inlineStr">
        <is>
          <t>Disparos feito pela meta</t>
        </is>
      </c>
      <c r="D65" s="117" t="n">
        <v>1</v>
      </c>
      <c r="E65" s="118" t="n">
        <v>242.73</v>
      </c>
      <c r="F65" s="96">
        <f>IFERROR(D65*E65,0)</f>
        <v/>
      </c>
      <c r="G65" s="90">
        <f>INDEX(SETORES!$B:$B,MATCH(A65,SETORES!$A:$A,0))</f>
        <v/>
      </c>
      <c r="H65" s="90" t="inlineStr">
        <is>
          <t>Maio/2026</t>
        </is>
      </c>
    </row>
    <row r="66" ht="14.25" customHeight="1" s="75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t="14.25" customHeight="1" s="75">
      <c r="A67" s="90" t="inlineStr">
        <is>
          <t>Cobrança</t>
        </is>
      </c>
      <c r="B67" s="90" t="inlineStr">
        <is>
          <t>Custo Variável</t>
        </is>
      </c>
      <c r="C67" s="90" t="inlineStr">
        <is>
          <t>Endomarketing</t>
        </is>
      </c>
      <c r="D67" s="117" t="n">
        <v>1</v>
      </c>
      <c r="E67" s="118" t="n">
        <v>23.5</v>
      </c>
      <c r="F67" s="96">
        <f>IFERROR(D67*E67,0)</f>
        <v/>
      </c>
      <c r="G67" s="90">
        <f>INDEX(SETORES!$B:$B,MATCH(A67,SETORES!$A:$A,0))</f>
        <v/>
      </c>
      <c r="H67" s="90" t="inlineStr">
        <is>
          <t>Maio/2026</t>
        </is>
      </c>
    </row>
    <row r="68" ht="14.25" customHeight="1" s="75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t="14.25" customHeight="1" s="75">
      <c r="A69" s="90" t="inlineStr">
        <is>
          <t>Cobrança</t>
        </is>
      </c>
      <c r="B69" s="90" t="inlineStr">
        <is>
          <t>Custo Fixo</t>
        </is>
      </c>
      <c r="C69" s="90" t="inlineStr">
        <is>
          <t>Stargrid</t>
        </is>
      </c>
      <c r="D69" s="117" t="n">
        <v>12</v>
      </c>
      <c r="E69" s="118" t="n">
        <v>2.07</v>
      </c>
      <c r="F69" s="96">
        <f>IFERROR(D69*E69,0)</f>
        <v/>
      </c>
      <c r="G69" s="90">
        <f>INDEX(SETORES!$B:$B,MATCH(A69,SETORES!$A:$A,0))</f>
        <v/>
      </c>
      <c r="H69" s="90" t="inlineStr">
        <is>
          <t>Maio/2026</t>
        </is>
      </c>
    </row>
    <row r="70" ht="14.25" customHeight="1" s="75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t="14.25" customHeight="1" s="75">
      <c r="A71" s="90" t="inlineStr">
        <is>
          <t>Cobrança</t>
        </is>
      </c>
      <c r="B71" s="90" t="inlineStr">
        <is>
          <t>Custo Fixo</t>
        </is>
      </c>
      <c r="C71" s="90" t="inlineStr">
        <is>
          <t>Despesas com RH</t>
        </is>
      </c>
      <c r="D71" s="117" t="n">
        <v>12</v>
      </c>
      <c r="E71" s="118" t="n">
        <v>28.31</v>
      </c>
      <c r="F71" s="96">
        <f>IFERROR(D71*E71,0)</f>
        <v/>
      </c>
      <c r="G71" s="90">
        <f>INDEX(SETORES!$B:$B,MATCH(A71,SETORES!$A:$A,0))</f>
        <v/>
      </c>
      <c r="H71" s="90" t="inlineStr">
        <is>
          <t>Maio/2026</t>
        </is>
      </c>
    </row>
    <row r="72" ht="14.25" customHeight="1" s="75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t="14.25" customHeight="1" s="75">
      <c r="A73" s="90" t="inlineStr">
        <is>
          <t>Comercial Corporativo</t>
        </is>
      </c>
      <c r="B73" s="90" t="inlineStr">
        <is>
          <t>Custo Variável</t>
        </is>
      </c>
      <c r="C73" s="90" t="inlineStr">
        <is>
          <t>Endomarketing</t>
        </is>
      </c>
      <c r="D73" s="117" t="n"/>
      <c r="E73" s="118" t="n"/>
      <c r="F73" s="96">
        <f>IFERROR(D73*E73,0)</f>
        <v/>
      </c>
      <c r="G73" s="90">
        <f>INDEX(SETORES!$B:$B,MATCH(A73,SETORES!$A:$A,0))</f>
        <v/>
      </c>
      <c r="H73" s="90" t="inlineStr">
        <is>
          <t>Maio/2026</t>
        </is>
      </c>
    </row>
    <row r="74" ht="14.25" customHeight="1" s="75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t="14.25" customHeight="1" s="75">
      <c r="A75" s="90" t="inlineStr">
        <is>
          <t>Comercial Corporativo</t>
        </is>
      </c>
      <c r="B75" s="90" t="inlineStr">
        <is>
          <t>Custo Fixo</t>
        </is>
      </c>
      <c r="C75" s="90" t="inlineStr">
        <is>
          <t>E-mail do departamento</t>
        </is>
      </c>
      <c r="D75" s="117" t="n">
        <v>10</v>
      </c>
      <c r="E75" s="118" t="n">
        <v>50</v>
      </c>
      <c r="F75" s="96">
        <f>IFERROR(D75*E75,0)</f>
        <v/>
      </c>
      <c r="G75" s="90">
        <f>INDEX(SETORES!$B:$B,MATCH(A75,SETORES!$A:$A,0))</f>
        <v/>
      </c>
      <c r="H75" s="90" t="inlineStr">
        <is>
          <t>Maio/2026</t>
        </is>
      </c>
    </row>
    <row r="76" ht="14.25" customHeight="1" s="75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t="14.25" customHeight="1" s="75">
      <c r="A77" s="90" t="inlineStr">
        <is>
          <t>Comercial Corporativo</t>
        </is>
      </c>
      <c r="B77" s="90" t="inlineStr">
        <is>
          <t>Custo Fixo</t>
        </is>
      </c>
      <c r="C77" s="90" t="inlineStr">
        <is>
          <t>Linhas moveis (FIQUE MÓVEL)</t>
        </is>
      </c>
      <c r="D77" s="117" t="n">
        <v>7</v>
      </c>
      <c r="E77" s="118" t="n">
        <v>30</v>
      </c>
      <c r="F77" s="96">
        <f>IFERROR(D77*E77,0)</f>
        <v/>
      </c>
      <c r="G77" s="90">
        <f>INDEX(SETORES!$B:$B,MATCH(A77,SETORES!$A:$A,0))</f>
        <v/>
      </c>
      <c r="H77" s="90" t="inlineStr">
        <is>
          <t>Maio/2026</t>
        </is>
      </c>
    </row>
    <row r="78" ht="14.25" customHeight="1" s="75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t="14.25" customHeight="1" s="75">
      <c r="A79" s="90" t="inlineStr">
        <is>
          <t>Comercial Corporativo</t>
        </is>
      </c>
      <c r="B79" s="90" t="inlineStr">
        <is>
          <t>Custo Fixo</t>
        </is>
      </c>
      <c r="C79" s="90" t="inlineStr">
        <is>
          <t>Despesas com DP</t>
        </is>
      </c>
      <c r="D79" s="117" t="n">
        <v>10</v>
      </c>
      <c r="E79" s="118" t="n">
        <v>47.79</v>
      </c>
      <c r="F79" s="96">
        <f>IFERROR(D79*E79,0)</f>
        <v/>
      </c>
      <c r="G79" s="90">
        <f>INDEX(SETORES!$B:$B,MATCH(A79,SETORES!$A:$A,0))</f>
        <v/>
      </c>
      <c r="H79" s="90" t="inlineStr">
        <is>
          <t>Maio/2026</t>
        </is>
      </c>
    </row>
    <row r="80" ht="14.25" customHeight="1" s="75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t="14.25" customHeight="1" s="75">
      <c r="A81" s="90" t="inlineStr">
        <is>
          <t>Comercial Corporativo</t>
        </is>
      </c>
      <c r="B81" s="90" t="inlineStr">
        <is>
          <t>Custo Variável</t>
        </is>
      </c>
      <c r="C81" s="90" t="inlineStr">
        <is>
          <t>Despesas SST exames</t>
        </is>
      </c>
      <c r="D81" s="117" t="n"/>
      <c r="E81" s="118" t="n"/>
      <c r="F81" s="96">
        <f>IFERROR(D81*E81,0)</f>
        <v/>
      </c>
      <c r="G81" s="90">
        <f>INDEX(SETORES!$B:$B,MATCH(A81,SETORES!$A:$A,0))</f>
        <v/>
      </c>
      <c r="H81" s="90" t="inlineStr">
        <is>
          <t>Maio/2026</t>
        </is>
      </c>
    </row>
    <row r="82" ht="14.25" customHeight="1" s="75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t="14.25" customHeight="1" s="75">
      <c r="A83" s="90" t="inlineStr">
        <is>
          <t>Comercial Corporativo</t>
        </is>
      </c>
      <c r="B83" s="90" t="inlineStr">
        <is>
          <t>Custo Variável</t>
        </is>
      </c>
      <c r="C83" s="90" t="inlineStr">
        <is>
          <t>Devolução de fardamento</t>
        </is>
      </c>
      <c r="D83" s="117" t="n"/>
      <c r="E83" s="118" t="n"/>
      <c r="F83" s="96">
        <f>IFERROR(D83*E83,0)</f>
        <v/>
      </c>
      <c r="G83" s="90">
        <f>INDEX(SETORES!$B:$B,MATCH(A83,SETORES!$A:$A,0))</f>
        <v/>
      </c>
      <c r="H83" s="90" t="inlineStr">
        <is>
          <t>Maio/2026</t>
        </is>
      </c>
    </row>
    <row r="84" ht="14.25" customHeight="1" s="75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t="14.25" customHeight="1" s="75">
      <c r="A85" s="90" t="inlineStr">
        <is>
          <t>Comercial Corporativo</t>
        </is>
      </c>
      <c r="B85" s="90" t="inlineStr">
        <is>
          <t>Custo Variável</t>
        </is>
      </c>
      <c r="C85" s="90" t="inlineStr">
        <is>
          <t>Consumo de combustível</t>
        </is>
      </c>
      <c r="D85" s="117" t="n">
        <v>1</v>
      </c>
      <c r="E85" s="118" t="n">
        <v>3504.09</v>
      </c>
      <c r="F85" s="96">
        <f>IFERROR(D85*E85,0)</f>
        <v/>
      </c>
      <c r="G85" s="90">
        <f>INDEX(SETORES!$B:$B,MATCH(A85,SETORES!$A:$A,0))</f>
        <v/>
      </c>
      <c r="H85" s="90" t="inlineStr">
        <is>
          <t>Maio/2026</t>
        </is>
      </c>
    </row>
    <row r="86" ht="14.25" customHeight="1" s="75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t="14.25" customHeight="1" s="75">
      <c r="A87" s="90" t="inlineStr">
        <is>
          <t>Comercial Corporativo</t>
        </is>
      </c>
      <c r="B87" s="90" t="inlineStr">
        <is>
          <t>Custo Fixo</t>
        </is>
      </c>
      <c r="C87" s="90" t="inlineStr">
        <is>
          <t>Stargrid</t>
        </is>
      </c>
      <c r="D87" s="117" t="n">
        <v>10</v>
      </c>
      <c r="E87" s="118" t="n">
        <v>2.07</v>
      </c>
      <c r="F87" s="96">
        <f>IFERROR(D87*E87,0)</f>
        <v/>
      </c>
      <c r="G87" s="90">
        <f>INDEX(SETORES!$B:$B,MATCH(A87,SETORES!$A:$A,0))</f>
        <v/>
      </c>
      <c r="H87" s="90" t="inlineStr">
        <is>
          <t>Maio/2026</t>
        </is>
      </c>
    </row>
    <row r="88" ht="14.25" customHeight="1" s="75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t="14.25" customHeight="1" s="75">
      <c r="A89" s="90" t="inlineStr">
        <is>
          <t>Comercial Corporativo</t>
        </is>
      </c>
      <c r="B89" s="90" t="inlineStr">
        <is>
          <t>Custo Fixo</t>
        </is>
      </c>
      <c r="C89" s="90" t="inlineStr">
        <is>
          <t>Datlo</t>
        </is>
      </c>
      <c r="D89" s="117" t="n">
        <v>1</v>
      </c>
      <c r="E89" s="118" t="n">
        <v>2997</v>
      </c>
      <c r="F89" s="96">
        <f>IFERROR(D89*E89,0)</f>
        <v/>
      </c>
      <c r="G89" s="90">
        <f>INDEX(SETORES!$B:$B,MATCH(A89,SETORES!$A:$A,0))</f>
        <v/>
      </c>
      <c r="H89" s="90" t="inlineStr">
        <is>
          <t>Maio/2026</t>
        </is>
      </c>
    </row>
    <row r="90" ht="14.25" customHeight="1" s="75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t="14.25" customHeight="1" s="75">
      <c r="A91" s="90" t="inlineStr">
        <is>
          <t>Comercial Corporativo</t>
        </is>
      </c>
      <c r="B91" s="90" t="inlineStr">
        <is>
          <t>Custo Fixo</t>
        </is>
      </c>
      <c r="C91" s="90" t="inlineStr">
        <is>
          <t>Dynamics (f001796)</t>
        </is>
      </c>
      <c r="D91" s="117" t="n"/>
      <c r="E91" s="118" t="n"/>
      <c r="F91" s="96">
        <f>IFERROR(D91*E91,0)</f>
        <v/>
      </c>
      <c r="G91" s="90">
        <f>INDEX(SETORES!$B:$B,MATCH(A91,SETORES!$A:$A,0))</f>
        <v/>
      </c>
      <c r="H91" s="90" t="inlineStr">
        <is>
          <t>Maio/2026</t>
        </is>
      </c>
    </row>
    <row r="92" ht="14.25" customHeight="1" s="75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t="14.25" customHeight="1" s="75">
      <c r="A93" s="90" t="inlineStr">
        <is>
          <t>Compras</t>
        </is>
      </c>
      <c r="B93" s="90" t="inlineStr">
        <is>
          <t>Custo Fixo</t>
        </is>
      </c>
      <c r="C93" s="90" t="inlineStr">
        <is>
          <t>Material de escritório (suprimentos de informática)</t>
        </is>
      </c>
      <c r="D93" s="117" t="n"/>
      <c r="E93" s="118" t="n"/>
      <c r="F93" s="96" t="n">
        <v>0</v>
      </c>
      <c r="G93" s="90">
        <f>INDEX(SETORES!$B:$B,MATCH(A93,SETORES!$A:$A,0))</f>
        <v/>
      </c>
      <c r="H93" s="90" t="inlineStr">
        <is>
          <t>Maio/2026</t>
        </is>
      </c>
    </row>
    <row r="94" ht="14.25" customHeight="1" s="75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t="14.25" customHeight="1" s="75">
      <c r="A95" s="90" t="inlineStr">
        <is>
          <t>Compras</t>
        </is>
      </c>
      <c r="B95" s="90" t="inlineStr">
        <is>
          <t>Custo Fixo</t>
        </is>
      </c>
      <c r="C95" s="90" t="inlineStr">
        <is>
          <t>Energia elétrica (rateio)</t>
        </is>
      </c>
      <c r="D95" s="117" t="n">
        <v>4</v>
      </c>
      <c r="E95" s="118" t="n">
        <v>24.8613</v>
      </c>
      <c r="F95" s="96" t="n">
        <v>99.4452</v>
      </c>
      <c r="G95" s="90">
        <f>INDEX(SETORES!$B:$B,MATCH(A95,SETORES!$A:$A,0))</f>
        <v/>
      </c>
      <c r="H95" s="90" t="inlineStr">
        <is>
          <t>Maio/2026</t>
        </is>
      </c>
    </row>
    <row r="96" ht="14.25" customHeight="1" s="75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t="14.25" customHeight="1" s="75">
      <c r="A97" s="90" t="inlineStr">
        <is>
          <t>Compras</t>
        </is>
      </c>
      <c r="B97" s="90" t="inlineStr">
        <is>
          <t>Custo Fixo</t>
        </is>
      </c>
      <c r="C97" s="90" t="inlineStr">
        <is>
          <t>Folha de pagamento (salários)</t>
        </is>
      </c>
      <c r="D97" s="117" t="n">
        <v>1</v>
      </c>
      <c r="E97" s="118" t="n">
        <v>20620.48</v>
      </c>
      <c r="F97" s="96">
        <f>IFERROR(E97,0)</f>
        <v/>
      </c>
      <c r="G97" s="90">
        <f>INDEX(SETORES!$B:$B,MATCH(A97,SETORES!$A:$A,0))</f>
        <v/>
      </c>
      <c r="H97" s="90" t="inlineStr">
        <is>
          <t>Maio/2026</t>
        </is>
      </c>
    </row>
    <row r="98" ht="14.25" customHeight="1" s="75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t="14.25" customHeight="1" s="75">
      <c r="A99" s="90" t="inlineStr">
        <is>
          <t>Compras</t>
        </is>
      </c>
      <c r="B99" s="90" t="inlineStr">
        <is>
          <t>Custo Variável</t>
        </is>
      </c>
      <c r="C99" s="90" t="inlineStr">
        <is>
          <t>Exames médicos</t>
        </is>
      </c>
      <c r="D99" s="117" t="n">
        <v>1</v>
      </c>
      <c r="E99" s="118" t="n">
        <v>38</v>
      </c>
      <c r="F99" s="96">
        <f>IFERROR(D99*E99,0)</f>
        <v/>
      </c>
      <c r="G99" s="90">
        <f>INDEX(SETORES!$B:$B,MATCH(A99,SETORES!$A:$A,0))</f>
        <v/>
      </c>
      <c r="H99" s="90" t="inlineStr">
        <is>
          <t>Maio/2026</t>
        </is>
      </c>
    </row>
    <row r="100" ht="14.25" customHeight="1" s="75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t="14.25" customHeight="1" s="75">
      <c r="A101" s="90" t="inlineStr">
        <is>
          <t>Compras</t>
        </is>
      </c>
      <c r="B101" s="90" t="inlineStr">
        <is>
          <t>Custo Fixo</t>
        </is>
      </c>
      <c r="C101" s="90" t="inlineStr">
        <is>
          <t>Gympass</t>
        </is>
      </c>
      <c r="D101" s="117" t="n">
        <v>4</v>
      </c>
      <c r="E101" s="118" t="n">
        <v>10.05</v>
      </c>
      <c r="F101" s="96">
        <f>IFERROR(D101*E101,0)</f>
        <v/>
      </c>
      <c r="G101" s="90">
        <f>INDEX(SETORES!$B:$B,MATCH(A101,SETORES!$A:$A,0))</f>
        <v/>
      </c>
      <c r="H101" s="90" t="inlineStr">
        <is>
          <t>Maio/2026</t>
        </is>
      </c>
    </row>
    <row r="102" ht="14.25" customHeight="1" s="75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t="14.25" customHeight="1" s="75">
      <c r="A103" s="90" t="inlineStr">
        <is>
          <t>Compras</t>
        </is>
      </c>
      <c r="B103" s="90" t="inlineStr">
        <is>
          <t>Custo Fixo</t>
        </is>
      </c>
      <c r="C103" s="90" t="inlineStr">
        <is>
          <t>Despesas com SST</t>
        </is>
      </c>
      <c r="D103" s="117" t="n">
        <v>4</v>
      </c>
      <c r="E103" s="118" t="n">
        <v>64.56999999999999</v>
      </c>
      <c r="F103" s="96">
        <f>IFERROR(D103*E103,0)</f>
        <v/>
      </c>
      <c r="G103" s="90">
        <f>INDEX(SETORES!$B:$B,MATCH(A103,SETORES!$A:$A,0))</f>
        <v/>
      </c>
      <c r="H103" s="90" t="inlineStr">
        <is>
          <t>Maio/2026</t>
        </is>
      </c>
    </row>
    <row r="104" ht="14.25" customHeight="1" s="75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t="14.25" customHeight="1" s="75">
      <c r="A105" s="90" t="inlineStr">
        <is>
          <t>Compras</t>
        </is>
      </c>
      <c r="B105" s="90" t="inlineStr">
        <is>
          <t>Custo Fixo</t>
        </is>
      </c>
      <c r="C105" s="90" t="inlineStr">
        <is>
          <t>Despesas com DP</t>
        </is>
      </c>
      <c r="D105" s="117" t="n">
        <v>4</v>
      </c>
      <c r="E105" s="118" t="n">
        <v>47.79</v>
      </c>
      <c r="F105" s="96">
        <f>IFERROR(D105*E105,0)</f>
        <v/>
      </c>
      <c r="G105" s="90">
        <f>INDEX(SETORES!$B:$B,MATCH(A105,SETORES!$A:$A,0))</f>
        <v/>
      </c>
      <c r="H105" s="90" t="inlineStr">
        <is>
          <t>Maio/2026</t>
        </is>
      </c>
    </row>
    <row r="106" ht="14.25" customHeight="1" s="75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t="14.25" customHeight="1" s="75">
      <c r="A107" s="90" t="inlineStr">
        <is>
          <t>Contabilidade</t>
        </is>
      </c>
      <c r="B107" s="90" t="inlineStr">
        <is>
          <t>Custo Fixo</t>
        </is>
      </c>
      <c r="C107" s="90" t="inlineStr">
        <is>
          <t>Material de uso coletivo (copa/limpeza)</t>
        </is>
      </c>
      <c r="D107" s="117" t="n"/>
      <c r="E107" s="118" t="n"/>
      <c r="F107" s="96" t="n">
        <v>0</v>
      </c>
      <c r="G107" s="90">
        <f>INDEX(SETORES!$B:$B,MATCH(A107,SETORES!$A:$A,0))</f>
        <v/>
      </c>
      <c r="H107" s="90" t="inlineStr">
        <is>
          <t>Maio/2026</t>
        </is>
      </c>
    </row>
    <row r="108" ht="14.25" customHeight="1" s="75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t="14.25" customHeight="1" s="75">
      <c r="A109" s="90" t="inlineStr">
        <is>
          <t>Contabilidade</t>
        </is>
      </c>
      <c r="B109" s="90" t="inlineStr">
        <is>
          <t>Custo Fixo</t>
        </is>
      </c>
      <c r="C109" s="90" t="inlineStr">
        <is>
          <t>Água e esgoto (rateio)</t>
        </is>
      </c>
      <c r="D109" s="117" t="n">
        <v>1</v>
      </c>
      <c r="E109" s="118" t="n">
        <v>0</v>
      </c>
      <c r="F109" s="96" t="n">
        <v>0</v>
      </c>
      <c r="G109" s="90">
        <f>INDEX(SETORES!$B:$B,MATCH(A109,SETORES!$A:$A,0))</f>
        <v/>
      </c>
      <c r="H109" s="90" t="inlineStr">
        <is>
          <t>Maio/2026</t>
        </is>
      </c>
    </row>
    <row r="110" ht="14.25" customHeight="1" s="75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t="14.25" customHeight="1" s="75">
      <c r="A111" s="90" t="inlineStr">
        <is>
          <t>Contabilidade</t>
        </is>
      </c>
      <c r="B111" s="90" t="inlineStr">
        <is>
          <t>Custo Fixo</t>
        </is>
      </c>
      <c r="C111" s="90" t="inlineStr">
        <is>
          <t>Folha de pagamento (salários)</t>
        </is>
      </c>
      <c r="D111" s="117" t="n">
        <v>1</v>
      </c>
      <c r="E111" s="118" t="n">
        <v>14135.77</v>
      </c>
      <c r="F111" s="96">
        <f>IFERROR(E111,0)</f>
        <v/>
      </c>
      <c r="G111" s="90">
        <f>INDEX(SETORES!$B:$B,MATCH(A111,SETORES!$A:$A,0))</f>
        <v/>
      </c>
      <c r="H111" s="90" t="inlineStr">
        <is>
          <t>Maio/2026</t>
        </is>
      </c>
    </row>
    <row r="112" ht="14.25" customHeight="1" s="75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t="14.25" customHeight="1" s="75">
      <c r="A113" s="90" t="inlineStr">
        <is>
          <t>Contabilidade</t>
        </is>
      </c>
      <c r="B113" s="90" t="inlineStr">
        <is>
          <t>Custo Variável</t>
        </is>
      </c>
      <c r="C113" s="90" t="inlineStr">
        <is>
          <t>Fardamento novo</t>
        </is>
      </c>
      <c r="D113" s="117" t="n"/>
      <c r="E113" s="118" t="n"/>
      <c r="F113" s="96">
        <f>IFERROR(D113*E113,0)</f>
        <v/>
      </c>
      <c r="G113" s="90">
        <f>INDEX(SETORES!$B:$B,MATCH(A113,SETORES!$A:$A,0))</f>
        <v/>
      </c>
      <c r="H113" s="90" t="inlineStr">
        <is>
          <t>Maio/2026</t>
        </is>
      </c>
    </row>
    <row r="114" ht="14.25" customHeight="1" s="75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t="14.25" customHeight="1" s="75">
      <c r="A115" s="90" t="inlineStr">
        <is>
          <t>Contabilidade</t>
        </is>
      </c>
      <c r="B115" s="90" t="inlineStr">
        <is>
          <t>Custo Fixo</t>
        </is>
      </c>
      <c r="C115" s="90" t="inlineStr">
        <is>
          <t>Licença de e-mail corporativo</t>
        </is>
      </c>
      <c r="D115" s="117" t="n">
        <v>5</v>
      </c>
      <c r="E115" s="118" t="n">
        <v>50</v>
      </c>
      <c r="F115" s="96">
        <f>IFERROR(D115*E115,0)</f>
        <v/>
      </c>
      <c r="G115" s="90">
        <f>INDEX(SETORES!$B:$B,MATCH(A115,SETORES!$A:$A,0))</f>
        <v/>
      </c>
      <c r="H115" s="90" t="inlineStr">
        <is>
          <t>Maio/2026</t>
        </is>
      </c>
    </row>
    <row r="116" ht="14.25" customHeight="1" s="75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t="14.25" customHeight="1" s="75">
      <c r="A117" s="90" t="inlineStr">
        <is>
          <t>Contabilidade</t>
        </is>
      </c>
      <c r="B117" s="90" t="inlineStr">
        <is>
          <t>Custo Fixo</t>
        </is>
      </c>
      <c r="C117" s="90" t="inlineStr">
        <is>
          <t>Stargrid</t>
        </is>
      </c>
      <c r="D117" s="117" t="n">
        <v>5</v>
      </c>
      <c r="E117" s="118" t="n">
        <v>2.07</v>
      </c>
      <c r="F117" s="96">
        <f>IFERROR(D117*E117,0)</f>
        <v/>
      </c>
      <c r="G117" s="90">
        <f>INDEX(SETORES!$B:$B,MATCH(A117,SETORES!$A:$A,0))</f>
        <v/>
      </c>
      <c r="H117" s="90" t="inlineStr">
        <is>
          <t>Maio/2026</t>
        </is>
      </c>
    </row>
    <row r="118" ht="14.25" customHeight="1" s="75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t="14.25" customHeight="1" s="75">
      <c r="A119" s="90" t="inlineStr">
        <is>
          <t>Contabilidade</t>
        </is>
      </c>
      <c r="B119" s="90" t="inlineStr">
        <is>
          <t>Custo Fixo</t>
        </is>
      </c>
      <c r="C119" s="90" t="inlineStr">
        <is>
          <t>Despesas com RH</t>
        </is>
      </c>
      <c r="D119" s="117" t="n">
        <v>5</v>
      </c>
      <c r="E119" s="118" t="n">
        <v>28.31</v>
      </c>
      <c r="F119" s="96">
        <f>IFERROR(D119*E119,0)</f>
        <v/>
      </c>
      <c r="G119" s="90">
        <f>INDEX(SETORES!$B:$B,MATCH(A119,SETORES!$A:$A,0))</f>
        <v/>
      </c>
      <c r="H119" s="90" t="inlineStr">
        <is>
          <t>Maio/2026</t>
        </is>
      </c>
    </row>
    <row r="120" ht="14.25" customHeight="1" s="75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t="14.25" customHeight="1" s="75">
      <c r="A121" s="90" t="inlineStr">
        <is>
          <t>Contabilidade</t>
        </is>
      </c>
      <c r="B121" s="90" t="inlineStr">
        <is>
          <t>Custo Variável</t>
        </is>
      </c>
      <c r="C121" s="90" t="inlineStr">
        <is>
          <t>Consultoria contábil PJ (Wadson Genuíno)</t>
        </is>
      </c>
      <c r="D121" s="117" t="n">
        <v>1</v>
      </c>
      <c r="E121" s="118" t="n">
        <v>9468</v>
      </c>
      <c r="F121" s="96">
        <f>IFERROR(D121*E121,0)</f>
        <v/>
      </c>
      <c r="G121" s="90">
        <f>INDEX(SETORES!$B:$B,MATCH(A121,SETORES!$A:$A,0))</f>
        <v/>
      </c>
      <c r="H121" s="90" t="inlineStr">
        <is>
          <t>Maio/2026</t>
        </is>
      </c>
    </row>
    <row r="122" ht="14.25" customHeight="1" s="75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t="14.25" customHeight="1" s="75">
      <c r="A123" s="90" t="inlineStr">
        <is>
          <t>Controladoria</t>
        </is>
      </c>
      <c r="B123" s="90" t="inlineStr">
        <is>
          <t>Custo Fixo</t>
        </is>
      </c>
      <c r="C123" s="90" t="inlineStr">
        <is>
          <t>Material de uso coletivo (copa/limpeza)</t>
        </is>
      </c>
      <c r="D123" s="117" t="n"/>
      <c r="E123" s="118" t="n"/>
      <c r="F123" s="96" t="n">
        <v>0</v>
      </c>
      <c r="G123" s="90">
        <f>INDEX(SETORES!$B:$B,MATCH(A123,SETORES!$A:$A,0))</f>
        <v/>
      </c>
      <c r="H123" s="90" t="inlineStr">
        <is>
          <t>Maio/2026</t>
        </is>
      </c>
    </row>
    <row r="124" ht="14.25" customHeight="1" s="75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t="14.25" customHeight="1" s="75">
      <c r="A125" s="90" t="inlineStr">
        <is>
          <t>Controladoria</t>
        </is>
      </c>
      <c r="B125" s="90" t="inlineStr">
        <is>
          <t>Custo Fixo</t>
        </is>
      </c>
      <c r="C125" s="90" t="inlineStr">
        <is>
          <t>Água e esgoto (rateio)</t>
        </is>
      </c>
      <c r="D125" s="117" t="n">
        <v>1</v>
      </c>
      <c r="E125" s="118" t="n">
        <v>0</v>
      </c>
      <c r="F125" s="96" t="n">
        <v>0</v>
      </c>
      <c r="G125" s="90">
        <f>INDEX(SETORES!$B:$B,MATCH(A125,SETORES!$A:$A,0))</f>
        <v/>
      </c>
      <c r="H125" s="90" t="inlineStr">
        <is>
          <t>Maio/2026</t>
        </is>
      </c>
    </row>
    <row r="126" ht="14.25" customHeight="1" s="75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t="14.25" customHeight="1" s="75">
      <c r="A127" s="90" t="inlineStr">
        <is>
          <t>Controladoria</t>
        </is>
      </c>
      <c r="B127" s="90" t="inlineStr">
        <is>
          <t>Custo Fixo</t>
        </is>
      </c>
      <c r="C127" s="90" t="inlineStr">
        <is>
          <t>Folha de pagamento (salários)</t>
        </is>
      </c>
      <c r="D127" s="117" t="n">
        <v>1</v>
      </c>
      <c r="E127" s="118" t="n">
        <v>18000</v>
      </c>
      <c r="F127" s="96">
        <f>IFERROR(E127,0)</f>
        <v/>
      </c>
      <c r="G127" s="90">
        <f>INDEX(SETORES!$B:$B,MATCH(A127,SETORES!$A:$A,0))</f>
        <v/>
      </c>
      <c r="H127" s="90" t="inlineStr">
        <is>
          <t>Maio/2026</t>
        </is>
      </c>
    </row>
    <row r="128" ht="14.25" customHeight="1" s="75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t="14.25" customHeight="1" s="75">
      <c r="A129" s="90" t="inlineStr">
        <is>
          <t>Controladoria</t>
        </is>
      </c>
      <c r="B129" s="90" t="inlineStr">
        <is>
          <t>Custo Fixo</t>
        </is>
      </c>
      <c r="C129" s="90" t="inlineStr">
        <is>
          <t>Stargrid</t>
        </is>
      </c>
      <c r="D129" s="117">
        <f>D890</f>
        <v/>
      </c>
      <c r="E129" s="118" t="n">
        <v>2.07</v>
      </c>
      <c r="F129" s="96">
        <f>IFERROR(D129*E129,0)</f>
        <v/>
      </c>
      <c r="G129" s="90">
        <f>INDEX(SETORES!$B:$B,MATCH(A129,SETORES!$A:$A,0))</f>
        <v/>
      </c>
      <c r="H129" s="90" t="inlineStr">
        <is>
          <t>Maio/2026</t>
        </is>
      </c>
    </row>
    <row r="130" ht="14.25" customHeight="1" s="75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t="14.25" customHeight="1" s="75">
      <c r="A131" s="90" t="inlineStr">
        <is>
          <t>Controladoria</t>
        </is>
      </c>
      <c r="B131" s="90" t="inlineStr">
        <is>
          <t>Custo Fixo</t>
        </is>
      </c>
      <c r="C131" s="90" t="inlineStr">
        <is>
          <t>Despesas com RH</t>
        </is>
      </c>
      <c r="D131" s="117">
        <f>D890</f>
        <v/>
      </c>
      <c r="E131" s="118" t="n">
        <v>28.31</v>
      </c>
      <c r="F131" s="96">
        <f>IFERROR(D131*E131,0)</f>
        <v/>
      </c>
      <c r="G131" s="90">
        <f>INDEX(SETORES!$B:$B,MATCH(A131,SETORES!$A:$A,0))</f>
        <v/>
      </c>
      <c r="H131" s="90" t="inlineStr">
        <is>
          <t>Maio/2026</t>
        </is>
      </c>
    </row>
    <row r="132" ht="14.25" customHeight="1" s="75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t="14.25" customHeight="1" s="75">
      <c r="A133" s="90" t="inlineStr">
        <is>
          <t>DP</t>
        </is>
      </c>
      <c r="B133" s="90" t="inlineStr">
        <is>
          <t>Custo Fixo</t>
        </is>
      </c>
      <c r="C133" s="90" t="inlineStr">
        <is>
          <t>Material de escritório (suprimentos de informática)</t>
        </is>
      </c>
      <c r="D133" s="117" t="n">
        <v>1</v>
      </c>
      <c r="E133" s="118" t="n">
        <v>28.5</v>
      </c>
      <c r="F133" s="96" t="n">
        <v>57.0003</v>
      </c>
      <c r="G133" s="90">
        <f>INDEX(SETORES!$B:$B,MATCH(A133,SETORES!$A:$A,0))</f>
        <v/>
      </c>
      <c r="H133" s="90" t="inlineStr">
        <is>
          <t>Maio/2026</t>
        </is>
      </c>
    </row>
    <row r="134" ht="14.25" customHeight="1" s="75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t="14.25" customHeight="1" s="75">
      <c r="A135" s="90" t="inlineStr">
        <is>
          <t>DP</t>
        </is>
      </c>
      <c r="B135" s="90" t="inlineStr">
        <is>
          <t>Custo Fixo</t>
        </is>
      </c>
      <c r="C135" s="90" t="inlineStr">
        <is>
          <t>Energia elétrica (rateio)</t>
        </is>
      </c>
      <c r="D135" s="117" t="n">
        <v>1</v>
      </c>
      <c r="E135" s="118" t="n">
        <v>59.5756</v>
      </c>
      <c r="F135" s="96" t="n">
        <v>59.5756</v>
      </c>
      <c r="G135" s="90">
        <f>INDEX(SETORES!$B:$B,MATCH(A135,SETORES!$A:$A,0))</f>
        <v/>
      </c>
      <c r="H135" s="90" t="inlineStr">
        <is>
          <t>Maio/2026</t>
        </is>
      </c>
    </row>
    <row r="136" ht="14.25" customHeight="1" s="75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t="14.25" customHeight="1" s="75">
      <c r="A137" s="90" t="inlineStr">
        <is>
          <t>DP</t>
        </is>
      </c>
      <c r="B137" s="90" t="inlineStr">
        <is>
          <t>Custo Fixo</t>
        </is>
      </c>
      <c r="C137" s="90" t="inlineStr">
        <is>
          <t>Telefonia móvel corporativa</t>
        </is>
      </c>
      <c r="D137" s="117" t="n"/>
      <c r="E137" s="118" t="n"/>
      <c r="F137" s="96">
        <f>IFERROR(D137*E137,0)</f>
        <v/>
      </c>
      <c r="G137" s="90">
        <f>INDEX(SETORES!$B:$B,MATCH(A137,SETORES!$A:$A,0))</f>
        <v/>
      </c>
      <c r="H137" s="90" t="inlineStr">
        <is>
          <t>Maio/2026</t>
        </is>
      </c>
    </row>
    <row r="138" ht="14.25" customHeight="1" s="75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t="14.25" customHeight="1" s="75">
      <c r="A139" s="90" t="inlineStr">
        <is>
          <t>DP</t>
        </is>
      </c>
      <c r="B139" s="90" t="inlineStr">
        <is>
          <t>Custo Variável</t>
        </is>
      </c>
      <c r="C139" s="90" t="inlineStr">
        <is>
          <t>Exames admissionais/demissionais</t>
        </is>
      </c>
      <c r="D139" s="117" t="n"/>
      <c r="E139" s="118" t="n"/>
      <c r="F139" s="96">
        <f>IFERROR(D139*E139,0)</f>
        <v/>
      </c>
      <c r="G139" s="90">
        <f>INDEX(SETORES!$B:$B,MATCH(A139,SETORES!$A:$A,0))</f>
        <v/>
      </c>
      <c r="H139" s="90" t="inlineStr">
        <is>
          <t>Maio/2026</t>
        </is>
      </c>
    </row>
    <row r="140" ht="14.25" customHeight="1" s="75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t="14.25" customHeight="1" s="75">
      <c r="A141" s="90" t="inlineStr">
        <is>
          <t>DP</t>
        </is>
      </c>
      <c r="B141" s="90" t="inlineStr">
        <is>
          <t>Custo Variável</t>
        </is>
      </c>
      <c r="C141" s="90" t="inlineStr">
        <is>
          <t>Fardamento novo</t>
        </is>
      </c>
      <c r="D141" s="117" t="n"/>
      <c r="E141" s="118" t="n"/>
      <c r="F141" s="96">
        <f>IFERROR(D141*E141,0)</f>
        <v/>
      </c>
      <c r="G141" s="90">
        <f>INDEX(SETORES!$B:$B,MATCH(A141,SETORES!$A:$A,0))</f>
        <v/>
      </c>
      <c r="H141" s="90" t="inlineStr">
        <is>
          <t>Maio/2026</t>
        </is>
      </c>
    </row>
    <row r="142" ht="14.25" customHeight="1" s="75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t="14.25" customHeight="1" s="75">
      <c r="A143" s="90" t="inlineStr">
        <is>
          <t>DP</t>
        </is>
      </c>
      <c r="B143" s="90" t="inlineStr">
        <is>
          <t>Custo Fixo</t>
        </is>
      </c>
      <c r="C143" s="90" t="inlineStr">
        <is>
          <t>Licença de e-mail corporativo</t>
        </is>
      </c>
      <c r="D143" s="117" t="n">
        <v>7</v>
      </c>
      <c r="E143" s="118" t="n">
        <v>50</v>
      </c>
      <c r="F143" s="96">
        <f>IFERROR(D143*E143,0)</f>
        <v/>
      </c>
      <c r="G143" s="90">
        <f>INDEX(SETORES!$B:$B,MATCH(A143,SETORES!$A:$A,0))</f>
        <v/>
      </c>
      <c r="H143" s="90" t="inlineStr">
        <is>
          <t>Maio/2026</t>
        </is>
      </c>
    </row>
    <row r="144" ht="14.25" customHeight="1" s="75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t="14.25" customHeight="1" s="75">
      <c r="A145" s="90" t="inlineStr">
        <is>
          <t>DP</t>
        </is>
      </c>
      <c r="B145" s="90" t="inlineStr">
        <is>
          <t>Custo Fixo</t>
        </is>
      </c>
      <c r="C145" s="90" t="inlineStr">
        <is>
          <t>Stargrid</t>
        </is>
      </c>
      <c r="D145" s="117" t="n">
        <v>7</v>
      </c>
      <c r="E145" s="118" t="n">
        <v>2.07</v>
      </c>
      <c r="F145" s="96">
        <f>IFERROR(D145*E145,0)</f>
        <v/>
      </c>
      <c r="G145" s="90">
        <f>INDEX(SETORES!$B:$B,MATCH(A145,SETORES!$A:$A,0))</f>
        <v/>
      </c>
      <c r="H145" s="90" t="inlineStr">
        <is>
          <t>Maio/2026</t>
        </is>
      </c>
    </row>
    <row r="146" ht="14.25" customHeight="1" s="75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t="14.25" customHeight="1" s="75">
      <c r="A147" s="90" t="inlineStr">
        <is>
          <t>DP</t>
        </is>
      </c>
      <c r="B147" s="90" t="inlineStr">
        <is>
          <t>Custo Fixo</t>
        </is>
      </c>
      <c r="C147" s="90" t="inlineStr">
        <is>
          <t>Despesas com RH</t>
        </is>
      </c>
      <c r="D147" s="117" t="n">
        <v>7</v>
      </c>
      <c r="E147" s="118" t="n">
        <v>28.31</v>
      </c>
      <c r="F147" s="96">
        <f>IFERROR(D147*E147,0)</f>
        <v/>
      </c>
      <c r="G147" s="90">
        <f>INDEX(SETORES!$B:$B,MATCH(A147,SETORES!$A:$A,0))</f>
        <v/>
      </c>
      <c r="H147" s="90" t="inlineStr">
        <is>
          <t>Maio/2026</t>
        </is>
      </c>
    </row>
    <row r="148" ht="14.25" customHeight="1" s="75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t="14.25" customHeight="1" s="75">
      <c r="A149" s="90" t="inlineStr">
        <is>
          <t>Diretoria Operacional</t>
        </is>
      </c>
      <c r="B149" s="90" t="inlineStr">
        <is>
          <t>Custo Fixo</t>
        </is>
      </c>
      <c r="C149" s="90" t="inlineStr">
        <is>
          <t>Material de escritório (suprimentos de informática)</t>
        </is>
      </c>
      <c r="D149" s="117" t="n"/>
      <c r="E149" s="118" t="n"/>
      <c r="F149" s="96" t="n">
        <v>0</v>
      </c>
      <c r="G149" s="90">
        <f>INDEX(SETORES!$B:$B,MATCH(A149,SETORES!$A:$A,0))</f>
        <v/>
      </c>
      <c r="H149" s="90" t="inlineStr">
        <is>
          <t>Maio/2026</t>
        </is>
      </c>
    </row>
    <row r="150" ht="14.25" customHeight="1" s="75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t="14.25" customHeight="1" s="75">
      <c r="A151" s="90" t="inlineStr">
        <is>
          <t>Diretoria Operacional</t>
        </is>
      </c>
      <c r="B151" s="90" t="inlineStr">
        <is>
          <t>Custo Fixo</t>
        </is>
      </c>
      <c r="C151" s="90" t="inlineStr">
        <is>
          <t>Energia elétrica (rateio)</t>
        </is>
      </c>
      <c r="D151" s="117" t="n">
        <v>1</v>
      </c>
      <c r="E151" s="118" t="n">
        <v>17.0216</v>
      </c>
      <c r="F151" s="96" t="n">
        <v>17.0216</v>
      </c>
      <c r="G151" s="90">
        <f>INDEX(SETORES!$B:$B,MATCH(A151,SETORES!$A:$A,0))</f>
        <v/>
      </c>
      <c r="H151" s="90" t="inlineStr">
        <is>
          <t>Maio/2026</t>
        </is>
      </c>
    </row>
    <row r="152" ht="14.25" customHeight="1" s="75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t="14.25" customHeight="1" s="75">
      <c r="A153" s="90" t="inlineStr">
        <is>
          <t>Diretoria Operacional</t>
        </is>
      </c>
      <c r="B153" s="90" t="inlineStr">
        <is>
          <t>Custo Fixo</t>
        </is>
      </c>
      <c r="C153" s="90" t="inlineStr">
        <is>
          <t>Telefonia móvel corporativa</t>
        </is>
      </c>
      <c r="D153" s="117" t="n"/>
      <c r="E153" s="118" t="n"/>
      <c r="F153" s="96">
        <f>IFERROR(D153*E153,0)</f>
        <v/>
      </c>
      <c r="G153" s="90">
        <f>INDEX(SETORES!$B:$B,MATCH(A153,SETORES!$A:$A,0))</f>
        <v/>
      </c>
      <c r="H153" s="90" t="inlineStr">
        <is>
          <t>Maio/2026</t>
        </is>
      </c>
    </row>
    <row r="154" ht="14.25" customHeight="1" s="75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t="14.25" customHeight="1" s="75">
      <c r="A155" s="90" t="inlineStr">
        <is>
          <t>Diretoria Operacional</t>
        </is>
      </c>
      <c r="B155" s="90" t="inlineStr">
        <is>
          <t>Custo Variável</t>
        </is>
      </c>
      <c r="C155" s="90" t="inlineStr">
        <is>
          <t>Viagens e hospedagem corporativas</t>
        </is>
      </c>
      <c r="D155" s="117" t="n"/>
      <c r="E155" s="118" t="n"/>
      <c r="F155" s="96">
        <f>IFERROR(D155*E155,0)</f>
        <v/>
      </c>
      <c r="G155" s="90">
        <f>INDEX(SETORES!$B:$B,MATCH(A155,SETORES!$A:$A,0))</f>
        <v/>
      </c>
      <c r="H155" s="90" t="inlineStr">
        <is>
          <t>Maio/2026</t>
        </is>
      </c>
    </row>
    <row r="156" ht="14.25" customHeight="1" s="75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t="14.25" customHeight="1" s="75">
      <c r="A157" s="90" t="inlineStr">
        <is>
          <t>Diretoria Operacional</t>
        </is>
      </c>
      <c r="B157" s="90" t="inlineStr">
        <is>
          <t>Custo Variável</t>
        </is>
      </c>
      <c r="C157" s="90" t="inlineStr">
        <is>
          <t>Fardamento substituição</t>
        </is>
      </c>
      <c r="D157" s="117" t="n">
        <v>1</v>
      </c>
      <c r="E157" s="118" t="n">
        <v>144</v>
      </c>
      <c r="F157" s="96">
        <f>IFERROR(D157*E157,0)</f>
        <v/>
      </c>
      <c r="G157" s="90">
        <f>INDEX(SETORES!$B:$B,MATCH(A157,SETORES!$A:$A,0))</f>
        <v/>
      </c>
      <c r="H157" s="90" t="inlineStr">
        <is>
          <t>Maio/2026</t>
        </is>
      </c>
    </row>
    <row r="158" ht="14.25" customHeight="1" s="75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t="14.25" customHeight="1" s="75">
      <c r="A159" s="90" t="inlineStr">
        <is>
          <t>Diretoria Operacional</t>
        </is>
      </c>
      <c r="B159" s="90" t="inlineStr">
        <is>
          <t>Custo Fixo</t>
        </is>
      </c>
      <c r="C159" s="90" t="inlineStr">
        <is>
          <t>Gympass</t>
        </is>
      </c>
      <c r="D159" s="117" t="n">
        <v>2</v>
      </c>
      <c r="E159" s="118" t="n">
        <v>10.05</v>
      </c>
      <c r="F159" s="96">
        <f>IFERROR(D159*E159,0)</f>
        <v/>
      </c>
      <c r="G159" s="90">
        <f>INDEX(SETORES!$B:$B,MATCH(A159,SETORES!$A:$A,0))</f>
        <v/>
      </c>
      <c r="H159" s="90" t="inlineStr">
        <is>
          <t>Maio/2026</t>
        </is>
      </c>
    </row>
    <row r="160" ht="14.25" customHeight="1" s="75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t="14.25" customHeight="1" s="75">
      <c r="A161" s="90" t="inlineStr">
        <is>
          <t>Diretoria Operacional</t>
        </is>
      </c>
      <c r="B161" s="90" t="inlineStr">
        <is>
          <t>Custo Fixo</t>
        </is>
      </c>
      <c r="C161" s="90" t="inlineStr">
        <is>
          <t>Despesas com SST</t>
        </is>
      </c>
      <c r="D161" s="117" t="n">
        <v>2</v>
      </c>
      <c r="E161" s="118" t="n">
        <v>64.56999999999999</v>
      </c>
      <c r="F161" s="96">
        <f>IFERROR(D161*E161,0)</f>
        <v/>
      </c>
      <c r="G161" s="90">
        <f>INDEX(SETORES!$B:$B,MATCH(A161,SETORES!$A:$A,0))</f>
        <v/>
      </c>
      <c r="H161" s="90" t="inlineStr">
        <is>
          <t>Maio/2026</t>
        </is>
      </c>
    </row>
    <row r="162" ht="14.25" customHeight="1" s="75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t="14.25" customHeight="1" s="75">
      <c r="A163" s="90" t="inlineStr">
        <is>
          <t>Diretoria Operacional</t>
        </is>
      </c>
      <c r="B163" s="90" t="inlineStr">
        <is>
          <t>Custo Fixo</t>
        </is>
      </c>
      <c r="C163" s="90" t="inlineStr">
        <is>
          <t>Despesas com DP</t>
        </is>
      </c>
      <c r="D163" s="117" t="n">
        <v>2</v>
      </c>
      <c r="E163" s="118" t="n">
        <v>47.79</v>
      </c>
      <c r="F163" s="96">
        <f>IFERROR(D163*E163,0)</f>
        <v/>
      </c>
      <c r="G163" s="90">
        <f>INDEX(SETORES!$B:$B,MATCH(A163,SETORES!$A:$A,0))</f>
        <v/>
      </c>
      <c r="H163" s="90" t="inlineStr">
        <is>
          <t>Maio/2026</t>
        </is>
      </c>
    </row>
    <row r="164" ht="14.25" customHeight="1" s="75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t="14.25" customHeight="1" s="75">
      <c r="A165" s="90" t="inlineStr">
        <is>
          <t>Engenharia</t>
        </is>
      </c>
      <c r="B165" s="90" t="inlineStr">
        <is>
          <t>Custo Fixo</t>
        </is>
      </c>
      <c r="C165" s="90" t="inlineStr">
        <is>
          <t>Material de uso coletivo (copa/limpeza)</t>
        </is>
      </c>
      <c r="D165" s="117" t="n"/>
      <c r="E165" s="118" t="n"/>
      <c r="F165" s="96" t="n">
        <v>0</v>
      </c>
      <c r="G165" s="90">
        <f>INDEX(SETORES!$B:$B,MATCH(A165,SETORES!$A:$A,0))</f>
        <v/>
      </c>
      <c r="H165" s="90" t="inlineStr">
        <is>
          <t>Maio/2026</t>
        </is>
      </c>
    </row>
    <row r="166" ht="14.25" customHeight="1" s="75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t="14.25" customHeight="1" s="75">
      <c r="A167" s="90" t="inlineStr">
        <is>
          <t>Engenharia</t>
        </is>
      </c>
      <c r="B167" s="90" t="inlineStr">
        <is>
          <t>Custo Fixo</t>
        </is>
      </c>
      <c r="C167" s="90" t="inlineStr">
        <is>
          <t>Energia elétrica (rateio)</t>
        </is>
      </c>
      <c r="D167" s="117" t="n">
        <v>7</v>
      </c>
      <c r="E167" s="118" t="n">
        <v>24.8613</v>
      </c>
      <c r="F167" s="96" t="n">
        <v>174.0291</v>
      </c>
      <c r="G167" s="90">
        <f>INDEX(SETORES!$B:$B,MATCH(A167,SETORES!$A:$A,0))</f>
        <v/>
      </c>
      <c r="H167" s="90" t="inlineStr">
        <is>
          <t>Maio/2026</t>
        </is>
      </c>
    </row>
    <row r="168" ht="14.25" customHeight="1" s="75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t="14.25" customHeight="1" s="75">
      <c r="A169" s="90" t="inlineStr">
        <is>
          <t>Engenharia</t>
        </is>
      </c>
      <c r="B169" s="90" t="inlineStr">
        <is>
          <t>Custo Fixo</t>
        </is>
      </c>
      <c r="C169" s="90" t="inlineStr">
        <is>
          <t>Folha de pagamento (salários)</t>
        </is>
      </c>
      <c r="D169" s="117" t="n">
        <v>1</v>
      </c>
      <c r="E169" s="118" t="n">
        <v>43379.5</v>
      </c>
      <c r="F169" s="96">
        <f>IFERROR(E169,0)</f>
        <v/>
      </c>
      <c r="G169" s="90">
        <f>INDEX(SETORES!$B:$B,MATCH(A169,SETORES!$A:$A,0))</f>
        <v/>
      </c>
      <c r="H169" s="90" t="inlineStr">
        <is>
          <t>Maio/2026</t>
        </is>
      </c>
    </row>
    <row r="170" ht="14.25" customHeight="1" s="75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t="14.25" customHeight="1" s="75">
      <c r="A171" s="90" t="inlineStr">
        <is>
          <t>Engenharia</t>
        </is>
      </c>
      <c r="B171" s="90" t="inlineStr">
        <is>
          <t>Custo Variável</t>
        </is>
      </c>
      <c r="C171" s="90" t="inlineStr">
        <is>
          <t>Fardamento novo</t>
        </is>
      </c>
      <c r="D171" s="117" t="n">
        <v>1</v>
      </c>
      <c r="E171" s="118" t="n">
        <v>132</v>
      </c>
      <c r="F171" s="96">
        <f>IFERROR(D171*E171,0)</f>
        <v/>
      </c>
      <c r="G171" s="90">
        <f>INDEX(SETORES!$B:$B,MATCH(A171,SETORES!$A:$A,0))</f>
        <v/>
      </c>
      <c r="H171" s="90" t="inlineStr">
        <is>
          <t>Maio/2026</t>
        </is>
      </c>
    </row>
    <row r="172" ht="14.25" customHeight="1" s="75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t="14.25" customHeight="1" s="75">
      <c r="A173" s="90" t="inlineStr">
        <is>
          <t>Engenharia</t>
        </is>
      </c>
      <c r="B173" s="90" t="inlineStr">
        <is>
          <t>Custo Variável</t>
        </is>
      </c>
      <c r="C173" s="90" t="inlineStr">
        <is>
          <t>Rateio de transporte coletivo</t>
        </is>
      </c>
      <c r="D173" s="117" t="n">
        <v>7</v>
      </c>
      <c r="E173" s="118" t="n">
        <v>89.55</v>
      </c>
      <c r="F173" s="96">
        <f>IFERROR(D173*E173,0)</f>
        <v/>
      </c>
      <c r="G173" s="90">
        <f>INDEX(SETORES!$B:$B,MATCH(A173,SETORES!$A:$A,0))</f>
        <v/>
      </c>
      <c r="H173" s="90" t="inlineStr">
        <is>
          <t>Maio/2026</t>
        </is>
      </c>
    </row>
    <row r="174" ht="14.25" customHeight="1" s="75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t="14.25" customHeight="1" s="75">
      <c r="A175" s="90" t="inlineStr">
        <is>
          <t>Engenharia</t>
        </is>
      </c>
      <c r="B175" s="90" t="inlineStr">
        <is>
          <t>Custo Variável</t>
        </is>
      </c>
      <c r="C175" s="90" t="inlineStr">
        <is>
          <t>Combustível de frota</t>
        </is>
      </c>
      <c r="D175" s="117" t="n">
        <v>1</v>
      </c>
      <c r="E175" s="118" t="n">
        <v>8424.469999999999</v>
      </c>
      <c r="F175" s="96">
        <f>IFERROR(D175*E175,0)</f>
        <v/>
      </c>
      <c r="G175" s="90">
        <f>INDEX(SETORES!$B:$B,MATCH(A175,SETORES!$A:$A,0))</f>
        <v/>
      </c>
      <c r="H175" s="90" t="inlineStr">
        <is>
          <t>Maio/2026</t>
        </is>
      </c>
    </row>
    <row r="176" ht="14.25" customHeight="1" s="75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t="14.25" customHeight="1" s="75">
      <c r="A177" s="90" t="inlineStr">
        <is>
          <t>Engenharia</t>
        </is>
      </c>
      <c r="B177" s="90" t="inlineStr">
        <is>
          <t>Custo Fixo</t>
        </is>
      </c>
      <c r="C177" s="90" t="inlineStr">
        <is>
          <t>Stargrid</t>
        </is>
      </c>
      <c r="D177" s="117" t="n">
        <v>7</v>
      </c>
      <c r="E177" s="118" t="n">
        <v>2.07</v>
      </c>
      <c r="F177" s="96">
        <f>IFERROR(D177*E177,0)</f>
        <v/>
      </c>
      <c r="G177" s="90">
        <f>INDEX(SETORES!$B:$B,MATCH(A177,SETORES!$A:$A,0))</f>
        <v/>
      </c>
      <c r="H177" s="90" t="inlineStr">
        <is>
          <t>Maio/2026</t>
        </is>
      </c>
    </row>
    <row r="178" ht="14.25" customHeight="1" s="75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t="14.25" customHeight="1" s="75">
      <c r="A179" s="90" t="inlineStr">
        <is>
          <t>Engenharia</t>
        </is>
      </c>
      <c r="B179" s="90" t="inlineStr">
        <is>
          <t>Custo Fixo</t>
        </is>
      </c>
      <c r="C179" s="90" t="inlineStr">
        <is>
          <t>Despesas com RH</t>
        </is>
      </c>
      <c r="D179" s="117" t="n">
        <v>7</v>
      </c>
      <c r="E179" s="118" t="n">
        <v>28.31</v>
      </c>
      <c r="F179" s="96">
        <f>IFERROR(D179*E179,0)</f>
        <v/>
      </c>
      <c r="G179" s="90">
        <f>INDEX(SETORES!$B:$B,MATCH(A179,SETORES!$A:$A,0))</f>
        <v/>
      </c>
      <c r="H179" s="90" t="inlineStr">
        <is>
          <t>Maio/2026</t>
        </is>
      </c>
    </row>
    <row r="180" ht="14.25" customHeight="1" s="75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t="14.25" customHeight="1" s="75">
      <c r="A181" s="90" t="inlineStr">
        <is>
          <t>Estoque</t>
        </is>
      </c>
      <c r="B181" s="90" t="inlineStr">
        <is>
          <t>Custo Fixo</t>
        </is>
      </c>
      <c r="C181" s="90" t="inlineStr">
        <is>
          <t>Material de escritório (suprimentos de informática)</t>
        </is>
      </c>
      <c r="D181" s="117" t="n"/>
      <c r="E181" s="118" t="n"/>
      <c r="F181" s="96" t="n">
        <v>0</v>
      </c>
      <c r="G181" s="90">
        <f>INDEX(SETORES!$B:$B,MATCH(A181,SETORES!$A:$A,0))</f>
        <v/>
      </c>
      <c r="H181" s="90" t="inlineStr">
        <is>
          <t>Maio/2026</t>
        </is>
      </c>
    </row>
    <row r="182" ht="14.25" customHeight="1" s="75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t="14.25" customHeight="1" s="75">
      <c r="A183" s="90" t="inlineStr">
        <is>
          <t>Estoque</t>
        </is>
      </c>
      <c r="B183" s="90" t="inlineStr">
        <is>
          <t>Custo Fixo</t>
        </is>
      </c>
      <c r="C183" s="90" t="inlineStr">
        <is>
          <t>Energia elétrica (rateio)</t>
        </is>
      </c>
      <c r="D183" s="117" t="n">
        <v>12</v>
      </c>
      <c r="E183" s="118" t="n">
        <v>24.8613</v>
      </c>
      <c r="F183" s="96" t="n">
        <v>298.3356</v>
      </c>
      <c r="G183" s="90">
        <f>INDEX(SETORES!$B:$B,MATCH(A183,SETORES!$A:$A,0))</f>
        <v/>
      </c>
      <c r="H183" s="90" t="inlineStr">
        <is>
          <t>Maio/2026</t>
        </is>
      </c>
    </row>
    <row r="184" ht="14.25" customHeight="1" s="75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t="14.25" customHeight="1" s="75">
      <c r="A185" s="90" t="inlineStr">
        <is>
          <t>Estoque</t>
        </is>
      </c>
      <c r="B185" s="90" t="inlineStr">
        <is>
          <t>Custo Fixo</t>
        </is>
      </c>
      <c r="C185" s="90" t="inlineStr">
        <is>
          <t>Folha de pagamento (salários)</t>
        </is>
      </c>
      <c r="D185" s="117" t="n">
        <v>1</v>
      </c>
      <c r="E185" s="118" t="n">
        <v>54038.56</v>
      </c>
      <c r="F185" s="96">
        <f>IFERROR(E185,0)</f>
        <v/>
      </c>
      <c r="G185" s="90">
        <f>INDEX(SETORES!$B:$B,MATCH(A185,SETORES!$A:$A,0))</f>
        <v/>
      </c>
      <c r="H185" s="90" t="inlineStr">
        <is>
          <t>Maio/2026</t>
        </is>
      </c>
    </row>
    <row r="186" ht="14.25" customHeight="1" s="75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t="14.25" customHeight="1" s="75">
      <c r="A187" s="90" t="inlineStr">
        <is>
          <t>Estoque</t>
        </is>
      </c>
      <c r="B187" s="90" t="inlineStr">
        <is>
          <t>Custo Variável</t>
        </is>
      </c>
      <c r="C187" s="90" t="inlineStr">
        <is>
          <t>Fardamento novo</t>
        </is>
      </c>
      <c r="D187" s="117" t="n">
        <v>1</v>
      </c>
      <c r="E187" s="118" t="n">
        <v>135</v>
      </c>
      <c r="F187" s="96">
        <f>IFERROR(D187*E187,0)</f>
        <v/>
      </c>
      <c r="G187" s="90">
        <f>INDEX(SETORES!$B:$B,MATCH(A187,SETORES!$A:$A,0))</f>
        <v/>
      </c>
      <c r="H187" s="90" t="inlineStr">
        <is>
          <t>Maio/2026</t>
        </is>
      </c>
    </row>
    <row r="188" ht="14.25" customHeight="1" s="75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t="14.25" customHeight="1" s="75">
      <c r="A189" s="90" t="inlineStr">
        <is>
          <t>Estoque</t>
        </is>
      </c>
      <c r="B189" s="90" t="inlineStr">
        <is>
          <t>Custo Variável</t>
        </is>
      </c>
      <c r="C189" s="90" t="inlineStr">
        <is>
          <t>Rateio de transporte coletivo</t>
        </is>
      </c>
      <c r="D189" s="117" t="n">
        <v>12</v>
      </c>
      <c r="E189" s="118" t="n">
        <v>89.55</v>
      </c>
      <c r="F189" s="96">
        <f>IFERROR(D189*E189,0)</f>
        <v/>
      </c>
      <c r="G189" s="90">
        <f>INDEX(SETORES!$B:$B,MATCH(A189,SETORES!$A:$A,0))</f>
        <v/>
      </c>
      <c r="H189" s="90" t="inlineStr">
        <is>
          <t>Maio/2026</t>
        </is>
      </c>
    </row>
    <row r="190" ht="14.25" customHeight="1" s="75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t="14.25" customHeight="1" s="75">
      <c r="A191" s="90" t="inlineStr">
        <is>
          <t>Estoque</t>
        </is>
      </c>
      <c r="B191" s="90" t="inlineStr">
        <is>
          <t>Custo Fixo</t>
        </is>
      </c>
      <c r="C191" s="90" t="inlineStr">
        <is>
          <t>Licença de e-mail corporativo</t>
        </is>
      </c>
      <c r="D191" s="117" t="n">
        <v>16</v>
      </c>
      <c r="E191" s="118" t="n">
        <v>50</v>
      </c>
      <c r="F191" s="96">
        <f>IFERROR(D191*E191,0)</f>
        <v/>
      </c>
      <c r="G191" s="90">
        <f>INDEX(SETORES!$B:$B,MATCH(A191,SETORES!$A:$A,0))</f>
        <v/>
      </c>
      <c r="H191" s="90" t="inlineStr">
        <is>
          <t>Maio/2026</t>
        </is>
      </c>
    </row>
    <row r="192" ht="14.25" customHeight="1" s="75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t="14.25" customHeight="1" s="75">
      <c r="A193" s="90" t="inlineStr">
        <is>
          <t>Estoque</t>
        </is>
      </c>
      <c r="B193" s="90" t="inlineStr">
        <is>
          <t>Custo Fixo</t>
        </is>
      </c>
      <c r="C193" s="90" t="inlineStr">
        <is>
          <t>Stargrid</t>
        </is>
      </c>
      <c r="D193" s="117">
        <f>D948</f>
        <v/>
      </c>
      <c r="E193" s="118" t="n">
        <v>2.07</v>
      </c>
      <c r="F193" s="96">
        <f>IFERROR(D193*E193,0)</f>
        <v/>
      </c>
      <c r="G193" s="90">
        <f>INDEX(SETORES!$B:$B,MATCH(A193,SETORES!$A:$A,0))</f>
        <v/>
      </c>
      <c r="H193" s="90" t="inlineStr">
        <is>
          <t>Maio/2026</t>
        </is>
      </c>
    </row>
    <row r="194" ht="14.25" customHeight="1" s="75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t="14.25" customHeight="1" s="75">
      <c r="A195" s="90" t="inlineStr">
        <is>
          <t>Estoque</t>
        </is>
      </c>
      <c r="B195" s="90" t="inlineStr">
        <is>
          <t>Custo Fixo</t>
        </is>
      </c>
      <c r="C195" s="90" t="inlineStr">
        <is>
          <t>Despesas com RH</t>
        </is>
      </c>
      <c r="D195" s="117">
        <f>D948</f>
        <v/>
      </c>
      <c r="E195" s="118" t="n">
        <v>28.31</v>
      </c>
      <c r="F195" s="96">
        <f>IFERROR(D195*E195,0)</f>
        <v/>
      </c>
      <c r="G195" s="90">
        <f>INDEX(SETORES!$B:$B,MATCH(A195,SETORES!$A:$A,0))</f>
        <v/>
      </c>
      <c r="H195" s="90" t="inlineStr">
        <is>
          <t>Maio/2026</t>
        </is>
      </c>
    </row>
    <row r="196" ht="14.25" customHeight="1" s="75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t="14.25" customHeight="1" s="75">
      <c r="A197" s="90" t="inlineStr">
        <is>
          <t>Financeiro</t>
        </is>
      </c>
      <c r="B197" s="90" t="inlineStr">
        <is>
          <t>Custo Fixo</t>
        </is>
      </c>
      <c r="C197" s="90" t="inlineStr">
        <is>
          <t>Material de escritório (suprimentos de informática)</t>
        </is>
      </c>
      <c r="D197" s="117" t="n"/>
      <c r="E197" s="118" t="n"/>
      <c r="F197" s="96" t="n">
        <v>0</v>
      </c>
      <c r="G197" s="90">
        <f>INDEX(SETORES!$B:$B,MATCH(A197,SETORES!$A:$A,0))</f>
        <v/>
      </c>
      <c r="H197" s="90" t="inlineStr">
        <is>
          <t>Maio/2026</t>
        </is>
      </c>
    </row>
    <row r="198" ht="14.25" customHeight="1" s="75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t="14.25" customHeight="1" s="75">
      <c r="A199" s="90" t="inlineStr">
        <is>
          <t>Financeiro</t>
        </is>
      </c>
      <c r="B199" s="90" t="inlineStr">
        <is>
          <t>Custo Fixo</t>
        </is>
      </c>
      <c r="C199" s="90" t="inlineStr">
        <is>
          <t>Energia elétrica (rateio)</t>
        </is>
      </c>
      <c r="D199" s="117" t="n">
        <v>1</v>
      </c>
      <c r="E199" s="118" t="n">
        <v>59.5756</v>
      </c>
      <c r="F199" s="96" t="n">
        <v>59.5756</v>
      </c>
      <c r="G199" s="90">
        <f>INDEX(SETORES!$B:$B,MATCH(A199,SETORES!$A:$A,0))</f>
        <v/>
      </c>
      <c r="H199" s="90" t="inlineStr">
        <is>
          <t>Maio/2026</t>
        </is>
      </c>
    </row>
    <row r="200" ht="14.25" customHeight="1" s="75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t="14.25" customHeight="1" s="75">
      <c r="A201" s="90" t="inlineStr">
        <is>
          <t>Financeiro</t>
        </is>
      </c>
      <c r="B201" s="90" t="inlineStr">
        <is>
          <t>Custo Fixo</t>
        </is>
      </c>
      <c r="C201" s="90" t="inlineStr">
        <is>
          <t>Telefonia móvel corporativa</t>
        </is>
      </c>
      <c r="D201" s="117" t="n"/>
      <c r="E201" s="118" t="n"/>
      <c r="F201" s="96">
        <f>IFERROR(D201*E201,0)</f>
        <v/>
      </c>
      <c r="G201" s="90">
        <f>INDEX(SETORES!$B:$B,MATCH(A201,SETORES!$A:$A,0))</f>
        <v/>
      </c>
      <c r="H201" s="90" t="inlineStr">
        <is>
          <t>Maio/2026</t>
        </is>
      </c>
    </row>
    <row r="202" ht="14.25" customHeight="1" s="75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t="14.25" customHeight="1" s="75">
      <c r="A203" s="90" t="inlineStr">
        <is>
          <t>Financeiro</t>
        </is>
      </c>
      <c r="B203" s="90" t="inlineStr">
        <is>
          <t>Custo Fixo</t>
        </is>
      </c>
      <c r="C203" s="90" t="inlineStr">
        <is>
          <t>Licenças de software/sistemas corporativos (Financeiro)</t>
        </is>
      </c>
      <c r="D203" s="117" t="n">
        <v>1</v>
      </c>
      <c r="E203" s="118" t="n">
        <v>29494.72</v>
      </c>
      <c r="F203" s="96">
        <f>IFERROR(D203*E203,0)</f>
        <v/>
      </c>
      <c r="G203" s="90">
        <f>INDEX(SETORES!$B:$B,MATCH(A203,SETORES!$A:$A,0))</f>
        <v/>
      </c>
      <c r="H203" s="90" t="inlineStr">
        <is>
          <t>Maio/2026</t>
        </is>
      </c>
    </row>
    <row r="204" ht="14.25" customHeight="1" s="75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t="14.25" customHeight="1" s="75">
      <c r="A205" s="90" t="inlineStr">
        <is>
          <t>Financeiro</t>
        </is>
      </c>
      <c r="B205" s="90" t="inlineStr">
        <is>
          <t>Custo Variável</t>
        </is>
      </c>
      <c r="C205" s="90" t="inlineStr">
        <is>
          <t>Fardamento substituição</t>
        </is>
      </c>
      <c r="D205" s="117" t="n">
        <v>1</v>
      </c>
      <c r="E205" s="118" t="n">
        <v>68</v>
      </c>
      <c r="F205" s="96">
        <f>IFERROR(D205*E205,0)</f>
        <v/>
      </c>
      <c r="G205" s="90">
        <f>INDEX(SETORES!$B:$B,MATCH(A205,SETORES!$A:$A,0))</f>
        <v/>
      </c>
      <c r="H205" s="90" t="inlineStr">
        <is>
          <t>Maio/2026</t>
        </is>
      </c>
    </row>
    <row r="206" ht="14.25" customHeight="1" s="75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t="14.25" customHeight="1" s="75">
      <c r="A207" s="90" t="inlineStr">
        <is>
          <t>Financeiro</t>
        </is>
      </c>
      <c r="B207" s="90" t="inlineStr">
        <is>
          <t>Custo Fixo</t>
        </is>
      </c>
      <c r="C207" s="90" t="inlineStr">
        <is>
          <t>Gympass</t>
        </is>
      </c>
      <c r="D207" s="117" t="n">
        <v>8</v>
      </c>
      <c r="E207" s="118" t="n">
        <v>10.05</v>
      </c>
      <c r="F207" s="96">
        <f>IFERROR(D207*E207,0)</f>
        <v/>
      </c>
      <c r="G207" s="90">
        <f>INDEX(SETORES!$B:$B,MATCH(A207,SETORES!$A:$A,0))</f>
        <v/>
      </c>
      <c r="H207" s="90" t="inlineStr">
        <is>
          <t>Maio/2026</t>
        </is>
      </c>
    </row>
    <row r="208" ht="14.25" customHeight="1" s="75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t="14.25" customHeight="1" s="75">
      <c r="A209" s="90" t="inlineStr">
        <is>
          <t>Financeiro</t>
        </is>
      </c>
      <c r="B209" s="90" t="inlineStr">
        <is>
          <t>Custo Fixo</t>
        </is>
      </c>
      <c r="C209" s="90" t="inlineStr">
        <is>
          <t>Despesas com SST</t>
        </is>
      </c>
      <c r="D209" s="117" t="n">
        <v>8</v>
      </c>
      <c r="E209" s="118" t="n">
        <v>64.56999999999999</v>
      </c>
      <c r="F209" s="96">
        <f>IFERROR(D209*E209,0)</f>
        <v/>
      </c>
      <c r="G209" s="90">
        <f>INDEX(SETORES!$B:$B,MATCH(A209,SETORES!$A:$A,0))</f>
        <v/>
      </c>
      <c r="H209" s="90" t="inlineStr">
        <is>
          <t>Maio/2026</t>
        </is>
      </c>
    </row>
    <row r="210" ht="14.25" customHeight="1" s="75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t="14.25" customHeight="1" s="75">
      <c r="A211" s="90" t="inlineStr">
        <is>
          <t>Financeiro</t>
        </is>
      </c>
      <c r="B211" s="90" t="inlineStr">
        <is>
          <t>Custo Fixo</t>
        </is>
      </c>
      <c r="C211" s="90" t="inlineStr">
        <is>
          <t>Despesas com DP</t>
        </is>
      </c>
      <c r="D211" s="117" t="n">
        <v>8</v>
      </c>
      <c r="E211" s="118" t="n">
        <v>47.79</v>
      </c>
      <c r="F211" s="96">
        <f>IFERROR(D211*E211,0)</f>
        <v/>
      </c>
      <c r="G211" s="90">
        <f>INDEX(SETORES!$B:$B,MATCH(A211,SETORES!$A:$A,0))</f>
        <v/>
      </c>
      <c r="H211" s="90" t="inlineStr">
        <is>
          <t>Maio/2026</t>
        </is>
      </c>
    </row>
    <row r="212" ht="14.25" customHeight="1" s="75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t="14.25" customHeight="1" s="75">
      <c r="A213" s="90" t="inlineStr">
        <is>
          <t>Logística</t>
        </is>
      </c>
      <c r="B213" s="90" t="inlineStr">
        <is>
          <t>Custo Fixo</t>
        </is>
      </c>
      <c r="C213" s="90" t="inlineStr">
        <is>
          <t>Material de escritório (suprimentos de informática)</t>
        </is>
      </c>
      <c r="D213" s="117" t="n"/>
      <c r="E213" s="118" t="n"/>
      <c r="F213" s="96" t="n">
        <v>0</v>
      </c>
      <c r="G213" s="90">
        <f>INDEX(SETORES!$B:$B,MATCH(A213,SETORES!$A:$A,0))</f>
        <v/>
      </c>
      <c r="H213" s="90" t="inlineStr">
        <is>
          <t>Maio/2026</t>
        </is>
      </c>
    </row>
    <row r="214" ht="14.25" customHeight="1" s="75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t="14.25" customHeight="1" s="75">
      <c r="A215" s="90" t="inlineStr">
        <is>
          <t>Logística</t>
        </is>
      </c>
      <c r="B215" s="90" t="inlineStr">
        <is>
          <t>Custo Fixo</t>
        </is>
      </c>
      <c r="C215" s="90" t="inlineStr">
        <is>
          <t>Energia elétrica (rateio)</t>
        </is>
      </c>
      <c r="D215" s="117" t="n">
        <v>13</v>
      </c>
      <c r="E215" s="118" t="n">
        <v>24.8613</v>
      </c>
      <c r="F215" s="96" t="n">
        <v>323.1969</v>
      </c>
      <c r="G215" s="90">
        <f>INDEX(SETORES!$B:$B,MATCH(A215,SETORES!$A:$A,0))</f>
        <v/>
      </c>
      <c r="H215" s="90" t="inlineStr">
        <is>
          <t>Maio/2026</t>
        </is>
      </c>
    </row>
    <row r="216" ht="14.25" customHeight="1" s="75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t="14.25" customHeight="1" s="75">
      <c r="A217" s="90" t="inlineStr">
        <is>
          <t>Logística</t>
        </is>
      </c>
      <c r="B217" s="90" t="inlineStr">
        <is>
          <t>Custo Fixo</t>
        </is>
      </c>
      <c r="C217" s="90" t="inlineStr">
        <is>
          <t>Telefonia móvel corporativa</t>
        </is>
      </c>
      <c r="D217" s="117" t="n"/>
      <c r="E217" s="118" t="n"/>
      <c r="F217" s="96">
        <f>IFERROR(D217*E217,0)</f>
        <v/>
      </c>
      <c r="G217" s="90">
        <f>INDEX(SETORES!$B:$B,MATCH(A217,SETORES!$A:$A,0))</f>
        <v/>
      </c>
      <c r="H217" s="90" t="inlineStr">
        <is>
          <t>Maio/2026</t>
        </is>
      </c>
    </row>
    <row r="218" ht="14.25" customHeight="1" s="75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62336.25</v>
      </c>
      <c r="F218" s="116">
        <f>IFERROR(E218,0)</f>
        <v/>
      </c>
      <c r="G218" s="113">
        <f>INDEX(SETORES!$B:$B,MATCH(A218,SETORES!$A:$A,0))</f>
        <v/>
      </c>
      <c r="H218" s="113" t="inlineStr">
        <is>
          <t>Maio/2026</t>
        </is>
      </c>
    </row>
    <row r="219" ht="14.25" customHeight="1" s="75">
      <c r="A219" s="90" t="inlineStr">
        <is>
          <t>Logística</t>
        </is>
      </c>
      <c r="B219" s="90" t="inlineStr">
        <is>
          <t>Custo Variável</t>
        </is>
      </c>
      <c r="C219" s="90" t="inlineStr">
        <is>
          <t>Combustível de frota</t>
        </is>
      </c>
      <c r="D219" s="117" t="n">
        <v>1</v>
      </c>
      <c r="E219" s="118" t="n">
        <v>53498.33</v>
      </c>
      <c r="F219" s="96">
        <f>IFERROR(D219*E219,0)</f>
        <v/>
      </c>
      <c r="G219" s="90">
        <f>INDEX(SETORES!$B:$B,MATCH(A219,SETORES!$A:$A,0))</f>
        <v/>
      </c>
      <c r="H219" s="90" t="inlineStr">
        <is>
          <t>Maio/2026</t>
        </is>
      </c>
    </row>
    <row r="220" ht="14.25" customHeight="1" s="75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t="14.25" customHeight="1" s="75">
      <c r="A221" s="90" t="inlineStr">
        <is>
          <t>Logística</t>
        </is>
      </c>
      <c r="B221" s="90" t="inlineStr">
        <is>
          <t>Custo Variável</t>
        </is>
      </c>
      <c r="C221" s="90" t="inlineStr">
        <is>
          <t>Fardamento novo</t>
        </is>
      </c>
      <c r="D221" s="117" t="n">
        <v>1</v>
      </c>
      <c r="E221" s="118" t="n">
        <v>272</v>
      </c>
      <c r="F221" s="96">
        <f>IFERROR(D221*E221,0)</f>
        <v/>
      </c>
      <c r="G221" s="90">
        <f>INDEX(SETORES!$B:$B,MATCH(A221,SETORES!$A:$A,0))</f>
        <v/>
      </c>
      <c r="H221" s="90" t="inlineStr">
        <is>
          <t>Maio/2026</t>
        </is>
      </c>
    </row>
    <row r="222" ht="14.25" customHeight="1" s="75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t="14.25" customHeight="1" s="75">
      <c r="A223" s="90" t="inlineStr">
        <is>
          <t>Logística</t>
        </is>
      </c>
      <c r="B223" s="90" t="inlineStr">
        <is>
          <t>Custo Variável</t>
        </is>
      </c>
      <c r="C223" s="90" t="inlineStr">
        <is>
          <t>EPIs - Equipamento de Proteção Individual</t>
        </is>
      </c>
      <c r="D223" s="117" t="n">
        <v>1</v>
      </c>
      <c r="E223" s="118" t="n">
        <v>56</v>
      </c>
      <c r="F223" s="96">
        <f>IFERROR(D223*E223,0)</f>
        <v/>
      </c>
      <c r="G223" s="90">
        <f>INDEX(SETORES!$B:$B,MATCH(A223,SETORES!$A:$A,0))</f>
        <v/>
      </c>
      <c r="H223" s="90" t="inlineStr">
        <is>
          <t>Maio/2026</t>
        </is>
      </c>
    </row>
    <row r="224" ht="14.25" customHeight="1" s="75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13</v>
      </c>
      <c r="E224" s="115" t="n">
        <v>89.55</v>
      </c>
      <c r="F224" s="116">
        <f>IFERROR(D224*E224,0)</f>
        <v/>
      </c>
      <c r="G224" s="113">
        <f>INDEX(SETORES!$B:$B,MATCH(A224,SETORES!$A:$A,0))</f>
        <v/>
      </c>
      <c r="H224" s="113" t="inlineStr">
        <is>
          <t>Maio/2026</t>
        </is>
      </c>
    </row>
    <row r="225" ht="14.25" customHeight="1" s="75">
      <c r="A225" s="90" t="inlineStr">
        <is>
          <t>Logística</t>
        </is>
      </c>
      <c r="B225" s="90" t="inlineStr">
        <is>
          <t>Custo Fixo</t>
        </is>
      </c>
      <c r="C225" s="90" t="inlineStr">
        <is>
          <t>Licença de e-mail corporativo</t>
        </is>
      </c>
      <c r="D225" s="117" t="n">
        <v>17</v>
      </c>
      <c r="E225" s="118" t="n">
        <v>50</v>
      </c>
      <c r="F225" s="96">
        <f>IFERROR(D225*E225,0)</f>
        <v/>
      </c>
      <c r="G225" s="90">
        <f>INDEX(SETORES!$B:$B,MATCH(A225,SETORES!$A:$A,0))</f>
        <v/>
      </c>
      <c r="H225" s="90" t="inlineStr">
        <is>
          <t>Maio/2026</t>
        </is>
      </c>
    </row>
    <row r="226" ht="14.25" customHeight="1" s="75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13</v>
      </c>
      <c r="E226" s="115" t="n">
        <v>10.05</v>
      </c>
      <c r="F226" s="116">
        <f>IFERROR(D226*E226,0)</f>
        <v/>
      </c>
      <c r="G226" s="113">
        <f>INDEX(SETORES!$B:$B,MATCH(A226,SETORES!$A:$A,0))</f>
        <v/>
      </c>
      <c r="H226" s="113" t="inlineStr">
        <is>
          <t>Maio/2026</t>
        </is>
      </c>
    </row>
    <row r="227" ht="14.25" customHeight="1" s="75">
      <c r="A227" s="90" t="inlineStr">
        <is>
          <t>Logística</t>
        </is>
      </c>
      <c r="B227" s="90" t="inlineStr">
        <is>
          <t>Custo Fixo</t>
        </is>
      </c>
      <c r="C227" s="90" t="inlineStr">
        <is>
          <t>Stargrid</t>
        </is>
      </c>
      <c r="D227" s="117" t="n">
        <v>13</v>
      </c>
      <c r="E227" s="118" t="n">
        <v>2.07</v>
      </c>
      <c r="F227" s="96">
        <f>IFERROR(D227*E227,0)</f>
        <v/>
      </c>
      <c r="G227" s="90">
        <f>INDEX(SETORES!$B:$B,MATCH(A227,SETORES!$A:$A,0))</f>
        <v/>
      </c>
      <c r="H227" s="90" t="inlineStr">
        <is>
          <t>Maio/2026</t>
        </is>
      </c>
    </row>
    <row r="228" ht="14.25" customHeight="1" s="75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13</v>
      </c>
      <c r="E228" s="115" t="n">
        <v>64.56999999999999</v>
      </c>
      <c r="F228" s="116">
        <f>IFERROR(D228*E228,0)</f>
        <v/>
      </c>
      <c r="G228" s="113">
        <f>INDEX(SETORES!$B:$B,MATCH(A228,SETORES!$A:$A,0))</f>
        <v/>
      </c>
      <c r="H228" s="113" t="inlineStr">
        <is>
          <t>Maio/2026</t>
        </is>
      </c>
    </row>
    <row r="229" ht="14.25" customHeight="1" s="75">
      <c r="A229" s="90" t="inlineStr">
        <is>
          <t>Logística</t>
        </is>
      </c>
      <c r="B229" s="90" t="inlineStr">
        <is>
          <t>Custo Fixo</t>
        </is>
      </c>
      <c r="C229" s="90" t="inlineStr">
        <is>
          <t>Despesas com RH</t>
        </is>
      </c>
      <c r="D229" s="117" t="n">
        <v>13</v>
      </c>
      <c r="E229" s="118" t="n">
        <v>28.31</v>
      </c>
      <c r="F229" s="96">
        <f>IFERROR(D229*E229,0)</f>
        <v/>
      </c>
      <c r="G229" s="90">
        <f>INDEX(SETORES!$B:$B,MATCH(A229,SETORES!$A:$A,0))</f>
        <v/>
      </c>
      <c r="H229" s="90" t="inlineStr">
        <is>
          <t>Maio/2026</t>
        </is>
      </c>
    </row>
    <row r="230" ht="14.25" customHeight="1" s="75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13</v>
      </c>
      <c r="E230" s="115" t="n">
        <v>47.79</v>
      </c>
      <c r="F230" s="116">
        <f>IFERROR(D230*E230,0)</f>
        <v/>
      </c>
      <c r="G230" s="113">
        <f>INDEX(SETORES!$B:$B,MATCH(A230,SETORES!$A:$A,0))</f>
        <v/>
      </c>
      <c r="H230" s="113" t="inlineStr">
        <is>
          <t>Maio/2026</t>
        </is>
      </c>
    </row>
    <row r="231" ht="14.25" customHeight="1" s="75">
      <c r="A231" s="90" t="inlineStr">
        <is>
          <t>Manutenção Predial</t>
        </is>
      </c>
      <c r="B231" s="90" t="inlineStr">
        <is>
          <t>Custo Fixo</t>
        </is>
      </c>
      <c r="C231" s="90" t="inlineStr">
        <is>
          <t>Material de escritório (suprimentos de informática)</t>
        </is>
      </c>
      <c r="D231" s="117" t="n"/>
      <c r="E231" s="118" t="n"/>
      <c r="F231" s="96" t="n">
        <v>0</v>
      </c>
      <c r="G231" s="90">
        <f>INDEX(SETORES!$B:$B,MATCH(A231,SETORES!$A:$A,0))</f>
        <v/>
      </c>
      <c r="H231" s="90" t="inlineStr">
        <is>
          <t>Maio/2026</t>
        </is>
      </c>
    </row>
    <row r="232" ht="14.25" customHeight="1" s="75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t="14.25" customHeight="1" s="75">
      <c r="A233" s="90" t="inlineStr">
        <is>
          <t>Manutenção Predial</t>
        </is>
      </c>
      <c r="B233" s="90" t="inlineStr">
        <is>
          <t>Custo Fixo</t>
        </is>
      </c>
      <c r="C233" s="90" t="inlineStr">
        <is>
          <t>Água e esgoto (rateio)</t>
        </is>
      </c>
      <c r="D233" s="117" t="n"/>
      <c r="E233" s="118" t="n"/>
      <c r="F233" s="96">
        <f>IFERROR(D233*E233,0)</f>
        <v/>
      </c>
      <c r="G233" s="90">
        <f>INDEX(SETORES!$B:$B,MATCH(A233,SETORES!$A:$A,0))</f>
        <v/>
      </c>
      <c r="H233" s="90" t="inlineStr">
        <is>
          <t>Maio/2026</t>
        </is>
      </c>
    </row>
    <row r="234" ht="14.25" customHeight="1" s="75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t="14.25" customHeight="1" s="75">
      <c r="A235" s="90" t="inlineStr">
        <is>
          <t>Manutenção Predial</t>
        </is>
      </c>
      <c r="B235" s="90" t="inlineStr">
        <is>
          <t>Custo Fixo</t>
        </is>
      </c>
      <c r="C235" s="90" t="inlineStr">
        <is>
          <t>Folha de pagamento (salários)</t>
        </is>
      </c>
      <c r="D235" s="117" t="n">
        <v>1</v>
      </c>
      <c r="E235" s="118" t="n">
        <v>115351.05</v>
      </c>
      <c r="F235" s="96">
        <f>IFERROR(E235,0)</f>
        <v/>
      </c>
      <c r="G235" s="90">
        <f>INDEX(SETORES!$B:$B,MATCH(A235,SETORES!$A:$A,0))</f>
        <v/>
      </c>
      <c r="H235" s="90" t="inlineStr">
        <is>
          <t>Maio/2026</t>
        </is>
      </c>
    </row>
    <row r="236" ht="14.25" customHeight="1" s="75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t="14.25" customHeight="1" s="75">
      <c r="A237" s="90" t="inlineStr">
        <is>
          <t>Manutenção Predial</t>
        </is>
      </c>
      <c r="B237" s="90" t="inlineStr">
        <is>
          <t>Custo Variável</t>
        </is>
      </c>
      <c r="C237" s="90" t="inlineStr">
        <is>
          <t>EPIs - Equipamento de Proteção Individual</t>
        </is>
      </c>
      <c r="D237" s="117" t="n">
        <v>1</v>
      </c>
      <c r="E237" s="118" t="n">
        <v>1478.5</v>
      </c>
      <c r="F237" s="96">
        <f>IFERROR(D237*E237,0)</f>
        <v/>
      </c>
      <c r="G237" s="90">
        <f>INDEX(SETORES!$B:$B,MATCH(A237,SETORES!$A:$A,0))</f>
        <v/>
      </c>
      <c r="H237" s="90" t="inlineStr">
        <is>
          <t>Maio/2026</t>
        </is>
      </c>
    </row>
    <row r="238" ht="14.25" customHeight="1" s="75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t="14.25" customHeight="1" s="75">
      <c r="A239" s="90" t="inlineStr">
        <is>
          <t>Manutenção Predial</t>
        </is>
      </c>
      <c r="B239" s="90" t="inlineStr">
        <is>
          <t>Custo Fixo</t>
        </is>
      </c>
      <c r="C239" s="90" t="inlineStr">
        <is>
          <t>Licença de e-mail corporativo</t>
        </is>
      </c>
      <c r="D239" s="117" t="n">
        <v>1</v>
      </c>
      <c r="E239" s="118" t="n">
        <v>50</v>
      </c>
      <c r="F239" s="96">
        <f>IFERROR(D239*E239,0)</f>
        <v/>
      </c>
      <c r="G239" s="90">
        <f>INDEX(SETORES!$B:$B,MATCH(A239,SETORES!$A:$A,0))</f>
        <v/>
      </c>
      <c r="H239" s="90" t="inlineStr">
        <is>
          <t>Maio/2026</t>
        </is>
      </c>
    </row>
    <row r="240" ht="14.25" customHeight="1" s="75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t="14.25" customHeight="1" s="75">
      <c r="A241" s="90" t="inlineStr">
        <is>
          <t>Manutenção Predial</t>
        </is>
      </c>
      <c r="B241" s="90" t="inlineStr">
        <is>
          <t>Custo Fixo</t>
        </is>
      </c>
      <c r="C241" s="90" t="inlineStr">
        <is>
          <t>Gympass</t>
        </is>
      </c>
      <c r="D241" s="117" t="n">
        <v>12</v>
      </c>
      <c r="E241" s="118" t="n">
        <v>10.05</v>
      </c>
      <c r="F241" s="96">
        <f>IFERROR(D241*E241,0)</f>
        <v/>
      </c>
      <c r="G241" s="90">
        <f>INDEX(SETORES!$B:$B,MATCH(A241,SETORES!$A:$A,0))</f>
        <v/>
      </c>
      <c r="H241" s="90" t="inlineStr">
        <is>
          <t>Maio/2026</t>
        </is>
      </c>
    </row>
    <row r="242" ht="14.25" customHeight="1" s="75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t="14.25" customHeight="1" s="75">
      <c r="A243" s="90" t="inlineStr">
        <is>
          <t>Manutenção Predial</t>
        </is>
      </c>
      <c r="B243" s="90" t="inlineStr">
        <is>
          <t>Custo Fixo</t>
        </is>
      </c>
      <c r="C243" s="90" t="inlineStr">
        <is>
          <t>Despesas com SST</t>
        </is>
      </c>
      <c r="D243" s="117" t="n">
        <v>12</v>
      </c>
      <c r="E243" s="118" t="n">
        <v>64.56999999999999</v>
      </c>
      <c r="F243" s="96">
        <f>IFERROR(D243*E243,0)</f>
        <v/>
      </c>
      <c r="G243" s="90">
        <f>INDEX(SETORES!$B:$B,MATCH(A243,SETORES!$A:$A,0))</f>
        <v/>
      </c>
      <c r="H243" s="90" t="inlineStr">
        <is>
          <t>Maio/2026</t>
        </is>
      </c>
    </row>
    <row r="244" ht="14.25" customHeight="1" s="75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t="14.25" customHeight="1" s="75">
      <c r="A245" s="90" t="inlineStr">
        <is>
          <t>Manutenção Predial</t>
        </is>
      </c>
      <c r="B245" s="90" t="inlineStr">
        <is>
          <t>Custo Fixo</t>
        </is>
      </c>
      <c r="C245" s="90" t="inlineStr">
        <is>
          <t>Despesas com DP</t>
        </is>
      </c>
      <c r="D245" s="117" t="n">
        <v>12</v>
      </c>
      <c r="E245" s="118" t="n">
        <v>47.79</v>
      </c>
      <c r="F245" s="96">
        <f>IFERROR(D245*E245,0)</f>
        <v/>
      </c>
      <c r="G245" s="90">
        <f>INDEX(SETORES!$B:$B,MATCH(A245,SETORES!$A:$A,0))</f>
        <v/>
      </c>
      <c r="H245" s="90" t="inlineStr">
        <is>
          <t>Maio/2026</t>
        </is>
      </c>
    </row>
    <row r="246" ht="14.25" customHeight="1" s="75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t="14.25" customHeight="1" s="75">
      <c r="A247" s="90" t="inlineStr">
        <is>
          <t>NOC</t>
        </is>
      </c>
      <c r="B247" s="90" t="inlineStr">
        <is>
          <t>Custo Fixo</t>
        </is>
      </c>
      <c r="C247" s="90" t="inlineStr">
        <is>
          <t>Material de uso coletivo (copa/limpeza)</t>
        </is>
      </c>
      <c r="D247" s="117" t="n"/>
      <c r="E247" s="118" t="n"/>
      <c r="F247" s="96" t="n">
        <v>0</v>
      </c>
      <c r="G247" s="90">
        <f>INDEX(SETORES!$B:$B,MATCH(A247,SETORES!$A:$A,0))</f>
        <v/>
      </c>
      <c r="H247" s="90" t="inlineStr">
        <is>
          <t>Maio/2026</t>
        </is>
      </c>
    </row>
    <row r="248" ht="14.25" customHeight="1" s="75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t="14.25" customHeight="1" s="75">
      <c r="A249" s="90" t="inlineStr">
        <is>
          <t>NOC</t>
        </is>
      </c>
      <c r="B249" s="90" t="inlineStr">
        <is>
          <t>Custo Fixo</t>
        </is>
      </c>
      <c r="C249" s="90" t="inlineStr">
        <is>
          <t>Água e esgoto (rateio)</t>
        </is>
      </c>
      <c r="D249" s="117" t="n">
        <v>1</v>
      </c>
      <c r="E249" s="118" t="n">
        <v>0</v>
      </c>
      <c r="F249" s="96" t="n">
        <v>0</v>
      </c>
      <c r="G249" s="90">
        <f>INDEX(SETORES!$B:$B,MATCH(A249,SETORES!$A:$A,0))</f>
        <v/>
      </c>
      <c r="H249" s="90" t="inlineStr">
        <is>
          <t>Maio/2026</t>
        </is>
      </c>
    </row>
    <row r="250" ht="14.25" customHeight="1" s="75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t="14.25" customHeight="1" s="75">
      <c r="A251" s="90" t="inlineStr">
        <is>
          <t>NOC</t>
        </is>
      </c>
      <c r="B251" s="90" t="inlineStr">
        <is>
          <t>Custo Fixo</t>
        </is>
      </c>
      <c r="C251" s="90" t="inlineStr">
        <is>
          <t>Folha de pagamento (salários)</t>
        </is>
      </c>
      <c r="D251" s="117" t="n">
        <v>1</v>
      </c>
      <c r="E251" s="118" t="n">
        <v>44988.49</v>
      </c>
      <c r="F251" s="96">
        <f>IFERROR(E251,0)</f>
        <v/>
      </c>
      <c r="G251" s="90">
        <f>INDEX(SETORES!$B:$B,MATCH(A251,SETORES!$A:$A,0))</f>
        <v/>
      </c>
      <c r="H251" s="90" t="inlineStr">
        <is>
          <t>Maio/2026</t>
        </is>
      </c>
    </row>
    <row r="252" ht="14.25" customHeight="1" s="75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t="14.25" customHeight="1" s="75">
      <c r="A253" s="90" t="inlineStr">
        <is>
          <t>NOC</t>
        </is>
      </c>
      <c r="B253" s="90" t="inlineStr">
        <is>
          <t>Custo Variável</t>
        </is>
      </c>
      <c r="C253" s="90" t="inlineStr">
        <is>
          <t>Combustível de frota</t>
        </is>
      </c>
      <c r="D253" s="117" t="n">
        <v>1</v>
      </c>
      <c r="E253" s="118" t="n">
        <v>2859.16</v>
      </c>
      <c r="F253" s="96">
        <f>IFERROR(D253*E253,0)</f>
        <v/>
      </c>
      <c r="G253" s="90">
        <f>INDEX(SETORES!$B:$B,MATCH(A253,SETORES!$A:$A,0))</f>
        <v/>
      </c>
      <c r="H253" s="90" t="inlineStr">
        <is>
          <t>Maio/2026</t>
        </is>
      </c>
    </row>
    <row r="254" ht="14.25" customHeight="1" s="75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t="14.25" customHeight="1" s="75">
      <c r="A255" s="90" t="inlineStr">
        <is>
          <t>NOC</t>
        </is>
      </c>
      <c r="B255" s="90" t="inlineStr">
        <is>
          <t>Custo Fixo</t>
        </is>
      </c>
      <c r="C255" s="90" t="inlineStr">
        <is>
          <t>Stargrid</t>
        </is>
      </c>
      <c r="D255" s="117" t="n">
        <v>4</v>
      </c>
      <c r="E255" s="118" t="n">
        <v>2.07</v>
      </c>
      <c r="F255" s="96">
        <f>IFERROR(D255*E255,0)</f>
        <v/>
      </c>
      <c r="G255" s="90">
        <f>INDEX(SETORES!$B:$B,MATCH(A255,SETORES!$A:$A,0))</f>
        <v/>
      </c>
      <c r="H255" s="90" t="inlineStr">
        <is>
          <t>Maio/2026</t>
        </is>
      </c>
    </row>
    <row r="256" ht="14.25" customHeight="1" s="75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t="14.25" customHeight="1" s="75">
      <c r="A257" s="90" t="inlineStr">
        <is>
          <t>NOC</t>
        </is>
      </c>
      <c r="B257" s="90" t="inlineStr">
        <is>
          <t>Custo Fixo</t>
        </is>
      </c>
      <c r="C257" s="90" t="inlineStr">
        <is>
          <t>Despesas com RH</t>
        </is>
      </c>
      <c r="D257" s="117" t="n">
        <v>4</v>
      </c>
      <c r="E257" s="118" t="n">
        <v>28.31</v>
      </c>
      <c r="F257" s="96">
        <f>IFERROR(D257*E257,0)</f>
        <v/>
      </c>
      <c r="G257" s="90">
        <f>INDEX(SETORES!$B:$B,MATCH(A257,SETORES!$A:$A,0))</f>
        <v/>
      </c>
      <c r="H257" s="90" t="inlineStr">
        <is>
          <t>Maio/2026</t>
        </is>
      </c>
    </row>
    <row r="258" ht="14.25" customHeight="1" s="75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t="14.25" customHeight="1" s="75">
      <c r="A259" s="90" t="inlineStr">
        <is>
          <t>NRC</t>
        </is>
      </c>
      <c r="B259" s="90" t="inlineStr">
        <is>
          <t>Custo Fixo</t>
        </is>
      </c>
      <c r="C259" s="90" t="inlineStr">
        <is>
          <t>Material de escritório (suprimentos de informática)</t>
        </is>
      </c>
      <c r="D259" s="117" t="n">
        <v>41</v>
      </c>
      <c r="E259" s="118" t="n">
        <v>0.3648</v>
      </c>
      <c r="F259" s="96" t="n">
        <v>14.9568</v>
      </c>
      <c r="G259" s="90">
        <f>INDEX(SETORES!$B:$B,MATCH(A259,SETORES!$A:$A,0))</f>
        <v/>
      </c>
      <c r="H259" s="90" t="inlineStr">
        <is>
          <t>Maio/2026</t>
        </is>
      </c>
    </row>
    <row r="260" ht="14.25" customHeight="1" s="75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t="14.25" customHeight="1" s="75">
      <c r="A261" s="90" t="inlineStr">
        <is>
          <t>NRC</t>
        </is>
      </c>
      <c r="B261" s="90" t="inlineStr">
        <is>
          <t>Custo Fixo</t>
        </is>
      </c>
      <c r="C261" s="90" t="inlineStr">
        <is>
          <t>Energia elétrica (rateio)</t>
        </is>
      </c>
      <c r="D261" s="117" t="n">
        <v>1</v>
      </c>
      <c r="E261" s="118" t="n">
        <v>348.9425</v>
      </c>
      <c r="F261" s="96" t="n">
        <v>348.9425</v>
      </c>
      <c r="G261" s="90">
        <f>INDEX(SETORES!$B:$B,MATCH(A261,SETORES!$A:$A,0))</f>
        <v/>
      </c>
      <c r="H261" s="90" t="inlineStr">
        <is>
          <t>Maio/2026</t>
        </is>
      </c>
    </row>
    <row r="262" ht="14.25" customHeight="1" s="75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t="14.25" customHeight="1" s="75">
      <c r="A263" s="90" t="inlineStr">
        <is>
          <t>NRC</t>
        </is>
      </c>
      <c r="B263" s="90" t="inlineStr">
        <is>
          <t>Custo Fixo</t>
        </is>
      </c>
      <c r="C263" s="90" t="inlineStr">
        <is>
          <t>Telefonia móvel corporativa</t>
        </is>
      </c>
      <c r="D263" s="117" t="n"/>
      <c r="E263" s="118" t="n"/>
      <c r="F263" s="96">
        <f>IFERROR(D263*E263,0)</f>
        <v/>
      </c>
      <c r="G263" s="90">
        <f>INDEX(SETORES!$B:$B,MATCH(A263,SETORES!$A:$A,0))</f>
        <v/>
      </c>
      <c r="H263" s="90" t="inlineStr">
        <is>
          <t>Maio/2026</t>
        </is>
      </c>
    </row>
    <row r="264" ht="14.25" customHeight="1" s="75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t="14.25" customHeight="1" s="75">
      <c r="A265" s="90" t="inlineStr">
        <is>
          <t>NRC</t>
        </is>
      </c>
      <c r="B265" s="90" t="inlineStr">
        <is>
          <t>Custo Fixo</t>
        </is>
      </c>
      <c r="C265" s="90" t="inlineStr">
        <is>
          <t>Licenças de software/sistemas corporativos</t>
        </is>
      </c>
      <c r="D265" s="117" t="n"/>
      <c r="E265" s="118" t="n"/>
      <c r="F265" s="96">
        <f>IFERROR(D265*E265,0)</f>
        <v/>
      </c>
      <c r="G265" s="90">
        <f>INDEX(SETORES!$B:$B,MATCH(A265,SETORES!$A:$A,0))</f>
        <v/>
      </c>
      <c r="H265" s="90" t="inlineStr">
        <is>
          <t>Maio/2026</t>
        </is>
      </c>
    </row>
    <row r="266" ht="14.25" customHeight="1" s="75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t="14.25" customHeight="1" s="75">
      <c r="A267" s="90" t="inlineStr">
        <is>
          <t>NRC</t>
        </is>
      </c>
      <c r="B267" s="90" t="inlineStr">
        <is>
          <t>Custo Variável</t>
        </is>
      </c>
      <c r="C267" s="90" t="inlineStr">
        <is>
          <t>Fardamento substituição</t>
        </is>
      </c>
      <c r="D267" s="117" t="n">
        <v>1</v>
      </c>
      <c r="E267" s="118" t="n">
        <v>181.33</v>
      </c>
      <c r="F267" s="96">
        <f>IFERROR(D267*E267,0)</f>
        <v/>
      </c>
      <c r="G267" s="90">
        <f>INDEX(SETORES!$B:$B,MATCH(A267,SETORES!$A:$A,0))</f>
        <v/>
      </c>
      <c r="H267" s="90" t="inlineStr">
        <is>
          <t>Maio/2026</t>
        </is>
      </c>
    </row>
    <row r="268" ht="14.25" customHeight="1" s="75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t="14.25" customHeight="1" s="75">
      <c r="A269" s="90" t="inlineStr">
        <is>
          <t>NRC</t>
        </is>
      </c>
      <c r="B269" s="90" t="inlineStr">
        <is>
          <t>Custo Fixo</t>
        </is>
      </c>
      <c r="C269" s="90" t="inlineStr">
        <is>
          <t>Licença de e-mail corporativo</t>
        </is>
      </c>
      <c r="D269" s="117" t="n">
        <v>43</v>
      </c>
      <c r="E269" s="118" t="n">
        <v>50</v>
      </c>
      <c r="F269" s="96">
        <f>IFERROR(D269*E269,0)</f>
        <v/>
      </c>
      <c r="G269" s="90">
        <f>INDEX(SETORES!$B:$B,MATCH(A269,SETORES!$A:$A,0))</f>
        <v/>
      </c>
      <c r="H269" s="90" t="inlineStr">
        <is>
          <t>Maio/2026</t>
        </is>
      </c>
    </row>
    <row r="270" ht="14.25" customHeight="1" s="75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t="14.25" customHeight="1" s="75">
      <c r="A271" s="90" t="inlineStr">
        <is>
          <t>NRC</t>
        </is>
      </c>
      <c r="B271" s="90" t="inlineStr">
        <is>
          <t>Custo Fixo</t>
        </is>
      </c>
      <c r="C271" s="90" t="inlineStr">
        <is>
          <t>Telefonia de entrada Algar</t>
        </is>
      </c>
      <c r="D271" s="117" t="n">
        <v>1</v>
      </c>
      <c r="E271" s="118" t="n">
        <v>1641.88</v>
      </c>
      <c r="F271" s="96">
        <f>IFERROR(D271*E271,0)</f>
        <v/>
      </c>
      <c r="G271" s="90">
        <f>INDEX(SETORES!$B:$B,MATCH(A271,SETORES!$A:$A,0))</f>
        <v/>
      </c>
      <c r="H271" s="90" t="inlineStr">
        <is>
          <t>Maio/2026</t>
        </is>
      </c>
    </row>
    <row r="272" ht="14.25" customHeight="1" s="75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t="14.25" customHeight="1" s="75">
      <c r="A273" s="90" t="inlineStr">
        <is>
          <t>NRC</t>
        </is>
      </c>
      <c r="B273" s="90" t="inlineStr">
        <is>
          <t>Custo Fixo</t>
        </is>
      </c>
      <c r="C273" s="90" t="inlineStr">
        <is>
          <t>Software Google brasil (trafego pago)</t>
        </is>
      </c>
      <c r="D273" s="117" t="n">
        <v>1</v>
      </c>
      <c r="E273" s="118" t="n">
        <v>117.814894</v>
      </c>
      <c r="F273" s="96">
        <f>IFERROR(D273*E273,0)</f>
        <v/>
      </c>
      <c r="G273" s="90">
        <f>INDEX(SETORES!$B:$B,MATCH(A273,SETORES!$A:$A,0))</f>
        <v/>
      </c>
      <c r="H273" s="90" t="inlineStr">
        <is>
          <t>Maio/2026</t>
        </is>
      </c>
    </row>
    <row r="274" ht="14.25" customHeight="1" s="75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t="14.25" customHeight="1" s="75">
      <c r="A275" s="90" t="inlineStr">
        <is>
          <t>NRC</t>
        </is>
      </c>
      <c r="B275" s="90" t="inlineStr">
        <is>
          <t>Custo Variável</t>
        </is>
      </c>
      <c r="C275" s="90" t="inlineStr">
        <is>
          <t>Disparos feito pela meta</t>
        </is>
      </c>
      <c r="D275" s="117" t="n">
        <v>1</v>
      </c>
      <c r="E275" s="118" t="n">
        <v>242.73</v>
      </c>
      <c r="F275" s="96">
        <f>IFERROR(D275*E275,0)</f>
        <v/>
      </c>
      <c r="G275" s="90">
        <f>INDEX(SETORES!$B:$B,MATCH(A275,SETORES!$A:$A,0))</f>
        <v/>
      </c>
      <c r="H275" s="90" t="inlineStr">
        <is>
          <t>Maio/2026</t>
        </is>
      </c>
    </row>
    <row r="276" ht="14.25" customHeight="1" s="75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t="14.25" customHeight="1" s="75">
      <c r="A277" s="90" t="inlineStr">
        <is>
          <t>NRC</t>
        </is>
      </c>
      <c r="B277" s="90" t="inlineStr">
        <is>
          <t>Custo Variável</t>
        </is>
      </c>
      <c r="C277" s="90" t="inlineStr">
        <is>
          <t>Endomarketing</t>
        </is>
      </c>
      <c r="D277" s="117" t="n">
        <v>1</v>
      </c>
      <c r="E277" s="118" t="n">
        <v>23.5</v>
      </c>
      <c r="F277" s="96">
        <f>IFERROR(D277*E277,0)</f>
        <v/>
      </c>
      <c r="G277" s="90">
        <f>INDEX(SETORES!$B:$B,MATCH(A277,SETORES!$A:$A,0))</f>
        <v/>
      </c>
      <c r="H277" s="90" t="inlineStr">
        <is>
          <t>Maio/2026</t>
        </is>
      </c>
    </row>
    <row r="278" ht="14.25" customHeight="1" s="75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t="14.25" customHeight="1" s="75">
      <c r="A279" s="90" t="inlineStr">
        <is>
          <t>NRC</t>
        </is>
      </c>
      <c r="B279" s="90" t="inlineStr">
        <is>
          <t>Custo Fixo</t>
        </is>
      </c>
      <c r="C279" s="90" t="inlineStr">
        <is>
          <t>Stargrid</t>
        </is>
      </c>
      <c r="D279" s="117" t="n">
        <v>41</v>
      </c>
      <c r="E279" s="118" t="n">
        <v>2.07</v>
      </c>
      <c r="F279" s="96">
        <f>IFERROR(D279*E279,0)</f>
        <v/>
      </c>
      <c r="G279" s="90">
        <f>INDEX(SETORES!$B:$B,MATCH(A279,SETORES!$A:$A,0))</f>
        <v/>
      </c>
      <c r="H279" s="90" t="inlineStr">
        <is>
          <t>Maio/2026</t>
        </is>
      </c>
    </row>
    <row r="280" ht="14.25" customHeight="1" s="75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t="14.25" customHeight="1" s="75">
      <c r="A281" s="90" t="inlineStr">
        <is>
          <t>NRC</t>
        </is>
      </c>
      <c r="B281" s="90" t="inlineStr">
        <is>
          <t>Custo Fixo</t>
        </is>
      </c>
      <c r="C281" s="90" t="inlineStr">
        <is>
          <t>Despesas com RH</t>
        </is>
      </c>
      <c r="D281" s="117" t="n">
        <v>41</v>
      </c>
      <c r="E281" s="118" t="n">
        <v>28.31</v>
      </c>
      <c r="F281" s="96">
        <f>IFERROR(D281*E281,0)</f>
        <v/>
      </c>
      <c r="G281" s="90">
        <f>INDEX(SETORES!$B:$B,MATCH(A281,SETORES!$A:$A,0))</f>
        <v/>
      </c>
      <c r="H281" s="90" t="inlineStr">
        <is>
          <t>Maio/2026</t>
        </is>
      </c>
    </row>
    <row r="282" ht="14.25" customHeight="1" s="75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t="14.25" customHeight="1" s="75">
      <c r="A283" s="90" t="inlineStr">
        <is>
          <t>Obras</t>
        </is>
      </c>
      <c r="B283" s="90" t="inlineStr">
        <is>
          <t>Custo Fixo</t>
        </is>
      </c>
      <c r="C283" s="90" t="inlineStr">
        <is>
          <t>Material de escritório (suprimentos de informática)</t>
        </is>
      </c>
      <c r="D283" s="117" t="n"/>
      <c r="E283" s="118" t="n"/>
      <c r="F283" s="96" t="n">
        <v>0</v>
      </c>
      <c r="G283" s="90">
        <f>INDEX(SETORES!$B:$B,MATCH(A283,SETORES!$A:$A,0))</f>
        <v/>
      </c>
      <c r="H283" s="90" t="inlineStr">
        <is>
          <t>Maio/2026</t>
        </is>
      </c>
    </row>
    <row r="284" ht="14.25" customHeight="1" s="75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t="14.25" customHeight="1" s="75">
      <c r="A285" s="90" t="inlineStr">
        <is>
          <t>Obras</t>
        </is>
      </c>
      <c r="B285" s="90" t="inlineStr">
        <is>
          <t>Custo Fixo</t>
        </is>
      </c>
      <c r="C285" s="90" t="inlineStr">
        <is>
          <t>Água e esgoto (rateio)</t>
        </is>
      </c>
      <c r="D285" s="117" t="n"/>
      <c r="E285" s="118" t="n"/>
      <c r="F285" s="96">
        <f>IFERROR(D285*E285,0)</f>
        <v/>
      </c>
      <c r="G285" s="90">
        <f>INDEX(SETORES!$B:$B,MATCH(A285,SETORES!$A:$A,0))</f>
        <v/>
      </c>
      <c r="H285" s="90" t="inlineStr">
        <is>
          <t>Maio/2026</t>
        </is>
      </c>
    </row>
    <row r="286" ht="14.25" customHeight="1" s="75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t="14.25" customHeight="1" s="75">
      <c r="A287" s="90" t="inlineStr">
        <is>
          <t>Obras</t>
        </is>
      </c>
      <c r="B287" s="90" t="inlineStr">
        <is>
          <t>Custo Fixo</t>
        </is>
      </c>
      <c r="C287" s="90" t="inlineStr">
        <is>
          <t>Folha de pagamento (salários)</t>
        </is>
      </c>
      <c r="D287" s="117" t="n">
        <v>1</v>
      </c>
      <c r="E287" s="118" t="n">
        <v>158228.71</v>
      </c>
      <c r="F287" s="96">
        <f>IFERROR(E287,0)</f>
        <v/>
      </c>
      <c r="G287" s="90">
        <f>INDEX(SETORES!$B:$B,MATCH(A287,SETORES!$A:$A,0))</f>
        <v/>
      </c>
      <c r="H287" s="90" t="inlineStr">
        <is>
          <t>Maio/2026</t>
        </is>
      </c>
    </row>
    <row r="288" ht="14.25" customHeight="1" s="75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t="14.25" customHeight="1" s="75">
      <c r="A289" s="90" t="inlineStr">
        <is>
          <t>Obras</t>
        </is>
      </c>
      <c r="B289" s="90" t="inlineStr">
        <is>
          <t>Custo Variável</t>
        </is>
      </c>
      <c r="C289" s="90" t="inlineStr">
        <is>
          <t>EPIs - Equipamento de Proteção Individual</t>
        </is>
      </c>
      <c r="D289" s="117" t="n">
        <v>1</v>
      </c>
      <c r="E289" s="118" t="n">
        <v>4422.39</v>
      </c>
      <c r="F289" s="96">
        <f>IFERROR(D289*E289,0)</f>
        <v/>
      </c>
      <c r="G289" s="90">
        <f>INDEX(SETORES!$B:$B,MATCH(A289,SETORES!$A:$A,0))</f>
        <v/>
      </c>
      <c r="H289" s="90" t="inlineStr">
        <is>
          <t>Maio/2026</t>
        </is>
      </c>
    </row>
    <row r="290" ht="14.25" customHeight="1" s="75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t="14.25" customHeight="1" s="75">
      <c r="A291" s="90" t="inlineStr">
        <is>
          <t>Obras</t>
        </is>
      </c>
      <c r="B291" s="90" t="inlineStr">
        <is>
          <t>Custo Variável</t>
        </is>
      </c>
      <c r="C291" s="90" t="inlineStr">
        <is>
          <t>Combustível de frota</t>
        </is>
      </c>
      <c r="D291" s="117" t="n">
        <v>1</v>
      </c>
      <c r="E291" s="118" t="n">
        <v>14279.2</v>
      </c>
      <c r="F291" s="96">
        <f>IFERROR(D291*E291,0)</f>
        <v/>
      </c>
      <c r="G291" s="90">
        <f>INDEX(SETORES!$B:$B,MATCH(A291,SETORES!$A:$A,0))</f>
        <v/>
      </c>
      <c r="H291" s="90" t="inlineStr">
        <is>
          <t>Maio/2026</t>
        </is>
      </c>
    </row>
    <row r="292" ht="14.25" customHeight="1" s="75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t="14.25" customHeight="1" s="75">
      <c r="A293" s="90" t="inlineStr">
        <is>
          <t>Obras</t>
        </is>
      </c>
      <c r="B293" s="90" t="inlineStr">
        <is>
          <t>Custo Fixo</t>
        </is>
      </c>
      <c r="C293" s="90" t="inlineStr">
        <is>
          <t>Stargrid</t>
        </is>
      </c>
      <c r="D293" s="117" t="n">
        <v>23</v>
      </c>
      <c r="E293" s="118" t="n">
        <v>2.07</v>
      </c>
      <c r="F293" s="96">
        <f>IFERROR(D293*E293,0)</f>
        <v/>
      </c>
      <c r="G293" s="90">
        <f>INDEX(SETORES!$B:$B,MATCH(A293,SETORES!$A:$A,0))</f>
        <v/>
      </c>
      <c r="H293" s="90" t="inlineStr">
        <is>
          <t>Maio/2026</t>
        </is>
      </c>
    </row>
    <row r="294" ht="14.25" customHeight="1" s="75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t="14.25" customHeight="1" s="75">
      <c r="A295" s="90" t="inlineStr">
        <is>
          <t>Obras</t>
        </is>
      </c>
      <c r="B295" s="90" t="inlineStr">
        <is>
          <t>Custo Fixo</t>
        </is>
      </c>
      <c r="C295" s="90" t="inlineStr">
        <is>
          <t>Despesas com RH</t>
        </is>
      </c>
      <c r="D295" s="117" t="n">
        <v>23</v>
      </c>
      <c r="E295" s="118" t="n">
        <v>28.31</v>
      </c>
      <c r="F295" s="96">
        <f>IFERROR(D295*E295,0)</f>
        <v/>
      </c>
      <c r="G295" s="90">
        <f>INDEX(SETORES!$B:$B,MATCH(A295,SETORES!$A:$A,0))</f>
        <v/>
      </c>
      <c r="H295" s="90" t="inlineStr">
        <is>
          <t>Maio/2026</t>
        </is>
      </c>
    </row>
    <row r="296" ht="14.25" customHeight="1" s="75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t="14.25" customHeight="1" s="75">
      <c r="A297" s="90" t="inlineStr">
        <is>
          <t>Estoque</t>
        </is>
      </c>
      <c r="B297" s="90" t="inlineStr">
        <is>
          <t>Custo Fixo</t>
        </is>
      </c>
      <c r="C297" s="90" t="inlineStr">
        <is>
          <t>Água e esgoto (rateio)</t>
        </is>
      </c>
      <c r="D297" s="117" t="n">
        <v>12</v>
      </c>
      <c r="E297" s="118" t="n">
        <v>0.6343</v>
      </c>
      <c r="F297" s="96" t="n">
        <v>7.6116</v>
      </c>
      <c r="G297" s="90">
        <f>INDEX(SETORES!$B:$B,MATCH(A297,SETORES!$A:$A,0))</f>
        <v/>
      </c>
      <c r="H297" s="90" t="inlineStr">
        <is>
          <t>Maio/2026</t>
        </is>
      </c>
    </row>
    <row r="298" ht="14.25" customHeight="1" s="75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t="14.25" customHeight="1" s="75">
      <c r="A299" s="90" t="inlineStr">
        <is>
          <t>Oficina</t>
        </is>
      </c>
      <c r="B299" s="90" t="inlineStr">
        <is>
          <t>Custo Fixo</t>
        </is>
      </c>
      <c r="C299" s="90" t="inlineStr">
        <is>
          <t>Material de uso coletivo (copa/limpeza)</t>
        </is>
      </c>
      <c r="D299" s="117" t="n"/>
      <c r="E299" s="118" t="n"/>
      <c r="F299" s="96" t="n">
        <v>0</v>
      </c>
      <c r="G299" s="90">
        <f>INDEX(SETORES!$B:$B,MATCH(A299,SETORES!$A:$A,0))</f>
        <v/>
      </c>
      <c r="H299" s="90" t="inlineStr">
        <is>
          <t>Maio/2026</t>
        </is>
      </c>
    </row>
    <row r="300" ht="14.25" customHeight="1" s="75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t="14.25" customHeight="1" s="75">
      <c r="A301" s="90" t="inlineStr">
        <is>
          <t>Logística</t>
        </is>
      </c>
      <c r="B301" s="90" t="inlineStr">
        <is>
          <t>Custo Fixo</t>
        </is>
      </c>
      <c r="C301" s="90" t="inlineStr">
        <is>
          <t>Água e esgoto (rateio)</t>
        </is>
      </c>
      <c r="D301" s="117" t="n">
        <v>13</v>
      </c>
      <c r="E301" s="118" t="n">
        <v>0.6343</v>
      </c>
      <c r="F301" s="96" t="n">
        <v>8.245900000000001</v>
      </c>
      <c r="G301" s="90">
        <f>INDEX(SETORES!$B:$B,MATCH(A301,SETORES!$A:$A,0))</f>
        <v/>
      </c>
      <c r="H301" s="90" t="inlineStr">
        <is>
          <t>Maio/2026</t>
        </is>
      </c>
    </row>
    <row r="302" ht="14.25" customHeight="1" s="75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t="14.25" customHeight="1" s="75">
      <c r="A303" s="90" t="inlineStr">
        <is>
          <t>Oficina</t>
        </is>
      </c>
      <c r="B303" s="90" t="inlineStr">
        <is>
          <t>Custo Fixo</t>
        </is>
      </c>
      <c r="C303" s="90" t="inlineStr">
        <is>
          <t>Folha de pagamento (salários)</t>
        </is>
      </c>
      <c r="D303" s="117" t="n">
        <v>1</v>
      </c>
      <c r="E303" s="118" t="n">
        <v>23497.04</v>
      </c>
      <c r="F303" s="96">
        <f>IFERROR(E303,0)</f>
        <v/>
      </c>
      <c r="G303" s="90">
        <f>INDEX(SETORES!$B:$B,MATCH(A303,SETORES!$A:$A,0))</f>
        <v/>
      </c>
      <c r="H303" s="90" t="inlineStr">
        <is>
          <t>Maio/2026</t>
        </is>
      </c>
    </row>
    <row r="304" ht="14.25" customHeight="1" s="75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t="14.25" customHeight="1" s="75">
      <c r="A305" s="90" t="inlineStr">
        <is>
          <t>Oficina</t>
        </is>
      </c>
      <c r="B305" s="90" t="inlineStr">
        <is>
          <t>Custo Variável</t>
        </is>
      </c>
      <c r="C305" s="90" t="inlineStr">
        <is>
          <t>Combustível de frota</t>
        </is>
      </c>
      <c r="D305" s="117" t="n"/>
      <c r="E305" s="118" t="n"/>
      <c r="F305" s="96">
        <f>IFERROR(D305*E305,0)</f>
        <v/>
      </c>
      <c r="G305" s="90">
        <f>INDEX(SETORES!$B:$B,MATCH(A305,SETORES!$A:$A,0))</f>
        <v/>
      </c>
      <c r="H305" s="90" t="inlineStr">
        <is>
          <t>Maio/2026</t>
        </is>
      </c>
    </row>
    <row r="306" ht="14.25" customHeight="1" s="75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t="14.25" customHeight="1" s="75">
      <c r="A307" s="90" t="inlineStr">
        <is>
          <t>Oficina</t>
        </is>
      </c>
      <c r="B307" s="90" t="inlineStr">
        <is>
          <t>Custo Variável</t>
        </is>
      </c>
      <c r="C307" s="90" t="inlineStr">
        <is>
          <t>Rateio de transporte coletivo</t>
        </is>
      </c>
      <c r="D307" s="117" t="n">
        <v>4</v>
      </c>
      <c r="E307" s="118" t="n">
        <v>89.55</v>
      </c>
      <c r="F307" s="96">
        <f>IFERROR(D307*E307,0)</f>
        <v/>
      </c>
      <c r="G307" s="90">
        <f>INDEX(SETORES!$B:$B,MATCH(A307,SETORES!$A:$A,0))</f>
        <v/>
      </c>
      <c r="H307" s="90" t="inlineStr">
        <is>
          <t>Maio/2026</t>
        </is>
      </c>
    </row>
    <row r="308" ht="14.25" customHeight="1" s="75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t="14.25" customHeight="1" s="75">
      <c r="A309" s="90" t="inlineStr">
        <is>
          <t>Oficina</t>
        </is>
      </c>
      <c r="B309" s="90" t="inlineStr">
        <is>
          <t>Custo Fixo</t>
        </is>
      </c>
      <c r="C309" s="90" t="inlineStr">
        <is>
          <t>Gympass</t>
        </is>
      </c>
      <c r="D309" s="117" t="n">
        <v>4</v>
      </c>
      <c r="E309" s="118" t="n">
        <v>10.05</v>
      </c>
      <c r="F309" s="96">
        <f>IFERROR(D309*E309,0)</f>
        <v/>
      </c>
      <c r="G309" s="90">
        <f>INDEX(SETORES!$B:$B,MATCH(A309,SETORES!$A:$A,0))</f>
        <v/>
      </c>
      <c r="H309" s="90" t="inlineStr">
        <is>
          <t>Maio/2026</t>
        </is>
      </c>
    </row>
    <row r="310" ht="14.25" customHeight="1" s="75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t="14.25" customHeight="1" s="75">
      <c r="A311" s="90" t="inlineStr">
        <is>
          <t>Oficina</t>
        </is>
      </c>
      <c r="B311" s="90" t="inlineStr">
        <is>
          <t>Custo Fixo</t>
        </is>
      </c>
      <c r="C311" s="90" t="inlineStr">
        <is>
          <t>Despesas com SST</t>
        </is>
      </c>
      <c r="D311" s="117" t="n">
        <v>4</v>
      </c>
      <c r="E311" s="118" t="n">
        <v>64.56999999999999</v>
      </c>
      <c r="F311" s="96">
        <f>IFERROR(D311*E311,0)</f>
        <v/>
      </c>
      <c r="G311" s="90">
        <f>INDEX(SETORES!$B:$B,MATCH(A311,SETORES!$A:$A,0))</f>
        <v/>
      </c>
      <c r="H311" s="90" t="inlineStr">
        <is>
          <t>Maio/2026</t>
        </is>
      </c>
    </row>
    <row r="312" ht="14.25" customHeight="1" s="75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t="14.25" customHeight="1" s="75">
      <c r="A313" s="90" t="inlineStr">
        <is>
          <t>Oficina</t>
        </is>
      </c>
      <c r="B313" s="90" t="inlineStr">
        <is>
          <t>Custo Fixo</t>
        </is>
      </c>
      <c r="C313" s="90" t="inlineStr">
        <is>
          <t>Despesas com DP</t>
        </is>
      </c>
      <c r="D313" s="117" t="n">
        <v>4</v>
      </c>
      <c r="E313" s="118" t="n">
        <v>47.79</v>
      </c>
      <c r="F313" s="96">
        <f>IFERROR(D313*E313,0)</f>
        <v/>
      </c>
      <c r="G313" s="90">
        <f>INDEX(SETORES!$B:$B,MATCH(A313,SETORES!$A:$A,0))</f>
        <v/>
      </c>
      <c r="H313" s="90" t="inlineStr">
        <is>
          <t>Maio/2026</t>
        </is>
      </c>
    </row>
    <row r="314" ht="14.25" customHeight="1" s="75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t="14.25" customHeight="1" s="75">
      <c r="A315" s="90" t="inlineStr">
        <is>
          <t>RH</t>
        </is>
      </c>
      <c r="B315" s="90" t="inlineStr">
        <is>
          <t>Custo Fixo</t>
        </is>
      </c>
      <c r="C315" s="90" t="inlineStr">
        <is>
          <t>Material de uso coletivo (copa/limpeza)</t>
        </is>
      </c>
      <c r="D315" s="117" t="n">
        <v>1</v>
      </c>
      <c r="E315" s="118" t="n">
        <v>65.7</v>
      </c>
      <c r="F315" s="96" t="n">
        <v>65.7</v>
      </c>
      <c r="G315" s="90">
        <f>INDEX(SETORES!$B:$B,MATCH(A315,SETORES!$A:$A,0))</f>
        <v/>
      </c>
      <c r="H315" s="90" t="inlineStr">
        <is>
          <t>Maio/2026</t>
        </is>
      </c>
    </row>
    <row r="316" ht="14.25" customHeight="1" s="75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t="14.25" customHeight="1" s="75">
      <c r="A317" s="90" t="inlineStr">
        <is>
          <t>RH</t>
        </is>
      </c>
      <c r="B317" s="90" t="inlineStr">
        <is>
          <t>Custo Fixo</t>
        </is>
      </c>
      <c r="C317" s="90" t="inlineStr">
        <is>
          <t>Água e esgoto (rateio)</t>
        </is>
      </c>
      <c r="D317" s="117" t="n">
        <v>1</v>
      </c>
      <c r="E317" s="118" t="n">
        <v>0</v>
      </c>
      <c r="F317" s="96" t="n">
        <v>0</v>
      </c>
      <c r="G317" s="90">
        <f>INDEX(SETORES!$B:$B,MATCH(A317,SETORES!$A:$A,0))</f>
        <v/>
      </c>
      <c r="H317" s="90" t="inlineStr">
        <is>
          <t>Maio/2026</t>
        </is>
      </c>
    </row>
    <row r="318" ht="14.25" customHeight="1" s="75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t="14.25" customHeight="1" s="75">
      <c r="A319" s="90" t="inlineStr">
        <is>
          <t>RH</t>
        </is>
      </c>
      <c r="B319" s="90" t="inlineStr">
        <is>
          <t>Custo Fixo</t>
        </is>
      </c>
      <c r="C319" s="90" t="inlineStr">
        <is>
          <t>Folha de pagamento (salários)</t>
        </is>
      </c>
      <c r="D319" s="117" t="n">
        <v>1</v>
      </c>
      <c r="E319" s="118" t="n">
        <v>21711.44</v>
      </c>
      <c r="F319" s="96">
        <f>IFERROR(E319,0)</f>
        <v/>
      </c>
      <c r="G319" s="90">
        <f>INDEX(SETORES!$B:$B,MATCH(A319,SETORES!$A:$A,0))</f>
        <v/>
      </c>
      <c r="H319" s="90" t="inlineStr">
        <is>
          <t>Maio/2026</t>
        </is>
      </c>
    </row>
    <row r="320" ht="14.25" customHeight="1" s="75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t="14.25" customHeight="1" s="75">
      <c r="A321" s="90" t="inlineStr">
        <is>
          <t>RH</t>
        </is>
      </c>
      <c r="B321" s="90" t="inlineStr">
        <is>
          <t>Custo Variável</t>
        </is>
      </c>
      <c r="C321" s="90" t="inlineStr">
        <is>
          <t>Fardamento substituição (compra corporativa)</t>
        </is>
      </c>
      <c r="D321" s="117" t="n"/>
      <c r="E321" s="118" t="n"/>
      <c r="F321" s="96">
        <f>IFERROR(D321*E321,0)</f>
        <v/>
      </c>
      <c r="G321" s="90">
        <f>INDEX(SETORES!$B:$B,MATCH(A321,SETORES!$A:$A,0))</f>
        <v/>
      </c>
      <c r="H321" s="90" t="inlineStr">
        <is>
          <t>Maio/2026</t>
        </is>
      </c>
    </row>
    <row r="322" ht="14.25" customHeight="1" s="75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t="14.25" customHeight="1" s="75">
      <c r="A323" s="90" t="inlineStr">
        <is>
          <t>RH</t>
        </is>
      </c>
      <c r="B323" s="90" t="inlineStr">
        <is>
          <t>Custo Variável</t>
        </is>
      </c>
      <c r="C323" s="90" t="inlineStr">
        <is>
          <t>Recrutamento e seleção</t>
        </is>
      </c>
      <c r="D323" s="117" t="n"/>
      <c r="E323" s="118" t="n"/>
      <c r="F323" s="96">
        <f>IFERROR(D323*E323,0)</f>
        <v/>
      </c>
      <c r="G323" s="90">
        <f>INDEX(SETORES!$B:$B,MATCH(A323,SETORES!$A:$A,0))</f>
        <v/>
      </c>
      <c r="H323" s="90" t="inlineStr">
        <is>
          <t>Maio/2026</t>
        </is>
      </c>
    </row>
    <row r="324" ht="14.25" customHeight="1" s="75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t="14.25" customHeight="1" s="75">
      <c r="A325" s="90" t="inlineStr">
        <is>
          <t>RH</t>
        </is>
      </c>
      <c r="B325" s="90" t="inlineStr">
        <is>
          <t>Custo Fixo</t>
        </is>
      </c>
      <c r="C325" s="90" t="inlineStr">
        <is>
          <t>Pesquisa de clima organizacional</t>
        </is>
      </c>
      <c r="D325" s="117" t="n"/>
      <c r="E325" s="118" t="n"/>
      <c r="F325" s="96">
        <f>IFERROR(D325*E325,0)</f>
        <v/>
      </c>
      <c r="G325" s="90">
        <f>INDEX(SETORES!$B:$B,MATCH(A325,SETORES!$A:$A,0))</f>
        <v/>
      </c>
      <c r="H325" s="90" t="inlineStr">
        <is>
          <t>Maio/2026</t>
        </is>
      </c>
    </row>
    <row r="326" ht="14.25" customHeight="1" s="75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t="14.25" customHeight="1" s="75">
      <c r="A327" s="90" t="inlineStr">
        <is>
          <t>RH</t>
        </is>
      </c>
      <c r="B327" s="90" t="inlineStr">
        <is>
          <t>Custo Fixo</t>
        </is>
      </c>
      <c r="C327" s="90" t="inlineStr">
        <is>
          <t>Gympass</t>
        </is>
      </c>
      <c r="D327" s="117" t="n">
        <v>4</v>
      </c>
      <c r="E327" s="118" t="n">
        <v>10.05</v>
      </c>
      <c r="F327" s="96">
        <f>IFERROR(D327*E327,0)</f>
        <v/>
      </c>
      <c r="G327" s="90">
        <f>INDEX(SETORES!$B:$B,MATCH(A327,SETORES!$A:$A,0))</f>
        <v/>
      </c>
      <c r="H327" s="90" t="inlineStr">
        <is>
          <t>Maio/2026</t>
        </is>
      </c>
    </row>
    <row r="328" ht="14.25" customHeight="1" s="75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t="14.25" customHeight="1" s="75">
      <c r="A329" s="90" t="inlineStr">
        <is>
          <t>RH</t>
        </is>
      </c>
      <c r="B329" s="90" t="inlineStr">
        <is>
          <t>Custo Fixo</t>
        </is>
      </c>
      <c r="C329" s="90" t="inlineStr">
        <is>
          <t>Despesas com SST</t>
        </is>
      </c>
      <c r="D329" s="117">
        <f>D49</f>
        <v/>
      </c>
      <c r="E329" s="118" t="n">
        <v>64.56999999999999</v>
      </c>
      <c r="F329" s="96">
        <f>IFERROR(D329*E329,0)</f>
        <v/>
      </c>
      <c r="G329" s="90">
        <f>INDEX(SETORES!$B:$B,MATCH(A329,SETORES!$A:$A,0))</f>
        <v/>
      </c>
      <c r="H329" s="90" t="inlineStr">
        <is>
          <t>Maio/2026</t>
        </is>
      </c>
    </row>
    <row r="330" ht="14.25" customHeight="1" s="75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t="14.25" customHeight="1" s="75">
      <c r="A331" s="90" t="inlineStr">
        <is>
          <t>RH</t>
        </is>
      </c>
      <c r="B331" s="90" t="inlineStr">
        <is>
          <t>Custo Fixo</t>
        </is>
      </c>
      <c r="C331" s="90" t="inlineStr">
        <is>
          <t>Despesas com DP</t>
        </is>
      </c>
      <c r="D331" s="117" t="n">
        <v>4</v>
      </c>
      <c r="E331" s="118" t="n">
        <v>47.79</v>
      </c>
      <c r="F331" s="96">
        <f>IFERROR(D331*E331,0)</f>
        <v/>
      </c>
      <c r="G331" s="90">
        <f>INDEX(SETORES!$B:$B,MATCH(A331,SETORES!$A:$A,0))</f>
        <v/>
      </c>
      <c r="H331" s="90" t="inlineStr">
        <is>
          <t>Maio/2026</t>
        </is>
      </c>
    </row>
    <row r="332" ht="14.25" customHeight="1" s="75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t="14.25" customHeight="1" s="75">
      <c r="A333" s="90" t="inlineStr">
        <is>
          <t>Retenção</t>
        </is>
      </c>
      <c r="B333" s="90" t="inlineStr">
        <is>
          <t>Custo Fixo</t>
        </is>
      </c>
      <c r="C333" s="90" t="inlineStr">
        <is>
          <t>Material de uso coletivo (copa/limpeza)</t>
        </is>
      </c>
      <c r="D333" s="117" t="n">
        <v>1</v>
      </c>
      <c r="E333" s="118" t="n">
        <v>282.981034</v>
      </c>
      <c r="F333" s="96" t="n">
        <v>282.981034</v>
      </c>
      <c r="G333" s="90">
        <f>INDEX(SETORES!$B:$B,MATCH(A333,SETORES!$A:$A,0))</f>
        <v/>
      </c>
      <c r="H333" s="90" t="inlineStr">
        <is>
          <t>Maio/2026</t>
        </is>
      </c>
    </row>
    <row r="334" ht="14.25" customHeight="1" s="75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t="14.25" customHeight="1" s="75">
      <c r="A335" s="90" t="inlineStr">
        <is>
          <t>Retenção</t>
        </is>
      </c>
      <c r="B335" s="90" t="inlineStr">
        <is>
          <t>Custo Fixo</t>
        </is>
      </c>
      <c r="C335" s="90" t="inlineStr">
        <is>
          <t>Água e esgoto (rateio)</t>
        </is>
      </c>
      <c r="D335" s="117" t="n">
        <v>1</v>
      </c>
      <c r="E335" s="118" t="n">
        <v>0</v>
      </c>
      <c r="F335" s="96" t="n">
        <v>0</v>
      </c>
      <c r="G335" s="90">
        <f>INDEX(SETORES!$B:$B,MATCH(A335,SETORES!$A:$A,0))</f>
        <v/>
      </c>
      <c r="H335" s="90" t="inlineStr">
        <is>
          <t>Maio/2026</t>
        </is>
      </c>
    </row>
    <row r="336" ht="14.25" customHeight="1" s="75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t="14.25" customHeight="1" s="75">
      <c r="A337" s="90" t="inlineStr">
        <is>
          <t>Retenção</t>
        </is>
      </c>
      <c r="B337" s="90" t="inlineStr">
        <is>
          <t>Custo Fixo</t>
        </is>
      </c>
      <c r="C337" s="90" t="inlineStr">
        <is>
          <t>Folha de pagamento (salários)</t>
        </is>
      </c>
      <c r="D337" s="117" t="n">
        <v>1</v>
      </c>
      <c r="E337" s="118" t="n">
        <v>30713.94</v>
      </c>
      <c r="F337" s="96">
        <f>IFERROR(E337,0)</f>
        <v/>
      </c>
      <c r="G337" s="90">
        <f>INDEX(SETORES!$B:$B,MATCH(A337,SETORES!$A:$A,0))</f>
        <v/>
      </c>
      <c r="H337" s="90" t="inlineStr">
        <is>
          <t>Maio/2026</t>
        </is>
      </c>
    </row>
    <row r="338" ht="14.25" customHeight="1" s="75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t="14.25" customHeight="1" s="75">
      <c r="A339" s="90" t="inlineStr">
        <is>
          <t>Retenção</t>
        </is>
      </c>
      <c r="B339" s="90" t="inlineStr">
        <is>
          <t>Custo Variável</t>
        </is>
      </c>
      <c r="C339" s="90" t="inlineStr">
        <is>
          <t>Sistema de CRM de retenção</t>
        </is>
      </c>
      <c r="D339" s="117" t="n"/>
      <c r="E339" s="118" t="n"/>
      <c r="F339" s="96">
        <f>IFERROR(D339*E339,0)</f>
        <v/>
      </c>
      <c r="G339" s="90">
        <f>INDEX(SETORES!$B:$B,MATCH(A339,SETORES!$A:$A,0))</f>
        <v/>
      </c>
      <c r="H339" s="90" t="inlineStr">
        <is>
          <t>Maio/2026</t>
        </is>
      </c>
    </row>
    <row r="340" ht="14.25" customHeight="1" s="75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t="14.25" customHeight="1" s="75">
      <c r="A341" s="90" t="inlineStr">
        <is>
          <t>Retenção</t>
        </is>
      </c>
      <c r="B341" s="90" t="inlineStr">
        <is>
          <t>Custo Variável</t>
        </is>
      </c>
      <c r="C341" s="90" t="inlineStr">
        <is>
          <t>Fardamento substituição</t>
        </is>
      </c>
      <c r="D341" s="117" t="n">
        <v>1</v>
      </c>
      <c r="E341" s="118" t="n">
        <v>181.33</v>
      </c>
      <c r="F341" s="96">
        <f>IFERROR(D341*E341,0)</f>
        <v/>
      </c>
      <c r="G341" s="90">
        <f>INDEX(SETORES!$B:$B,MATCH(A341,SETORES!$A:$A,0))</f>
        <v/>
      </c>
      <c r="H341" s="90" t="inlineStr">
        <is>
          <t>Maio/2026</t>
        </is>
      </c>
    </row>
    <row r="342" ht="14.25" customHeight="1" s="75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t="14.25" customHeight="1" s="75">
      <c r="A343" s="90" t="inlineStr">
        <is>
          <t>Retenção</t>
        </is>
      </c>
      <c r="B343" s="90" t="inlineStr">
        <is>
          <t>Custo Fixo</t>
        </is>
      </c>
      <c r="C343" s="90" t="inlineStr">
        <is>
          <t>Licença de e-mail corporativo</t>
        </is>
      </c>
      <c r="D343" s="117" t="n">
        <v>11</v>
      </c>
      <c r="E343" s="118" t="n">
        <v>50</v>
      </c>
      <c r="F343" s="96">
        <f>IFERROR(D343*E343,0)</f>
        <v/>
      </c>
      <c r="G343" s="90">
        <f>INDEX(SETORES!$B:$B,MATCH(A343,SETORES!$A:$A,0))</f>
        <v/>
      </c>
      <c r="H343" s="90" t="inlineStr">
        <is>
          <t>Maio/2026</t>
        </is>
      </c>
    </row>
    <row r="344" ht="14.25" customHeight="1" s="75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t="14.25" customHeight="1" s="75">
      <c r="A345" s="90" t="inlineStr">
        <is>
          <t>Retenção</t>
        </is>
      </c>
      <c r="B345" s="90" t="inlineStr">
        <is>
          <t>Custo Fixo</t>
        </is>
      </c>
      <c r="C345" s="90" t="inlineStr">
        <is>
          <t>Telefonia de entrada Algar</t>
        </is>
      </c>
      <c r="D345" s="117" t="n">
        <v>1</v>
      </c>
      <c r="E345" s="118" t="n">
        <v>1641.85</v>
      </c>
      <c r="F345" s="96">
        <f>IFERROR(D345*E345,0)</f>
        <v/>
      </c>
      <c r="G345" s="90">
        <f>INDEX(SETORES!$B:$B,MATCH(A345,SETORES!$A:$A,0))</f>
        <v/>
      </c>
      <c r="H345" s="90" t="inlineStr">
        <is>
          <t>Maio/2026</t>
        </is>
      </c>
    </row>
    <row r="346" ht="14.25" customHeight="1" s="75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t="14.25" customHeight="1" s="75">
      <c r="A347" s="90" t="inlineStr">
        <is>
          <t>Retenção</t>
        </is>
      </c>
      <c r="B347" s="90" t="inlineStr">
        <is>
          <t>Custo Fixo</t>
        </is>
      </c>
      <c r="C347" s="90" t="inlineStr">
        <is>
          <t>Software Google brasil (trafego pago)</t>
        </is>
      </c>
      <c r="D347" s="117" t="n">
        <v>1</v>
      </c>
      <c r="E347" s="118" t="n">
        <v>28.73534</v>
      </c>
      <c r="F347" s="96">
        <f>IFERROR(D347*E347,0)</f>
        <v/>
      </c>
      <c r="G347" s="90">
        <f>INDEX(SETORES!$B:$B,MATCH(A347,SETORES!$A:$A,0))</f>
        <v/>
      </c>
      <c r="H347" s="90" t="inlineStr">
        <is>
          <t>Maio/2026</t>
        </is>
      </c>
    </row>
    <row r="348" ht="14.25" customHeight="1" s="75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t="14.25" customHeight="1" s="75">
      <c r="A349" s="90" t="inlineStr">
        <is>
          <t>Retenção</t>
        </is>
      </c>
      <c r="B349" s="90" t="inlineStr">
        <is>
          <t>Custo Variável</t>
        </is>
      </c>
      <c r="C349" s="90" t="inlineStr">
        <is>
          <t>Disparos feito pela meta</t>
        </is>
      </c>
      <c r="D349" s="117" t="n">
        <v>1</v>
      </c>
      <c r="E349" s="118" t="n">
        <v>242.73</v>
      </c>
      <c r="F349" s="96">
        <f>IFERROR(D349*E349,0)</f>
        <v/>
      </c>
      <c r="G349" s="90">
        <f>INDEX(SETORES!$B:$B,MATCH(A349,SETORES!$A:$A,0))</f>
        <v/>
      </c>
      <c r="H349" s="90" t="inlineStr">
        <is>
          <t>Maio/2026</t>
        </is>
      </c>
    </row>
    <row r="350" ht="14.25" customHeight="1" s="75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t="14.25" customHeight="1" s="75">
      <c r="A351" s="90" t="inlineStr">
        <is>
          <t>Retenção</t>
        </is>
      </c>
      <c r="B351" s="90" t="inlineStr">
        <is>
          <t>Custo Variável</t>
        </is>
      </c>
      <c r="C351" s="90" t="inlineStr">
        <is>
          <t>Endomarketing</t>
        </is>
      </c>
      <c r="D351" s="117" t="n">
        <v>1</v>
      </c>
      <c r="E351" s="118" t="n">
        <v>23.5</v>
      </c>
      <c r="F351" s="96">
        <f>IFERROR(D351*E351,0)</f>
        <v/>
      </c>
      <c r="G351" s="90">
        <f>INDEX(SETORES!$B:$B,MATCH(A351,SETORES!$A:$A,0))</f>
        <v/>
      </c>
      <c r="H351" s="90" t="inlineStr">
        <is>
          <t>Maio/2026</t>
        </is>
      </c>
    </row>
    <row r="352" ht="14.25" customHeight="1" s="75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t="14.25" customHeight="1" s="75">
      <c r="A353" s="90" t="inlineStr">
        <is>
          <t>Retenção</t>
        </is>
      </c>
      <c r="B353" s="90" t="inlineStr">
        <is>
          <t>Custo Fixo</t>
        </is>
      </c>
      <c r="C353" s="90" t="inlineStr">
        <is>
          <t>Stargrid</t>
        </is>
      </c>
      <c r="D353" s="117" t="n">
        <v>10</v>
      </c>
      <c r="E353" s="118" t="n">
        <v>2.07</v>
      </c>
      <c r="F353" s="96">
        <f>IFERROR(D353*E353,0)</f>
        <v/>
      </c>
      <c r="G353" s="90">
        <f>INDEX(SETORES!$B:$B,MATCH(A353,SETORES!$A:$A,0))</f>
        <v/>
      </c>
      <c r="H353" s="90" t="inlineStr">
        <is>
          <t>Maio/2026</t>
        </is>
      </c>
    </row>
    <row r="354" ht="14.25" customHeight="1" s="75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t="14.25" customHeight="1" s="75">
      <c r="A355" s="90" t="inlineStr">
        <is>
          <t>Retenção</t>
        </is>
      </c>
      <c r="B355" s="90" t="inlineStr">
        <is>
          <t>Custo Fixo</t>
        </is>
      </c>
      <c r="C355" s="90" t="inlineStr">
        <is>
          <t>Despesas com RH</t>
        </is>
      </c>
      <c r="D355" s="117" t="n">
        <v>10</v>
      </c>
      <c r="E355" s="118" t="n">
        <v>28.31</v>
      </c>
      <c r="F355" s="96">
        <f>IFERROR(D355*E355,0)</f>
        <v/>
      </c>
      <c r="G355" s="90">
        <f>INDEX(SETORES!$B:$B,MATCH(A355,SETORES!$A:$A,0))</f>
        <v/>
      </c>
      <c r="H355" s="90" t="inlineStr">
        <is>
          <t>Maio/2026</t>
        </is>
      </c>
    </row>
    <row r="356" ht="14.25" customHeight="1" s="75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t="14.25" customHeight="1" s="75">
      <c r="A357" s="90" t="inlineStr">
        <is>
          <t>Oficina</t>
        </is>
      </c>
      <c r="B357" s="90" t="inlineStr">
        <is>
          <t>Custo Fixo</t>
        </is>
      </c>
      <c r="C357" s="90" t="inlineStr">
        <is>
          <t>Água e esgoto (rateio)</t>
        </is>
      </c>
      <c r="D357" s="117" t="n">
        <v>4</v>
      </c>
      <c r="E357" s="118" t="n">
        <v>0.6343</v>
      </c>
      <c r="F357" s="96" t="n">
        <v>2.5372</v>
      </c>
      <c r="G357" s="90">
        <f>INDEX(SETORES!$B:$B,MATCH(A357,SETORES!$A:$A,0))</f>
        <v/>
      </c>
      <c r="H357" s="90" t="inlineStr">
        <is>
          <t>Maio/2026</t>
        </is>
      </c>
    </row>
    <row r="358" ht="14.25" customHeight="1" s="75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t="14.25" customHeight="1" s="75">
      <c r="A359" s="90" t="inlineStr">
        <is>
          <t>Segurança do Trabalho</t>
        </is>
      </c>
      <c r="B359" s="90" t="inlineStr">
        <is>
          <t>Custo Fixo</t>
        </is>
      </c>
      <c r="C359" s="90" t="inlineStr">
        <is>
          <t>Material de uso coletivo (copa/limpeza)</t>
        </is>
      </c>
      <c r="D359" s="117" t="n"/>
      <c r="E359" s="118" t="n"/>
      <c r="F359" s="96" t="n">
        <v>0</v>
      </c>
      <c r="G359" s="90">
        <f>INDEX(SETORES!$B:$B,MATCH(A359,SETORES!$A:$A,0))</f>
        <v/>
      </c>
      <c r="H359" s="90" t="inlineStr">
        <is>
          <t>Maio/2026</t>
        </is>
      </c>
    </row>
    <row r="360" ht="14.25" customHeight="1" s="75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t="14.25" customHeight="1" s="75">
      <c r="A361" s="90" t="inlineStr">
        <is>
          <t>Segurança do Trabalho</t>
        </is>
      </c>
      <c r="B361" s="90" t="inlineStr">
        <is>
          <t>Custo Fixo</t>
        </is>
      </c>
      <c r="C361" s="90" t="inlineStr">
        <is>
          <t>Água e esgoto (rateio)</t>
        </is>
      </c>
      <c r="D361" s="117" t="n">
        <v>6</v>
      </c>
      <c r="E361" s="118" t="n">
        <v>0.6343</v>
      </c>
      <c r="F361" s="96" t="n">
        <v>3.8058</v>
      </c>
      <c r="G361" s="90">
        <f>INDEX(SETORES!$B:$B,MATCH(A361,SETORES!$A:$A,0))</f>
        <v/>
      </c>
      <c r="H361" s="90" t="inlineStr">
        <is>
          <t>Maio/2026</t>
        </is>
      </c>
    </row>
    <row r="362" ht="14.25" customHeight="1" s="75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t="14.25" customHeight="1" s="75">
      <c r="A363" s="90" t="inlineStr">
        <is>
          <t>Segurança do Trabalho</t>
        </is>
      </c>
      <c r="B363" s="90" t="inlineStr">
        <is>
          <t>Custo Fixo</t>
        </is>
      </c>
      <c r="C363" s="90" t="inlineStr">
        <is>
          <t>Folha de pagamento (salários)</t>
        </is>
      </c>
      <c r="D363" s="117" t="n">
        <v>1</v>
      </c>
      <c r="E363" s="118" t="n">
        <v>38002.07</v>
      </c>
      <c r="F363" s="96">
        <f>IFERROR(E363,0)</f>
        <v/>
      </c>
      <c r="G363" s="90">
        <f>INDEX(SETORES!$B:$B,MATCH(A363,SETORES!$A:$A,0))</f>
        <v/>
      </c>
      <c r="H363" s="90" t="inlineStr">
        <is>
          <t>Maio/2026</t>
        </is>
      </c>
    </row>
    <row r="364" ht="14.25" customHeight="1" s="75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t="14.25" customHeight="1" s="75">
      <c r="A365" s="90" t="inlineStr">
        <is>
          <t>Segurança do Trabalho</t>
        </is>
      </c>
      <c r="B365" s="90" t="inlineStr">
        <is>
          <t>Custo Variável</t>
        </is>
      </c>
      <c r="C365" s="90" t="inlineStr">
        <is>
          <t>Exames médicos</t>
        </is>
      </c>
      <c r="D365" s="117" t="n"/>
      <c r="E365" s="118" t="n"/>
      <c r="F365" s="96">
        <f>IFERROR(D365*E365,0)</f>
        <v/>
      </c>
      <c r="G365" s="90">
        <f>INDEX(SETORES!$B:$B,MATCH(A365,SETORES!$A:$A,0))</f>
        <v/>
      </c>
      <c r="H365" s="90" t="inlineStr">
        <is>
          <t>Maio/2026</t>
        </is>
      </c>
    </row>
    <row r="366" ht="14.25" customHeight="1" s="75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t="14.25" customHeight="1" s="75">
      <c r="A367" s="90" t="inlineStr">
        <is>
          <t>Segurança do Trabalho</t>
        </is>
      </c>
      <c r="B367" s="90" t="inlineStr">
        <is>
          <t>Custo Variável</t>
        </is>
      </c>
      <c r="C367" s="90" t="inlineStr">
        <is>
          <t>Fardamento substituição</t>
        </is>
      </c>
      <c r="D367" s="117" t="n"/>
      <c r="E367" s="118" t="n"/>
      <c r="F367" s="96">
        <f>IFERROR(D367*E367,0)</f>
        <v/>
      </c>
      <c r="G367" s="90">
        <f>INDEX(SETORES!$B:$B,MATCH(A367,SETORES!$A:$A,0))</f>
        <v/>
      </c>
      <c r="H367" s="90" t="inlineStr">
        <is>
          <t>Maio/2026</t>
        </is>
      </c>
    </row>
    <row r="368" ht="14.25" customHeight="1" s="75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t="14.25" customHeight="1" s="75">
      <c r="A369" s="90" t="inlineStr">
        <is>
          <t>Segurança do Trabalho</t>
        </is>
      </c>
      <c r="B369" s="90" t="inlineStr">
        <is>
          <t>Custo Variável</t>
        </is>
      </c>
      <c r="C369" s="90" t="inlineStr">
        <is>
          <t>Médico do trabalho</t>
        </is>
      </c>
      <c r="D369" s="117" t="n">
        <v>1</v>
      </c>
      <c r="E369" s="118" t="n">
        <v>7689.8</v>
      </c>
      <c r="F369" s="96">
        <f>IFERROR(D369*E369,0)</f>
        <v/>
      </c>
      <c r="G369" s="90">
        <f>INDEX(SETORES!$B:$B,MATCH(A369,SETORES!$A:$A,0))</f>
        <v/>
      </c>
      <c r="H369" s="90" t="inlineStr">
        <is>
          <t>Maio/2026</t>
        </is>
      </c>
    </row>
    <row r="370" ht="14.25" customHeight="1" s="75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t="14.25" customHeight="1" s="75">
      <c r="A371" s="90" t="inlineStr">
        <is>
          <t>Segurança do Trabalho</t>
        </is>
      </c>
      <c r="B371" s="90" t="inlineStr">
        <is>
          <t>Custo Variável</t>
        </is>
      </c>
      <c r="C371" s="90" t="inlineStr">
        <is>
          <t>Combustível de frota</t>
        </is>
      </c>
      <c r="D371" s="117" t="n">
        <v>1</v>
      </c>
      <c r="E371" s="118" t="n">
        <v>5677.72</v>
      </c>
      <c r="F371" s="96">
        <f>IFERROR(D371*E371,0)</f>
        <v/>
      </c>
      <c r="G371" s="90">
        <f>INDEX(SETORES!$B:$B,MATCH(A371,SETORES!$A:$A,0))</f>
        <v/>
      </c>
      <c r="H371" s="90" t="inlineStr">
        <is>
          <t>Maio/2026</t>
        </is>
      </c>
    </row>
    <row r="372" ht="14.25" customHeight="1" s="75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t="14.25" customHeight="1" s="75">
      <c r="A373" s="90" t="inlineStr">
        <is>
          <t>Segurança do Trabalho</t>
        </is>
      </c>
      <c r="B373" s="90" t="inlineStr">
        <is>
          <t>Custo Fixo</t>
        </is>
      </c>
      <c r="C373" s="90" t="inlineStr">
        <is>
          <t>Stargrid</t>
        </is>
      </c>
      <c r="D373" s="117" t="n">
        <v>6</v>
      </c>
      <c r="E373" s="118" t="n">
        <v>2.07</v>
      </c>
      <c r="F373" s="96">
        <f>IFERROR(D373*E373,0)</f>
        <v/>
      </c>
      <c r="G373" s="90">
        <f>INDEX(SETORES!$B:$B,MATCH(A373,SETORES!$A:$A,0))</f>
        <v/>
      </c>
      <c r="H373" s="90" t="inlineStr">
        <is>
          <t>Maio/2026</t>
        </is>
      </c>
    </row>
    <row r="374" ht="14.25" customHeight="1" s="75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t="14.25" customHeight="1" s="75">
      <c r="A375" s="90" t="inlineStr">
        <is>
          <t>Segurança do Trabalho</t>
        </is>
      </c>
      <c r="B375" s="90" t="inlineStr">
        <is>
          <t>Custo Fixo</t>
        </is>
      </c>
      <c r="C375" s="90" t="inlineStr">
        <is>
          <t>Despesas com RH</t>
        </is>
      </c>
      <c r="D375" s="117" t="n">
        <v>6</v>
      </c>
      <c r="E375" s="118" t="n">
        <v>28.31</v>
      </c>
      <c r="F375" s="96">
        <f>IFERROR(D375*E375,0)</f>
        <v/>
      </c>
      <c r="G375" s="90">
        <f>INDEX(SETORES!$B:$B,MATCH(A375,SETORES!$A:$A,0))</f>
        <v/>
      </c>
      <c r="H375" s="90" t="inlineStr">
        <is>
          <t>Maio/2026</t>
        </is>
      </c>
    </row>
    <row r="376" ht="14.25" customHeight="1" s="75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t="14.25" customHeight="1" s="75">
      <c r="A377" s="90" t="inlineStr">
        <is>
          <t>Suporte Orbix</t>
        </is>
      </c>
      <c r="B377" s="90" t="inlineStr">
        <is>
          <t>Custo Fixo</t>
        </is>
      </c>
      <c r="C377" s="90" t="inlineStr">
        <is>
          <t>Material de escritório (suprimentos de informática)</t>
        </is>
      </c>
      <c r="D377" s="117" t="n">
        <v>9</v>
      </c>
      <c r="E377" s="118" t="n">
        <v>0.3648</v>
      </c>
      <c r="F377" s="96" t="n">
        <v>3.2832</v>
      </c>
      <c r="G377" s="90">
        <f>INDEX(SETORES!$B:$B,MATCH(A377,SETORES!$A:$A,0))</f>
        <v/>
      </c>
      <c r="H377" s="90" t="inlineStr">
        <is>
          <t>Maio/2026</t>
        </is>
      </c>
    </row>
    <row r="378" ht="14.25" customHeight="1" s="75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t="14.25" customHeight="1" s="75">
      <c r="A379" s="90" t="inlineStr">
        <is>
          <t>Suporte Orbix</t>
        </is>
      </c>
      <c r="B379" s="90" t="inlineStr">
        <is>
          <t>Custo Fixo</t>
        </is>
      </c>
      <c r="C379" s="90" t="inlineStr">
        <is>
          <t>Energia elétrica (rateio)</t>
        </is>
      </c>
      <c r="D379" s="117" t="n">
        <v>1</v>
      </c>
      <c r="E379" s="118" t="n">
        <v>76.5971</v>
      </c>
      <c r="F379" s="96" t="n">
        <v>76.5971</v>
      </c>
      <c r="G379" s="90">
        <f>INDEX(SETORES!$B:$B,MATCH(A379,SETORES!$A:$A,0))</f>
        <v/>
      </c>
      <c r="H379" s="90" t="inlineStr">
        <is>
          <t>Maio/2026</t>
        </is>
      </c>
    </row>
    <row r="380" ht="14.25" customHeight="1" s="75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t="14.25" customHeight="1" s="75">
      <c r="A381" s="90" t="inlineStr">
        <is>
          <t>Suporte Orbix</t>
        </is>
      </c>
      <c r="B381" s="90" t="inlineStr">
        <is>
          <t>Custo Fixo</t>
        </is>
      </c>
      <c r="C381" s="90" t="inlineStr">
        <is>
          <t>Telefonia móvel corporativa</t>
        </is>
      </c>
      <c r="D381" s="117" t="n"/>
      <c r="E381" s="118" t="n"/>
      <c r="F381" s="96">
        <f>IFERROR(D381*E381,0)</f>
        <v/>
      </c>
      <c r="G381" s="90">
        <f>INDEX(SETORES!$B:$B,MATCH(A381,SETORES!$A:$A,0))</f>
        <v/>
      </c>
      <c r="H381" s="90" t="inlineStr">
        <is>
          <t>Maio/2026</t>
        </is>
      </c>
    </row>
    <row r="382" ht="14.25" customHeight="1" s="75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t="14.25" customHeight="1" s="75">
      <c r="A383" s="90" t="inlineStr">
        <is>
          <t>Suporte Orbix</t>
        </is>
      </c>
      <c r="B383" s="90" t="inlineStr">
        <is>
          <t>Custo Fixo</t>
        </is>
      </c>
      <c r="C383" s="90" t="inlineStr">
        <is>
          <t>Licença de e-mail corporativo</t>
        </is>
      </c>
      <c r="D383" s="117" t="n">
        <v>8</v>
      </c>
      <c r="E383" s="118" t="n">
        <v>50</v>
      </c>
      <c r="F383" s="96">
        <f>IFERROR(D383*E383,0)</f>
        <v/>
      </c>
      <c r="G383" s="90">
        <f>INDEX(SETORES!$B:$B,MATCH(A383,SETORES!$A:$A,0))</f>
        <v/>
      </c>
      <c r="H383" s="90" t="inlineStr">
        <is>
          <t>Maio/2026</t>
        </is>
      </c>
    </row>
    <row r="384" ht="14.25" customHeight="1" s="75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t="14.25" customHeight="1" s="75">
      <c r="A385" s="90" t="inlineStr">
        <is>
          <t>Suporte Orbix</t>
        </is>
      </c>
      <c r="B385" s="90" t="inlineStr">
        <is>
          <t>Custo Fixo</t>
        </is>
      </c>
      <c r="C385" s="90" t="inlineStr">
        <is>
          <t>Software MATRIX (rateio equipe Relacionamento)</t>
        </is>
      </c>
      <c r="D385" s="117" t="n">
        <v>1</v>
      </c>
      <c r="E385" s="118" t="n">
        <v>412.571637</v>
      </c>
      <c r="F385" s="96">
        <f>IFERROR(D385*E385,0)</f>
        <v/>
      </c>
      <c r="G385" s="90">
        <f>INDEX(SETORES!$B:$B,MATCH(A385,SETORES!$A:$A,0))</f>
        <v/>
      </c>
      <c r="H385" s="90" t="inlineStr">
        <is>
          <t>Maio/2026</t>
        </is>
      </c>
    </row>
    <row r="386" ht="14.25" customHeight="1" s="75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t="14.25" customHeight="1" s="75">
      <c r="A387" s="90" t="inlineStr">
        <is>
          <t>Suporte Orbix</t>
        </is>
      </c>
      <c r="B387" s="90" t="inlineStr">
        <is>
          <t>Custo Fixo</t>
        </is>
      </c>
      <c r="C387" s="90" t="inlineStr">
        <is>
          <t>Software Dlocal (trafego pago)</t>
        </is>
      </c>
      <c r="D387" s="117" t="n">
        <v>1</v>
      </c>
      <c r="E387" s="118" t="n">
        <v>193.965516</v>
      </c>
      <c r="F387" s="96">
        <f>IFERROR(D387*E387,0)</f>
        <v/>
      </c>
      <c r="G387" s="90">
        <f>INDEX(SETORES!$B:$B,MATCH(A387,SETORES!$A:$A,0))</f>
        <v/>
      </c>
      <c r="H387" s="90" t="inlineStr">
        <is>
          <t>Maio/2026</t>
        </is>
      </c>
    </row>
    <row r="388" ht="14.25" customHeight="1" s="75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t="14.25" customHeight="1" s="75">
      <c r="A389" s="90" t="inlineStr">
        <is>
          <t>Suporte Orbix</t>
        </is>
      </c>
      <c r="B389" s="90" t="inlineStr">
        <is>
          <t>Custo Variável</t>
        </is>
      </c>
      <c r="C389" s="90" t="inlineStr">
        <is>
          <t>Software Lorensi marketing (f000987)</t>
        </is>
      </c>
      <c r="D389" s="117" t="n">
        <v>1</v>
      </c>
      <c r="E389" s="118" t="n">
        <v>71.676468</v>
      </c>
      <c r="F389" s="96">
        <f>IFERROR(D389*E389,0)</f>
        <v/>
      </c>
      <c r="G389" s="90">
        <f>INDEX(SETORES!$B:$B,MATCH(A389,SETORES!$A:$A,0))</f>
        <v/>
      </c>
      <c r="H389" s="90" t="inlineStr">
        <is>
          <t>Maio/2026</t>
        </is>
      </c>
    </row>
    <row r="390" ht="14.25" customHeight="1" s="75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t="14.25" customHeight="1" s="75">
      <c r="A391" s="90" t="inlineStr">
        <is>
          <t>Suporte Orbix</t>
        </is>
      </c>
      <c r="B391" s="90" t="inlineStr">
        <is>
          <t>Custo Fixo</t>
        </is>
      </c>
      <c r="C391" s="90" t="inlineStr">
        <is>
          <t>Vexpenses</t>
        </is>
      </c>
      <c r="D391" s="117" t="n">
        <v>1</v>
      </c>
      <c r="E391" s="118" t="n">
        <v>52</v>
      </c>
      <c r="F391" s="96">
        <f>IFERROR(D391*E391,0)</f>
        <v/>
      </c>
      <c r="G391" s="90">
        <f>INDEX(SETORES!$B:$B,MATCH(A391,SETORES!$A:$A,0))</f>
        <v/>
      </c>
      <c r="H391" s="90" t="inlineStr">
        <is>
          <t>Maio/2026</t>
        </is>
      </c>
    </row>
    <row r="392" ht="14.25" customHeight="1" s="75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t="14.25" customHeight="1" s="75">
      <c r="A393" s="90" t="inlineStr">
        <is>
          <t>Suporte Orbix</t>
        </is>
      </c>
      <c r="B393" s="90" t="inlineStr">
        <is>
          <t>Custo Fixo</t>
        </is>
      </c>
      <c r="C393" s="90" t="inlineStr">
        <is>
          <t>Gympass</t>
        </is>
      </c>
      <c r="D393" s="117" t="n">
        <v>9</v>
      </c>
      <c r="E393" s="118" t="n">
        <v>10.05</v>
      </c>
      <c r="F393" s="96">
        <f>IFERROR(D393*E393,0)</f>
        <v/>
      </c>
      <c r="G393" s="90">
        <f>INDEX(SETORES!$B:$B,MATCH(A393,SETORES!$A:$A,0))</f>
        <v/>
      </c>
      <c r="H393" s="90" t="inlineStr">
        <is>
          <t>Maio/2026</t>
        </is>
      </c>
    </row>
    <row r="394" ht="14.25" customHeight="1" s="75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t="14.25" customHeight="1" s="75">
      <c r="A395" s="90" t="inlineStr">
        <is>
          <t>Suporte Orbix</t>
        </is>
      </c>
      <c r="B395" s="90" t="inlineStr">
        <is>
          <t>Custo Fixo</t>
        </is>
      </c>
      <c r="C395" s="90" t="inlineStr">
        <is>
          <t>Despesas com SST</t>
        </is>
      </c>
      <c r="D395" s="117" t="n">
        <v>9</v>
      </c>
      <c r="E395" s="118" t="n">
        <v>64.56999999999999</v>
      </c>
      <c r="F395" s="96">
        <f>IFERROR(D395*E395,0)</f>
        <v/>
      </c>
      <c r="G395" s="90">
        <f>INDEX(SETORES!$B:$B,MATCH(A395,SETORES!$A:$A,0))</f>
        <v/>
      </c>
      <c r="H395" s="90" t="inlineStr">
        <is>
          <t>Maio/2026</t>
        </is>
      </c>
    </row>
    <row r="396" ht="14.25" customHeight="1" s="75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t="14.25" customHeight="1" s="75">
      <c r="A397" s="90" t="inlineStr">
        <is>
          <t>Suporte Orbix</t>
        </is>
      </c>
      <c r="B397" s="90" t="inlineStr">
        <is>
          <t>Custo Fixo</t>
        </is>
      </c>
      <c r="C397" s="90" t="inlineStr">
        <is>
          <t>Despesas com DP</t>
        </is>
      </c>
      <c r="D397" s="117" t="n">
        <v>9</v>
      </c>
      <c r="E397" s="118" t="n">
        <v>47.79</v>
      </c>
      <c r="F397" s="96">
        <f>IFERROR(D397*E397,0)</f>
        <v/>
      </c>
      <c r="G397" s="90">
        <f>INDEX(SETORES!$B:$B,MATCH(A397,SETORES!$A:$A,0))</f>
        <v/>
      </c>
      <c r="H397" s="90" t="inlineStr">
        <is>
          <t>Maio/2026</t>
        </is>
      </c>
    </row>
    <row r="398" ht="14.25" customHeight="1" s="75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t="14.25" customHeight="1" s="75">
      <c r="A399" s="90" t="inlineStr">
        <is>
          <t>Suporte da Central</t>
        </is>
      </c>
      <c r="B399" s="90" t="inlineStr">
        <is>
          <t>Custo Fixo</t>
        </is>
      </c>
      <c r="C399" s="90" t="inlineStr">
        <is>
          <t>Material de uso coletivo (copa/limpeza)</t>
        </is>
      </c>
      <c r="D399" s="117" t="n">
        <v>1</v>
      </c>
      <c r="E399" s="118" t="n">
        <v>877.241207</v>
      </c>
      <c r="F399" s="96" t="n">
        <v>877.241207</v>
      </c>
      <c r="G399" s="90">
        <f>INDEX(SETORES!$B:$B,MATCH(A399,SETORES!$A:$A,0))</f>
        <v/>
      </c>
      <c r="H399" s="90" t="inlineStr">
        <is>
          <t>Maio/2026</t>
        </is>
      </c>
    </row>
    <row r="400" ht="14.25" customHeight="1" s="75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t="14.25" customHeight="1" s="75">
      <c r="A401" s="90" t="inlineStr">
        <is>
          <t>Suporte da Central</t>
        </is>
      </c>
      <c r="B401" s="90" t="inlineStr">
        <is>
          <t>Custo Fixo</t>
        </is>
      </c>
      <c r="C401" s="90" t="inlineStr">
        <is>
          <t>Água e esgoto (rateio)</t>
        </is>
      </c>
      <c r="D401" s="117" t="n">
        <v>1</v>
      </c>
      <c r="E401" s="118" t="n">
        <v>0</v>
      </c>
      <c r="F401" s="96" t="n">
        <v>0</v>
      </c>
      <c r="G401" s="90">
        <f>INDEX(SETORES!$B:$B,MATCH(A401,SETORES!$A:$A,0))</f>
        <v/>
      </c>
      <c r="H401" s="90" t="inlineStr">
        <is>
          <t>Maio/2026</t>
        </is>
      </c>
    </row>
    <row r="402" ht="14.25" customHeight="1" s="75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t="14.25" customHeight="1" s="75">
      <c r="A403" s="90" t="inlineStr">
        <is>
          <t>Suporte da Central</t>
        </is>
      </c>
      <c r="B403" s="90" t="inlineStr">
        <is>
          <t>Custo Fixo</t>
        </is>
      </c>
      <c r="C403" s="90" t="inlineStr">
        <is>
          <t>Folha de pagamento (salários)</t>
        </is>
      </c>
      <c r="D403" s="117" t="n">
        <v>1</v>
      </c>
      <c r="E403" s="118" t="n">
        <v>92773.57000000001</v>
      </c>
      <c r="F403" s="96">
        <f>IFERROR(E403,0)</f>
        <v/>
      </c>
      <c r="G403" s="90">
        <f>INDEX(SETORES!$B:$B,MATCH(A403,SETORES!$A:$A,0))</f>
        <v/>
      </c>
      <c r="H403" s="90" t="inlineStr">
        <is>
          <t>Maio/2026</t>
        </is>
      </c>
    </row>
    <row r="404" ht="14.25" customHeight="1" s="75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t="14.25" customHeight="1" s="75">
      <c r="A405" s="90" t="inlineStr">
        <is>
          <t>Suporte da Central</t>
        </is>
      </c>
      <c r="B405" s="90" t="inlineStr">
        <is>
          <t>Custo Fixo</t>
        </is>
      </c>
      <c r="C405" s="90" t="inlineStr">
        <is>
          <t>Software MATRIX (rateio equipe Relacionamento)</t>
        </is>
      </c>
      <c r="D405" s="117" t="n">
        <v>1</v>
      </c>
      <c r="E405" s="118" t="n">
        <v>1421.080083</v>
      </c>
      <c r="F405" s="96">
        <f>IFERROR(D405*E405,0)</f>
        <v/>
      </c>
      <c r="G405" s="90">
        <f>INDEX(SETORES!$B:$B,MATCH(A405,SETORES!$A:$A,0))</f>
        <v/>
      </c>
      <c r="H405" s="90" t="inlineStr">
        <is>
          <t>Maio/2026</t>
        </is>
      </c>
    </row>
    <row r="406" ht="14.25" customHeight="1" s="75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t="14.25" customHeight="1" s="75">
      <c r="A407" s="90" t="inlineStr">
        <is>
          <t>Suporte da Central</t>
        </is>
      </c>
      <c r="B407" s="90" t="inlineStr">
        <is>
          <t>Custo Fixo</t>
        </is>
      </c>
      <c r="C407" s="90" t="inlineStr">
        <is>
          <t>Software Dlocal (trafego pago)</t>
        </is>
      </c>
      <c r="D407" s="117" t="n">
        <v>1</v>
      </c>
      <c r="E407" s="118" t="n">
        <v>668.103444</v>
      </c>
      <c r="F407" s="96">
        <f>IFERROR(D407*E407,0)</f>
        <v/>
      </c>
      <c r="G407" s="90">
        <f>INDEX(SETORES!$B:$B,MATCH(A407,SETORES!$A:$A,0))</f>
        <v/>
      </c>
      <c r="H407" s="90" t="inlineStr">
        <is>
          <t>Maio/2026</t>
        </is>
      </c>
    </row>
    <row r="408" ht="14.25" customHeight="1" s="75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t="14.25" customHeight="1" s="75">
      <c r="A409" s="90" t="inlineStr">
        <is>
          <t>Suporte da Central</t>
        </is>
      </c>
      <c r="B409" s="90" t="inlineStr">
        <is>
          <t>Custo Variável</t>
        </is>
      </c>
      <c r="C409" s="90" t="inlineStr">
        <is>
          <t>Software Lorensi marketing (f000987)</t>
        </is>
      </c>
      <c r="D409" s="117" t="n">
        <v>1</v>
      </c>
      <c r="E409" s="118" t="n">
        <v>246.885612</v>
      </c>
      <c r="F409" s="96">
        <f>IFERROR(D409*E409,0)</f>
        <v/>
      </c>
      <c r="G409" s="90">
        <f>INDEX(SETORES!$B:$B,MATCH(A409,SETORES!$A:$A,0))</f>
        <v/>
      </c>
      <c r="H409" s="90" t="inlineStr">
        <is>
          <t>Maio/2026</t>
        </is>
      </c>
    </row>
    <row r="410" ht="14.25" customHeight="1" s="75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t="14.25" customHeight="1" s="75">
      <c r="A411" s="90" t="inlineStr">
        <is>
          <t>Suporte da Central</t>
        </is>
      </c>
      <c r="B411" s="90" t="inlineStr">
        <is>
          <t>Custo Fixo</t>
        </is>
      </c>
      <c r="C411" s="90" t="inlineStr">
        <is>
          <t>Vexpenses</t>
        </is>
      </c>
      <c r="D411" s="117" t="n">
        <v>1</v>
      </c>
      <c r="E411" s="118" t="n">
        <v>52</v>
      </c>
      <c r="F411" s="96">
        <f>IFERROR(D411*E411,0)</f>
        <v/>
      </c>
      <c r="G411" s="90">
        <f>INDEX(SETORES!$B:$B,MATCH(A411,SETORES!$A:$A,0))</f>
        <v/>
      </c>
      <c r="H411" s="90" t="inlineStr">
        <is>
          <t>Maio/2026</t>
        </is>
      </c>
    </row>
    <row r="412" ht="14.25" customHeight="1" s="75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t="14.25" customHeight="1" s="75">
      <c r="A413" s="90" t="inlineStr">
        <is>
          <t>Suporte da Central</t>
        </is>
      </c>
      <c r="B413" s="90" t="inlineStr">
        <is>
          <t>Custo Fixo</t>
        </is>
      </c>
      <c r="C413" s="90" t="inlineStr">
        <is>
          <t>Gympass</t>
        </is>
      </c>
      <c r="D413" s="117" t="n">
        <v>31</v>
      </c>
      <c r="E413" s="118" t="n">
        <v>10.05</v>
      </c>
      <c r="F413" s="96">
        <f>IFERROR(D413*E413,0)</f>
        <v/>
      </c>
      <c r="G413" s="90">
        <f>INDEX(SETORES!$B:$B,MATCH(A413,SETORES!$A:$A,0))</f>
        <v/>
      </c>
      <c r="H413" s="90" t="inlineStr">
        <is>
          <t>Maio/2026</t>
        </is>
      </c>
    </row>
    <row r="414" ht="14.25" customHeight="1" s="75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t="14.25" customHeight="1" s="75">
      <c r="A415" s="90" t="inlineStr">
        <is>
          <t>Suporte da Central</t>
        </is>
      </c>
      <c r="B415" s="90" t="inlineStr">
        <is>
          <t>Custo Fixo</t>
        </is>
      </c>
      <c r="C415" s="90" t="inlineStr">
        <is>
          <t>Despesas com SST</t>
        </is>
      </c>
      <c r="D415" s="117" t="n">
        <v>31</v>
      </c>
      <c r="E415" s="118" t="n">
        <v>64.56999999999999</v>
      </c>
      <c r="F415" s="96">
        <f>IFERROR(D415*E415,0)</f>
        <v/>
      </c>
      <c r="G415" s="90">
        <f>INDEX(SETORES!$B:$B,MATCH(A415,SETORES!$A:$A,0))</f>
        <v/>
      </c>
      <c r="H415" s="90" t="inlineStr">
        <is>
          <t>Maio/2026</t>
        </is>
      </c>
    </row>
    <row r="416" ht="14.25" customHeight="1" s="75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5">
      <c r="A417" s="90" t="inlineStr">
        <is>
          <t>Suporte da Central</t>
        </is>
      </c>
      <c r="B417" s="90" t="inlineStr">
        <is>
          <t>Custo Fixo</t>
        </is>
      </c>
      <c r="C417" s="90" t="inlineStr">
        <is>
          <t>Despesas com DP</t>
        </is>
      </c>
      <c r="D417" s="117" t="n">
        <v>31</v>
      </c>
      <c r="E417" s="118" t="n">
        <v>47.79</v>
      </c>
      <c r="F417" s="96">
        <f>IFERROR(D417*E417,0)</f>
        <v/>
      </c>
      <c r="G417" s="90">
        <f>INDEX(SETORES!$B:$B,MATCH(A417,SETORES!$A:$A,0))</f>
        <v/>
      </c>
      <c r="H417" s="90" t="inlineStr">
        <is>
          <t>Maio/2026</t>
        </is>
      </c>
    </row>
    <row r="418" hidden="1" ht="14.25" customHeight="1" s="75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5">
      <c r="A419" s="90" t="inlineStr">
        <is>
          <t>Televendas</t>
        </is>
      </c>
      <c r="B419" s="90" t="inlineStr">
        <is>
          <t>Custo Fixo</t>
        </is>
      </c>
      <c r="C419" s="90" t="inlineStr">
        <is>
          <t>Material de uso coletivo (copa/limpeza)</t>
        </is>
      </c>
      <c r="D419" s="117" t="n">
        <v>1</v>
      </c>
      <c r="E419" s="118" t="n">
        <v>367.875345</v>
      </c>
      <c r="F419" s="96" t="n">
        <v>367.875345</v>
      </c>
      <c r="G419" s="90">
        <f>INDEX(SETORES!$B:$B,MATCH(A419,SETORES!$A:$A,0))</f>
        <v/>
      </c>
      <c r="H419" s="90" t="inlineStr">
        <is>
          <t>Maio/2026</t>
        </is>
      </c>
    </row>
    <row r="420" hidden="1" ht="14.25" customHeight="1" s="75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5">
      <c r="A421" s="90" t="inlineStr">
        <is>
          <t>Televendas</t>
        </is>
      </c>
      <c r="B421" s="90" t="inlineStr">
        <is>
          <t>Custo Fixo</t>
        </is>
      </c>
      <c r="C421" s="90" t="inlineStr">
        <is>
          <t>Água e esgoto (rateio)</t>
        </is>
      </c>
      <c r="D421" s="117" t="n">
        <v>1</v>
      </c>
      <c r="E421" s="118" t="n">
        <v>0</v>
      </c>
      <c r="F421" s="96" t="n">
        <v>0</v>
      </c>
      <c r="G421" s="90">
        <f>INDEX(SETORES!$B:$B,MATCH(A421,SETORES!$A:$A,0))</f>
        <v/>
      </c>
      <c r="H421" s="90" t="inlineStr">
        <is>
          <t>Maio/2026</t>
        </is>
      </c>
    </row>
    <row r="422" hidden="1" ht="14.25" customHeight="1" s="75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5">
      <c r="A423" s="90" t="inlineStr">
        <is>
          <t>Televendas</t>
        </is>
      </c>
      <c r="B423" s="90" t="inlineStr">
        <is>
          <t>Custo Fixo</t>
        </is>
      </c>
      <c r="C423" s="90" t="inlineStr">
        <is>
          <t>Folha de pagamento (salários)</t>
        </is>
      </c>
      <c r="D423" s="117" t="n">
        <v>1</v>
      </c>
      <c r="E423" s="118" t="n">
        <v>56398.2299555556</v>
      </c>
      <c r="F423" s="96" t="n">
        <v>56398.2299555556</v>
      </c>
      <c r="G423" s="90">
        <f>INDEX(SETORES!$B:$B,MATCH(A423,SETORES!$A:$A,0))</f>
        <v/>
      </c>
      <c r="H423" s="90" t="inlineStr">
        <is>
          <t>Maio/2026</t>
        </is>
      </c>
    </row>
    <row r="424" hidden="1" ht="14.25" customHeight="1" s="75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5">
      <c r="A425" s="90" t="inlineStr">
        <is>
          <t>Televendas</t>
        </is>
      </c>
      <c r="B425" s="90" t="inlineStr">
        <is>
          <t>Custo Variável</t>
        </is>
      </c>
      <c r="C425" s="90" t="inlineStr">
        <is>
          <t>Televendas - comissão/incentivo</t>
        </is>
      </c>
      <c r="D425" s="117" t="n"/>
      <c r="E425" s="118" t="n"/>
      <c r="F425" s="96">
        <f>IFERROR(D425*E425,0)</f>
        <v/>
      </c>
      <c r="G425" s="90">
        <f>INDEX(SETORES!$B:$B,MATCH(A425,SETORES!$A:$A,0))</f>
        <v/>
      </c>
      <c r="H425" s="90" t="inlineStr">
        <is>
          <t>Maio/2026</t>
        </is>
      </c>
    </row>
    <row r="426" hidden="1" ht="14.25" customHeight="1" s="75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5">
      <c r="A427" s="90" t="inlineStr">
        <is>
          <t>Televendas</t>
        </is>
      </c>
      <c r="B427" s="90" t="inlineStr">
        <is>
          <t>Custo Fixo</t>
        </is>
      </c>
      <c r="C427" s="90" t="inlineStr">
        <is>
          <t>Telefonia de entrada Algar</t>
        </is>
      </c>
      <c r="D427" s="117" t="n">
        <v>1</v>
      </c>
      <c r="E427" s="118" t="n">
        <v>1641.85</v>
      </c>
      <c r="F427" s="96">
        <f>IFERROR(D427*E427,0)</f>
        <v/>
      </c>
      <c r="G427" s="90">
        <f>INDEX(SETORES!$B:$B,MATCH(A427,SETORES!$A:$A,0))</f>
        <v/>
      </c>
      <c r="H427" s="90" t="inlineStr">
        <is>
          <t>Maio/2026</t>
        </is>
      </c>
    </row>
    <row r="428" hidden="1" ht="14.25" customHeight="1" s="75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5">
      <c r="A429" s="90" t="inlineStr">
        <is>
          <t>Televendas</t>
        </is>
      </c>
      <c r="B429" s="90" t="inlineStr">
        <is>
          <t>Custo Fixo</t>
        </is>
      </c>
      <c r="C429" s="90" t="inlineStr">
        <is>
          <t>Software Google brasil (trafego pago)</t>
        </is>
      </c>
      <c r="D429" s="117" t="n">
        <v>1</v>
      </c>
      <c r="E429" s="118" t="n">
        <v>37.355942</v>
      </c>
      <c r="F429" s="96">
        <f>IFERROR(D429*E429,0)</f>
        <v/>
      </c>
      <c r="G429" s="90">
        <f>INDEX(SETORES!$B:$B,MATCH(A429,SETORES!$A:$A,0))</f>
        <v/>
      </c>
      <c r="H429" s="90" t="inlineStr">
        <is>
          <t>Maio/2026</t>
        </is>
      </c>
    </row>
    <row r="430" hidden="1" ht="14.25" customHeight="1" s="75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5">
      <c r="A431" s="90" t="inlineStr">
        <is>
          <t>Televendas</t>
        </is>
      </c>
      <c r="B431" s="90" t="inlineStr">
        <is>
          <t>Custo Variável</t>
        </is>
      </c>
      <c r="C431" s="90" t="inlineStr">
        <is>
          <t>Disparos feito pela meta</t>
        </is>
      </c>
      <c r="D431" s="117" t="n">
        <v>1</v>
      </c>
      <c r="E431" s="118" t="n">
        <v>242.73</v>
      </c>
      <c r="F431" s="96">
        <f>IFERROR(D431*E431,0)</f>
        <v/>
      </c>
      <c r="G431" s="90">
        <f>INDEX(SETORES!$B:$B,MATCH(A431,SETORES!$A:$A,0))</f>
        <v/>
      </c>
      <c r="H431" s="90" t="inlineStr">
        <is>
          <t>Maio/2026</t>
        </is>
      </c>
    </row>
    <row r="432" hidden="1" ht="14.25" customHeight="1" s="75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5">
      <c r="A433" s="90" t="inlineStr">
        <is>
          <t>Televendas</t>
        </is>
      </c>
      <c r="B433" s="90" t="inlineStr">
        <is>
          <t>Custo Variável</t>
        </is>
      </c>
      <c r="C433" s="90" t="inlineStr">
        <is>
          <t>Endomarketing</t>
        </is>
      </c>
      <c r="D433" s="117" t="n">
        <v>1</v>
      </c>
      <c r="E433" s="118" t="n">
        <v>23.5</v>
      </c>
      <c r="F433" s="96">
        <f>IFERROR(D433*E433,0)</f>
        <v/>
      </c>
      <c r="G433" s="90">
        <f>INDEX(SETORES!$B:$B,MATCH(A433,SETORES!$A:$A,0))</f>
        <v/>
      </c>
      <c r="H433" s="90" t="inlineStr">
        <is>
          <t>Maio/2026</t>
        </is>
      </c>
    </row>
    <row r="434" hidden="1" ht="14.25" customHeight="1" s="75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5">
      <c r="A435" s="90" t="inlineStr">
        <is>
          <t>Televendas</t>
        </is>
      </c>
      <c r="B435" s="90" t="inlineStr">
        <is>
          <t>Custo Fixo</t>
        </is>
      </c>
      <c r="C435" s="90" t="inlineStr">
        <is>
          <t>Stargrid</t>
        </is>
      </c>
      <c r="D435" s="117" t="n">
        <v>13</v>
      </c>
      <c r="E435" s="118" t="n">
        <v>2.07</v>
      </c>
      <c r="F435" s="96" t="n">
        <v>26.91</v>
      </c>
      <c r="G435" s="90">
        <f>INDEX(SETORES!$B:$B,MATCH(A435,SETORES!$A:$A,0))</f>
        <v/>
      </c>
      <c r="H435" s="90" t="inlineStr">
        <is>
          <t>Maio/2026</t>
        </is>
      </c>
    </row>
    <row r="436" hidden="1" ht="14.25" customHeight="1" s="75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5">
      <c r="A437" s="90" t="inlineStr">
        <is>
          <t>Televendas</t>
        </is>
      </c>
      <c r="B437" s="90" t="inlineStr">
        <is>
          <t>Custo Fixo</t>
        </is>
      </c>
      <c r="C437" s="90" t="inlineStr">
        <is>
          <t>Despesas com RH</t>
        </is>
      </c>
      <c r="D437" s="117" t="n">
        <v>13</v>
      </c>
      <c r="E437" s="118" t="n">
        <v>28.31</v>
      </c>
      <c r="F437" s="96" t="n">
        <v>368.03</v>
      </c>
      <c r="G437" s="90">
        <f>INDEX(SETORES!$B:$B,MATCH(A437,SETORES!$A:$A,0))</f>
        <v/>
      </c>
      <c r="H437" s="90" t="inlineStr">
        <is>
          <t>Maio/2026</t>
        </is>
      </c>
    </row>
    <row r="438" hidden="1" ht="14.25" customHeight="1" s="75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5">
      <c r="A439" s="90" t="inlineStr">
        <is>
          <t>Suporte da Central</t>
        </is>
      </c>
      <c r="B439" s="90" t="inlineStr">
        <is>
          <t>Custo Variável</t>
        </is>
      </c>
      <c r="C439" s="90" t="inlineStr">
        <is>
          <t>Combustível de frota</t>
        </is>
      </c>
      <c r="D439" s="117" t="n"/>
      <c r="E439" s="118" t="n"/>
      <c r="F439" s="96">
        <f>IFERROR(D439*E439,0)</f>
        <v/>
      </c>
      <c r="G439" s="90">
        <f>INDEX(SETORES!$B:$B,MATCH(A439,SETORES!$A:$A,0))</f>
        <v/>
      </c>
      <c r="H439" s="90" t="inlineStr">
        <is>
          <t>Maio/2026</t>
        </is>
      </c>
    </row>
    <row r="440" hidden="1" ht="14.25" customHeight="1" s="75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5">
      <c r="A441" s="90" t="inlineStr">
        <is>
          <t>Comercial Corporativo</t>
        </is>
      </c>
      <c r="B441" s="90" t="inlineStr">
        <is>
          <t>Custo Variável</t>
        </is>
      </c>
      <c r="C441" s="90" t="inlineStr">
        <is>
          <t>Combustível de frota</t>
        </is>
      </c>
      <c r="D441" s="117" t="n"/>
      <c r="E441" s="118" t="n"/>
      <c r="F441" s="96">
        <f>IFERROR(D441*E441,0)</f>
        <v/>
      </c>
      <c r="G441" s="90">
        <f>INDEX(SETORES!$B:$B,MATCH(A441,SETORES!$A:$A,0))</f>
        <v/>
      </c>
      <c r="H441" s="90" t="inlineStr">
        <is>
          <t>Maio/2026</t>
        </is>
      </c>
    </row>
    <row r="442" hidden="1" ht="14.25" customHeight="1" s="75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5">
      <c r="A443" s="90" t="inlineStr">
        <is>
          <t>Suporte da Central</t>
        </is>
      </c>
      <c r="B443" s="90" t="inlineStr">
        <is>
          <t>Custo Variável</t>
        </is>
      </c>
      <c r="C443" s="90" t="inlineStr">
        <is>
          <t>Rescisões trabalhistas</t>
        </is>
      </c>
      <c r="D443" s="117" t="n"/>
      <c r="E443" s="118" t="n"/>
      <c r="F443" s="96">
        <f>IFERROR(D443*E443,0)</f>
        <v/>
      </c>
      <c r="G443" s="90">
        <f>INDEX(SETORES!$B:$B,MATCH(A443,SETORES!$A:$A,0))</f>
        <v/>
      </c>
      <c r="H443" s="90" t="inlineStr">
        <is>
          <t>Maio/2026</t>
        </is>
      </c>
    </row>
    <row r="444" hidden="1" ht="14.25" customHeight="1" s="75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5">
      <c r="A445" s="90" t="inlineStr">
        <is>
          <t>Administrativo</t>
        </is>
      </c>
      <c r="B445" s="90" t="inlineStr">
        <is>
          <t>Custo Fixo</t>
        </is>
      </c>
      <c r="C445" s="90" t="inlineStr">
        <is>
          <t>Licença Google Workspace</t>
        </is>
      </c>
      <c r="D445" s="117" t="n">
        <v>1</v>
      </c>
      <c r="E445" s="118" t="n">
        <v>21454</v>
      </c>
      <c r="F445" s="96">
        <f>IFERROR(D445*E445,0)</f>
        <v/>
      </c>
      <c r="G445" s="90">
        <f>INDEX(SETORES!$B:$B,MATCH(A445,SETORES!$A:$A,0))</f>
        <v/>
      </c>
      <c r="H445" s="90" t="inlineStr">
        <is>
          <t>Maio/2026</t>
        </is>
      </c>
    </row>
    <row r="446" hidden="1" ht="14.25" customHeight="1" s="75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5">
      <c r="A447" s="90" t="inlineStr">
        <is>
          <t>Qualidade</t>
        </is>
      </c>
      <c r="B447" s="90" t="inlineStr">
        <is>
          <t>Custo Fixo</t>
        </is>
      </c>
      <c r="C447" s="90" t="inlineStr">
        <is>
          <t>Material de uso coletivo (copa/limpeza)</t>
        </is>
      </c>
      <c r="D447" s="117" t="n">
        <v>1</v>
      </c>
      <c r="E447" s="118" t="n">
        <v>160.86</v>
      </c>
      <c r="F447" s="96" t="n">
        <v>160.86</v>
      </c>
      <c r="G447" s="90">
        <f>INDEX(SETORES!$B:$B,MATCH(A447,SETORES!$A:$A,0))</f>
        <v/>
      </c>
      <c r="H447" s="90" t="inlineStr">
        <is>
          <t>Maio/2026</t>
        </is>
      </c>
    </row>
    <row r="448" hidden="1" ht="14.25" customHeight="1" s="75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5">
      <c r="A449" s="90" t="inlineStr">
        <is>
          <t>Marketing</t>
        </is>
      </c>
      <c r="B449" s="90" t="inlineStr">
        <is>
          <t>Custo Fixo</t>
        </is>
      </c>
      <c r="C449" s="90" t="inlineStr">
        <is>
          <t>Folha de pagamento (salários)</t>
        </is>
      </c>
      <c r="D449" s="117" t="n">
        <v>1</v>
      </c>
      <c r="E449" s="118" t="n">
        <v>55569.77</v>
      </c>
      <c r="F449" s="96">
        <f>IFERROR(E449,0)</f>
        <v/>
      </c>
      <c r="G449" s="90">
        <f>INDEX(SETORES!$B:$B,MATCH(A449,SETORES!$A:$A,0))</f>
        <v/>
      </c>
      <c r="H449" s="90" t="inlineStr">
        <is>
          <t>Maio/2026</t>
        </is>
      </c>
    </row>
    <row r="450" hidden="1" ht="14.25" customHeight="1" s="75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5">
      <c r="A451" s="90" t="inlineStr">
        <is>
          <t>TIC</t>
        </is>
      </c>
      <c r="B451" s="90" t="inlineStr">
        <is>
          <t>Custo Fixo</t>
        </is>
      </c>
      <c r="C451" s="90" t="inlineStr">
        <is>
          <t>Folha de pagamento (salários)</t>
        </is>
      </c>
      <c r="D451" s="117" t="n">
        <v>1</v>
      </c>
      <c r="E451" s="118" t="n">
        <v>26750.76</v>
      </c>
      <c r="F451" s="96">
        <f>IFERROR(E451,0)</f>
        <v/>
      </c>
      <c r="G451" s="90">
        <f>INDEX(SETORES!$B:$B,MATCH(A451,SETORES!$A:$A,0))</f>
        <v/>
      </c>
      <c r="H451" s="90" t="inlineStr">
        <is>
          <t>Maio/2026</t>
        </is>
      </c>
    </row>
    <row r="452" hidden="1" ht="14.25" customHeight="1" s="75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5">
      <c r="A453" s="90" t="inlineStr">
        <is>
          <t>Fique Móvel</t>
        </is>
      </c>
      <c r="B453" s="90" t="inlineStr">
        <is>
          <t>Custo Fixo</t>
        </is>
      </c>
      <c r="C453" s="90" t="inlineStr">
        <is>
          <t>Folha de pagamento (salários)</t>
        </is>
      </c>
      <c r="D453" s="117" t="n">
        <v>1</v>
      </c>
      <c r="E453" s="118" t="n">
        <v>9414.74</v>
      </c>
      <c r="F453" s="96">
        <f>IFERROR(E453,0)</f>
        <v/>
      </c>
      <c r="G453" s="90">
        <f>INDEX(SETORES!$B:$B,MATCH(A453,SETORES!$A:$A,0))</f>
        <v/>
      </c>
      <c r="H453" s="90" t="inlineStr">
        <is>
          <t>Maio/2026</t>
        </is>
      </c>
    </row>
    <row r="454" hidden="1" ht="14.25" customHeight="1" s="75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5">
      <c r="A455" s="90" t="inlineStr">
        <is>
          <t>Lançamento</t>
        </is>
      </c>
      <c r="B455" s="90" t="inlineStr">
        <is>
          <t>Custo Variável</t>
        </is>
      </c>
      <c r="C455" s="90" t="inlineStr">
        <is>
          <t>Combustível de frota</t>
        </is>
      </c>
      <c r="D455" s="117" t="n">
        <v>1</v>
      </c>
      <c r="E455" s="118" t="n">
        <v>13697.37</v>
      </c>
      <c r="F455" s="96">
        <f>IFERROR(D455*E455,0)</f>
        <v/>
      </c>
      <c r="G455" s="90">
        <f>INDEX(SETORES!$B:$B,MATCH(A455,SETORES!$A:$A,0))</f>
        <v/>
      </c>
      <c r="H455" s="90" t="inlineStr">
        <is>
          <t>Maio/2026</t>
        </is>
      </c>
    </row>
    <row r="456" hidden="1" ht="14.25" customHeight="1" s="75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5">
      <c r="A457" s="90" t="inlineStr">
        <is>
          <t>Lançamento</t>
        </is>
      </c>
      <c r="B457" s="90" t="inlineStr">
        <is>
          <t>Custo Variável</t>
        </is>
      </c>
      <c r="C457" s="90" t="inlineStr">
        <is>
          <t>Rescisões trabalhistas</t>
        </is>
      </c>
      <c r="D457" s="117" t="n">
        <v>1</v>
      </c>
      <c r="E457" s="118" t="n">
        <v>1746.63</v>
      </c>
      <c r="F457" s="96">
        <f>IFERROR(D457*E457,0)</f>
        <v/>
      </c>
      <c r="G457" s="90">
        <f>INDEX(SETORES!$B:$B,MATCH(A457,SETORES!$A:$A,0))</f>
        <v/>
      </c>
      <c r="H457" s="90" t="inlineStr">
        <is>
          <t>Maio/2026</t>
        </is>
      </c>
    </row>
    <row r="458" hidden="1" ht="14.25" customHeight="1" s="75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5">
      <c r="A459" s="90" t="inlineStr">
        <is>
          <t>Fusão</t>
        </is>
      </c>
      <c r="B459" s="90" t="inlineStr">
        <is>
          <t>Custo Variável</t>
        </is>
      </c>
      <c r="C459" s="90" t="inlineStr">
        <is>
          <t>Combustível de frota</t>
        </is>
      </c>
      <c r="D459" s="117" t="n">
        <v>1</v>
      </c>
      <c r="E459" s="118" t="n">
        <v>14428.61</v>
      </c>
      <c r="F459" s="96">
        <f>IFERROR(D459*E459,0)</f>
        <v/>
      </c>
      <c r="G459" s="90">
        <f>INDEX(SETORES!$B:$B,MATCH(A459,SETORES!$A:$A,0))</f>
        <v/>
      </c>
      <c r="H459" s="90" t="inlineStr">
        <is>
          <t>Maio/2026</t>
        </is>
      </c>
    </row>
    <row r="460" hidden="1" ht="14.25" customHeight="1" s="75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5">
      <c r="A461" s="90" t="inlineStr">
        <is>
          <t>Diretoria Adm</t>
        </is>
      </c>
      <c r="B461" s="90" t="inlineStr">
        <is>
          <t>Custo Fixo</t>
        </is>
      </c>
      <c r="C461" s="90" t="inlineStr">
        <is>
          <t>Folha de pagamento (salários)</t>
        </is>
      </c>
      <c r="D461" s="117" t="n">
        <v>1</v>
      </c>
      <c r="E461" s="118" t="n">
        <v>28931.13</v>
      </c>
      <c r="F461" s="96">
        <f>IFERROR(E461,0)</f>
        <v/>
      </c>
      <c r="G461" s="90">
        <f>INDEX(SETORES!$B:$B,MATCH(A461,SETORES!$A:$A,0))</f>
        <v/>
      </c>
      <c r="H461" s="90" t="inlineStr">
        <is>
          <t>Maio/2026</t>
        </is>
      </c>
    </row>
    <row r="462" hidden="1" ht="14.25" customHeight="1" s="75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5">
      <c r="A463" s="90" t="inlineStr">
        <is>
          <t>Qualidade</t>
        </is>
      </c>
      <c r="B463" s="90" t="inlineStr">
        <is>
          <t>Custo Fixo</t>
        </is>
      </c>
      <c r="C463" s="90" t="inlineStr">
        <is>
          <t>Stargrid</t>
        </is>
      </c>
      <c r="D463" s="117" t="n">
        <v>7</v>
      </c>
      <c r="E463" s="118" t="n">
        <v>2.07</v>
      </c>
      <c r="F463" s="96">
        <f>IFERROR(D463*E463,0)</f>
        <v/>
      </c>
      <c r="G463" s="90">
        <f>INDEX(SETORES!$B:$B,MATCH(A463,SETORES!$A:$A,0))</f>
        <v/>
      </c>
      <c r="H463" s="90" t="inlineStr">
        <is>
          <t>Maio/2026</t>
        </is>
      </c>
    </row>
    <row r="464" hidden="1" ht="14.25" customHeight="1" s="75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5">
      <c r="A465" s="90" t="inlineStr">
        <is>
          <t>Qualidade</t>
        </is>
      </c>
      <c r="B465" s="90" t="inlineStr">
        <is>
          <t>Custo Fixo</t>
        </is>
      </c>
      <c r="C465" s="90" t="inlineStr">
        <is>
          <t>Despesas com RH</t>
        </is>
      </c>
      <c r="D465" s="117" t="n">
        <v>7</v>
      </c>
      <c r="E465" s="118" t="n">
        <v>28.31</v>
      </c>
      <c r="F465" s="96">
        <f>IFERROR(D465*E465,0)</f>
        <v/>
      </c>
      <c r="G465" s="90">
        <f>INDEX(SETORES!$B:$B,MATCH(A465,SETORES!$A:$A,0))</f>
        <v/>
      </c>
      <c r="H465" s="90" t="inlineStr">
        <is>
          <t>Maio/2026</t>
        </is>
      </c>
    </row>
    <row r="466" hidden="1" ht="14.25" customHeight="1" s="75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5">
      <c r="A467" s="90" t="inlineStr">
        <is>
          <t>Qualidade</t>
        </is>
      </c>
      <c r="B467" s="90" t="inlineStr">
        <is>
          <t>Custo Fixo</t>
        </is>
      </c>
      <c r="C467" s="90" t="inlineStr">
        <is>
          <t>Despesas com SST</t>
        </is>
      </c>
      <c r="D467" s="117" t="n">
        <v>7</v>
      </c>
      <c r="E467" s="118" t="n">
        <v>64.56999999999999</v>
      </c>
      <c r="F467" s="96">
        <f>IFERROR(D467*E467,0)</f>
        <v/>
      </c>
      <c r="G467" s="90">
        <f>INDEX(SETORES!$B:$B,MATCH(A467,SETORES!$A:$A,0))</f>
        <v/>
      </c>
      <c r="H467" s="90" t="inlineStr">
        <is>
          <t>Maio/2026</t>
        </is>
      </c>
    </row>
    <row r="468" hidden="1" ht="14.25" customHeight="1" s="75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5">
      <c r="A469" s="90" t="inlineStr">
        <is>
          <t>Jurídico</t>
        </is>
      </c>
      <c r="B469" s="90" t="inlineStr">
        <is>
          <t>Custo Fixo</t>
        </is>
      </c>
      <c r="C469" s="90" t="inlineStr">
        <is>
          <t>Stargrid</t>
        </is>
      </c>
      <c r="D469" s="117" t="n">
        <v>2</v>
      </c>
      <c r="E469" s="118" t="n">
        <v>2.07</v>
      </c>
      <c r="F469" s="96">
        <f>IFERROR(D469*E469,0)</f>
        <v/>
      </c>
      <c r="G469" s="90">
        <f>INDEX(SETORES!$B:$B,MATCH(A469,SETORES!$A:$A,0))</f>
        <v/>
      </c>
      <c r="H469" s="90" t="inlineStr">
        <is>
          <t>Maio/2026</t>
        </is>
      </c>
    </row>
    <row r="470" hidden="1" ht="14.25" customHeight="1" s="75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5">
      <c r="A471" s="90" t="inlineStr">
        <is>
          <t>Jurídico</t>
        </is>
      </c>
      <c r="B471" s="90" t="inlineStr">
        <is>
          <t>Custo Fixo</t>
        </is>
      </c>
      <c r="C471" s="90" t="inlineStr">
        <is>
          <t>Despesas com RH</t>
        </is>
      </c>
      <c r="D471" s="117" t="n">
        <v>2</v>
      </c>
      <c r="E471" s="118" t="n">
        <v>28.31</v>
      </c>
      <c r="F471" s="96">
        <f>IFERROR(D471*E471,0)</f>
        <v/>
      </c>
      <c r="G471" s="90">
        <f>INDEX(SETORES!$B:$B,MATCH(A471,SETORES!$A:$A,0))</f>
        <v/>
      </c>
      <c r="H471" s="90" t="inlineStr">
        <is>
          <t>Maio/2026</t>
        </is>
      </c>
    </row>
    <row r="472" hidden="1" ht="14.25" customHeight="1" s="75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5">
      <c r="A473" s="90" t="inlineStr">
        <is>
          <t>Jurídico</t>
        </is>
      </c>
      <c r="B473" s="90" t="inlineStr">
        <is>
          <t>Custo Fixo</t>
        </is>
      </c>
      <c r="C473" s="90" t="inlineStr">
        <is>
          <t>Despesas com SST</t>
        </is>
      </c>
      <c r="D473" s="117" t="n">
        <v>2</v>
      </c>
      <c r="E473" s="118" t="n">
        <v>64.56999999999999</v>
      </c>
      <c r="F473" s="96">
        <f>IFERROR(D473*E473,0)</f>
        <v/>
      </c>
      <c r="G473" s="90">
        <f>INDEX(SETORES!$B:$B,MATCH(A473,SETORES!$A:$A,0))</f>
        <v/>
      </c>
      <c r="H473" s="90" t="inlineStr">
        <is>
          <t>Maio/2026</t>
        </is>
      </c>
    </row>
    <row r="474" hidden="1" ht="14.25" customHeight="1" s="75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5">
      <c r="A475" s="90" t="inlineStr">
        <is>
          <t>Marketing</t>
        </is>
      </c>
      <c r="B475" s="90" t="inlineStr">
        <is>
          <t>Custo Fixo</t>
        </is>
      </c>
      <c r="C475" s="90" t="inlineStr">
        <is>
          <t>Stargrid</t>
        </is>
      </c>
      <c r="D475" s="117" t="n">
        <v>12</v>
      </c>
      <c r="E475" s="118" t="n">
        <v>2.07</v>
      </c>
      <c r="F475" s="96">
        <f>IFERROR(D475*E475,0)</f>
        <v/>
      </c>
      <c r="G475" s="90">
        <f>INDEX(SETORES!$B:$B,MATCH(A475,SETORES!$A:$A,0))</f>
        <v/>
      </c>
      <c r="H475" s="90" t="inlineStr">
        <is>
          <t>Maio/2026</t>
        </is>
      </c>
    </row>
    <row r="476" hidden="1" ht="14.25" customHeight="1" s="75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5">
      <c r="A477" s="90" t="inlineStr">
        <is>
          <t>Marketing</t>
        </is>
      </c>
      <c r="B477" s="90" t="inlineStr">
        <is>
          <t>Custo Fixo</t>
        </is>
      </c>
      <c r="C477" s="90" t="inlineStr">
        <is>
          <t>Despesas com RH</t>
        </is>
      </c>
      <c r="D477" s="117" t="n">
        <v>12</v>
      </c>
      <c r="E477" s="118" t="n">
        <v>28.31</v>
      </c>
      <c r="F477" s="96">
        <f>IFERROR(D477*E477,0)</f>
        <v/>
      </c>
      <c r="G477" s="90">
        <f>INDEX(SETORES!$B:$B,MATCH(A477,SETORES!$A:$A,0))</f>
        <v/>
      </c>
      <c r="H477" s="90" t="inlineStr">
        <is>
          <t>Maio/2026</t>
        </is>
      </c>
    </row>
    <row r="478" hidden="1" ht="14.25" customHeight="1" s="75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5">
      <c r="A479" s="90" t="inlineStr">
        <is>
          <t>Marketing</t>
        </is>
      </c>
      <c r="B479" s="90" t="inlineStr">
        <is>
          <t>Custo Fixo</t>
        </is>
      </c>
      <c r="C479" s="90" t="inlineStr">
        <is>
          <t>Despesas com SST</t>
        </is>
      </c>
      <c r="D479" s="117" t="n">
        <v>12</v>
      </c>
      <c r="E479" s="118" t="n">
        <v>64.56999999999999</v>
      </c>
      <c r="F479" s="96">
        <f>IFERROR(D479*E479,0)</f>
        <v/>
      </c>
      <c r="G479" s="90">
        <f>INDEX(SETORES!$B:$B,MATCH(A479,SETORES!$A:$A,0))</f>
        <v/>
      </c>
      <c r="H479" s="90" t="inlineStr">
        <is>
          <t>Maio/2026</t>
        </is>
      </c>
    </row>
    <row r="480" hidden="1" ht="14.25" customHeight="1" s="75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5">
      <c r="A481" s="90" t="inlineStr">
        <is>
          <t>TIC</t>
        </is>
      </c>
      <c r="B481" s="90" t="inlineStr">
        <is>
          <t>Custo Fixo</t>
        </is>
      </c>
      <c r="C481" s="90" t="inlineStr">
        <is>
          <t>Stargrid</t>
        </is>
      </c>
      <c r="D481" s="117" t="n">
        <v>6</v>
      </c>
      <c r="E481" s="118" t="n">
        <v>2.07</v>
      </c>
      <c r="F481" s="96">
        <f>IFERROR(D481*E481,0)</f>
        <v/>
      </c>
      <c r="G481" s="90">
        <f>INDEX(SETORES!$B:$B,MATCH(A481,SETORES!$A:$A,0))</f>
        <v/>
      </c>
      <c r="H481" s="90" t="inlineStr">
        <is>
          <t>Maio/2026</t>
        </is>
      </c>
    </row>
    <row r="482" hidden="1" ht="14.25" customHeight="1" s="75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5">
      <c r="A483" s="90" t="inlineStr">
        <is>
          <t>TIC</t>
        </is>
      </c>
      <c r="B483" s="90" t="inlineStr">
        <is>
          <t>Custo Fixo</t>
        </is>
      </c>
      <c r="C483" s="90" t="inlineStr">
        <is>
          <t>Despesas com RH</t>
        </is>
      </c>
      <c r="D483" s="117" t="n">
        <v>6</v>
      </c>
      <c r="E483" s="118" t="n">
        <v>28.31</v>
      </c>
      <c r="F483" s="96">
        <f>IFERROR(D483*E483,0)</f>
        <v/>
      </c>
      <c r="G483" s="90">
        <f>INDEX(SETORES!$B:$B,MATCH(A483,SETORES!$A:$A,0))</f>
        <v/>
      </c>
      <c r="H483" s="90" t="inlineStr">
        <is>
          <t>Maio/2026</t>
        </is>
      </c>
    </row>
    <row r="484" hidden="1" ht="14.25" customHeight="1" s="75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5">
      <c r="A485" s="90" t="inlineStr">
        <is>
          <t>TIC</t>
        </is>
      </c>
      <c r="B485" s="90" t="inlineStr">
        <is>
          <t>Custo Fixo</t>
        </is>
      </c>
      <c r="C485" s="90" t="inlineStr">
        <is>
          <t>Despesas com SST</t>
        </is>
      </c>
      <c r="D485" s="117" t="n">
        <v>6</v>
      </c>
      <c r="E485" s="118" t="n">
        <v>64.56999999999999</v>
      </c>
      <c r="F485" s="96">
        <f>IFERROR(D485*E485,0)</f>
        <v/>
      </c>
      <c r="G485" s="90">
        <f>INDEX(SETORES!$B:$B,MATCH(A485,SETORES!$A:$A,0))</f>
        <v/>
      </c>
      <c r="H485" s="90" t="inlineStr">
        <is>
          <t>Maio/2026</t>
        </is>
      </c>
    </row>
    <row r="486" hidden="1" ht="14.25" customHeight="1" s="75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5">
      <c r="A487" s="90" t="inlineStr">
        <is>
          <t>COE</t>
        </is>
      </c>
      <c r="B487" s="90" t="inlineStr">
        <is>
          <t>Custo Fixo</t>
        </is>
      </c>
      <c r="C487" s="90" t="inlineStr">
        <is>
          <t>Stargrid</t>
        </is>
      </c>
      <c r="D487" s="117" t="n">
        <v>14</v>
      </c>
      <c r="E487" s="118" t="n">
        <v>2.07</v>
      </c>
      <c r="F487" s="96">
        <f>IFERROR(D487*E487,0)</f>
        <v/>
      </c>
      <c r="G487" s="90">
        <f>INDEX(SETORES!$B:$B,MATCH(A487,SETORES!$A:$A,0))</f>
        <v/>
      </c>
      <c r="H487" s="90" t="inlineStr">
        <is>
          <t>Maio/2026</t>
        </is>
      </c>
    </row>
    <row r="488" hidden="1" ht="14.25" customHeight="1" s="75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5">
      <c r="A489" s="90" t="inlineStr">
        <is>
          <t>COE</t>
        </is>
      </c>
      <c r="B489" s="90" t="inlineStr">
        <is>
          <t>Custo Fixo</t>
        </is>
      </c>
      <c r="C489" s="90" t="inlineStr">
        <is>
          <t>Despesas com RH</t>
        </is>
      </c>
      <c r="D489" s="117" t="n">
        <v>14</v>
      </c>
      <c r="E489" s="118" t="n">
        <v>28.31</v>
      </c>
      <c r="F489" s="96">
        <f>IFERROR(D489*E489,0)</f>
        <v/>
      </c>
      <c r="G489" s="90">
        <f>INDEX(SETORES!$B:$B,MATCH(A489,SETORES!$A:$A,0))</f>
        <v/>
      </c>
      <c r="H489" s="90" t="inlineStr">
        <is>
          <t>Maio/2026</t>
        </is>
      </c>
    </row>
    <row r="490" hidden="1" ht="14.25" customHeight="1" s="75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5">
      <c r="A491" s="90" t="inlineStr">
        <is>
          <t>COE</t>
        </is>
      </c>
      <c r="B491" s="90" t="inlineStr">
        <is>
          <t>Custo Fixo</t>
        </is>
      </c>
      <c r="C491" s="90" t="inlineStr">
        <is>
          <t>Despesas com SST</t>
        </is>
      </c>
      <c r="D491" s="117" t="n">
        <v>14</v>
      </c>
      <c r="E491" s="118" t="n">
        <v>64.56999999999999</v>
      </c>
      <c r="F491" s="96">
        <f>IFERROR(D491*E491,0)</f>
        <v/>
      </c>
      <c r="G491" s="90">
        <f>INDEX(SETORES!$B:$B,MATCH(A491,SETORES!$A:$A,0))</f>
        <v/>
      </c>
      <c r="H491" s="90" t="inlineStr">
        <is>
          <t>Maio/2026</t>
        </is>
      </c>
    </row>
    <row r="492" hidden="1" ht="14.25" customHeight="1" s="75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5">
      <c r="A493" s="90" t="inlineStr">
        <is>
          <t>Fique Móvel</t>
        </is>
      </c>
      <c r="B493" s="90" t="inlineStr">
        <is>
          <t>Custo Fixo</t>
        </is>
      </c>
      <c r="C493" s="90" t="inlineStr">
        <is>
          <t>Stargrid</t>
        </is>
      </c>
      <c r="D493" s="117" t="n">
        <v>2</v>
      </c>
      <c r="E493" s="118" t="n">
        <v>2.07</v>
      </c>
      <c r="F493" s="96">
        <f>IFERROR(D493*E493,0)</f>
        <v/>
      </c>
      <c r="G493" s="90">
        <f>INDEX(SETORES!$B:$B,MATCH(A493,SETORES!$A:$A,0))</f>
        <v/>
      </c>
      <c r="H493" s="90" t="inlineStr">
        <is>
          <t>Maio/2026</t>
        </is>
      </c>
    </row>
    <row r="494" hidden="1" ht="14.25" customHeight="1" s="75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5">
      <c r="A495" s="90" t="inlineStr">
        <is>
          <t>Fique Móvel</t>
        </is>
      </c>
      <c r="B495" s="90" t="inlineStr">
        <is>
          <t>Custo Fixo</t>
        </is>
      </c>
      <c r="C495" s="90" t="inlineStr">
        <is>
          <t>Despesas com RH</t>
        </is>
      </c>
      <c r="D495" s="117" t="n">
        <v>2</v>
      </c>
      <c r="E495" s="118" t="n">
        <v>28.31</v>
      </c>
      <c r="F495" s="96">
        <f>IFERROR(D495*E495,0)</f>
        <v/>
      </c>
      <c r="G495" s="90">
        <f>INDEX(SETORES!$B:$B,MATCH(A495,SETORES!$A:$A,0))</f>
        <v/>
      </c>
      <c r="H495" s="90" t="inlineStr">
        <is>
          <t>Maio/2026</t>
        </is>
      </c>
    </row>
    <row r="496" hidden="1" ht="14.25" customHeight="1" s="75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5">
      <c r="A497" s="90" t="inlineStr">
        <is>
          <t>Fique Móvel</t>
        </is>
      </c>
      <c r="B497" s="90" t="inlineStr">
        <is>
          <t>Custo Fixo</t>
        </is>
      </c>
      <c r="C497" s="90" t="inlineStr">
        <is>
          <t>Despesas com SST</t>
        </is>
      </c>
      <c r="D497" s="117" t="n">
        <v>2</v>
      </c>
      <c r="E497" s="118" t="n">
        <v>64.56999999999999</v>
      </c>
      <c r="F497" s="96">
        <f>IFERROR(D497*E497,0)</f>
        <v/>
      </c>
      <c r="G497" s="90">
        <f>INDEX(SETORES!$B:$B,MATCH(A497,SETORES!$A:$A,0))</f>
        <v/>
      </c>
      <c r="H497" s="90" t="inlineStr">
        <is>
          <t>Maio/2026</t>
        </is>
      </c>
    </row>
    <row r="498" hidden="1" ht="14.25" customHeight="1" s="75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5">
      <c r="A499" s="90" t="inlineStr">
        <is>
          <t>Lançamento</t>
        </is>
      </c>
      <c r="B499" s="90" t="inlineStr">
        <is>
          <t>Custo Fixo</t>
        </is>
      </c>
      <c r="C499" s="90" t="inlineStr">
        <is>
          <t>Stargrid</t>
        </is>
      </c>
      <c r="D499" s="117" t="n">
        <v>22</v>
      </c>
      <c r="E499" s="118" t="n">
        <v>2.07</v>
      </c>
      <c r="F499" s="96">
        <f>IFERROR(D499*E499,0)</f>
        <v/>
      </c>
      <c r="G499" s="90">
        <f>INDEX(SETORES!$B:$B,MATCH(A499,SETORES!$A:$A,0))</f>
        <v/>
      </c>
      <c r="H499" s="90" t="inlineStr">
        <is>
          <t>Maio/2026</t>
        </is>
      </c>
    </row>
    <row r="500" hidden="1" ht="14.25" customHeight="1" s="75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5">
      <c r="A501" s="90" t="inlineStr">
        <is>
          <t>Lançamento</t>
        </is>
      </c>
      <c r="B501" s="90" t="inlineStr">
        <is>
          <t>Custo Fixo</t>
        </is>
      </c>
      <c r="C501" s="90" t="inlineStr">
        <is>
          <t>Despesas com RH</t>
        </is>
      </c>
      <c r="D501" s="117" t="n">
        <v>22</v>
      </c>
      <c r="E501" s="118" t="n">
        <v>28.31</v>
      </c>
      <c r="F501" s="96">
        <f>IFERROR(D501*E501,0)</f>
        <v/>
      </c>
      <c r="G501" s="90">
        <f>INDEX(SETORES!$B:$B,MATCH(A501,SETORES!$A:$A,0))</f>
        <v/>
      </c>
      <c r="H501" s="90" t="inlineStr">
        <is>
          <t>Maio/2026</t>
        </is>
      </c>
    </row>
    <row r="502" hidden="1" ht="14.25" customHeight="1" s="75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5">
      <c r="A503" s="90" t="inlineStr">
        <is>
          <t>Lançamento</t>
        </is>
      </c>
      <c r="B503" s="90" t="inlineStr">
        <is>
          <t>Custo Fixo</t>
        </is>
      </c>
      <c r="C503" s="90" t="inlineStr">
        <is>
          <t>Despesas com SST</t>
        </is>
      </c>
      <c r="D503" s="117" t="n">
        <v>22</v>
      </c>
      <c r="E503" s="118" t="n">
        <v>64.56999999999999</v>
      </c>
      <c r="F503" s="96">
        <f>IFERROR(D503*E503,0)</f>
        <v/>
      </c>
      <c r="G503" s="90">
        <f>INDEX(SETORES!$B:$B,MATCH(A503,SETORES!$A:$A,0))</f>
        <v/>
      </c>
      <c r="H503" s="90" t="inlineStr">
        <is>
          <t>Maio/2026</t>
        </is>
      </c>
    </row>
    <row r="504" hidden="1" ht="14.25" customHeight="1" s="75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5">
      <c r="A505" s="90" t="inlineStr">
        <is>
          <t>Fusão</t>
        </is>
      </c>
      <c r="B505" s="90" t="inlineStr">
        <is>
          <t>Custo Fixo</t>
        </is>
      </c>
      <c r="C505" s="90" t="inlineStr">
        <is>
          <t>Stargrid</t>
        </is>
      </c>
      <c r="D505" s="117" t="n">
        <v>9</v>
      </c>
      <c r="E505" s="118" t="n">
        <v>2.07</v>
      </c>
      <c r="F505" s="96">
        <f>IFERROR(D505*E505,0)</f>
        <v/>
      </c>
      <c r="G505" s="90">
        <f>INDEX(SETORES!$B:$B,MATCH(A505,SETORES!$A:$A,0))</f>
        <v/>
      </c>
      <c r="H505" s="90" t="inlineStr">
        <is>
          <t>Maio/2026</t>
        </is>
      </c>
    </row>
    <row r="506" hidden="1" ht="14.25" customHeight="1" s="75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5">
      <c r="A507" s="90" t="inlineStr">
        <is>
          <t>Fusão</t>
        </is>
      </c>
      <c r="B507" s="90" t="inlineStr">
        <is>
          <t>Custo Fixo</t>
        </is>
      </c>
      <c r="C507" s="90" t="inlineStr">
        <is>
          <t>Despesas com RH</t>
        </is>
      </c>
      <c r="D507" s="117" t="n">
        <v>9</v>
      </c>
      <c r="E507" s="118" t="n">
        <v>28.31</v>
      </c>
      <c r="F507" s="96">
        <f>IFERROR(D507*E507,0)</f>
        <v/>
      </c>
      <c r="G507" s="90">
        <f>INDEX(SETORES!$B:$B,MATCH(A507,SETORES!$A:$A,0))</f>
        <v/>
      </c>
      <c r="H507" s="90" t="inlineStr">
        <is>
          <t>Maio/2026</t>
        </is>
      </c>
    </row>
    <row r="508" hidden="1" ht="14.25" customHeight="1" s="75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5">
      <c r="A509" s="90" t="inlineStr">
        <is>
          <t>Fusão</t>
        </is>
      </c>
      <c r="B509" s="90" t="inlineStr">
        <is>
          <t>Custo Fixo</t>
        </is>
      </c>
      <c r="C509" s="90" t="inlineStr">
        <is>
          <t>Despesas com SST</t>
        </is>
      </c>
      <c r="D509" s="117" t="n">
        <v>9</v>
      </c>
      <c r="E509" s="118" t="n">
        <v>64.56999999999999</v>
      </c>
      <c r="F509" s="96">
        <f>IFERROR(D509*E509,0)</f>
        <v/>
      </c>
      <c r="G509" s="90">
        <f>INDEX(SETORES!$B:$B,MATCH(A509,SETORES!$A:$A,0))</f>
        <v/>
      </c>
      <c r="H509" s="90" t="inlineStr">
        <is>
          <t>Maio/2026</t>
        </is>
      </c>
    </row>
    <row r="510" hidden="1" ht="14.25" customHeight="1" s="75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5">
      <c r="A511" s="90" t="inlineStr">
        <is>
          <t>Diretoria Adm</t>
        </is>
      </c>
      <c r="B511" s="90" t="inlineStr">
        <is>
          <t>Custo Fixo</t>
        </is>
      </c>
      <c r="C511" s="90" t="inlineStr">
        <is>
          <t>Stargrid</t>
        </is>
      </c>
      <c r="D511" s="117" t="n">
        <v>3</v>
      </c>
      <c r="E511" s="118" t="n">
        <v>2.07</v>
      </c>
      <c r="F511" s="96">
        <f>IFERROR(D511*E511,0)</f>
        <v/>
      </c>
      <c r="G511" s="90">
        <f>INDEX(SETORES!$B:$B,MATCH(A511,SETORES!$A:$A,0))</f>
        <v/>
      </c>
      <c r="H511" s="90" t="inlineStr">
        <is>
          <t>Maio/2026</t>
        </is>
      </c>
    </row>
    <row r="512" hidden="1" ht="14.25" customHeight="1" s="75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5">
      <c r="A513" s="90" t="inlineStr">
        <is>
          <t>Diretoria Adm</t>
        </is>
      </c>
      <c r="B513" s="90" t="inlineStr">
        <is>
          <t>Custo Fixo</t>
        </is>
      </c>
      <c r="C513" s="90" t="inlineStr">
        <is>
          <t>Despesas com RH</t>
        </is>
      </c>
      <c r="D513" s="117" t="n">
        <v>3</v>
      </c>
      <c r="E513" s="118" t="n">
        <v>28.31</v>
      </c>
      <c r="F513" s="96">
        <f>IFERROR(D513*E513,0)</f>
        <v/>
      </c>
      <c r="G513" s="90">
        <f>INDEX(SETORES!$B:$B,MATCH(A513,SETORES!$A:$A,0))</f>
        <v/>
      </c>
      <c r="H513" s="90" t="inlineStr">
        <is>
          <t>Maio/2026</t>
        </is>
      </c>
    </row>
    <row r="514" hidden="1" ht="14.25" customHeight="1" s="75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5">
      <c r="A515" s="90" t="inlineStr">
        <is>
          <t>Diretoria Adm</t>
        </is>
      </c>
      <c r="B515" s="90" t="inlineStr">
        <is>
          <t>Custo Fixo</t>
        </is>
      </c>
      <c r="C515" s="90" t="inlineStr">
        <is>
          <t>Despesas com SST</t>
        </is>
      </c>
      <c r="D515" s="117" t="n">
        <v>3</v>
      </c>
      <c r="E515" s="118" t="n">
        <v>64.56999999999999</v>
      </c>
      <c r="F515" s="96">
        <f>IFERROR(D515*E515,0)</f>
        <v/>
      </c>
      <c r="G515" s="90">
        <f>INDEX(SETORES!$B:$B,MATCH(A515,SETORES!$A:$A,0))</f>
        <v/>
      </c>
      <c r="H515" s="90" t="inlineStr">
        <is>
          <t>Maio/2026</t>
        </is>
      </c>
    </row>
    <row r="516" hidden="1" ht="14.25" customHeight="1" s="75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5">
      <c r="A517" s="90" t="inlineStr">
        <is>
          <t>Cozinha</t>
        </is>
      </c>
      <c r="B517" s="90" t="inlineStr">
        <is>
          <t>Custo Fixo</t>
        </is>
      </c>
      <c r="C517" s="90" t="inlineStr">
        <is>
          <t>Folha de pagamento (salários)</t>
        </is>
      </c>
      <c r="D517" s="117" t="n">
        <v>1</v>
      </c>
      <c r="E517" s="118" t="n">
        <v>22222.82</v>
      </c>
      <c r="F517" s="96">
        <f>IFERROR(E517,0)</f>
        <v/>
      </c>
      <c r="G517" s="90">
        <f>INDEX(SETORES!$B:$B,MATCH(A517,SETORES!$A:$A,0))</f>
        <v/>
      </c>
      <c r="H517" s="90" t="inlineStr">
        <is>
          <t>Maio/2026</t>
        </is>
      </c>
    </row>
    <row r="518" hidden="1" ht="14.25" customHeight="1" s="75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5">
      <c r="A519" s="90" t="inlineStr">
        <is>
          <t>Cozinha</t>
        </is>
      </c>
      <c r="B519" s="90" t="inlineStr">
        <is>
          <t>Custo Variável</t>
        </is>
      </c>
      <c r="C519" s="90" t="inlineStr">
        <is>
          <t>Rateio de transporte coletivo</t>
        </is>
      </c>
      <c r="D519" s="117" t="n">
        <v>7</v>
      </c>
      <c r="E519" s="118" t="n">
        <v>89.55</v>
      </c>
      <c r="F519" s="96">
        <f>IFERROR(D519*E519,0)</f>
        <v/>
      </c>
      <c r="G519" s="90">
        <f>INDEX(SETORES!$B:$B,MATCH(A519,SETORES!$A:$A,0))</f>
        <v/>
      </c>
      <c r="H519" s="90" t="inlineStr">
        <is>
          <t>Maio/2026</t>
        </is>
      </c>
    </row>
    <row r="520" hidden="1" ht="14.25" customHeight="1" s="75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5">
      <c r="A521" s="90" t="inlineStr">
        <is>
          <t>COE</t>
        </is>
      </c>
      <c r="B521" s="90" t="inlineStr">
        <is>
          <t>Custo Fixo</t>
        </is>
      </c>
      <c r="C521" s="90" t="inlineStr">
        <is>
          <t>Água e esgoto (rateio)</t>
        </is>
      </c>
      <c r="D521" s="117" t="n">
        <v>14</v>
      </c>
      <c r="E521" s="118" t="n">
        <v>0.6343</v>
      </c>
      <c r="F521" s="96" t="n">
        <v>8.8802</v>
      </c>
      <c r="G521" s="90">
        <f>INDEX(SETORES!$B:$B,MATCH(A521,SETORES!$A:$A,0))</f>
        <v/>
      </c>
      <c r="H521" s="90" t="inlineStr">
        <is>
          <t>Maio/2026</t>
        </is>
      </c>
    </row>
    <row r="522" hidden="1" ht="14.25" customHeight="1" s="75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5">
      <c r="A523" s="90" t="inlineStr">
        <is>
          <t>Cozinha</t>
        </is>
      </c>
      <c r="B523" s="90" t="inlineStr">
        <is>
          <t>Custo Fixo</t>
        </is>
      </c>
      <c r="C523" s="90" t="inlineStr">
        <is>
          <t>Água e esgoto (rateio)</t>
        </is>
      </c>
      <c r="D523" s="117" t="n">
        <v>7</v>
      </c>
      <c r="E523" s="118" t="n">
        <v>0.6343</v>
      </c>
      <c r="F523" s="96" t="n">
        <v>4.4401</v>
      </c>
      <c r="G523" s="90">
        <f>INDEX(SETORES!$B:$B,MATCH(A523,SETORES!$A:$A,0))</f>
        <v/>
      </c>
      <c r="H523" s="90" t="inlineStr">
        <is>
          <t>Maio/2026</t>
        </is>
      </c>
    </row>
    <row r="524" hidden="1" ht="14.25" customHeight="1" s="75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5">
      <c r="A525" s="90" t="inlineStr">
        <is>
          <t>Compras</t>
        </is>
      </c>
      <c r="B525" s="90" t="inlineStr">
        <is>
          <t>Custo Variável</t>
        </is>
      </c>
      <c r="C525" s="90" t="inlineStr">
        <is>
          <t>Rescisões trabalhistas</t>
        </is>
      </c>
      <c r="D525" s="117" t="n"/>
      <c r="E525" s="118" t="n"/>
      <c r="F525" s="96">
        <f>IFERROR(D525*E525,0)</f>
        <v/>
      </c>
      <c r="G525" s="90">
        <f>INDEX(SETORES!$B:$B,MATCH(A525,SETORES!$A:$A,0))</f>
        <v/>
      </c>
      <c r="H525" s="90" t="inlineStr">
        <is>
          <t>Maio/2026</t>
        </is>
      </c>
    </row>
    <row r="526" hidden="1" ht="14.25" customHeight="1" s="75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5">
      <c r="A527" s="90" t="inlineStr">
        <is>
          <t>Cozinha</t>
        </is>
      </c>
      <c r="B527" s="90" t="inlineStr">
        <is>
          <t>Custo Variável</t>
        </is>
      </c>
      <c r="C527" s="90" t="inlineStr">
        <is>
          <t>Rescisões trabalhistas</t>
        </is>
      </c>
      <c r="D527" s="117" t="n"/>
      <c r="E527" s="118" t="n"/>
      <c r="F527" s="96">
        <f>IFERROR(D527*E527,0)</f>
        <v/>
      </c>
      <c r="G527" s="90">
        <f>INDEX(SETORES!$B:$B,MATCH(A527,SETORES!$A:$A,0))</f>
        <v/>
      </c>
      <c r="H527" s="90" t="inlineStr">
        <is>
          <t>Maio/2026</t>
        </is>
      </c>
    </row>
    <row r="528" hidden="1" ht="14.25" customHeight="1" s="75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5">
      <c r="A529" s="90" t="inlineStr">
        <is>
          <t>Diretoria Operacional</t>
        </is>
      </c>
      <c r="B529" s="90" t="inlineStr">
        <is>
          <t>Custo Variável</t>
        </is>
      </c>
      <c r="C529" s="90" t="inlineStr">
        <is>
          <t>Rescisões trabalhistas</t>
        </is>
      </c>
      <c r="D529" s="117" t="n"/>
      <c r="E529" s="118" t="n"/>
      <c r="F529" s="96">
        <f>IFERROR(D529*E529,0)</f>
        <v/>
      </c>
      <c r="G529" s="90">
        <f>INDEX(SETORES!$B:$B,MATCH(A529,SETORES!$A:$A,0))</f>
        <v/>
      </c>
      <c r="H529" s="90" t="inlineStr">
        <is>
          <t>Maio/2026</t>
        </is>
      </c>
    </row>
    <row r="530" hidden="1" ht="14.25" customHeight="1" s="75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5">
      <c r="A531" s="90" t="inlineStr">
        <is>
          <t>Fique Móvel</t>
        </is>
      </c>
      <c r="B531" s="90" t="inlineStr">
        <is>
          <t>Custo Variável</t>
        </is>
      </c>
      <c r="C531" s="90" t="inlineStr">
        <is>
          <t>Rescisões trabalhistas</t>
        </is>
      </c>
      <c r="D531" s="117" t="n"/>
      <c r="E531" s="118" t="n"/>
      <c r="F531" s="96">
        <f>IFERROR(D531*E531,0)</f>
        <v/>
      </c>
      <c r="G531" s="90">
        <f>INDEX(SETORES!$B:$B,MATCH(A531,SETORES!$A:$A,0))</f>
        <v/>
      </c>
      <c r="H531" s="90" t="inlineStr">
        <is>
          <t>Maio/2026</t>
        </is>
      </c>
    </row>
    <row r="532" hidden="1" ht="14.25" customHeight="1" s="75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5">
      <c r="A533" s="90" t="inlineStr">
        <is>
          <t>Gestão de Atendimento</t>
        </is>
      </c>
      <c r="B533" s="90" t="inlineStr">
        <is>
          <t>Custo Variável</t>
        </is>
      </c>
      <c r="C533" s="90" t="inlineStr">
        <is>
          <t>Rescisões trabalhistas</t>
        </is>
      </c>
      <c r="D533" s="117" t="n"/>
      <c r="E533" s="118" t="n"/>
      <c r="F533" s="96">
        <f>IFERROR(D533*E533,0)</f>
        <v/>
      </c>
      <c r="G533" s="90">
        <f>INDEX(SETORES!$B:$B,MATCH(A533,SETORES!$A:$A,0))</f>
        <v/>
      </c>
      <c r="H533" s="90" t="inlineStr">
        <is>
          <t>Maio/2026</t>
        </is>
      </c>
    </row>
    <row r="534" hidden="1" ht="14.25" customHeight="1" s="75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5">
      <c r="A535" s="90" t="inlineStr">
        <is>
          <t>Logística</t>
        </is>
      </c>
      <c r="B535" s="90" t="inlineStr">
        <is>
          <t>Custo Variável</t>
        </is>
      </c>
      <c r="C535" s="90" t="inlineStr">
        <is>
          <t>Rescisões trabalhistas</t>
        </is>
      </c>
      <c r="D535" s="117" t="n"/>
      <c r="E535" s="118" t="n"/>
      <c r="F535" s="96">
        <f>IFERROR(D535*E535,0)</f>
        <v/>
      </c>
      <c r="G535" s="90">
        <f>INDEX(SETORES!$B:$B,MATCH(A535,SETORES!$A:$A,0))</f>
        <v/>
      </c>
      <c r="H535" s="90" t="inlineStr">
        <is>
          <t>Maio/2026</t>
        </is>
      </c>
    </row>
    <row r="536" hidden="1" ht="14.25" customHeight="1" s="75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5">
      <c r="A537" s="90" t="inlineStr">
        <is>
          <t>Oficina</t>
        </is>
      </c>
      <c r="B537" s="90" t="inlineStr">
        <is>
          <t>Custo Variável</t>
        </is>
      </c>
      <c r="C537" s="90" t="inlineStr">
        <is>
          <t>Rescisões trabalhistas</t>
        </is>
      </c>
      <c r="D537" s="117" t="n"/>
      <c r="E537" s="118" t="n"/>
      <c r="F537" s="96">
        <f>IFERROR(D537*E537,0)</f>
        <v/>
      </c>
      <c r="G537" s="90">
        <f>INDEX(SETORES!$B:$B,MATCH(A537,SETORES!$A:$A,0))</f>
        <v/>
      </c>
      <c r="H537" s="90" t="inlineStr">
        <is>
          <t>Maio/2026</t>
        </is>
      </c>
    </row>
    <row r="538" hidden="1" ht="14.25" customHeight="1" s="75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5">
      <c r="A539" s="90" t="inlineStr">
        <is>
          <t>RH</t>
        </is>
      </c>
      <c r="B539" s="90" t="inlineStr">
        <is>
          <t>Custo Variável</t>
        </is>
      </c>
      <c r="C539" s="90" t="inlineStr">
        <is>
          <t>Rescisões trabalhistas</t>
        </is>
      </c>
      <c r="D539" s="117" t="n"/>
      <c r="E539" s="118" t="n"/>
      <c r="F539" s="96">
        <f>IFERROR(D539*E539,0)</f>
        <v/>
      </c>
      <c r="G539" s="90">
        <f>INDEX(SETORES!$B:$B,MATCH(A539,SETORES!$A:$A,0))</f>
        <v/>
      </c>
      <c r="H539" s="90" t="inlineStr">
        <is>
          <t>Maio/2026</t>
        </is>
      </c>
    </row>
    <row r="540" hidden="1" ht="14.25" customHeight="1" s="75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5">
      <c r="A541" s="90" t="inlineStr">
        <is>
          <t>TIC</t>
        </is>
      </c>
      <c r="B541" s="90" t="inlineStr">
        <is>
          <t>Custo Fixo</t>
        </is>
      </c>
      <c r="C541" s="90" t="inlineStr">
        <is>
          <t>Impressora</t>
        </is>
      </c>
      <c r="D541" s="117" t="n">
        <v>1</v>
      </c>
      <c r="E541" s="118" t="n">
        <v>6.666666</v>
      </c>
      <c r="F541" s="96">
        <f>IFERROR(D541*E541,0)</f>
        <v/>
      </c>
      <c r="G541" s="90">
        <f>INDEX(SETORES!$B:$B,MATCH(A541,SETORES!$A:$A,0))</f>
        <v/>
      </c>
      <c r="H541" s="90" t="inlineStr">
        <is>
          <t>Maio/2026</t>
        </is>
      </c>
    </row>
    <row r="542" hidden="1" ht="14.25" customHeight="1" s="75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5">
      <c r="A543" s="90" t="inlineStr">
        <is>
          <t>Contabilidade</t>
        </is>
      </c>
      <c r="B543" s="90" t="inlineStr">
        <is>
          <t>Custo Fixo</t>
        </is>
      </c>
      <c r="C543" s="90" t="inlineStr">
        <is>
          <t>Impressora</t>
        </is>
      </c>
      <c r="D543" s="117" t="n">
        <v>1</v>
      </c>
      <c r="E543" s="118" t="n">
        <v>5.555555</v>
      </c>
      <c r="F543" s="96">
        <f>IFERROR(D543*E543,0)</f>
        <v/>
      </c>
      <c r="G543" s="90">
        <f>INDEX(SETORES!$B:$B,MATCH(A543,SETORES!$A:$A,0))</f>
        <v/>
      </c>
      <c r="H543" s="90" t="inlineStr">
        <is>
          <t>Maio/2026</t>
        </is>
      </c>
    </row>
    <row r="544" hidden="1" ht="14.25" customHeight="1" s="75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5">
      <c r="A545" s="90" t="inlineStr">
        <is>
          <t>RH</t>
        </is>
      </c>
      <c r="B545" s="90" t="inlineStr">
        <is>
          <t>Custo Fixo</t>
        </is>
      </c>
      <c r="C545" s="90" t="inlineStr">
        <is>
          <t>Impressora</t>
        </is>
      </c>
      <c r="D545" s="117" t="n">
        <v>1</v>
      </c>
      <c r="E545" s="118" t="n">
        <v>4.444444</v>
      </c>
      <c r="F545" s="96">
        <f>IFERROR(D545*E545,0)</f>
        <v/>
      </c>
      <c r="G545" s="90">
        <f>INDEX(SETORES!$B:$B,MATCH(A545,SETORES!$A:$A,0))</f>
        <v/>
      </c>
      <c r="H545" s="90" t="inlineStr">
        <is>
          <t>Maio/2026</t>
        </is>
      </c>
    </row>
    <row r="546" hidden="1" ht="14.25" customHeight="1" s="75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5">
      <c r="A547" s="90" t="inlineStr">
        <is>
          <t>Diretoria Operacional</t>
        </is>
      </c>
      <c r="B547" s="90" t="inlineStr">
        <is>
          <t>Custo Fixo</t>
        </is>
      </c>
      <c r="C547" s="90" t="inlineStr">
        <is>
          <t>Impressora</t>
        </is>
      </c>
      <c r="D547" s="117" t="n">
        <v>1</v>
      </c>
      <c r="E547" s="118" t="n">
        <v>2.222222</v>
      </c>
      <c r="F547" s="96">
        <f>IFERROR(D547*E547,0)</f>
        <v/>
      </c>
      <c r="G547" s="90">
        <f>INDEX(SETORES!$B:$B,MATCH(A547,SETORES!$A:$A,0))</f>
        <v/>
      </c>
      <c r="H547" s="90" t="inlineStr">
        <is>
          <t>Maio/2026</t>
        </is>
      </c>
    </row>
    <row r="548" hidden="1" ht="14.25" customHeight="1" s="75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5">
      <c r="A549" s="90" t="inlineStr">
        <is>
          <t>Controladoria</t>
        </is>
      </c>
      <c r="B549" s="90" t="inlineStr">
        <is>
          <t>Custo Fixo</t>
        </is>
      </c>
      <c r="C549" s="90" t="inlineStr">
        <is>
          <t>Impressora</t>
        </is>
      </c>
      <c r="D549" s="117" t="n">
        <v>1</v>
      </c>
      <c r="E549" s="118" t="n">
        <v>1.111111</v>
      </c>
      <c r="F549" s="96">
        <f>IFERROR(D549*E549,0)</f>
        <v/>
      </c>
      <c r="G549" s="90">
        <f>INDEX(SETORES!$B:$B,MATCH(A549,SETORES!$A:$A,0))</f>
        <v/>
      </c>
      <c r="H549" s="90" t="inlineStr">
        <is>
          <t>Maio/2026</t>
        </is>
      </c>
    </row>
    <row r="550" hidden="1" ht="14.25" customHeight="1" s="75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5">
      <c r="A551" s="90" t="inlineStr">
        <is>
          <t>COE</t>
        </is>
      </c>
      <c r="B551" s="90" t="inlineStr">
        <is>
          <t>Custo Fixo</t>
        </is>
      </c>
      <c r="C551" s="90" t="inlineStr">
        <is>
          <t>Chip móvel corporativo</t>
        </is>
      </c>
      <c r="D551" s="117" t="n">
        <v>12</v>
      </c>
      <c r="E551" s="118" t="n">
        <v>30</v>
      </c>
      <c r="F551" s="96">
        <f>IFERROR(D551*E551,0)</f>
        <v/>
      </c>
      <c r="G551" s="90">
        <f>INDEX(SETORES!$B:$B,MATCH(A551,SETORES!$A:$A,0))</f>
        <v/>
      </c>
      <c r="H551" s="90" t="inlineStr">
        <is>
          <t>Maio/2026</t>
        </is>
      </c>
    </row>
    <row r="552" hidden="1" ht="14.25" customHeight="1" s="75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5">
      <c r="A553" s="90" t="inlineStr">
        <is>
          <t>Contabilidade</t>
        </is>
      </c>
      <c r="B553" s="90" t="inlineStr">
        <is>
          <t>Custo Fixo</t>
        </is>
      </c>
      <c r="C553" s="90" t="inlineStr">
        <is>
          <t>Chip móvel corporativo</t>
        </is>
      </c>
      <c r="D553" s="117" t="n">
        <v>2</v>
      </c>
      <c r="E553" s="118" t="n">
        <v>30</v>
      </c>
      <c r="F553" s="96">
        <f>IFERROR(D553*E553,0)</f>
        <v/>
      </c>
      <c r="G553" s="90">
        <f>INDEX(SETORES!$B:$B,MATCH(A553,SETORES!$A:$A,0))</f>
        <v/>
      </c>
      <c r="H553" s="90" t="inlineStr">
        <is>
          <t>Maio/2026</t>
        </is>
      </c>
    </row>
    <row r="554" hidden="1" ht="14.25" customHeight="1" s="75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5">
      <c r="A555" s="90" t="inlineStr">
        <is>
          <t>Engenharia</t>
        </is>
      </c>
      <c r="B555" s="90" t="inlineStr">
        <is>
          <t>Custo Fixo</t>
        </is>
      </c>
      <c r="C555" s="90" t="inlineStr">
        <is>
          <t>Chip móvel corporativo</t>
        </is>
      </c>
      <c r="D555" s="117" t="n">
        <v>8</v>
      </c>
      <c r="E555" s="118" t="n">
        <v>30</v>
      </c>
      <c r="F555" s="96">
        <f>IFERROR(D555*E555,0)</f>
        <v/>
      </c>
      <c r="G555" s="90">
        <f>INDEX(SETORES!$B:$B,MATCH(A555,SETORES!$A:$A,0))</f>
        <v/>
      </c>
      <c r="H555" s="90" t="inlineStr">
        <is>
          <t>Maio/2026</t>
        </is>
      </c>
    </row>
    <row r="556" hidden="1" ht="14.25" customHeight="1" s="75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5">
      <c r="A557" s="90" t="inlineStr">
        <is>
          <t>Fique Móvel</t>
        </is>
      </c>
      <c r="B557" s="90" t="inlineStr">
        <is>
          <t>Custo Fixo</t>
        </is>
      </c>
      <c r="C557" s="90" t="inlineStr">
        <is>
          <t>Chip móvel corporativo</t>
        </is>
      </c>
      <c r="D557" s="117" t="n">
        <v>2</v>
      </c>
      <c r="E557" s="118" t="n">
        <v>30</v>
      </c>
      <c r="F557" s="96">
        <f>IFERROR(D557*E557,0)</f>
        <v/>
      </c>
      <c r="G557" s="90">
        <f>INDEX(SETORES!$B:$B,MATCH(A557,SETORES!$A:$A,0))</f>
        <v/>
      </c>
      <c r="H557" s="90" t="inlineStr">
        <is>
          <t>Maio/2026</t>
        </is>
      </c>
    </row>
    <row r="558" hidden="1" ht="14.25" customHeight="1" s="75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5">
      <c r="A559" s="90" t="inlineStr">
        <is>
          <t>Jurídico</t>
        </is>
      </c>
      <c r="B559" s="90" t="inlineStr">
        <is>
          <t>Custo Fixo</t>
        </is>
      </c>
      <c r="C559" s="90" t="inlineStr">
        <is>
          <t>Chip móvel corporativo</t>
        </is>
      </c>
      <c r="D559" s="117" t="n">
        <v>2</v>
      </c>
      <c r="E559" s="118" t="n">
        <v>30</v>
      </c>
      <c r="F559" s="96">
        <f>IFERROR(D559*E559,0)</f>
        <v/>
      </c>
      <c r="G559" s="90">
        <f>INDEX(SETORES!$B:$B,MATCH(A559,SETORES!$A:$A,0))</f>
        <v/>
      </c>
      <c r="H559" s="90" t="inlineStr">
        <is>
          <t>Maio/2026</t>
        </is>
      </c>
    </row>
    <row r="560" hidden="1" ht="14.25" customHeight="1" s="75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5">
      <c r="A561" s="90" t="inlineStr">
        <is>
          <t>Manutenção Predial</t>
        </is>
      </c>
      <c r="B561" s="90" t="inlineStr">
        <is>
          <t>Custo Fixo</t>
        </is>
      </c>
      <c r="C561" s="90" t="inlineStr">
        <is>
          <t>Chip móvel corporativo</t>
        </is>
      </c>
      <c r="D561" s="117" t="n">
        <v>7</v>
      </c>
      <c r="E561" s="118" t="n">
        <v>30</v>
      </c>
      <c r="F561" s="96">
        <f>IFERROR(D561*E561,0)</f>
        <v/>
      </c>
      <c r="G561" s="90">
        <f>INDEX(SETORES!$B:$B,MATCH(A561,SETORES!$A:$A,0))</f>
        <v/>
      </c>
      <c r="H561" s="90" t="inlineStr">
        <is>
          <t>Maio/2026</t>
        </is>
      </c>
    </row>
    <row r="562" hidden="1" ht="14.25" customHeight="1" s="75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5">
      <c r="A563" s="90" t="inlineStr">
        <is>
          <t>NOC</t>
        </is>
      </c>
      <c r="B563" s="90" t="inlineStr">
        <is>
          <t>Custo Fixo</t>
        </is>
      </c>
      <c r="C563" s="90" t="inlineStr">
        <is>
          <t>Chip móvel corporativo</t>
        </is>
      </c>
      <c r="D563" s="117" t="n">
        <v>3</v>
      </c>
      <c r="E563" s="118" t="n">
        <v>30</v>
      </c>
      <c r="F563" s="96">
        <f>IFERROR(D563*E563,0)</f>
        <v/>
      </c>
      <c r="G563" s="90">
        <f>INDEX(SETORES!$B:$B,MATCH(A563,SETORES!$A:$A,0))</f>
        <v/>
      </c>
      <c r="H563" s="90" t="inlineStr">
        <is>
          <t>Maio/2026</t>
        </is>
      </c>
    </row>
    <row r="564" hidden="1" ht="14.25" customHeight="1" s="75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5">
      <c r="A565" s="90" t="inlineStr">
        <is>
          <t>Qualidade</t>
        </is>
      </c>
      <c r="B565" s="90" t="inlineStr">
        <is>
          <t>Custo Fixo</t>
        </is>
      </c>
      <c r="C565" s="90" t="inlineStr">
        <is>
          <t>Chip móvel corporativo</t>
        </is>
      </c>
      <c r="D565" s="117" t="n">
        <v>4</v>
      </c>
      <c r="E565" s="118" t="n">
        <v>30</v>
      </c>
      <c r="F565" s="96">
        <f>IFERROR(D565*E565,0)</f>
        <v/>
      </c>
      <c r="G565" s="90">
        <f>INDEX(SETORES!$B:$B,MATCH(A565,SETORES!$A:$A,0))</f>
        <v/>
      </c>
      <c r="H565" s="90" t="inlineStr">
        <is>
          <t>Maio/2026</t>
        </is>
      </c>
    </row>
    <row r="566" hidden="1" ht="14.25" customHeight="1" s="75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5">
      <c r="A567" s="90" t="inlineStr">
        <is>
          <t>Segurança do Trabalho</t>
        </is>
      </c>
      <c r="B567" s="90" t="inlineStr">
        <is>
          <t>Custo Fixo</t>
        </is>
      </c>
      <c r="C567" s="90" t="inlineStr">
        <is>
          <t>Chip móvel corporativo</t>
        </is>
      </c>
      <c r="D567" s="117" t="n">
        <v>5</v>
      </c>
      <c r="E567" s="118" t="n">
        <v>30</v>
      </c>
      <c r="F567" s="96">
        <f>IFERROR(D567*E567,0)</f>
        <v/>
      </c>
      <c r="G567" s="90">
        <f>INDEX(SETORES!$B:$B,MATCH(A567,SETORES!$A:$A,0))</f>
        <v/>
      </c>
      <c r="H567" s="90" t="inlineStr">
        <is>
          <t>Maio/2026</t>
        </is>
      </c>
    </row>
    <row r="568" hidden="1" ht="14.25" customHeight="1" s="75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5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5">
      <c r="A570" s="90" t="inlineStr">
        <is>
          <t>Gestão de Atendimento</t>
        </is>
      </c>
      <c r="B570" s="90" t="inlineStr">
        <is>
          <t>Custo Fixo</t>
        </is>
      </c>
      <c r="C570" s="90" t="inlineStr">
        <is>
          <t>Material de uso coletivo (copa/limpeza)</t>
        </is>
      </c>
      <c r="D570" s="117" t="n">
        <v>1</v>
      </c>
      <c r="E570" s="118" t="n">
        <v>184.6</v>
      </c>
      <c r="F570" s="96" t="n">
        <v>184.6</v>
      </c>
      <c r="G570" s="90">
        <f>INDEX(SETORES!$B:$B,MATCH(A570,SETORES!$A:$A,0))</f>
        <v/>
      </c>
      <c r="H570" s="90" t="inlineStr">
        <is>
          <t>Junho/2026</t>
        </is>
      </c>
    </row>
    <row r="571" hidden="1" ht="14.25" customHeight="1" s="75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5">
      <c r="A572" s="90" t="inlineStr">
        <is>
          <t>Gestão de Atendimento</t>
        </is>
      </c>
      <c r="B572" s="90" t="inlineStr">
        <is>
          <t>Custo Fixo</t>
        </is>
      </c>
      <c r="C572" s="90" t="inlineStr">
        <is>
          <t>Água e esgoto (rateio)</t>
        </is>
      </c>
      <c r="D572" s="117" t="n">
        <v>1</v>
      </c>
      <c r="E572" s="118" t="n">
        <v>0.125</v>
      </c>
      <c r="F572" s="96" t="n">
        <v>0.125</v>
      </c>
      <c r="G572" s="90">
        <f>INDEX(SETORES!$B:$B,MATCH(A572,SETORES!$A:$A,0))</f>
        <v/>
      </c>
      <c r="H572" s="90" t="inlineStr">
        <is>
          <t>Junho/2026</t>
        </is>
      </c>
    </row>
    <row r="573" hidden="1" ht="14.25" customHeight="1" s="75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5">
      <c r="A574" s="90" t="inlineStr">
        <is>
          <t>Gestão de Atendimento</t>
        </is>
      </c>
      <c r="B574" s="90" t="inlineStr">
        <is>
          <t>Custo Fixo</t>
        </is>
      </c>
      <c r="C574" s="90" t="inlineStr">
        <is>
          <t>Folha de pagamento (salários)</t>
        </is>
      </c>
      <c r="D574" s="117" t="n">
        <v>1</v>
      </c>
      <c r="E574" s="118" t="n">
        <v>19835.21</v>
      </c>
      <c r="F574" s="96">
        <f>IFERROR(E574,0)</f>
        <v/>
      </c>
      <c r="G574" s="90">
        <f>INDEX(SETORES!$B:$B,MATCH(A574,SETORES!$A:$A,0))</f>
        <v/>
      </c>
      <c r="H574" s="90" t="inlineStr">
        <is>
          <t>Junho/2026</t>
        </is>
      </c>
    </row>
    <row r="575" hidden="1" ht="14.25" customHeight="1" s="75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5">
      <c r="A576" s="90" t="inlineStr">
        <is>
          <t>Gestão de Atendimento</t>
        </is>
      </c>
      <c r="B576" s="90" t="inlineStr">
        <is>
          <t>Custo Variável</t>
        </is>
      </c>
      <c r="C576" s="90" t="inlineStr">
        <is>
          <t>Fardamento substituição</t>
        </is>
      </c>
      <c r="D576" s="117" t="n">
        <v>1</v>
      </c>
      <c r="E576" s="118" t="n">
        <v>38</v>
      </c>
      <c r="F576" s="96">
        <f>IFERROR(D576*E576,0)</f>
        <v/>
      </c>
      <c r="G576" s="90">
        <f>INDEX(SETORES!$B:$B,MATCH(A576,SETORES!$A:$A,0))</f>
        <v/>
      </c>
      <c r="H576" s="90" t="inlineStr">
        <is>
          <t>Junho/2026</t>
        </is>
      </c>
    </row>
    <row r="577" hidden="1" ht="14.25" customHeight="1" s="75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5">
      <c r="A578" s="90" t="inlineStr">
        <is>
          <t>Gestão de Atendimento</t>
        </is>
      </c>
      <c r="B578" s="90" t="inlineStr">
        <is>
          <t>Custo Fixo</t>
        </is>
      </c>
      <c r="C578" s="90" t="inlineStr">
        <is>
          <t>Licença de e-mail corporativo</t>
        </is>
      </c>
      <c r="D578" s="117" t="n">
        <v>8</v>
      </c>
      <c r="E578" s="118" t="n">
        <v>50</v>
      </c>
      <c r="F578" s="96">
        <f>IFERROR(D578*E578,0)</f>
        <v/>
      </c>
      <c r="G578" s="90">
        <f>INDEX(SETORES!$B:$B,MATCH(A578,SETORES!$A:$A,0))</f>
        <v/>
      </c>
      <c r="H578" s="90" t="inlineStr">
        <is>
          <t>Junho/2026</t>
        </is>
      </c>
    </row>
    <row r="579" hidden="1" ht="14.25" customHeight="1" s="75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5">
      <c r="A580" s="90" t="inlineStr">
        <is>
          <t>Gestão de Atendimento</t>
        </is>
      </c>
      <c r="B580" s="90" t="inlineStr">
        <is>
          <t>Custo Fixo</t>
        </is>
      </c>
      <c r="C580" s="90" t="inlineStr">
        <is>
          <t>Stargrid</t>
        </is>
      </c>
      <c r="D580" s="117" t="n">
        <v>5</v>
      </c>
      <c r="E580" s="118" t="n">
        <v>2.04</v>
      </c>
      <c r="F580" s="96">
        <f>IFERROR(D580*E580,0)</f>
        <v/>
      </c>
      <c r="G580" s="90">
        <f>INDEX(SETORES!$B:$B,MATCH(A580,SETORES!$A:$A,0))</f>
        <v/>
      </c>
      <c r="H580" s="90" t="inlineStr">
        <is>
          <t>Junho/2026</t>
        </is>
      </c>
    </row>
    <row r="581" hidden="1" ht="14.25" customHeight="1" s="75">
      <c r="A581" s="113" t="inlineStr">
        <is>
          <t>Administrativo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5">
      <c r="A582" s="90" t="inlineStr">
        <is>
          <t>Administrativo</t>
        </is>
      </c>
      <c r="B582" s="90" t="inlineStr">
        <is>
          <t>Custo Fixo</t>
        </is>
      </c>
      <c r="C582" s="90" t="inlineStr">
        <is>
          <t>Software exclusivo fiberschool (RH)</t>
        </is>
      </c>
      <c r="D582" s="117" t="n">
        <v>1</v>
      </c>
      <c r="E582" s="118" t="n">
        <v>2500</v>
      </c>
      <c r="F582" s="96">
        <f>IFERROR(D582*E582,0)</f>
        <v/>
      </c>
      <c r="G582" s="90">
        <f>INDEX(SETORES!$B:$B,MATCH(A582,SETORES!$A:$A,0))</f>
        <v/>
      </c>
      <c r="H582" s="90" t="inlineStr">
        <is>
          <t>Junho/2026</t>
        </is>
      </c>
    </row>
    <row r="583" hidden="1" ht="14.25" customHeight="1" s="75">
      <c r="A583" s="113" t="inlineStr">
        <is>
          <t>Administrativo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5">
      <c r="A584" s="90" t="inlineStr">
        <is>
          <t>Administrativo</t>
        </is>
      </c>
      <c r="B584" s="90" t="inlineStr">
        <is>
          <t>Custo Fixo</t>
        </is>
      </c>
      <c r="C584" s="90" t="inlineStr">
        <is>
          <t>Sistema de assinatura eletronica (autentique) (TIC)</t>
        </is>
      </c>
      <c r="D584" s="117" t="n">
        <v>1</v>
      </c>
      <c r="E584" s="118" t="n">
        <v>99</v>
      </c>
      <c r="F584" s="96">
        <f>IFERROR(D584*E584,0)</f>
        <v/>
      </c>
      <c r="G584" s="90">
        <f>INDEX(SETORES!$B:$B,MATCH(A584,SETORES!$A:$A,0))</f>
        <v/>
      </c>
      <c r="H584" s="90" t="inlineStr">
        <is>
          <t>Junho/2026</t>
        </is>
      </c>
    </row>
    <row r="585" hidden="1" ht="14.25" customHeight="1" s="75">
      <c r="A585" s="113" t="inlineStr">
        <is>
          <t>Administrativo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5">
      <c r="A586" s="90" t="inlineStr">
        <is>
          <t>Administrativo</t>
        </is>
      </c>
      <c r="B586" s="90" t="inlineStr">
        <is>
          <t>Custo Fixo</t>
        </is>
      </c>
      <c r="C586" s="90" t="inlineStr">
        <is>
          <t>Licenças de software/sistemas corporativos (DP)</t>
        </is>
      </c>
      <c r="D586" s="117" t="n">
        <v>1</v>
      </c>
      <c r="E586" s="118" t="n">
        <v>2559.44</v>
      </c>
      <c r="F586" s="96">
        <f>IFERROR(D586*E586,0)</f>
        <v/>
      </c>
      <c r="G586" s="90">
        <f>INDEX(SETORES!$B:$B,MATCH(A586,SETORES!$A:$A,0))</f>
        <v/>
      </c>
      <c r="H586" s="90" t="inlineStr">
        <is>
          <t>Junho/2026</t>
        </is>
      </c>
    </row>
    <row r="587" hidden="1" ht="14.25" customHeight="1" s="75">
      <c r="A587" s="113" t="inlineStr">
        <is>
          <t>Administrativo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5">
      <c r="A588" s="90" t="inlineStr">
        <is>
          <t>Administrativo</t>
        </is>
      </c>
      <c r="B588" s="90" t="inlineStr">
        <is>
          <t>Custo Fixo</t>
        </is>
      </c>
      <c r="C588" s="90" t="inlineStr">
        <is>
          <t>Plataforma de comunicação interna (Useflow) (RH)</t>
        </is>
      </c>
      <c r="D588" s="117" t="n">
        <v>1</v>
      </c>
      <c r="E588" s="118" t="n">
        <v>2000</v>
      </c>
      <c r="F588" s="96">
        <f>IFERROR(D588*E588,0)</f>
        <v/>
      </c>
      <c r="G588" s="90">
        <f>INDEX(SETORES!$B:$B,MATCH(A588,SETORES!$A:$A,0))</f>
        <v/>
      </c>
      <c r="H588" s="90" t="inlineStr">
        <is>
          <t>Junho/2026</t>
        </is>
      </c>
    </row>
    <row r="589" hidden="1" ht="14.25" customHeight="1" s="75">
      <c r="A589" s="113" t="inlineStr">
        <is>
          <t>Administrativo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5">
      <c r="A590" s="90" t="inlineStr">
        <is>
          <t>Administrativo</t>
        </is>
      </c>
      <c r="B590" s="90" t="inlineStr">
        <is>
          <t>Custo Fixo</t>
        </is>
      </c>
      <c r="C590" s="90" t="inlineStr">
        <is>
          <t>Software Dominio portal do empregado (DP)</t>
        </is>
      </c>
      <c r="D590" s="117" t="n">
        <v>1</v>
      </c>
      <c r="E590" s="118" t="n">
        <v>3714.01</v>
      </c>
      <c r="F590" s="96">
        <f>IFERROR(D590*E590,0)</f>
        <v/>
      </c>
      <c r="G590" s="90">
        <f>INDEX(SETORES!$B:$B,MATCH(A590,SETORES!$A:$A,0))</f>
        <v/>
      </c>
      <c r="H590" s="90" t="inlineStr">
        <is>
          <t>Junho/2026</t>
        </is>
      </c>
    </row>
    <row r="591" hidden="1" ht="14.25" customHeight="1" s="75">
      <c r="A591" s="113" t="inlineStr">
        <is>
          <t>Administrativo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5">
      <c r="A592" s="90" t="inlineStr">
        <is>
          <t>Administrativo</t>
        </is>
      </c>
      <c r="B592" s="90" t="inlineStr">
        <is>
          <t>Custo Fixo</t>
        </is>
      </c>
      <c r="C592" s="90" t="inlineStr">
        <is>
          <t>Sistema de emissão de notas fiscais (Contabilidade)</t>
        </is>
      </c>
      <c r="D592" s="117" t="n"/>
      <c r="E592" s="118" t="n"/>
      <c r="F592" s="96">
        <f>IFERROR(D592*E592,0)</f>
        <v/>
      </c>
      <c r="G592" s="90">
        <f>INDEX(SETORES!$B:$B,MATCH(A592,SETORES!$A:$A,0))</f>
        <v/>
      </c>
      <c r="H592" s="90" t="inlineStr">
        <is>
          <t>Junho/2026</t>
        </is>
      </c>
    </row>
    <row r="593" hidden="1" ht="14.25" customHeight="1" s="75">
      <c r="A593" s="113" t="inlineStr">
        <is>
          <t>Administrativo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5">
      <c r="A594" s="90" t="inlineStr">
        <is>
          <t>Administrativo</t>
        </is>
      </c>
      <c r="B594" s="90" t="inlineStr">
        <is>
          <t>Custo Fixo</t>
        </is>
      </c>
      <c r="C594" s="90" t="inlineStr">
        <is>
          <t>Software Full time (Logística)</t>
        </is>
      </c>
      <c r="D594" s="117" t="n">
        <v>1</v>
      </c>
      <c r="E594" s="118" t="n">
        <v>2638.1</v>
      </c>
      <c r="F594" s="96">
        <f>IFERROR(D594*E594,0)</f>
        <v/>
      </c>
      <c r="G594" s="90">
        <f>INDEX(SETORES!$B:$B,MATCH(A594,SETORES!$A:$A,0))</f>
        <v/>
      </c>
      <c r="H594" s="90" t="inlineStr">
        <is>
          <t>Junho/2026</t>
        </is>
      </c>
    </row>
    <row r="595" hidden="1" ht="14.25" customHeight="1" s="75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5">
      <c r="A596" s="90" t="inlineStr">
        <is>
          <t>CAC</t>
        </is>
      </c>
      <c r="B596" s="90" t="inlineStr">
        <is>
          <t>Custo Fixo</t>
        </is>
      </c>
      <c r="C596" s="90" t="inlineStr">
        <is>
          <t>Material de uso coletivo (copa/limpeza)</t>
        </is>
      </c>
      <c r="D596" s="117" t="n">
        <v>1</v>
      </c>
      <c r="E596" s="118" t="n">
        <v>74.8</v>
      </c>
      <c r="F596" s="96" t="n">
        <v>74.8</v>
      </c>
      <c r="G596" s="90">
        <f>INDEX(SETORES!$B:$B,MATCH(A596,SETORES!$A:$A,0))</f>
        <v/>
      </c>
      <c r="H596" s="90" t="inlineStr">
        <is>
          <t>Junho/2026</t>
        </is>
      </c>
    </row>
    <row r="597" hidden="1" ht="14.25" customHeight="1" s="75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5">
      <c r="A598" s="90" t="inlineStr">
        <is>
          <t>CAC</t>
        </is>
      </c>
      <c r="B598" s="90" t="inlineStr">
        <is>
          <t>Custo Fixo</t>
        </is>
      </c>
      <c r="C598" s="90" t="inlineStr">
        <is>
          <t>Água e esgoto (rateio)</t>
        </is>
      </c>
      <c r="D598" s="117" t="n">
        <v>1</v>
      </c>
      <c r="E598" s="118" t="n">
        <v>0.1</v>
      </c>
      <c r="F598" s="96" t="n">
        <v>0.1</v>
      </c>
      <c r="G598" s="90">
        <f>INDEX(SETORES!$B:$B,MATCH(A598,SETORES!$A:$A,0))</f>
        <v/>
      </c>
      <c r="H598" s="90" t="inlineStr">
        <is>
          <t>Junho/2026</t>
        </is>
      </c>
    </row>
    <row r="599" hidden="1" ht="14.25" customHeight="1" s="75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5">
      <c r="A600" s="90" t="inlineStr">
        <is>
          <t>CAC</t>
        </is>
      </c>
      <c r="B600" s="90" t="inlineStr">
        <is>
          <t>Custo Fixo</t>
        </is>
      </c>
      <c r="C600" s="90" t="inlineStr">
        <is>
          <t>Folha de pagamento (salários)</t>
        </is>
      </c>
      <c r="D600" s="117" t="n">
        <v>1</v>
      </c>
      <c r="E600" s="118" t="n">
        <v>14018.17</v>
      </c>
      <c r="F600" s="96">
        <f>IFERROR(E600,0)</f>
        <v/>
      </c>
      <c r="G600" s="90">
        <f>INDEX(SETORES!$B:$B,MATCH(A600,SETORES!$A:$A,0))</f>
        <v/>
      </c>
      <c r="H600" s="90" t="inlineStr">
        <is>
          <t>Junho/2026</t>
        </is>
      </c>
    </row>
    <row r="601" hidden="1" ht="14.25" customHeight="1" s="75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5">
      <c r="A602" s="90" t="inlineStr">
        <is>
          <t>CAC</t>
        </is>
      </c>
      <c r="B602" s="90" t="inlineStr">
        <is>
          <t>Custo Variável</t>
        </is>
      </c>
      <c r="C602" s="90" t="inlineStr">
        <is>
          <t>Fardamento substituição</t>
        </is>
      </c>
      <c r="D602" s="117" t="n">
        <v>1</v>
      </c>
      <c r="E602" s="118" t="n">
        <v>38</v>
      </c>
      <c r="F602" s="96">
        <f>IFERROR(D602*E602,0)</f>
        <v/>
      </c>
      <c r="G602" s="90">
        <f>INDEX(SETORES!$B:$B,MATCH(A602,SETORES!$A:$A,0))</f>
        <v/>
      </c>
      <c r="H602" s="90" t="inlineStr">
        <is>
          <t>Junho/2026</t>
        </is>
      </c>
    </row>
    <row r="603" hidden="1" ht="14.25" customHeight="1" s="75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5">
      <c r="A604" s="90" t="inlineStr">
        <is>
          <t>CAC</t>
        </is>
      </c>
      <c r="B604" s="90" t="inlineStr">
        <is>
          <t>Custo Fixo</t>
        </is>
      </c>
      <c r="C604" s="90" t="inlineStr">
        <is>
          <t>Licença de e-mail corporativo</t>
        </is>
      </c>
      <c r="D604" s="117" t="n">
        <v>3</v>
      </c>
      <c r="E604" s="118" t="n">
        <v>50</v>
      </c>
      <c r="F604" s="96">
        <f>IFERROR(D604*E604,0)</f>
        <v/>
      </c>
      <c r="G604" s="90">
        <f>INDEX(SETORES!$B:$B,MATCH(A604,SETORES!$A:$A,0))</f>
        <v/>
      </c>
      <c r="H604" s="90" t="inlineStr">
        <is>
          <t>Junho/2026</t>
        </is>
      </c>
    </row>
    <row r="605" hidden="1" ht="14.25" customHeight="1" s="75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5">
      <c r="A606" s="90" t="inlineStr">
        <is>
          <t>CAC</t>
        </is>
      </c>
      <c r="B606" s="90" t="inlineStr">
        <is>
          <t>Custo Fixo</t>
        </is>
      </c>
      <c r="C606" s="90" t="inlineStr">
        <is>
          <t>Stargrid</t>
        </is>
      </c>
      <c r="D606" s="117" t="n">
        <v>4</v>
      </c>
      <c r="E606" s="118" t="n">
        <v>2.04</v>
      </c>
      <c r="F606" s="96">
        <f>IFERROR(D606*E606,0)</f>
        <v/>
      </c>
      <c r="G606" s="90">
        <f>INDEX(SETORES!$B:$B,MATCH(A606,SETORES!$A:$A,0))</f>
        <v/>
      </c>
      <c r="H606" s="90" t="inlineStr">
        <is>
          <t>Junho/2026</t>
        </is>
      </c>
    </row>
    <row r="607" hidden="1" ht="14.25" customHeight="1" s="75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5">
      <c r="A608" s="90" t="inlineStr">
        <is>
          <t>Cobrança</t>
        </is>
      </c>
      <c r="B608" s="90" t="inlineStr">
        <is>
          <t>Custo Fixo</t>
        </is>
      </c>
      <c r="C608" s="90" t="inlineStr">
        <is>
          <t>Material de uso coletivo (copa/limpeza)</t>
        </is>
      </c>
      <c r="D608" s="117" t="n">
        <v>1</v>
      </c>
      <c r="E608" s="118" t="n">
        <v>677.233934</v>
      </c>
      <c r="F608" s="96" t="n">
        <v>677.233934</v>
      </c>
      <c r="G608" s="90">
        <f>INDEX(SETORES!$B:$B,MATCH(A608,SETORES!$A:$A,0))</f>
        <v/>
      </c>
      <c r="H608" s="90" t="inlineStr">
        <is>
          <t>Junho/2026</t>
        </is>
      </c>
    </row>
    <row r="609" hidden="1" ht="14.25" customHeight="1" s="75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5">
      <c r="A610" s="90" t="inlineStr">
        <is>
          <t>Cobrança</t>
        </is>
      </c>
      <c r="B610" s="90" t="inlineStr">
        <is>
          <t>Custo Fixo</t>
        </is>
      </c>
      <c r="C610" s="90" t="inlineStr">
        <is>
          <t>Água e esgoto (rateio)</t>
        </is>
      </c>
      <c r="D610" s="117" t="n">
        <v>1</v>
      </c>
      <c r="E610" s="118" t="n">
        <v>0.275</v>
      </c>
      <c r="F610" s="96" t="n">
        <v>0.275</v>
      </c>
      <c r="G610" s="90">
        <f>INDEX(SETORES!$B:$B,MATCH(A610,SETORES!$A:$A,0))</f>
        <v/>
      </c>
      <c r="H610" s="90" t="inlineStr">
        <is>
          <t>Junho/2026</t>
        </is>
      </c>
    </row>
    <row r="611" hidden="1" ht="14.25" customHeight="1" s="75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5">
      <c r="A612" s="90" t="inlineStr">
        <is>
          <t>Cobrança</t>
        </is>
      </c>
      <c r="B612" s="90" t="inlineStr">
        <is>
          <t>Custo Fixo</t>
        </is>
      </c>
      <c r="C612" s="90" t="inlineStr">
        <is>
          <t>Folha de pagamento (salários)</t>
        </is>
      </c>
      <c r="D612" s="117" t="n">
        <v>1</v>
      </c>
      <c r="E612" s="118" t="n">
        <v>35079.61</v>
      </c>
      <c r="F612" s="96">
        <f>IFERROR(E612,0)</f>
        <v/>
      </c>
      <c r="G612" s="90">
        <f>INDEX(SETORES!$B:$B,MATCH(A612,SETORES!$A:$A,0))</f>
        <v/>
      </c>
      <c r="H612" s="90" t="inlineStr">
        <is>
          <t>Junho/2026</t>
        </is>
      </c>
    </row>
    <row r="613" hidden="1" ht="14.25" customHeight="1" s="75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5">
      <c r="A614" s="90" t="inlineStr">
        <is>
          <t>Cobrança</t>
        </is>
      </c>
      <c r="B614" s="90" t="inlineStr">
        <is>
          <t>Custo Variável</t>
        </is>
      </c>
      <c r="C614" s="90" t="inlineStr">
        <is>
          <t>Fardamento substituição</t>
        </is>
      </c>
      <c r="D614" s="117" t="n">
        <v>1</v>
      </c>
      <c r="E614" s="118" t="n">
        <v>65.33</v>
      </c>
      <c r="F614" s="96">
        <f>IFERROR(D614*E614,0)</f>
        <v/>
      </c>
      <c r="G614" s="90">
        <f>INDEX(SETORES!$B:$B,MATCH(A614,SETORES!$A:$A,0))</f>
        <v/>
      </c>
      <c r="H614" s="90" t="inlineStr">
        <is>
          <t>Junho/2026</t>
        </is>
      </c>
    </row>
    <row r="615" hidden="1" ht="14.25" customHeight="1" s="75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5">
      <c r="A616" s="90" t="inlineStr">
        <is>
          <t>Cobrança</t>
        </is>
      </c>
      <c r="B616" s="90" t="inlineStr">
        <is>
          <t>Custo Fixo</t>
        </is>
      </c>
      <c r="C616" s="90" t="inlineStr">
        <is>
          <t>Licença de e-mail corporativo</t>
        </is>
      </c>
      <c r="D616" s="117" t="n">
        <v>13</v>
      </c>
      <c r="E616" s="118" t="n">
        <v>50</v>
      </c>
      <c r="F616" s="96">
        <f>IFERROR(D616*E616,0)</f>
        <v/>
      </c>
      <c r="G616" s="90">
        <f>INDEX(SETORES!$B:$B,MATCH(A616,SETORES!$A:$A,0))</f>
        <v/>
      </c>
      <c r="H616" s="90" t="inlineStr">
        <is>
          <t>Junho/2026</t>
        </is>
      </c>
    </row>
    <row r="617" hidden="1" ht="14.25" customHeight="1" s="75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5">
      <c r="A618" s="90" t="inlineStr">
        <is>
          <t>Cobrança</t>
        </is>
      </c>
      <c r="B618" s="90" t="inlineStr">
        <is>
          <t>Custo Fixo</t>
        </is>
      </c>
      <c r="C618" s="90" t="inlineStr">
        <is>
          <t>Impressora (rateio equipe Relacionamento)</t>
        </is>
      </c>
      <c r="D618" s="117" t="n">
        <v>1</v>
      </c>
      <c r="E618" s="118" t="n">
        <v>2.308196</v>
      </c>
      <c r="F618" s="96">
        <f>IFERROR(D618*E618,0)</f>
        <v/>
      </c>
      <c r="G618" s="90">
        <f>INDEX(SETORES!$B:$B,MATCH(A618,SETORES!$A:$A,0))</f>
        <v/>
      </c>
      <c r="H618" s="90" t="inlineStr">
        <is>
          <t>Junho/2026</t>
        </is>
      </c>
    </row>
    <row r="619" hidden="1" ht="14.25" customHeight="1" s="75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5">
      <c r="A620" s="90" t="inlineStr">
        <is>
          <t>Cobrança</t>
        </is>
      </c>
      <c r="B620" s="90" t="inlineStr">
        <is>
          <t>Custo Fixo</t>
        </is>
      </c>
      <c r="C620" s="90" t="inlineStr">
        <is>
          <t>Stargrid</t>
        </is>
      </c>
      <c r="D620" s="117" t="n">
        <v>11</v>
      </c>
      <c r="E620" s="118" t="n">
        <v>2.04</v>
      </c>
      <c r="F620" s="96">
        <f>IFERROR(D620*E620,0)</f>
        <v/>
      </c>
      <c r="G620" s="90">
        <f>INDEX(SETORES!$B:$B,MATCH(A620,SETORES!$A:$A,0))</f>
        <v/>
      </c>
      <c r="H620" s="90" t="inlineStr">
        <is>
          <t>Junho/2026</t>
        </is>
      </c>
    </row>
    <row r="621" hidden="1" ht="14.25" customHeight="1" s="75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5">
      <c r="A622" s="90" t="inlineStr">
        <is>
          <t>Comercial Corporativo</t>
        </is>
      </c>
      <c r="B622" s="90" t="inlineStr">
        <is>
          <t>Custo Variável</t>
        </is>
      </c>
      <c r="C622" s="90" t="inlineStr">
        <is>
          <t>Marketing direto</t>
        </is>
      </c>
      <c r="D622" s="117" t="n"/>
      <c r="E622" s="118" t="n"/>
      <c r="F622" s="96">
        <f>IFERROR(D622*E622,0)</f>
        <v/>
      </c>
      <c r="G622" s="90">
        <f>INDEX(SETORES!$B:$B,MATCH(A622,SETORES!$A:$A,0))</f>
        <v/>
      </c>
      <c r="H622" s="90" t="inlineStr">
        <is>
          <t>Junho/2026</t>
        </is>
      </c>
    </row>
    <row r="623" hidden="1" ht="14.25" customHeight="1" s="75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5">
      <c r="A624" s="90" t="inlineStr">
        <is>
          <t>Comercial Corporativo</t>
        </is>
      </c>
      <c r="B624" s="90" t="inlineStr">
        <is>
          <t>Custo Fixo</t>
        </is>
      </c>
      <c r="C624" s="90" t="inlineStr">
        <is>
          <t>Folha Trabalhista com impostos do mês</t>
        </is>
      </c>
      <c r="D624" s="117" t="n">
        <v>10</v>
      </c>
      <c r="E624" s="118" t="n">
        <v>128551.32</v>
      </c>
      <c r="F624" s="96">
        <f>IFERROR(E624,0)</f>
        <v/>
      </c>
      <c r="G624" s="90">
        <f>INDEX(SETORES!$B:$B,MATCH(A624,SETORES!$A:$A,0))</f>
        <v/>
      </c>
      <c r="H624" s="90" t="inlineStr">
        <is>
          <t>Junho/2026</t>
        </is>
      </c>
    </row>
    <row r="625" hidden="1" ht="14.25" customHeight="1" s="75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5">
      <c r="A626" s="90" t="inlineStr">
        <is>
          <t>Comercial Corporativo</t>
        </is>
      </c>
      <c r="B626" s="90" t="inlineStr">
        <is>
          <t>Custo Fixo</t>
        </is>
      </c>
      <c r="C626" s="90" t="inlineStr">
        <is>
          <t>Despesas com RH</t>
        </is>
      </c>
      <c r="D626" s="117" t="n">
        <v>10</v>
      </c>
      <c r="E626" s="118" t="n">
        <v>28.31</v>
      </c>
      <c r="F626" s="96">
        <f>IFERROR(D626*E626,0)</f>
        <v/>
      </c>
      <c r="G626" s="90">
        <f>INDEX(SETORES!$B:$B,MATCH(A626,SETORES!$A:$A,0))</f>
        <v/>
      </c>
      <c r="H626" s="90" t="inlineStr">
        <is>
          <t>Junho/2026</t>
        </is>
      </c>
    </row>
    <row r="627" hidden="1" ht="14.25" customHeight="1" s="75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5">
      <c r="A628" s="90" t="inlineStr">
        <is>
          <t>Comercial Corporativo</t>
        </is>
      </c>
      <c r="B628" s="90" t="inlineStr">
        <is>
          <t>Custo Fixo</t>
        </is>
      </c>
      <c r="C628" s="90" t="inlineStr">
        <is>
          <t>Despesas com SST</t>
        </is>
      </c>
      <c r="D628" s="117" t="n">
        <v>11</v>
      </c>
      <c r="E628" s="118" t="n">
        <v>64.54000000000001</v>
      </c>
      <c r="F628" s="96">
        <f>IFERROR(D628*E628,0)</f>
        <v/>
      </c>
      <c r="G628" s="90">
        <f>INDEX(SETORES!$B:$B,MATCH(A628,SETORES!$A:$A,0))</f>
        <v/>
      </c>
      <c r="H628" s="90" t="inlineStr">
        <is>
          <t>Junho/2026</t>
        </is>
      </c>
    </row>
    <row r="629" hidden="1" ht="14.25" customHeight="1" s="75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5">
      <c r="A630" s="90" t="inlineStr">
        <is>
          <t>Comercial Corporativo</t>
        </is>
      </c>
      <c r="B630" s="90" t="inlineStr">
        <is>
          <t>Custo Variável</t>
        </is>
      </c>
      <c r="C630" s="90" t="inlineStr">
        <is>
          <t>Novo Fardamento</t>
        </is>
      </c>
      <c r="D630" s="117" t="n"/>
      <c r="E630" s="118" t="n"/>
      <c r="F630" s="96">
        <f>IFERROR(D630*E630,0)</f>
        <v/>
      </c>
      <c r="G630" s="90">
        <f>INDEX(SETORES!$B:$B,MATCH(A630,SETORES!$A:$A,0))</f>
        <v/>
      </c>
      <c r="H630" s="90" t="inlineStr">
        <is>
          <t>Junho/2026</t>
        </is>
      </c>
    </row>
    <row r="631" hidden="1" ht="14.25" customHeight="1" s="75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5">
      <c r="A632" s="90" t="inlineStr">
        <is>
          <t>Comercial Corporativo</t>
        </is>
      </c>
      <c r="B632" s="90" t="inlineStr">
        <is>
          <t>Custo Variável</t>
        </is>
      </c>
      <c r="C632" s="90" t="inlineStr">
        <is>
          <t>Substituição extra de Fardamento</t>
        </is>
      </c>
      <c r="D632" s="117" t="n"/>
      <c r="E632" s="118" t="n"/>
      <c r="F632" s="96">
        <f>IFERROR(D632*E632,0)</f>
        <v/>
      </c>
      <c r="G632" s="90">
        <f>INDEX(SETORES!$B:$B,MATCH(A632,SETORES!$A:$A,0))</f>
        <v/>
      </c>
      <c r="H632" s="90" t="inlineStr">
        <is>
          <t>Junho/2026</t>
        </is>
      </c>
    </row>
    <row r="633" hidden="1" ht="14.25" customHeight="1" s="75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5">
      <c r="A634" s="90" t="inlineStr">
        <is>
          <t>Comercial Corporativo</t>
        </is>
      </c>
      <c r="B634" s="90" t="inlineStr">
        <is>
          <t>Custo Fixo</t>
        </is>
      </c>
      <c r="C634" s="90" t="inlineStr">
        <is>
          <t>Gympass</t>
        </is>
      </c>
      <c r="D634" s="117" t="n">
        <v>10</v>
      </c>
      <c r="E634" s="118" t="n">
        <v>9.85</v>
      </c>
      <c r="F634" s="96">
        <f>IFERROR(D634*E634,0)</f>
        <v/>
      </c>
      <c r="G634" s="90">
        <f>INDEX(SETORES!$B:$B,MATCH(A634,SETORES!$A:$A,0))</f>
        <v/>
      </c>
      <c r="H634" s="90" t="inlineStr">
        <is>
          <t>Junho/2026</t>
        </is>
      </c>
    </row>
    <row r="635" hidden="1" ht="14.25" customHeight="1" s="75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5">
      <c r="A636" s="90" t="inlineStr">
        <is>
          <t>Comercial Corporativo</t>
        </is>
      </c>
      <c r="B636" s="90" t="inlineStr">
        <is>
          <t>Custo Variável</t>
        </is>
      </c>
      <c r="C636" s="90" t="inlineStr">
        <is>
          <t>Rescisões/Despesas Trabalhistas extra folha</t>
        </is>
      </c>
      <c r="D636" s="117" t="n">
        <v>1</v>
      </c>
      <c r="E636" s="118" t="n">
        <v>3022.47</v>
      </c>
      <c r="F636" s="96">
        <f>IFERROR(D636*E636,0)</f>
        <v/>
      </c>
      <c r="G636" s="90">
        <f>INDEX(SETORES!$B:$B,MATCH(A636,SETORES!$A:$A,0))</f>
        <v/>
      </c>
      <c r="H636" s="90" t="inlineStr">
        <is>
          <t>Junho/2026</t>
        </is>
      </c>
    </row>
    <row r="637" hidden="1" ht="14.25" customHeight="1" s="75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5">
      <c r="A638" s="90" t="inlineStr">
        <is>
          <t>Comercial Corporativo</t>
        </is>
      </c>
      <c r="B638" s="90" t="inlineStr">
        <is>
          <t>Custo Fixo</t>
        </is>
      </c>
      <c r="C638" s="90" t="inlineStr">
        <is>
          <t>Agendor (válido por 3 meses)</t>
        </is>
      </c>
      <c r="D638" s="117" t="n">
        <v>1</v>
      </c>
      <c r="E638" s="118" t="n">
        <v>545.99</v>
      </c>
      <c r="F638" s="96">
        <f>IFERROR(D638*E638,0)</f>
        <v/>
      </c>
      <c r="G638" s="90">
        <f>INDEX(SETORES!$B:$B,MATCH(A638,SETORES!$A:$A,0))</f>
        <v/>
      </c>
      <c r="H638" s="90" t="inlineStr">
        <is>
          <t>Junho/2026</t>
        </is>
      </c>
    </row>
    <row r="639" hidden="1" ht="14.25" customHeight="1" s="75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5">
      <c r="A640" s="90" t="inlineStr">
        <is>
          <t>Comercial Corporativo</t>
        </is>
      </c>
      <c r="B640" s="90" t="inlineStr">
        <is>
          <t>Custo Fixo</t>
        </is>
      </c>
      <c r="C640" s="90" t="inlineStr">
        <is>
          <t>Salesforce</t>
        </is>
      </c>
      <c r="D640" s="117" t="n">
        <v>1</v>
      </c>
      <c r="E640" s="118" t="n">
        <v>3042.34</v>
      </c>
      <c r="F640" s="96">
        <f>IFERROR(D640*E640,0)</f>
        <v/>
      </c>
      <c r="G640" s="90">
        <f>INDEX(SETORES!$B:$B,MATCH(A640,SETORES!$A:$A,0))</f>
        <v/>
      </c>
      <c r="H640" s="90" t="inlineStr">
        <is>
          <t>Junho/2026</t>
        </is>
      </c>
    </row>
    <row r="641" hidden="1" ht="14.25" customHeight="1" s="75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5">
      <c r="A642" s="90" t="inlineStr">
        <is>
          <t>Compras</t>
        </is>
      </c>
      <c r="B642" s="90" t="inlineStr">
        <is>
          <t>Custo Fixo</t>
        </is>
      </c>
      <c r="C642" s="90" t="inlineStr">
        <is>
          <t>Material de uso coletivo (copa/limpeza)</t>
        </is>
      </c>
      <c r="D642" s="117" t="n"/>
      <c r="E642" s="118" t="n"/>
      <c r="F642" s="96" t="n">
        <v>0</v>
      </c>
      <c r="G642" s="90">
        <f>INDEX(SETORES!$B:$B,MATCH(A642,SETORES!$A:$A,0))</f>
        <v/>
      </c>
      <c r="H642" s="90" t="inlineStr">
        <is>
          <t>Junho/2026</t>
        </is>
      </c>
    </row>
    <row r="643" hidden="1" ht="14.25" customHeight="1" s="75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5">
      <c r="A644" s="90" t="inlineStr">
        <is>
          <t>Compras</t>
        </is>
      </c>
      <c r="B644" s="90" t="inlineStr">
        <is>
          <t>Custo Fixo</t>
        </is>
      </c>
      <c r="C644" s="90" t="inlineStr">
        <is>
          <t>Água e esgoto (rateio)</t>
        </is>
      </c>
      <c r="D644" s="117" t="n">
        <v>4</v>
      </c>
      <c r="E644" s="118" t="n">
        <v>0.3124</v>
      </c>
      <c r="F644" s="96" t="n">
        <v>1.2496</v>
      </c>
      <c r="G644" s="90">
        <f>INDEX(SETORES!$B:$B,MATCH(A644,SETORES!$A:$A,0))</f>
        <v/>
      </c>
      <c r="H644" s="90" t="inlineStr">
        <is>
          <t>Junho/2026</t>
        </is>
      </c>
    </row>
    <row r="645" hidden="1" ht="14.25" customHeight="1" s="75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5">
      <c r="A646" s="90" t="inlineStr">
        <is>
          <t>Compras</t>
        </is>
      </c>
      <c r="B646" s="90" t="inlineStr">
        <is>
          <t>Custo Fixo</t>
        </is>
      </c>
      <c r="C646" s="90" t="inlineStr">
        <is>
          <t>Folha de pagamento (salários)</t>
        </is>
      </c>
      <c r="D646" s="117" t="n">
        <v>1</v>
      </c>
      <c r="E646" s="118" t="n">
        <v>23138.39</v>
      </c>
      <c r="F646" s="96">
        <f>IFERROR(E646,0)</f>
        <v/>
      </c>
      <c r="G646" s="90">
        <f>INDEX(SETORES!$B:$B,MATCH(A646,SETORES!$A:$A,0))</f>
        <v/>
      </c>
      <c r="H646" s="90" t="inlineStr">
        <is>
          <t>Junho/2026</t>
        </is>
      </c>
    </row>
    <row r="647" hidden="1" ht="14.25" customHeight="1" s="75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5">
      <c r="A648" s="90" t="inlineStr">
        <is>
          <t>Compras</t>
        </is>
      </c>
      <c r="B648" s="90" t="inlineStr">
        <is>
          <t>Custo Fixo</t>
        </is>
      </c>
      <c r="C648" s="90" t="inlineStr">
        <is>
          <t>Licença de e-mail corporativo</t>
        </is>
      </c>
      <c r="D648" s="117" t="n">
        <v>4</v>
      </c>
      <c r="E648" s="118" t="n">
        <v>50</v>
      </c>
      <c r="F648" s="96">
        <f>IFERROR(D648*E648,0)</f>
        <v/>
      </c>
      <c r="G648" s="90">
        <f>INDEX(SETORES!$B:$B,MATCH(A648,SETORES!$A:$A,0))</f>
        <v/>
      </c>
      <c r="H648" s="90" t="inlineStr">
        <is>
          <t>Junho/2026</t>
        </is>
      </c>
    </row>
    <row r="649" hidden="1" ht="14.25" customHeight="1" s="75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5">
      <c r="A650" s="90" t="inlineStr">
        <is>
          <t>Compras</t>
        </is>
      </c>
      <c r="B650" s="90" t="inlineStr">
        <is>
          <t>Custo Fixo</t>
        </is>
      </c>
      <c r="C650" s="90" t="inlineStr">
        <is>
          <t>Gympass</t>
        </is>
      </c>
      <c r="D650" s="117" t="n">
        <v>4</v>
      </c>
      <c r="E650" s="118" t="n">
        <v>9.85</v>
      </c>
      <c r="F650" s="96">
        <f>IFERROR(D650*E650,0)</f>
        <v/>
      </c>
      <c r="G650" s="90">
        <f>INDEX(SETORES!$B:$B,MATCH(A650,SETORES!$A:$A,0))</f>
        <v/>
      </c>
      <c r="H650" s="90" t="inlineStr">
        <is>
          <t>Junho/2026</t>
        </is>
      </c>
    </row>
    <row r="651" hidden="1" ht="14.25" customHeight="1" s="75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5">
      <c r="A652" s="90" t="inlineStr">
        <is>
          <t>Engenharia</t>
        </is>
      </c>
      <c r="B652" s="90" t="inlineStr">
        <is>
          <t>Custo Fixo</t>
        </is>
      </c>
      <c r="C652" s="90" t="inlineStr">
        <is>
          <t>Água e esgoto (rateio)</t>
        </is>
      </c>
      <c r="D652" s="117" t="n">
        <v>7</v>
      </c>
      <c r="E652" s="118" t="n">
        <v>0.3124</v>
      </c>
      <c r="F652" s="96" t="n">
        <v>2.1868</v>
      </c>
      <c r="G652" s="90">
        <f>INDEX(SETORES!$B:$B,MATCH(A652,SETORES!$A:$A,0))</f>
        <v/>
      </c>
      <c r="H652" s="90" t="inlineStr">
        <is>
          <t>Junho/2026</t>
        </is>
      </c>
    </row>
    <row r="653" hidden="1" ht="14.25" customHeight="1" s="75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5">
      <c r="A654" s="90" t="inlineStr">
        <is>
          <t>Contabilidade</t>
        </is>
      </c>
      <c r="B654" s="90" t="inlineStr">
        <is>
          <t>Custo Fixo</t>
        </is>
      </c>
      <c r="C654" s="90" t="inlineStr">
        <is>
          <t>Material de uso coletivo (copa/limpeza)</t>
        </is>
      </c>
      <c r="D654" s="117" t="n">
        <v>1</v>
      </c>
      <c r="E654" s="118" t="n">
        <v>63.95</v>
      </c>
      <c r="F654" s="96" t="n">
        <v>63.95</v>
      </c>
      <c r="G654" s="90">
        <f>INDEX(SETORES!$B:$B,MATCH(A654,SETORES!$A:$A,0))</f>
        <v/>
      </c>
      <c r="H654" s="90" t="inlineStr">
        <is>
          <t>Junho/2026</t>
        </is>
      </c>
    </row>
    <row r="655" hidden="1" ht="14.25" customHeight="1" s="75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5">
      <c r="A656" s="90" t="inlineStr">
        <is>
          <t>Contabilidade</t>
        </is>
      </c>
      <c r="B656" s="90" t="inlineStr">
        <is>
          <t>Custo Fixo</t>
        </is>
      </c>
      <c r="C656" s="90" t="inlineStr">
        <is>
          <t>Água e esgoto (rateio)</t>
        </is>
      </c>
      <c r="D656" s="117" t="n">
        <v>1</v>
      </c>
      <c r="E656" s="118" t="n">
        <v>0.1</v>
      </c>
      <c r="F656" s="96" t="n">
        <v>0.1</v>
      </c>
      <c r="G656" s="90">
        <f>INDEX(SETORES!$B:$B,MATCH(A656,SETORES!$A:$A,0))</f>
        <v/>
      </c>
      <c r="H656" s="90" t="inlineStr">
        <is>
          <t>Junho/2026</t>
        </is>
      </c>
    </row>
    <row r="657" hidden="1" ht="14.25" customHeight="1" s="75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5">
      <c r="A658" s="90" t="inlineStr">
        <is>
          <t>Contabilidade</t>
        </is>
      </c>
      <c r="B658" s="90" t="inlineStr">
        <is>
          <t>Custo Fixo</t>
        </is>
      </c>
      <c r="C658" s="90" t="inlineStr">
        <is>
          <t>Folha de pagamento (salários)</t>
        </is>
      </c>
      <c r="D658" s="117" t="n">
        <v>1</v>
      </c>
      <c r="E658" s="118" t="n">
        <v>13442.74</v>
      </c>
      <c r="F658" s="96">
        <f>IFERROR(E658,0)</f>
        <v/>
      </c>
      <c r="G658" s="90">
        <f>INDEX(SETORES!$B:$B,MATCH(A658,SETORES!$A:$A,0))</f>
        <v/>
      </c>
      <c r="H658" s="90" t="inlineStr">
        <is>
          <t>Junho/2026</t>
        </is>
      </c>
    </row>
    <row r="659" hidden="1" ht="14.25" customHeight="1" s="75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5">
      <c r="A660" s="90" t="inlineStr">
        <is>
          <t>Contabilidade</t>
        </is>
      </c>
      <c r="B660" s="90" t="inlineStr">
        <is>
          <t>Custo Variável</t>
        </is>
      </c>
      <c r="C660" s="90" t="inlineStr">
        <is>
          <t>Fardamento novo</t>
        </is>
      </c>
      <c r="D660" s="117" t="n">
        <v>1</v>
      </c>
      <c r="E660" s="118" t="n">
        <v>136</v>
      </c>
      <c r="F660" s="96">
        <f>IFERROR(D660*E660,0)</f>
        <v/>
      </c>
      <c r="G660" s="90">
        <f>INDEX(SETORES!$B:$B,MATCH(A660,SETORES!$A:$A,0))</f>
        <v/>
      </c>
      <c r="H660" s="90" t="inlineStr">
        <is>
          <t>Junho/2026</t>
        </is>
      </c>
    </row>
    <row r="661" hidden="1" ht="14.25" customHeight="1" s="75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5">
      <c r="A662" s="90" t="inlineStr">
        <is>
          <t>Contabilidade</t>
        </is>
      </c>
      <c r="B662" s="90" t="inlineStr">
        <is>
          <t>Custo Variável</t>
        </is>
      </c>
      <c r="C662" s="90" t="inlineStr">
        <is>
          <t>Rescisões trabalhistas</t>
        </is>
      </c>
      <c r="D662" s="117" t="n">
        <v>1</v>
      </c>
      <c r="E662" s="118" t="n">
        <v>3112.37</v>
      </c>
      <c r="F662" s="96">
        <f>IFERROR(D662*E662,0)</f>
        <v/>
      </c>
      <c r="G662" s="90">
        <f>INDEX(SETORES!$B:$B,MATCH(A662,SETORES!$A:$A,0))</f>
        <v/>
      </c>
      <c r="H662" s="90" t="inlineStr">
        <is>
          <t>Junho/2026</t>
        </is>
      </c>
    </row>
    <row r="663" hidden="1" ht="14.25" customHeight="1" s="75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5">
      <c r="A664" s="90" t="inlineStr">
        <is>
          <t>Contabilidade</t>
        </is>
      </c>
      <c r="B664" s="90" t="inlineStr">
        <is>
          <t>Custo Fixo</t>
        </is>
      </c>
      <c r="C664" s="90" t="inlineStr">
        <is>
          <t>Gympass</t>
        </is>
      </c>
      <c r="D664" s="117" t="n">
        <v>4</v>
      </c>
      <c r="E664" s="118" t="n">
        <v>9.85</v>
      </c>
      <c r="F664" s="96">
        <f>IFERROR(D664*E664,0)</f>
        <v/>
      </c>
      <c r="G664" s="90">
        <f>INDEX(SETORES!$B:$B,MATCH(A664,SETORES!$A:$A,0))</f>
        <v/>
      </c>
      <c r="H664" s="90" t="inlineStr">
        <is>
          <t>Junho/2026</t>
        </is>
      </c>
    </row>
    <row r="665" hidden="1" ht="14.25" customHeight="1" s="75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5">
      <c r="A666" s="90" t="inlineStr">
        <is>
          <t>Contabilidade</t>
        </is>
      </c>
      <c r="B666" s="90" t="inlineStr">
        <is>
          <t>Custo Variável</t>
        </is>
      </c>
      <c r="C666" s="90" t="inlineStr">
        <is>
          <t>Consultoria contábil PJ (Wadson Genuíno)</t>
        </is>
      </c>
      <c r="D666" s="117" t="n">
        <v>1</v>
      </c>
      <c r="E666" s="118" t="n">
        <v>12000</v>
      </c>
      <c r="F666" s="96">
        <f>IFERROR(D666*E666,0)</f>
        <v/>
      </c>
      <c r="G666" s="90">
        <f>INDEX(SETORES!$B:$B,MATCH(A666,SETORES!$A:$A,0))</f>
        <v/>
      </c>
      <c r="H666" s="90" t="inlineStr">
        <is>
          <t>Junho/2026</t>
        </is>
      </c>
    </row>
    <row r="667" hidden="1" ht="14.25" customHeight="1" s="75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5">
      <c r="A668" s="90" t="inlineStr">
        <is>
          <t>Controladoria</t>
        </is>
      </c>
      <c r="B668" s="90" t="inlineStr">
        <is>
          <t>Custo Fixo</t>
        </is>
      </c>
      <c r="C668" s="90" t="inlineStr">
        <is>
          <t>Material de uso coletivo (copa/limpeza)</t>
        </is>
      </c>
      <c r="D668" s="117" t="n"/>
      <c r="E668" s="118" t="n"/>
      <c r="F668" s="96" t="n">
        <v>0</v>
      </c>
      <c r="G668" s="90">
        <f>INDEX(SETORES!$B:$B,MATCH(A668,SETORES!$A:$A,0))</f>
        <v/>
      </c>
      <c r="H668" s="90" t="inlineStr">
        <is>
          <t>Junho/2026</t>
        </is>
      </c>
    </row>
    <row r="669" hidden="1" ht="14.25" customHeight="1" s="75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5">
      <c r="A670" s="90" t="inlineStr">
        <is>
          <t>Controladoria</t>
        </is>
      </c>
      <c r="B670" s="90" t="inlineStr">
        <is>
          <t>Custo Fixo</t>
        </is>
      </c>
      <c r="C670" s="90" t="inlineStr">
        <is>
          <t>Água e esgoto (rateio)</t>
        </is>
      </c>
      <c r="D670" s="117" t="n">
        <v>1</v>
      </c>
      <c r="E670" s="118" t="n">
        <v>0.025</v>
      </c>
      <c r="F670" s="96" t="n">
        <v>0.025</v>
      </c>
      <c r="G670" s="90">
        <f>INDEX(SETORES!$B:$B,MATCH(A670,SETORES!$A:$A,0))</f>
        <v/>
      </c>
      <c r="H670" s="90" t="inlineStr">
        <is>
          <t>Junho/2026</t>
        </is>
      </c>
    </row>
    <row r="671" hidden="1" ht="14.25" customHeight="1" s="75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5">
      <c r="A672" s="90" t="inlineStr">
        <is>
          <t>Controladoria</t>
        </is>
      </c>
      <c r="B672" s="90" t="inlineStr">
        <is>
          <t>Custo Fixo</t>
        </is>
      </c>
      <c r="C672" s="90" t="inlineStr">
        <is>
          <t>Folha de pagamento (salários)</t>
        </is>
      </c>
      <c r="D672" s="117" t="n">
        <v>1</v>
      </c>
      <c r="E672" s="118" t="n">
        <v>18000</v>
      </c>
      <c r="F672" s="96">
        <f>IFERROR(E672,0)</f>
        <v/>
      </c>
      <c r="G672" s="90">
        <f>INDEX(SETORES!$B:$B,MATCH(A672,SETORES!$A:$A,0))</f>
        <v/>
      </c>
      <c r="H672" s="90" t="inlineStr">
        <is>
          <t>Junho/2026</t>
        </is>
      </c>
    </row>
    <row r="673" hidden="1" ht="14.25" customHeight="1" s="75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5">
      <c r="A674" s="90" t="inlineStr">
        <is>
          <t>Controladoria</t>
        </is>
      </c>
      <c r="B674" s="90" t="inlineStr">
        <is>
          <t>Custo Fixo</t>
        </is>
      </c>
      <c r="C674" s="90" t="inlineStr">
        <is>
          <t>Stargrid</t>
        </is>
      </c>
      <c r="D674" s="117" t="n">
        <v>1</v>
      </c>
      <c r="E674" s="118" t="n">
        <v>2.04</v>
      </c>
      <c r="F674" s="96">
        <f>IFERROR(D674*E674,0)</f>
        <v/>
      </c>
      <c r="G674" s="90">
        <f>INDEX(SETORES!$B:$B,MATCH(A674,SETORES!$A:$A,0))</f>
        <v/>
      </c>
      <c r="H674" s="90" t="inlineStr">
        <is>
          <t>Junho/2026</t>
        </is>
      </c>
    </row>
    <row r="675" hidden="1" ht="14.25" customHeight="1" s="75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5">
      <c r="A676" s="90" t="inlineStr">
        <is>
          <t>DP</t>
        </is>
      </c>
      <c r="B676" s="90" t="inlineStr">
        <is>
          <t>Custo Fixo</t>
        </is>
      </c>
      <c r="C676" s="90" t="inlineStr">
        <is>
          <t>Material de uso coletivo (copa/limpeza)</t>
        </is>
      </c>
      <c r="D676" s="117" t="n">
        <v>1</v>
      </c>
      <c r="E676" s="118" t="n">
        <v>60.8</v>
      </c>
      <c r="F676" s="96" t="n">
        <v>60.8</v>
      </c>
      <c r="G676" s="90">
        <f>INDEX(SETORES!$B:$B,MATCH(A676,SETORES!$A:$A,0))</f>
        <v/>
      </c>
      <c r="H676" s="90" t="inlineStr">
        <is>
          <t>Junho/2026</t>
        </is>
      </c>
    </row>
    <row r="677" hidden="1" ht="14.25" customHeight="1" s="75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5">
      <c r="A678" s="90" t="inlineStr">
        <is>
          <t>DP</t>
        </is>
      </c>
      <c r="B678" s="90" t="inlineStr">
        <is>
          <t>Custo Fixo</t>
        </is>
      </c>
      <c r="C678" s="90" t="inlineStr">
        <is>
          <t>Água e esgoto (rateio)</t>
        </is>
      </c>
      <c r="D678" s="117" t="n">
        <v>1</v>
      </c>
      <c r="E678" s="118" t="n">
        <v>0.175</v>
      </c>
      <c r="F678" s="96" t="n">
        <v>0.175</v>
      </c>
      <c r="G678" s="90">
        <f>INDEX(SETORES!$B:$B,MATCH(A678,SETORES!$A:$A,0))</f>
        <v/>
      </c>
      <c r="H678" s="90" t="inlineStr">
        <is>
          <t>Junho/2026</t>
        </is>
      </c>
    </row>
    <row r="679" hidden="1" ht="14.25" customHeight="1" s="75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5">
      <c r="A680" s="90" t="inlineStr">
        <is>
          <t>DP</t>
        </is>
      </c>
      <c r="B680" s="90" t="inlineStr">
        <is>
          <t>Custo Fixo</t>
        </is>
      </c>
      <c r="C680" s="90" t="inlineStr">
        <is>
          <t>Folha de pagamento (salários)</t>
        </is>
      </c>
      <c r="D680" s="117" t="n">
        <v>1</v>
      </c>
      <c r="E680" s="118" t="n">
        <v>41967.61</v>
      </c>
      <c r="F680" s="96">
        <f>IFERROR(E680,0)</f>
        <v/>
      </c>
      <c r="G680" s="90">
        <f>INDEX(SETORES!$B:$B,MATCH(A680,SETORES!$A:$A,0))</f>
        <v/>
      </c>
      <c r="H680" s="90" t="inlineStr">
        <is>
          <t>Junho/2026</t>
        </is>
      </c>
    </row>
    <row r="681" hidden="1" ht="14.25" customHeight="1" s="75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5">
      <c r="A682" s="90" t="inlineStr">
        <is>
          <t>DP</t>
        </is>
      </c>
      <c r="B682" s="90" t="inlineStr">
        <is>
          <t>Custo Variável</t>
        </is>
      </c>
      <c r="C682" s="90" t="inlineStr">
        <is>
          <t>Homologações e rescisões</t>
        </is>
      </c>
      <c r="D682" s="117" t="n"/>
      <c r="E682" s="118" t="n"/>
      <c r="F682" s="96">
        <f>IFERROR(D682*E682,0)</f>
        <v/>
      </c>
      <c r="G682" s="90">
        <f>INDEX(SETORES!$B:$B,MATCH(A682,SETORES!$A:$A,0))</f>
        <v/>
      </c>
      <c r="H682" s="90" t="inlineStr">
        <is>
          <t>Junho/2026</t>
        </is>
      </c>
    </row>
    <row r="683" hidden="1" ht="14.25" customHeight="1" s="75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5">
      <c r="A684" s="90" t="inlineStr">
        <is>
          <t>DP</t>
        </is>
      </c>
      <c r="B684" s="90" t="inlineStr">
        <is>
          <t>Custo Variável</t>
        </is>
      </c>
      <c r="C684" s="90" t="inlineStr">
        <is>
          <t>Fardamento substituição</t>
        </is>
      </c>
      <c r="D684" s="117" t="n"/>
      <c r="E684" s="118" t="n"/>
      <c r="F684" s="96">
        <f>IFERROR(D684*E684,0)</f>
        <v/>
      </c>
      <c r="G684" s="90">
        <f>INDEX(SETORES!$B:$B,MATCH(A684,SETORES!$A:$A,0))</f>
        <v/>
      </c>
      <c r="H684" s="90" t="inlineStr">
        <is>
          <t>Junho/2026</t>
        </is>
      </c>
    </row>
    <row r="685" hidden="1" ht="14.25" customHeight="1" s="75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5">
      <c r="A686" s="90" t="inlineStr">
        <is>
          <t>DP</t>
        </is>
      </c>
      <c r="B686" s="90" t="inlineStr">
        <is>
          <t>Custo Fixo</t>
        </is>
      </c>
      <c r="C686" s="90" t="inlineStr">
        <is>
          <t>Impressora</t>
        </is>
      </c>
      <c r="D686" s="117" t="n">
        <v>1</v>
      </c>
      <c r="E686" s="118" t="n">
        <v>153.58</v>
      </c>
      <c r="F686" s="96">
        <f>IFERROR(D686*E686,0)</f>
        <v/>
      </c>
      <c r="G686" s="90">
        <f>INDEX(SETORES!$B:$B,MATCH(A686,SETORES!$A:$A,0))</f>
        <v/>
      </c>
      <c r="H686" s="90" t="inlineStr">
        <is>
          <t>Junho/2026</t>
        </is>
      </c>
    </row>
    <row r="687" hidden="1" ht="14.25" customHeight="1" s="75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5">
      <c r="A688" s="90" t="inlineStr">
        <is>
          <t>DP</t>
        </is>
      </c>
      <c r="B688" s="90" t="inlineStr">
        <is>
          <t>Custo Fixo</t>
        </is>
      </c>
      <c r="C688" s="90" t="inlineStr">
        <is>
          <t>Stargrid</t>
        </is>
      </c>
      <c r="D688" s="117" t="n">
        <v>7</v>
      </c>
      <c r="E688" s="118" t="n">
        <v>2.04</v>
      </c>
      <c r="F688" s="96">
        <f>IFERROR(D688*E688,0)</f>
        <v/>
      </c>
      <c r="G688" s="90">
        <f>INDEX(SETORES!$B:$B,MATCH(A688,SETORES!$A:$A,0))</f>
        <v/>
      </c>
      <c r="H688" s="90" t="inlineStr">
        <is>
          <t>Junho/2026</t>
        </is>
      </c>
    </row>
    <row r="689" hidden="1" ht="14.25" customHeight="1" s="75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5">
      <c r="A690" s="90" t="inlineStr">
        <is>
          <t>Diretoria Operacional</t>
        </is>
      </c>
      <c r="B690" s="90" t="inlineStr">
        <is>
          <t>Custo Fixo</t>
        </is>
      </c>
      <c r="C690" s="90" t="inlineStr">
        <is>
          <t>Material de uso coletivo (copa/limpeza)</t>
        </is>
      </c>
      <c r="D690" s="117" t="n">
        <v>1</v>
      </c>
      <c r="E690" s="118" t="n">
        <v>70.8</v>
      </c>
      <c r="F690" s="96" t="n">
        <v>70.8</v>
      </c>
      <c r="G690" s="90">
        <f>INDEX(SETORES!$B:$B,MATCH(A690,SETORES!$A:$A,0))</f>
        <v/>
      </c>
      <c r="H690" s="90" t="inlineStr">
        <is>
          <t>Junho/2026</t>
        </is>
      </c>
    </row>
    <row r="691" hidden="1" ht="14.25" customHeight="1" s="75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5">
      <c r="A692" s="90" t="inlineStr">
        <is>
          <t>Diretoria Operacional</t>
        </is>
      </c>
      <c r="B692" s="90" t="inlineStr">
        <is>
          <t>Custo Fixo</t>
        </is>
      </c>
      <c r="C692" s="90" t="inlineStr">
        <is>
          <t>Água e esgoto (rateio)</t>
        </is>
      </c>
      <c r="D692" s="117" t="n">
        <v>1</v>
      </c>
      <c r="E692" s="118" t="n">
        <v>0.05</v>
      </c>
      <c r="F692" s="96" t="n">
        <v>0.05</v>
      </c>
      <c r="G692" s="90">
        <f>INDEX(SETORES!$B:$B,MATCH(A692,SETORES!$A:$A,0))</f>
        <v/>
      </c>
      <c r="H692" s="90" t="inlineStr">
        <is>
          <t>Junho/2026</t>
        </is>
      </c>
    </row>
    <row r="693" hidden="1" ht="14.25" customHeight="1" s="75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5">
      <c r="A694" s="90" t="inlineStr">
        <is>
          <t>Diretoria Operacional</t>
        </is>
      </c>
      <c r="B694" s="90" t="inlineStr">
        <is>
          <t>Custo Fixo</t>
        </is>
      </c>
      <c r="C694" s="90" t="inlineStr">
        <is>
          <t>Folha de pagamento (salários)</t>
        </is>
      </c>
      <c r="D694" s="117" t="n">
        <v>1</v>
      </c>
      <c r="E694" s="118" t="n">
        <v>28225.1106607408</v>
      </c>
      <c r="F694" s="96">
        <f>IFERROR(E694,0)</f>
        <v/>
      </c>
      <c r="G694" s="90">
        <f>INDEX(SETORES!$B:$B,MATCH(A694,SETORES!$A:$A,0))</f>
        <v/>
      </c>
      <c r="H694" s="90" t="inlineStr">
        <is>
          <t>Junho/2026</t>
        </is>
      </c>
    </row>
    <row r="695" hidden="1" ht="14.25" customHeight="1" s="75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5">
      <c r="A696" s="90" t="inlineStr">
        <is>
          <t>Diretoria Operacional</t>
        </is>
      </c>
      <c r="B696" s="90" t="inlineStr">
        <is>
          <t>Custo Variável</t>
        </is>
      </c>
      <c r="C696" s="90" t="inlineStr">
        <is>
          <t>Fardamento novo</t>
        </is>
      </c>
      <c r="D696" s="117" t="n"/>
      <c r="E696" s="118" t="n"/>
      <c r="F696" s="96">
        <f>IFERROR(D696*E696,0)</f>
        <v/>
      </c>
      <c r="G696" s="90">
        <f>INDEX(SETORES!$B:$B,MATCH(A696,SETORES!$A:$A,0))</f>
        <v/>
      </c>
      <c r="H696" s="90" t="inlineStr">
        <is>
          <t>Junho/2026</t>
        </is>
      </c>
    </row>
    <row r="697" hidden="1" ht="14.25" customHeight="1" s="75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5">
      <c r="A698" s="90" t="inlineStr">
        <is>
          <t>Diretoria Operacional</t>
        </is>
      </c>
      <c r="B698" s="90" t="inlineStr">
        <is>
          <t>Custo Fixo</t>
        </is>
      </c>
      <c r="C698" s="90" t="inlineStr">
        <is>
          <t>Licença de e-mail corporativo</t>
        </is>
      </c>
      <c r="D698" s="117" t="n">
        <v>5</v>
      </c>
      <c r="E698" s="118" t="n">
        <v>50</v>
      </c>
      <c r="F698" s="96">
        <f>IFERROR(D698*E698,0)</f>
        <v/>
      </c>
      <c r="G698" s="90">
        <f>INDEX(SETORES!$B:$B,MATCH(A698,SETORES!$A:$A,0))</f>
        <v/>
      </c>
      <c r="H698" s="90" t="inlineStr">
        <is>
          <t>Junho/2026</t>
        </is>
      </c>
    </row>
    <row r="699" hidden="1" ht="14.25" customHeight="1" s="75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5">
      <c r="A700" s="90" t="inlineStr">
        <is>
          <t>Diretoria Operacional</t>
        </is>
      </c>
      <c r="B700" s="90" t="inlineStr">
        <is>
          <t>Custo Fixo</t>
        </is>
      </c>
      <c r="C700" s="90" t="inlineStr">
        <is>
          <t>Stargrid</t>
        </is>
      </c>
      <c r="D700" s="117" t="n">
        <v>2</v>
      </c>
      <c r="E700" s="118" t="n">
        <v>2.04</v>
      </c>
      <c r="F700" s="96">
        <f>IFERROR(D700*E700,0)</f>
        <v/>
      </c>
      <c r="G700" s="90">
        <f>INDEX(SETORES!$B:$B,MATCH(A700,SETORES!$A:$A,0))</f>
        <v/>
      </c>
      <c r="H700" s="90" t="inlineStr">
        <is>
          <t>Junho/2026</t>
        </is>
      </c>
    </row>
    <row r="701" hidden="1" ht="14.25" customHeight="1" s="75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5">
      <c r="A702" s="90" t="inlineStr">
        <is>
          <t>Engenharia</t>
        </is>
      </c>
      <c r="B702" s="90" t="inlineStr">
        <is>
          <t>Custo Fixo</t>
        </is>
      </c>
      <c r="C702" s="90" t="inlineStr">
        <is>
          <t>Material de uso coletivo (copa/limpeza)</t>
        </is>
      </c>
      <c r="D702" s="117" t="n">
        <v>1</v>
      </c>
      <c r="E702" s="118" t="n">
        <v>22.5</v>
      </c>
      <c r="F702" s="96" t="n">
        <v>22.5</v>
      </c>
      <c r="G702" s="90">
        <f>INDEX(SETORES!$B:$B,MATCH(A702,SETORES!$A:$A,0))</f>
        <v/>
      </c>
      <c r="H702" s="90" t="inlineStr">
        <is>
          <t>Junho/2026</t>
        </is>
      </c>
    </row>
    <row r="703" hidden="1" ht="14.25" customHeight="1" s="75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5">
      <c r="A704" s="90" t="inlineStr">
        <is>
          <t>Engenharia</t>
        </is>
      </c>
      <c r="B704" s="90" t="inlineStr">
        <is>
          <t>Custo Fixo</t>
        </is>
      </c>
      <c r="C704" s="90" t="inlineStr">
        <is>
          <t>Energia elétrica (rateio)</t>
        </is>
      </c>
      <c r="D704" s="117" t="n">
        <v>7</v>
      </c>
      <c r="E704" s="118" t="n">
        <v>23.6877</v>
      </c>
      <c r="F704" s="96" t="n">
        <v>165.8139</v>
      </c>
      <c r="G704" s="90">
        <f>INDEX(SETORES!$B:$B,MATCH(A704,SETORES!$A:$A,0))</f>
        <v/>
      </c>
      <c r="H704" s="90" t="inlineStr">
        <is>
          <t>Junho/2026</t>
        </is>
      </c>
    </row>
    <row r="705" hidden="1" ht="14.25" customHeight="1" s="75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5">
      <c r="A706" s="90" t="inlineStr">
        <is>
          <t>Engenharia</t>
        </is>
      </c>
      <c r="B706" s="90" t="inlineStr">
        <is>
          <t>Custo Fixo</t>
        </is>
      </c>
      <c r="C706" s="90" t="inlineStr">
        <is>
          <t>Telefonia móvel corporativa</t>
        </is>
      </c>
      <c r="D706" s="117" t="n"/>
      <c r="E706" s="118" t="n"/>
      <c r="F706" s="96">
        <f>IFERROR(D706*E706,0)</f>
        <v/>
      </c>
      <c r="G706" s="90">
        <f>INDEX(SETORES!$B:$B,MATCH(A706,SETORES!$A:$A,0))</f>
        <v/>
      </c>
      <c r="H706" s="90" t="inlineStr">
        <is>
          <t>Junho/2026</t>
        </is>
      </c>
    </row>
    <row r="707" hidden="1" ht="14.25" customHeight="1" s="75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51262.88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5">
      <c r="A708" s="90" t="inlineStr">
        <is>
          <t>Engenharia</t>
        </is>
      </c>
      <c r="B708" s="90" t="inlineStr">
        <is>
          <t>Custo Variável</t>
        </is>
      </c>
      <c r="C708" s="90" t="inlineStr">
        <is>
          <t>Fardamento novo</t>
        </is>
      </c>
      <c r="D708" s="117" t="n"/>
      <c r="E708" s="118" t="n"/>
      <c r="F708" s="96">
        <f>IFERROR(D708*E708,0)</f>
        <v/>
      </c>
      <c r="G708" s="90">
        <f>INDEX(SETORES!$B:$B,MATCH(A708,SETORES!$A:$A,0))</f>
        <v/>
      </c>
      <c r="H708" s="90" t="inlineStr">
        <is>
          <t>Junho/2026</t>
        </is>
      </c>
    </row>
    <row r="709" hidden="1" ht="14.25" customHeight="1" s="75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5">
      <c r="A710" s="90" t="inlineStr">
        <is>
          <t>Engenharia</t>
        </is>
      </c>
      <c r="B710" s="90" t="inlineStr">
        <is>
          <t>Custo Variável</t>
        </is>
      </c>
      <c r="C710" s="90" t="inlineStr">
        <is>
          <t>Rateio de transporte coletivo</t>
        </is>
      </c>
      <c r="D710" s="117" t="n">
        <v>7</v>
      </c>
      <c r="E710" s="118" t="n">
        <v>85.70999999999999</v>
      </c>
      <c r="F710" s="96">
        <f>IFERROR(D710*E710,0)</f>
        <v/>
      </c>
      <c r="G710" s="90">
        <f>INDEX(SETORES!$B:$B,MATCH(A710,SETORES!$A:$A,0))</f>
        <v/>
      </c>
      <c r="H710" s="90" t="inlineStr">
        <is>
          <t>Junho/2026</t>
        </is>
      </c>
    </row>
    <row r="711" hidden="1" ht="14.25" customHeight="1" s="75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5">
      <c r="A712" s="90" t="inlineStr">
        <is>
          <t>Engenharia</t>
        </is>
      </c>
      <c r="B712" s="90" t="inlineStr">
        <is>
          <t>Custo Fixo</t>
        </is>
      </c>
      <c r="C712" s="90" t="inlineStr">
        <is>
          <t>Licença de e-mail corporativo</t>
        </is>
      </c>
      <c r="D712" s="117" t="n">
        <v>10</v>
      </c>
      <c r="E712" s="118" t="n">
        <v>50</v>
      </c>
      <c r="F712" s="96">
        <f>IFERROR(D712*E712,0)</f>
        <v/>
      </c>
      <c r="G712" s="90">
        <f>INDEX(SETORES!$B:$B,MATCH(A712,SETORES!$A:$A,0))</f>
        <v/>
      </c>
      <c r="H712" s="90" t="inlineStr">
        <is>
          <t>Junho/2026</t>
        </is>
      </c>
    </row>
    <row r="713" hidden="1" ht="14.25" customHeight="1" s="75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5">
      <c r="A714" s="90" t="inlineStr">
        <is>
          <t>Engenharia</t>
        </is>
      </c>
      <c r="B714" s="90" t="inlineStr">
        <is>
          <t>Custo Fixo</t>
        </is>
      </c>
      <c r="C714" s="90" t="inlineStr">
        <is>
          <t>Impressora</t>
        </is>
      </c>
      <c r="D714" s="117" t="n">
        <v>1</v>
      </c>
      <c r="E714" s="118" t="n">
        <v>128.68</v>
      </c>
      <c r="F714" s="96">
        <f>IFERROR(D714*E714,0)</f>
        <v/>
      </c>
      <c r="G714" s="90">
        <f>INDEX(SETORES!$B:$B,MATCH(A714,SETORES!$A:$A,0))</f>
        <v/>
      </c>
      <c r="H714" s="90" t="inlineStr">
        <is>
          <t>Junho/2026</t>
        </is>
      </c>
    </row>
    <row r="715" hidden="1" ht="14.25" customHeight="1" s="75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5">
      <c r="A716" s="90" t="inlineStr">
        <is>
          <t>Engenharia</t>
        </is>
      </c>
      <c r="B716" s="90" t="inlineStr">
        <is>
          <t>Custo Fixo</t>
        </is>
      </c>
      <c r="C716" s="90" t="inlineStr">
        <is>
          <t>Stargrid</t>
        </is>
      </c>
      <c r="D716" s="117" t="n">
        <v>7</v>
      </c>
      <c r="E716" s="118" t="n">
        <v>2.04</v>
      </c>
      <c r="F716" s="96">
        <f>IFERROR(D716*E716,0)</f>
        <v/>
      </c>
      <c r="G716" s="90">
        <f>INDEX(SETORES!$B:$B,MATCH(A716,SETORES!$A:$A,0))</f>
        <v/>
      </c>
      <c r="H716" s="90" t="inlineStr">
        <is>
          <t>Junho/2026</t>
        </is>
      </c>
    </row>
    <row r="717" hidden="1" ht="14.25" customHeight="1" s="75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15</v>
      </c>
      <c r="E717" s="115" t="n">
        <v>0.3124</v>
      </c>
      <c r="F717" s="116" t="n">
        <v>4.686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5">
      <c r="A718" s="90" t="inlineStr">
        <is>
          <t>Estoque</t>
        </is>
      </c>
      <c r="B718" s="90" t="inlineStr">
        <is>
          <t>Custo Fixo</t>
        </is>
      </c>
      <c r="C718" s="90" t="inlineStr">
        <is>
          <t>Material de escritório (suprimentos de informática)</t>
        </is>
      </c>
      <c r="D718" s="117" t="n"/>
      <c r="E718" s="118" t="n"/>
      <c r="F718" s="96" t="n">
        <v>0</v>
      </c>
      <c r="G718" s="90">
        <f>INDEX(SETORES!$B:$B,MATCH(A718,SETORES!$A:$A,0))</f>
        <v/>
      </c>
      <c r="H718" s="90" t="inlineStr">
        <is>
          <t>Junho/2026</t>
        </is>
      </c>
    </row>
    <row r="719" hidden="1" ht="14.25" customHeight="1" s="75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5">
      <c r="A720" s="90" t="inlineStr">
        <is>
          <t>Estoque</t>
        </is>
      </c>
      <c r="B720" s="90" t="inlineStr">
        <is>
          <t>Custo Fixo</t>
        </is>
      </c>
      <c r="C720" s="90" t="inlineStr">
        <is>
          <t>Energia elétrica (rateio)</t>
        </is>
      </c>
      <c r="D720" s="117" t="n">
        <v>12</v>
      </c>
      <c r="E720" s="118" t="n">
        <v>23.6877</v>
      </c>
      <c r="F720" s="96" t="n">
        <v>284.2524</v>
      </c>
      <c r="G720" s="90">
        <f>INDEX(SETORES!$B:$B,MATCH(A720,SETORES!$A:$A,0))</f>
        <v/>
      </c>
      <c r="H720" s="90" t="inlineStr">
        <is>
          <t>Junho/2026</t>
        </is>
      </c>
    </row>
    <row r="721" hidden="1" ht="14.25" customHeight="1" s="75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5">
      <c r="A722" s="90" t="inlineStr">
        <is>
          <t>Estoque</t>
        </is>
      </c>
      <c r="B722" s="90" t="inlineStr">
        <is>
          <t>Custo Fixo</t>
        </is>
      </c>
      <c r="C722" s="90" t="inlineStr">
        <is>
          <t>Telefonia móvel corporativa</t>
        </is>
      </c>
      <c r="D722" s="117" t="n"/>
      <c r="E722" s="118" t="n"/>
      <c r="F722" s="96">
        <f>IFERROR(D722*E722,0)</f>
        <v/>
      </c>
      <c r="G722" s="90">
        <f>INDEX(SETORES!$B:$B,MATCH(A722,SETORES!$A:$A,0))</f>
        <v/>
      </c>
      <c r="H722" s="90" t="inlineStr">
        <is>
          <t>Junho/2026</t>
        </is>
      </c>
    </row>
    <row r="723" hidden="1" ht="14.25" customHeight="1" s="75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5">
      <c r="A724" s="90" t="inlineStr">
        <is>
          <t>Estoque</t>
        </is>
      </c>
      <c r="B724" s="90" t="inlineStr">
        <is>
          <t>Custo Variável</t>
        </is>
      </c>
      <c r="C724" s="90" t="inlineStr">
        <is>
          <t>Investimento de equipamentos (não patrimoniável)</t>
        </is>
      </c>
      <c r="D724" s="117" t="n"/>
      <c r="E724" s="118" t="n"/>
      <c r="F724" s="96">
        <f>IFERROR(D724*E724,0)</f>
        <v/>
      </c>
      <c r="G724" s="90">
        <f>INDEX(SETORES!$B:$B,MATCH(A724,SETORES!$A:$A,0))</f>
        <v/>
      </c>
      <c r="H724" s="90" t="inlineStr">
        <is>
          <t>Junho/2026</t>
        </is>
      </c>
    </row>
    <row r="725" hidden="1" ht="14.25" customHeight="1" s="75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5">
      <c r="A726" s="90" t="inlineStr">
        <is>
          <t>Estoque</t>
        </is>
      </c>
      <c r="B726" s="90" t="inlineStr">
        <is>
          <t>Custo Variável</t>
        </is>
      </c>
      <c r="C726" s="90" t="inlineStr">
        <is>
          <t>Fardamento substituição</t>
        </is>
      </c>
      <c r="D726" s="117" t="n"/>
      <c r="E726" s="118" t="n"/>
      <c r="F726" s="96">
        <f>IFERROR(D726*E726,0)</f>
        <v/>
      </c>
      <c r="G726" s="90">
        <f>INDEX(SETORES!$B:$B,MATCH(A726,SETORES!$A:$A,0))</f>
        <v/>
      </c>
      <c r="H726" s="90" t="inlineStr">
        <is>
          <t>Junho/2026</t>
        </is>
      </c>
    </row>
    <row r="727" hidden="1" ht="14.25" customHeight="1" s="75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5">
      <c r="A728" s="90" t="inlineStr">
        <is>
          <t>Estoque</t>
        </is>
      </c>
      <c r="B728" s="90" t="inlineStr">
        <is>
          <t>Custo Variável</t>
        </is>
      </c>
      <c r="C728" s="90" t="inlineStr">
        <is>
          <t>Rescisões trabalhistas</t>
        </is>
      </c>
      <c r="D728" s="117" t="n">
        <v>1</v>
      </c>
      <c r="E728" s="118" t="n">
        <v>3112.37</v>
      </c>
      <c r="F728" s="96">
        <f>IFERROR(D728*E728,0)</f>
        <v/>
      </c>
      <c r="G728" s="90">
        <f>INDEX(SETORES!$B:$B,MATCH(A728,SETORES!$A:$A,0))</f>
        <v/>
      </c>
      <c r="H728" s="90" t="inlineStr">
        <is>
          <t>Junho/2026</t>
        </is>
      </c>
    </row>
    <row r="729" hidden="1" ht="14.25" customHeight="1" s="75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5">
      <c r="A730" s="90" t="inlineStr">
        <is>
          <t>Estoque</t>
        </is>
      </c>
      <c r="B730" s="90" t="inlineStr">
        <is>
          <t>Custo Fixo</t>
        </is>
      </c>
      <c r="C730" s="90" t="inlineStr">
        <is>
          <t>Licença de e-mail corporativo</t>
        </is>
      </c>
      <c r="D730" s="117" t="n">
        <v>16</v>
      </c>
      <c r="E730" s="118" t="n">
        <v>50</v>
      </c>
      <c r="F730" s="96">
        <f>IFERROR(D730*E730,0)</f>
        <v/>
      </c>
      <c r="G730" s="90">
        <f>INDEX(SETORES!$B:$B,MATCH(A730,SETORES!$A:$A,0))</f>
        <v/>
      </c>
      <c r="H730" s="90" t="inlineStr">
        <is>
          <t>Junho/2026</t>
        </is>
      </c>
    </row>
    <row r="731" hidden="1" ht="14.25" customHeight="1" s="75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5">
      <c r="A732" s="90" t="inlineStr">
        <is>
          <t>Estoque</t>
        </is>
      </c>
      <c r="B732" s="90" t="inlineStr">
        <is>
          <t>Custo Fixo</t>
        </is>
      </c>
      <c r="C732" s="90" t="inlineStr">
        <is>
          <t>Gympass</t>
        </is>
      </c>
      <c r="D732" s="117" t="n">
        <v>12</v>
      </c>
      <c r="E732" s="118" t="n">
        <v>9.85</v>
      </c>
      <c r="F732" s="96">
        <f>IFERROR(D732*E732,0)</f>
        <v/>
      </c>
      <c r="G732" s="90">
        <f>INDEX(SETORES!$B:$B,MATCH(A732,SETORES!$A:$A,0))</f>
        <v/>
      </c>
      <c r="H732" s="90" t="inlineStr">
        <is>
          <t>Junho/2026</t>
        </is>
      </c>
    </row>
    <row r="733" hidden="1" ht="14.25" customHeight="1" s="75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5">
      <c r="A734" s="90" t="inlineStr">
        <is>
          <t>Segurança do Trabalho</t>
        </is>
      </c>
      <c r="B734" s="90" t="inlineStr">
        <is>
          <t>Custo Fixo</t>
        </is>
      </c>
      <c r="C734" s="90" t="inlineStr">
        <is>
          <t>Água e esgoto (rateio)</t>
        </is>
      </c>
      <c r="D734" s="117" t="n">
        <v>6</v>
      </c>
      <c r="E734" s="118" t="n">
        <v>0.3124</v>
      </c>
      <c r="F734" s="96" t="n">
        <v>1.8744</v>
      </c>
      <c r="G734" s="90">
        <f>INDEX(SETORES!$B:$B,MATCH(A734,SETORES!$A:$A,0))</f>
        <v/>
      </c>
      <c r="H734" s="90" t="inlineStr">
        <is>
          <t>Junho/2026</t>
        </is>
      </c>
    </row>
    <row r="735" hidden="1" ht="14.25" customHeight="1" s="75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5">
      <c r="A736" s="90" t="inlineStr">
        <is>
          <t>Financeiro</t>
        </is>
      </c>
      <c r="B736" s="90" t="inlineStr">
        <is>
          <t>Custo Fixo</t>
        </is>
      </c>
      <c r="C736" s="90" t="inlineStr">
        <is>
          <t>Material de uso coletivo (copa/limpeza)</t>
        </is>
      </c>
      <c r="D736" s="117" t="n">
        <v>1</v>
      </c>
      <c r="E736" s="118" t="n">
        <v>138.53</v>
      </c>
      <c r="F736" s="96" t="n">
        <v>138.53</v>
      </c>
      <c r="G736" s="90">
        <f>INDEX(SETORES!$B:$B,MATCH(A736,SETORES!$A:$A,0))</f>
        <v/>
      </c>
      <c r="H736" s="90" t="inlineStr">
        <is>
          <t>Junho/2026</t>
        </is>
      </c>
    </row>
    <row r="737" hidden="1" ht="14.25" customHeight="1" s="75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5">
      <c r="A738" s="90" t="inlineStr">
        <is>
          <t>Financeiro</t>
        </is>
      </c>
      <c r="B738" s="90" t="inlineStr">
        <is>
          <t>Custo Fixo</t>
        </is>
      </c>
      <c r="C738" s="90" t="inlineStr">
        <is>
          <t>Água e esgoto (rateio)</t>
        </is>
      </c>
      <c r="D738" s="117" t="n">
        <v>1</v>
      </c>
      <c r="E738" s="118" t="n">
        <v>0.175</v>
      </c>
      <c r="F738" s="96" t="n">
        <v>0.175</v>
      </c>
      <c r="G738" s="90">
        <f>INDEX(SETORES!$B:$B,MATCH(A738,SETORES!$A:$A,0))</f>
        <v/>
      </c>
      <c r="H738" s="90" t="inlineStr">
        <is>
          <t>Junho/2026</t>
        </is>
      </c>
    </row>
    <row r="739" hidden="1" ht="14.25" customHeight="1" s="75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5">
      <c r="A740" s="90" t="inlineStr">
        <is>
          <t>Financeiro</t>
        </is>
      </c>
      <c r="B740" s="90" t="inlineStr">
        <is>
          <t>Custo Fixo</t>
        </is>
      </c>
      <c r="C740" s="90" t="inlineStr">
        <is>
          <t>Folha de pagamento (salários)</t>
        </is>
      </c>
      <c r="D740" s="117" t="n">
        <v>1</v>
      </c>
      <c r="E740" s="118" t="n">
        <v>38865.14</v>
      </c>
      <c r="F740" s="96">
        <f>IFERROR(E740,0)</f>
        <v/>
      </c>
      <c r="G740" s="90">
        <f>INDEX(SETORES!$B:$B,MATCH(A740,SETORES!$A:$A,0))</f>
        <v/>
      </c>
      <c r="H740" s="90" t="inlineStr">
        <is>
          <t>Junho/2026</t>
        </is>
      </c>
    </row>
    <row r="741" hidden="1" ht="14.25" customHeight="1" s="75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5">
      <c r="A742" s="90" t="inlineStr">
        <is>
          <t>Financeiro</t>
        </is>
      </c>
      <c r="B742" s="90" t="inlineStr">
        <is>
          <t>Custo Variável</t>
        </is>
      </c>
      <c r="C742" s="90" t="inlineStr">
        <is>
          <t>Fardamento novo</t>
        </is>
      </c>
      <c r="D742" s="117" t="n"/>
      <c r="E742" s="118" t="n"/>
      <c r="F742" s="96">
        <f>IFERROR(D742*E742,0)</f>
        <v/>
      </c>
      <c r="G742" s="90">
        <f>INDEX(SETORES!$B:$B,MATCH(A742,SETORES!$A:$A,0))</f>
        <v/>
      </c>
      <c r="H742" s="90" t="inlineStr">
        <is>
          <t>Junho/2026</t>
        </is>
      </c>
    </row>
    <row r="743" hidden="1" ht="14.25" customHeight="1" s="75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5">
      <c r="A744" s="90" t="inlineStr">
        <is>
          <t>Financeiro</t>
        </is>
      </c>
      <c r="B744" s="90" t="inlineStr">
        <is>
          <t>Custo Fixo</t>
        </is>
      </c>
      <c r="C744" s="90" t="inlineStr">
        <is>
          <t>Licença de e-mail corporativo</t>
        </is>
      </c>
      <c r="D744" s="117" t="n">
        <v>8</v>
      </c>
      <c r="E744" s="118" t="n">
        <v>50</v>
      </c>
      <c r="F744" s="96">
        <f>IFERROR(D744*E744,0)</f>
        <v/>
      </c>
      <c r="G744" s="90">
        <f>INDEX(SETORES!$B:$B,MATCH(A744,SETORES!$A:$A,0))</f>
        <v/>
      </c>
      <c r="H744" s="90" t="inlineStr">
        <is>
          <t>Junho/2026</t>
        </is>
      </c>
    </row>
    <row r="745" hidden="1" ht="14.25" customHeight="1" s="75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5">
      <c r="A746" s="90" t="inlineStr">
        <is>
          <t>Financeiro</t>
        </is>
      </c>
      <c r="B746" s="90" t="inlineStr">
        <is>
          <t>Custo Fixo</t>
        </is>
      </c>
      <c r="C746" s="90" t="inlineStr">
        <is>
          <t>Gympass</t>
        </is>
      </c>
      <c r="D746" s="117" t="n">
        <v>8</v>
      </c>
      <c r="E746" s="118" t="n">
        <v>9.85</v>
      </c>
      <c r="F746" s="96">
        <f>IFERROR(D746*E746,0)</f>
        <v/>
      </c>
      <c r="G746" s="90">
        <f>INDEX(SETORES!$B:$B,MATCH(A746,SETORES!$A:$A,0))</f>
        <v/>
      </c>
      <c r="H746" s="90" t="inlineStr">
        <is>
          <t>Junho/2026</t>
        </is>
      </c>
    </row>
    <row r="747" hidden="1" ht="14.25" customHeight="1" s="75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5">
      <c r="A748" s="90" t="inlineStr">
        <is>
          <t>Logística</t>
        </is>
      </c>
      <c r="B748" s="90" t="inlineStr">
        <is>
          <t>Custo Fixo</t>
        </is>
      </c>
      <c r="C748" s="90" t="inlineStr">
        <is>
          <t>Material de escritório (suprimentos de informática)</t>
        </is>
      </c>
      <c r="D748" s="117" t="n"/>
      <c r="E748" s="118" t="n"/>
      <c r="F748" s="96" t="n">
        <v>0</v>
      </c>
      <c r="G748" s="90">
        <f>INDEX(SETORES!$B:$B,MATCH(A748,SETORES!$A:$A,0))</f>
        <v/>
      </c>
      <c r="H748" s="90" t="inlineStr">
        <is>
          <t>Junho/2026</t>
        </is>
      </c>
    </row>
    <row r="749" hidden="1" ht="14.25" customHeight="1" s="75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5">
      <c r="A750" s="90" t="inlineStr">
        <is>
          <t>Logística</t>
        </is>
      </c>
      <c r="B750" s="90" t="inlineStr">
        <is>
          <t>Custo Fixo</t>
        </is>
      </c>
      <c r="C750" s="90" t="inlineStr">
        <is>
          <t>Energia elétrica (rateio)</t>
        </is>
      </c>
      <c r="D750" s="117" t="n">
        <v>15</v>
      </c>
      <c r="E750" s="118" t="n">
        <v>23.6877</v>
      </c>
      <c r="F750" s="96" t="n">
        <v>355.3155</v>
      </c>
      <c r="G750" s="90">
        <f>INDEX(SETORES!$B:$B,MATCH(A750,SETORES!$A:$A,0))</f>
        <v/>
      </c>
      <c r="H750" s="90" t="inlineStr">
        <is>
          <t>Junho/2026</t>
        </is>
      </c>
    </row>
    <row r="751" hidden="1" ht="14.25" customHeight="1" s="75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5">
      <c r="A752" s="90" t="inlineStr">
        <is>
          <t>Logística</t>
        </is>
      </c>
      <c r="B752" s="90" t="inlineStr">
        <is>
          <t>Custo Fixo</t>
        </is>
      </c>
      <c r="C752" s="90" t="inlineStr">
        <is>
          <t>Folha de pagamento (salários)</t>
        </is>
      </c>
      <c r="D752" s="117" t="n">
        <v>1</v>
      </c>
      <c r="E752" s="118" t="n">
        <v>89902.78</v>
      </c>
      <c r="F752" s="96">
        <f>IFERROR(E752,0)</f>
        <v/>
      </c>
      <c r="G752" s="90">
        <f>INDEX(SETORES!$B:$B,MATCH(A752,SETORES!$A:$A,0))</f>
        <v/>
      </c>
      <c r="H752" s="90" t="inlineStr">
        <is>
          <t>Junho/2026</t>
        </is>
      </c>
    </row>
    <row r="753" hidden="1" ht="14.25" customHeight="1" s="75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5">
      <c r="A754" s="90" t="inlineStr">
        <is>
          <t>Logística</t>
        </is>
      </c>
      <c r="B754" s="90" t="inlineStr">
        <is>
          <t>Custo Variável</t>
        </is>
      </c>
      <c r="C754" s="90" t="inlineStr">
        <is>
          <t>Manutenção de veículos</t>
        </is>
      </c>
      <c r="D754" s="117" t="n"/>
      <c r="E754" s="118" t="n"/>
      <c r="F754" s="96">
        <f>IFERROR(D754*E754,0)</f>
        <v/>
      </c>
      <c r="G754" s="90">
        <f>INDEX(SETORES!$B:$B,MATCH(A754,SETORES!$A:$A,0))</f>
        <v/>
      </c>
      <c r="H754" s="90" t="inlineStr">
        <is>
          <t>Junho/2026</t>
        </is>
      </c>
    </row>
    <row r="755" hidden="1" ht="14.25" customHeight="1" s="75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5">
      <c r="A756" s="90" t="inlineStr">
        <is>
          <t>Logística</t>
        </is>
      </c>
      <c r="B756" s="90" t="inlineStr">
        <is>
          <t>Custo Variável</t>
        </is>
      </c>
      <c r="C756" s="90" t="inlineStr">
        <is>
          <t>Fardamento substituição</t>
        </is>
      </c>
      <c r="D756" s="117" t="n"/>
      <c r="E756" s="118" t="n"/>
      <c r="F756" s="96">
        <f>IFERROR(D756*E756,0)</f>
        <v/>
      </c>
      <c r="G756" s="90">
        <f>INDEX(SETORES!$B:$B,MATCH(A756,SETORES!$A:$A,0))</f>
        <v/>
      </c>
      <c r="H756" s="90" t="inlineStr">
        <is>
          <t>Junho/2026</t>
        </is>
      </c>
    </row>
    <row r="757" hidden="1" ht="14.25" customHeight="1" s="75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5">
      <c r="A758" s="90" t="inlineStr">
        <is>
          <t>Logística</t>
        </is>
      </c>
      <c r="B758" s="90" t="inlineStr">
        <is>
          <t>Custo Variável</t>
        </is>
      </c>
      <c r="C758" s="90" t="inlineStr">
        <is>
          <t>Rateio de transporte coletivo</t>
        </is>
      </c>
      <c r="D758" s="117" t="n">
        <v>15</v>
      </c>
      <c r="E758" s="118" t="n">
        <v>85.70999999999999</v>
      </c>
      <c r="F758" s="96">
        <f>IFERROR(D758*E758,0)</f>
        <v/>
      </c>
      <c r="G758" s="90">
        <f>INDEX(SETORES!$B:$B,MATCH(A758,SETORES!$A:$A,0))</f>
        <v/>
      </c>
      <c r="H758" s="90" t="inlineStr">
        <is>
          <t>Junho/2026</t>
        </is>
      </c>
    </row>
    <row r="759" hidden="1" ht="14.25" customHeight="1" s="75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5">
      <c r="A760" s="90" t="inlineStr">
        <is>
          <t>Logística</t>
        </is>
      </c>
      <c r="B760" s="90" t="inlineStr">
        <is>
          <t>Custo Fixo</t>
        </is>
      </c>
      <c r="C760" s="90" t="inlineStr">
        <is>
          <t>Impressora</t>
        </is>
      </c>
      <c r="D760" s="117" t="n">
        <v>1</v>
      </c>
      <c r="E760" s="118" t="n">
        <v>153.58</v>
      </c>
      <c r="F760" s="96">
        <f>IFERROR(D760*E760,0)</f>
        <v/>
      </c>
      <c r="G760" s="90">
        <f>INDEX(SETORES!$B:$B,MATCH(A760,SETORES!$A:$A,0))</f>
        <v/>
      </c>
      <c r="H760" s="90" t="inlineStr">
        <is>
          <t>Junho/2026</t>
        </is>
      </c>
    </row>
    <row r="761" hidden="1" ht="14.25" customHeight="1" s="75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15</v>
      </c>
      <c r="E761" s="115" t="n">
        <v>9.85</v>
      </c>
      <c r="F761" s="116">
        <f>IFERROR(D761*E761,0)</f>
        <v/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5">
      <c r="A762" s="90" t="inlineStr">
        <is>
          <t>Logística</t>
        </is>
      </c>
      <c r="B762" s="90" t="inlineStr">
        <is>
          <t>Custo Fixo</t>
        </is>
      </c>
      <c r="C762" s="90" t="inlineStr">
        <is>
          <t>Stargrid</t>
        </is>
      </c>
      <c r="D762" s="117" t="n">
        <v>15</v>
      </c>
      <c r="E762" s="118" t="n">
        <v>2.04</v>
      </c>
      <c r="F762" s="96">
        <f>IFERROR(D762*E762,0)</f>
        <v/>
      </c>
      <c r="G762" s="90">
        <f>INDEX(SETORES!$B:$B,MATCH(A762,SETORES!$A:$A,0))</f>
        <v/>
      </c>
      <c r="H762" s="90" t="inlineStr">
        <is>
          <t>Junho/2026</t>
        </is>
      </c>
    </row>
    <row r="763" hidden="1" ht="14.25" customHeight="1" s="75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5">
      <c r="A764" s="90" t="inlineStr">
        <is>
          <t>Manutenção Predial</t>
        </is>
      </c>
      <c r="B764" s="90" t="inlineStr">
        <is>
          <t>Custo Fixo</t>
        </is>
      </c>
      <c r="C764" s="90" t="inlineStr">
        <is>
          <t>Material de uso coletivo (copa/limpeza)</t>
        </is>
      </c>
      <c r="D764" s="117" t="n"/>
      <c r="E764" s="118" t="n"/>
      <c r="F764" s="96" t="n">
        <v>0</v>
      </c>
      <c r="G764" s="90">
        <f>INDEX(SETORES!$B:$B,MATCH(A764,SETORES!$A:$A,0))</f>
        <v/>
      </c>
      <c r="H764" s="90" t="inlineStr">
        <is>
          <t>Junho/2026</t>
        </is>
      </c>
    </row>
    <row r="765" hidden="1" ht="14.25" customHeight="1" s="75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5">
      <c r="A766" s="90" t="inlineStr">
        <is>
          <t>Manutenção Predial</t>
        </is>
      </c>
      <c r="B766" s="90" t="inlineStr">
        <is>
          <t>Custo Fixo</t>
        </is>
      </c>
      <c r="C766" s="90" t="inlineStr">
        <is>
          <t>Folha de pagamento (salários)</t>
        </is>
      </c>
      <c r="D766" s="117" t="n">
        <v>1</v>
      </c>
      <c r="E766" s="118" t="n">
        <v>112868.09</v>
      </c>
      <c r="F766" s="96">
        <f>IFERROR(E766,0)</f>
        <v/>
      </c>
      <c r="G766" s="90">
        <f>INDEX(SETORES!$B:$B,MATCH(A766,SETORES!$A:$A,0))</f>
        <v/>
      </c>
      <c r="H766" s="90" t="inlineStr">
        <is>
          <t>Junho/2026</t>
        </is>
      </c>
    </row>
    <row r="767" hidden="1" ht="14.25" customHeight="1" s="75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5">
      <c r="A768" s="90" t="inlineStr">
        <is>
          <t>Manutenção Predial</t>
        </is>
      </c>
      <c r="B768" s="90" t="inlineStr">
        <is>
          <t>Custo Variável</t>
        </is>
      </c>
      <c r="C768" s="90" t="inlineStr">
        <is>
          <t>EPIs - Equipamento de Proteção Individual</t>
        </is>
      </c>
      <c r="D768" s="117" t="n">
        <v>1</v>
      </c>
      <c r="E768" s="118" t="n">
        <v>250</v>
      </c>
      <c r="F768" s="96">
        <f>IFERROR(D768*E768,0)</f>
        <v/>
      </c>
      <c r="G768" s="90">
        <f>INDEX(SETORES!$B:$B,MATCH(A768,SETORES!$A:$A,0))</f>
        <v/>
      </c>
      <c r="H768" s="90" t="inlineStr">
        <is>
          <t>Junho/2026</t>
        </is>
      </c>
    </row>
    <row r="769" hidden="1" ht="14.25" customHeight="1" s="75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5">
      <c r="A770" s="90" t="inlineStr">
        <is>
          <t>Manutenção Predial</t>
        </is>
      </c>
      <c r="B770" s="90" t="inlineStr">
        <is>
          <t>Custo Variável</t>
        </is>
      </c>
      <c r="C770" s="90" t="inlineStr">
        <is>
          <t>Combustível de frota</t>
        </is>
      </c>
      <c r="D770" s="117" t="n">
        <v>1</v>
      </c>
      <c r="E770" s="118" t="n">
        <v>11996.86</v>
      </c>
      <c r="F770" s="96">
        <f>IFERROR(D770*E770,0)</f>
        <v/>
      </c>
      <c r="G770" s="90">
        <f>INDEX(SETORES!$B:$B,MATCH(A770,SETORES!$A:$A,0))</f>
        <v/>
      </c>
      <c r="H770" s="90" t="inlineStr">
        <is>
          <t>Junho/2026</t>
        </is>
      </c>
    </row>
    <row r="771" hidden="1" ht="14.25" customHeight="1" s="75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5">
      <c r="A772" s="90" t="inlineStr">
        <is>
          <t>Manutenção Predial</t>
        </is>
      </c>
      <c r="B772" s="90" t="inlineStr">
        <is>
          <t>Custo Fixo</t>
        </is>
      </c>
      <c r="C772" s="90" t="inlineStr">
        <is>
          <t>Stargrid</t>
        </is>
      </c>
      <c r="D772" s="117" t="n">
        <v>12</v>
      </c>
      <c r="E772" s="118" t="n">
        <v>2.04</v>
      </c>
      <c r="F772" s="96">
        <f>IFERROR(D772*E772,0)</f>
        <v/>
      </c>
      <c r="G772" s="90">
        <f>INDEX(SETORES!$B:$B,MATCH(A772,SETORES!$A:$A,0))</f>
        <v/>
      </c>
      <c r="H772" s="90" t="inlineStr">
        <is>
          <t>Junho/2026</t>
        </is>
      </c>
    </row>
    <row r="773" hidden="1" ht="14.25" customHeight="1" s="75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5">
      <c r="A774" s="90" t="inlineStr">
        <is>
          <t>NOC</t>
        </is>
      </c>
      <c r="B774" s="90" t="inlineStr">
        <is>
          <t>Custo Fixo</t>
        </is>
      </c>
      <c r="C774" s="90" t="inlineStr">
        <is>
          <t>Material de uso coletivo (copa/limpeza)</t>
        </is>
      </c>
      <c r="D774" s="117" t="n">
        <v>1</v>
      </c>
      <c r="E774" s="118" t="n">
        <v>190.78</v>
      </c>
      <c r="F774" s="96" t="n">
        <v>190.78</v>
      </c>
      <c r="G774" s="90">
        <f>INDEX(SETORES!$B:$B,MATCH(A774,SETORES!$A:$A,0))</f>
        <v/>
      </c>
      <c r="H774" s="90" t="inlineStr">
        <is>
          <t>Junho/2026</t>
        </is>
      </c>
    </row>
    <row r="775" hidden="1" ht="14.25" customHeight="1" s="75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5">
      <c r="A776" s="90" t="inlineStr">
        <is>
          <t>NOC</t>
        </is>
      </c>
      <c r="B776" s="90" t="inlineStr">
        <is>
          <t>Custo Fixo</t>
        </is>
      </c>
      <c r="C776" s="90" t="inlineStr">
        <is>
          <t>Água e esgoto (rateio)</t>
        </is>
      </c>
      <c r="D776" s="117" t="n">
        <v>1</v>
      </c>
      <c r="E776" s="118" t="n">
        <v>0.125</v>
      </c>
      <c r="F776" s="96" t="n">
        <v>0.125</v>
      </c>
      <c r="G776" s="90">
        <f>INDEX(SETORES!$B:$B,MATCH(A776,SETORES!$A:$A,0))</f>
        <v/>
      </c>
      <c r="H776" s="90" t="inlineStr">
        <is>
          <t>Junho/2026</t>
        </is>
      </c>
    </row>
    <row r="777" hidden="1" ht="14.25" customHeight="1" s="75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5">
      <c r="A778" s="90" t="inlineStr">
        <is>
          <t>NOC</t>
        </is>
      </c>
      <c r="B778" s="90" t="inlineStr">
        <is>
          <t>Custo Fixo</t>
        </is>
      </c>
      <c r="C778" s="90" t="inlineStr">
        <is>
          <t>Folha de pagamento (salários)</t>
        </is>
      </c>
      <c r="D778" s="117" t="n">
        <v>1</v>
      </c>
      <c r="E778" s="118" t="n">
        <v>61181.18</v>
      </c>
      <c r="F778" s="96">
        <f>IFERROR(E778,0)</f>
        <v/>
      </c>
      <c r="G778" s="90">
        <f>INDEX(SETORES!$B:$B,MATCH(A778,SETORES!$A:$A,0))</f>
        <v/>
      </c>
      <c r="H778" s="90" t="inlineStr">
        <is>
          <t>Junho/2026</t>
        </is>
      </c>
    </row>
    <row r="779" hidden="1" ht="14.25" customHeight="1" s="75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5">
      <c r="A780" s="90" t="inlineStr">
        <is>
          <t>NOC</t>
        </is>
      </c>
      <c r="B780" s="90" t="inlineStr">
        <is>
          <t>Custo Variável</t>
        </is>
      </c>
      <c r="C780" s="90" t="inlineStr">
        <is>
          <t>Combustível de frota</t>
        </is>
      </c>
      <c r="D780" s="117" t="n">
        <v>1</v>
      </c>
      <c r="E780" s="118" t="n">
        <v>1905.53</v>
      </c>
      <c r="F780" s="96">
        <f>IFERROR(D780*E780,0)</f>
        <v/>
      </c>
      <c r="G780" s="90">
        <f>INDEX(SETORES!$B:$B,MATCH(A780,SETORES!$A:$A,0))</f>
        <v/>
      </c>
      <c r="H780" s="90" t="inlineStr">
        <is>
          <t>Junho/2026</t>
        </is>
      </c>
    </row>
    <row r="781" hidden="1" ht="14.25" customHeight="1" s="75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5">
      <c r="A782" s="90" t="inlineStr">
        <is>
          <t>NOC</t>
        </is>
      </c>
      <c r="B782" s="90" t="inlineStr">
        <is>
          <t>Custo Fixo</t>
        </is>
      </c>
      <c r="C782" s="90" t="inlineStr">
        <is>
          <t>Stargrid</t>
        </is>
      </c>
      <c r="D782" s="117" t="n">
        <v>5</v>
      </c>
      <c r="E782" s="118" t="n">
        <v>2.04</v>
      </c>
      <c r="F782" s="96">
        <f>IFERROR(D782*E782,0)</f>
        <v/>
      </c>
      <c r="G782" s="90">
        <f>INDEX(SETORES!$B:$B,MATCH(A782,SETORES!$A:$A,0))</f>
        <v/>
      </c>
      <c r="H782" s="90" t="inlineStr">
        <is>
          <t>Junho/2026</t>
        </is>
      </c>
    </row>
    <row r="783" hidden="1" ht="14.25" customHeight="1" s="75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5">
      <c r="A784" s="90" t="inlineStr">
        <is>
          <t>NRC</t>
        </is>
      </c>
      <c r="B784" s="90" t="inlineStr">
        <is>
          <t>Custo Fixo</t>
        </is>
      </c>
      <c r="C784" s="90" t="inlineStr">
        <is>
          <t>Material de uso coletivo (copa/limpeza)</t>
        </is>
      </c>
      <c r="D784" s="117" t="n">
        <v>1</v>
      </c>
      <c r="E784" s="118" t="n">
        <v>2708.935738</v>
      </c>
      <c r="F784" s="96" t="n">
        <v>2708.935738</v>
      </c>
      <c r="G784" s="90">
        <f>INDEX(SETORES!$B:$B,MATCH(A784,SETORES!$A:$A,0))</f>
        <v/>
      </c>
      <c r="H784" s="90" t="inlineStr">
        <is>
          <t>Junho/2026</t>
        </is>
      </c>
    </row>
    <row r="785" hidden="1" ht="14.25" customHeight="1" s="75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5">
      <c r="A786" s="90" t="inlineStr">
        <is>
          <t>NRC</t>
        </is>
      </c>
      <c r="B786" s="90" t="inlineStr">
        <is>
          <t>Custo Fixo</t>
        </is>
      </c>
      <c r="C786" s="90" t="inlineStr">
        <is>
          <t>Água e esgoto (rateio)</t>
        </is>
      </c>
      <c r="D786" s="117" t="n">
        <v>1</v>
      </c>
      <c r="E786" s="118" t="n">
        <v>1.1</v>
      </c>
      <c r="F786" s="96" t="n">
        <v>1.1</v>
      </c>
      <c r="G786" s="90">
        <f>INDEX(SETORES!$B:$B,MATCH(A786,SETORES!$A:$A,0))</f>
        <v/>
      </c>
      <c r="H786" s="90" t="inlineStr">
        <is>
          <t>Junho/2026</t>
        </is>
      </c>
    </row>
    <row r="787" hidden="1" ht="14.25" customHeight="1" s="75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5">
      <c r="A788" s="90" t="inlineStr">
        <is>
          <t>NRC</t>
        </is>
      </c>
      <c r="B788" s="90" t="inlineStr">
        <is>
          <t>Custo Fixo</t>
        </is>
      </c>
      <c r="C788" s="90" t="inlineStr">
        <is>
          <t>Folha de pagamento (salários)</t>
        </is>
      </c>
      <c r="D788" s="117" t="n">
        <v>1</v>
      </c>
      <c r="E788" s="118" t="n">
        <v>151070.37</v>
      </c>
      <c r="F788" s="96">
        <f>IFERROR(E788,0)</f>
        <v/>
      </c>
      <c r="G788" s="90">
        <f>INDEX(SETORES!$B:$B,MATCH(A788,SETORES!$A:$A,0))</f>
        <v/>
      </c>
      <c r="H788" s="90" t="inlineStr">
        <is>
          <t>Junho/2026</t>
        </is>
      </c>
    </row>
    <row r="789" hidden="1" ht="14.25" customHeight="1" s="75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5">
      <c r="A790" s="90" t="inlineStr">
        <is>
          <t>NRC</t>
        </is>
      </c>
      <c r="B790" s="90" t="inlineStr">
        <is>
          <t>Custo Variável</t>
        </is>
      </c>
      <c r="C790" s="90" t="inlineStr">
        <is>
          <t>Fardamento novo</t>
        </is>
      </c>
      <c r="D790" s="117" t="n">
        <v>1</v>
      </c>
      <c r="E790" s="118" t="n">
        <v>496</v>
      </c>
      <c r="F790" s="96">
        <f>IFERROR(D790*E790,0)</f>
        <v/>
      </c>
      <c r="G790" s="90">
        <f>INDEX(SETORES!$B:$B,MATCH(A790,SETORES!$A:$A,0))</f>
        <v/>
      </c>
      <c r="H790" s="90" t="inlineStr">
        <is>
          <t>Junho/2026</t>
        </is>
      </c>
    </row>
    <row r="791" hidden="1" ht="14.25" customHeight="1" s="75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5">
      <c r="A792" s="90" t="inlineStr">
        <is>
          <t>NRC</t>
        </is>
      </c>
      <c r="B792" s="90" t="inlineStr">
        <is>
          <t>Custo Variável</t>
        </is>
      </c>
      <c r="C792" s="90" t="inlineStr">
        <is>
          <t>Rescisões trabalhistas</t>
        </is>
      </c>
      <c r="D792" s="117" t="n">
        <v>1</v>
      </c>
      <c r="E792" s="118" t="n">
        <v>3112.37</v>
      </c>
      <c r="F792" s="96">
        <f>IFERROR(D792*E792,0)</f>
        <v/>
      </c>
      <c r="G792" s="90">
        <f>INDEX(SETORES!$B:$B,MATCH(A792,SETORES!$A:$A,0))</f>
        <v/>
      </c>
      <c r="H792" s="90" t="inlineStr">
        <is>
          <t>Junho/2026</t>
        </is>
      </c>
    </row>
    <row r="793" hidden="1" ht="14.25" customHeight="1" s="75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5">
      <c r="A794" s="90" t="inlineStr">
        <is>
          <t>NRC</t>
        </is>
      </c>
      <c r="B794" s="90" t="inlineStr">
        <is>
          <t>Custo Fixo</t>
        </is>
      </c>
      <c r="C794" s="90" t="inlineStr">
        <is>
          <t>Software MATRIX (rateio equipe Relacionamento)</t>
        </is>
      </c>
      <c r="D794" s="117" t="n">
        <v>1</v>
      </c>
      <c r="E794" s="118" t="n">
        <v>2435.082628</v>
      </c>
      <c r="F794" s="96">
        <f>IFERROR(D794*E794,0)</f>
        <v/>
      </c>
      <c r="G794" s="90">
        <f>INDEX(SETORES!$B:$B,MATCH(A794,SETORES!$A:$A,0))</f>
        <v/>
      </c>
      <c r="H794" s="90" t="inlineStr">
        <is>
          <t>Junho/2026</t>
        </is>
      </c>
    </row>
    <row r="795" hidden="1" ht="14.25" customHeight="1" s="75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5">
      <c r="A796" s="90" t="inlineStr">
        <is>
          <t>NRC</t>
        </is>
      </c>
      <c r="B796" s="90" t="inlineStr">
        <is>
          <t>Custo Fixo</t>
        </is>
      </c>
      <c r="C796" s="90" t="inlineStr">
        <is>
          <t>Gympass</t>
        </is>
      </c>
      <c r="D796" s="117" t="n">
        <v>44</v>
      </c>
      <c r="E796" s="118" t="n">
        <v>9.85</v>
      </c>
      <c r="F796" s="96">
        <f>IFERROR(D796*E796,0)</f>
        <v/>
      </c>
      <c r="G796" s="90">
        <f>INDEX(SETORES!$B:$B,MATCH(A796,SETORES!$A:$A,0))</f>
        <v/>
      </c>
      <c r="H796" s="90" t="inlineStr">
        <is>
          <t>Junho/2026</t>
        </is>
      </c>
    </row>
    <row r="797" hidden="1" ht="14.25" customHeight="1" s="75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5">
      <c r="A798" s="90" t="inlineStr">
        <is>
          <t>Obras</t>
        </is>
      </c>
      <c r="B798" s="90" t="inlineStr">
        <is>
          <t>Custo Fixo</t>
        </is>
      </c>
      <c r="C798" s="90" t="inlineStr">
        <is>
          <t>Material de escritório (suprimentos de informática)</t>
        </is>
      </c>
      <c r="D798" s="117" t="n"/>
      <c r="E798" s="118" t="n"/>
      <c r="F798" s="96" t="n">
        <v>0</v>
      </c>
      <c r="G798" s="90">
        <f>INDEX(SETORES!$B:$B,MATCH(A798,SETORES!$A:$A,0))</f>
        <v/>
      </c>
      <c r="H798" s="90" t="inlineStr">
        <is>
          <t>Junho/2026</t>
        </is>
      </c>
    </row>
    <row r="799" hidden="1" ht="14.25" customHeight="1" s="75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5">
      <c r="A800" s="90" t="inlineStr">
        <is>
          <t>Obras</t>
        </is>
      </c>
      <c r="B800" s="90" t="inlineStr">
        <is>
          <t>Custo Fixo</t>
        </is>
      </c>
      <c r="C800" s="90" t="inlineStr">
        <is>
          <t>Telefonia móvel corporativa</t>
        </is>
      </c>
      <c r="D800" s="117" t="n"/>
      <c r="E800" s="118" t="n"/>
      <c r="F800" s="96">
        <f>IFERROR(D800*E800,0)</f>
        <v/>
      </c>
      <c r="G800" s="90">
        <f>INDEX(SETORES!$B:$B,MATCH(A800,SETORES!$A:$A,0))</f>
        <v/>
      </c>
      <c r="H800" s="90" t="inlineStr">
        <is>
          <t>Junho/2026</t>
        </is>
      </c>
    </row>
    <row r="801" hidden="1" ht="14.25" customHeight="1" s="75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5">
      <c r="A802" s="90" t="inlineStr">
        <is>
          <t>Obras</t>
        </is>
      </c>
      <c r="B802" s="90" t="inlineStr">
        <is>
          <t>Custo Variável</t>
        </is>
      </c>
      <c r="C802" s="90" t="inlineStr">
        <is>
          <t>Investimento de equipamentos (não patrimoniável)</t>
        </is>
      </c>
      <c r="D802" s="117" t="n"/>
      <c r="E802" s="118" t="n"/>
      <c r="F802" s="96">
        <f>IFERROR(D802*E802,0)</f>
        <v/>
      </c>
      <c r="G802" s="90">
        <f>INDEX(SETORES!$B:$B,MATCH(A802,SETORES!$A:$A,0))</f>
        <v/>
      </c>
      <c r="H802" s="90" t="inlineStr">
        <is>
          <t>Junho/2026</t>
        </is>
      </c>
    </row>
    <row r="803" hidden="1" ht="14.25" customHeight="1" s="75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5">
      <c r="A804" s="90" t="inlineStr">
        <is>
          <t>Obras</t>
        </is>
      </c>
      <c r="B804" s="90" t="inlineStr">
        <is>
          <t>Custo Variável</t>
        </is>
      </c>
      <c r="C804" s="90" t="inlineStr">
        <is>
          <t>Rescisões trabalhistas</t>
        </is>
      </c>
      <c r="D804" s="117" t="n">
        <v>1</v>
      </c>
      <c r="E804" s="118" t="n">
        <v>7468.78</v>
      </c>
      <c r="F804" s="96">
        <f>IFERROR(D804*E804,0)</f>
        <v/>
      </c>
      <c r="G804" s="90">
        <f>INDEX(SETORES!$B:$B,MATCH(A804,SETORES!$A:$A,0))</f>
        <v/>
      </c>
      <c r="H804" s="90" t="inlineStr">
        <is>
          <t>Junho/2026</t>
        </is>
      </c>
    </row>
    <row r="805" hidden="1" ht="14.25" customHeight="1" s="75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5">
      <c r="A806" s="90" t="inlineStr">
        <is>
          <t>Obras</t>
        </is>
      </c>
      <c r="B806" s="90" t="inlineStr">
        <is>
          <t>Custo Variável</t>
        </is>
      </c>
      <c r="C806" s="90" t="inlineStr">
        <is>
          <t>Combustível de frota</t>
        </is>
      </c>
      <c r="D806" s="117" t="n">
        <v>1</v>
      </c>
      <c r="E806" s="118" t="n">
        <v>10448.85</v>
      </c>
      <c r="F806" s="96">
        <f>IFERROR(D806*E806,0)</f>
        <v/>
      </c>
      <c r="G806" s="90">
        <f>INDEX(SETORES!$B:$B,MATCH(A806,SETORES!$A:$A,0))</f>
        <v/>
      </c>
      <c r="H806" s="90" t="inlineStr">
        <is>
          <t>Junho/2026</t>
        </is>
      </c>
    </row>
    <row r="807" hidden="1" ht="14.25" customHeight="1" s="75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5">
      <c r="A808" s="90" t="inlineStr">
        <is>
          <t>Obras</t>
        </is>
      </c>
      <c r="B808" s="90" t="inlineStr">
        <is>
          <t>Custo Fixo</t>
        </is>
      </c>
      <c r="C808" s="90" t="inlineStr">
        <is>
          <t>Stargrid</t>
        </is>
      </c>
      <c r="D808" s="117" t="n">
        <v>24</v>
      </c>
      <c r="E808" s="118" t="n">
        <v>2.04</v>
      </c>
      <c r="F808" s="96">
        <f>IFERROR(D808*E808,0)</f>
        <v/>
      </c>
      <c r="G808" s="90">
        <f>INDEX(SETORES!$B:$B,MATCH(A808,SETORES!$A:$A,0))</f>
        <v/>
      </c>
      <c r="H808" s="90" t="inlineStr">
        <is>
          <t>Junho/2026</t>
        </is>
      </c>
    </row>
    <row r="809" hidden="1" ht="14.25" customHeight="1" s="75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5">
      <c r="A810" s="90" t="inlineStr">
        <is>
          <t>Oficina</t>
        </is>
      </c>
      <c r="B810" s="90" t="inlineStr">
        <is>
          <t>Custo Fixo</t>
        </is>
      </c>
      <c r="C810" s="90" t="inlineStr">
        <is>
          <t>Material de uso coletivo (copa/limpeza)</t>
        </is>
      </c>
      <c r="D810" s="117" t="n">
        <v>1</v>
      </c>
      <c r="E810" s="118" t="n">
        <v>710.95</v>
      </c>
      <c r="F810" s="96" t="n">
        <v>710.95</v>
      </c>
      <c r="G810" s="90">
        <f>INDEX(SETORES!$B:$B,MATCH(A810,SETORES!$A:$A,0))</f>
        <v/>
      </c>
      <c r="H810" s="90" t="inlineStr">
        <is>
          <t>Junho/2026</t>
        </is>
      </c>
    </row>
    <row r="811" hidden="1" ht="14.25" customHeight="1" s="75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5">
      <c r="A812" s="90" t="inlineStr">
        <is>
          <t>Oficina</t>
        </is>
      </c>
      <c r="B812" s="90" t="inlineStr">
        <is>
          <t>Custo Fixo</t>
        </is>
      </c>
      <c r="C812" s="90" t="inlineStr">
        <is>
          <t>Energia elétrica (rateio)</t>
        </is>
      </c>
      <c r="D812" s="117" t="n">
        <v>4</v>
      </c>
      <c r="E812" s="118" t="n">
        <v>23.6877</v>
      </c>
      <c r="F812" s="96" t="n">
        <v>94.7508</v>
      </c>
      <c r="G812" s="90">
        <f>INDEX(SETORES!$B:$B,MATCH(A812,SETORES!$A:$A,0))</f>
        <v/>
      </c>
      <c r="H812" s="90" t="inlineStr">
        <is>
          <t>Junho/2026</t>
        </is>
      </c>
    </row>
    <row r="813" hidden="1" ht="14.25" customHeight="1" s="75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5">
      <c r="A814" s="90" t="inlineStr">
        <is>
          <t>Oficina</t>
        </is>
      </c>
      <c r="B814" s="90" t="inlineStr">
        <is>
          <t>Custo Fixo</t>
        </is>
      </c>
      <c r="C814" s="90" t="inlineStr">
        <is>
          <t>Folha de pagamento (salários)</t>
        </is>
      </c>
      <c r="D814" s="117" t="n">
        <v>1</v>
      </c>
      <c r="E814" s="118" t="n">
        <v>26444.83</v>
      </c>
      <c r="F814" s="96">
        <f>IFERROR(E814,0)</f>
        <v/>
      </c>
      <c r="G814" s="90">
        <f>INDEX(SETORES!$B:$B,MATCH(A814,SETORES!$A:$A,0))</f>
        <v/>
      </c>
      <c r="H814" s="90" t="inlineStr">
        <is>
          <t>Junho/2026</t>
        </is>
      </c>
    </row>
    <row r="815" hidden="1" ht="14.25" customHeight="1" s="75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5">
      <c r="A816" s="90" t="inlineStr">
        <is>
          <t>Oficina</t>
        </is>
      </c>
      <c r="B816" s="90" t="inlineStr">
        <is>
          <t>Custo Variável</t>
        </is>
      </c>
      <c r="C816" s="90" t="inlineStr">
        <is>
          <t>Manutenção de veículos</t>
        </is>
      </c>
      <c r="D816" s="117" t="n"/>
      <c r="E816" s="118" t="n"/>
      <c r="F816" s="96">
        <f>IFERROR(D816*E816,0)</f>
        <v/>
      </c>
      <c r="G816" s="90">
        <f>INDEX(SETORES!$B:$B,MATCH(A816,SETORES!$A:$A,0))</f>
        <v/>
      </c>
      <c r="H816" s="90" t="inlineStr">
        <is>
          <t>Junho/2026</t>
        </is>
      </c>
    </row>
    <row r="817" hidden="1" ht="14.25" customHeight="1" s="75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5">
      <c r="A818" s="90" t="inlineStr">
        <is>
          <t>Oficina</t>
        </is>
      </c>
      <c r="B818" s="90" t="inlineStr">
        <is>
          <t>Custo Fixo</t>
        </is>
      </c>
      <c r="C818" s="90" t="inlineStr">
        <is>
          <t>Gympass</t>
        </is>
      </c>
      <c r="D818" s="117" t="n">
        <v>4</v>
      </c>
      <c r="E818" s="118" t="n">
        <v>9.85</v>
      </c>
      <c r="F818" s="96">
        <f>IFERROR(D818*E818,0)</f>
        <v/>
      </c>
      <c r="G818" s="90">
        <f>INDEX(SETORES!$B:$B,MATCH(A818,SETORES!$A:$A,0))</f>
        <v/>
      </c>
      <c r="H818" s="90" t="inlineStr">
        <is>
          <t>Junho/2026</t>
        </is>
      </c>
    </row>
    <row r="819" hidden="1" ht="14.25" customHeight="1" s="75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5">
      <c r="A820" s="90" t="inlineStr">
        <is>
          <t>RH</t>
        </is>
      </c>
      <c r="B820" s="90" t="inlineStr">
        <is>
          <t>Custo Fixo</t>
        </is>
      </c>
      <c r="C820" s="90" t="inlineStr">
        <is>
          <t>Material de escritório (suprimentos de informática)</t>
        </is>
      </c>
      <c r="D820" s="117" t="n"/>
      <c r="E820" s="118" t="n"/>
      <c r="F820" s="96" t="n">
        <v>0</v>
      </c>
      <c r="G820" s="90">
        <f>INDEX(SETORES!$B:$B,MATCH(A820,SETORES!$A:$A,0))</f>
        <v/>
      </c>
      <c r="H820" s="90" t="inlineStr">
        <is>
          <t>Junho/2026</t>
        </is>
      </c>
    </row>
    <row r="821" hidden="1" ht="14.25" customHeight="1" s="75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5">
      <c r="A822" s="90" t="inlineStr">
        <is>
          <t>RH</t>
        </is>
      </c>
      <c r="B822" s="90" t="inlineStr">
        <is>
          <t>Custo Fixo</t>
        </is>
      </c>
      <c r="C822" s="90" t="inlineStr">
        <is>
          <t>Energia elétrica (rateio)</t>
        </is>
      </c>
      <c r="D822" s="117" t="n">
        <v>1</v>
      </c>
      <c r="E822" s="118" t="n">
        <v>35.0289</v>
      </c>
      <c r="F822" s="96" t="n">
        <v>35.0289</v>
      </c>
      <c r="G822" s="90">
        <f>INDEX(SETORES!$B:$B,MATCH(A822,SETORES!$A:$A,0))</f>
        <v/>
      </c>
      <c r="H822" s="90" t="inlineStr">
        <is>
          <t>Junho/2026</t>
        </is>
      </c>
    </row>
    <row r="823" hidden="1" ht="14.25" customHeight="1" s="75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5">
      <c r="A824" s="90" t="inlineStr">
        <is>
          <t>RH</t>
        </is>
      </c>
      <c r="B824" s="90" t="inlineStr">
        <is>
          <t>Custo Fixo</t>
        </is>
      </c>
      <c r="C824" s="90" t="inlineStr">
        <is>
          <t>Telefonia móvel corporativa</t>
        </is>
      </c>
      <c r="D824" s="117" t="n"/>
      <c r="E824" s="118" t="n"/>
      <c r="F824" s="96">
        <f>IFERROR(D824*E824,0)</f>
        <v/>
      </c>
      <c r="G824" s="90">
        <f>INDEX(SETORES!$B:$B,MATCH(A824,SETORES!$A:$A,0))</f>
        <v/>
      </c>
      <c r="H824" s="90" t="inlineStr">
        <is>
          <t>Junho/2026</t>
        </is>
      </c>
    </row>
    <row r="825" hidden="1" ht="14.25" customHeight="1" s="75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5">
      <c r="A826" s="90" t="inlineStr">
        <is>
          <t>RH</t>
        </is>
      </c>
      <c r="B826" s="90" t="inlineStr">
        <is>
          <t>Custo Variável</t>
        </is>
      </c>
      <c r="C826" s="90" t="inlineStr">
        <is>
          <t>Fardamento novo (compra corporativa)</t>
        </is>
      </c>
      <c r="D826" s="117" t="n"/>
      <c r="E826" s="118" t="n"/>
      <c r="F826" s="96">
        <f>IFERROR(D826*E826,0)</f>
        <v/>
      </c>
      <c r="G826" s="90">
        <f>INDEX(SETORES!$B:$B,MATCH(A826,SETORES!$A:$A,0))</f>
        <v/>
      </c>
      <c r="H826" s="90" t="inlineStr">
        <is>
          <t>Junho/2026</t>
        </is>
      </c>
    </row>
    <row r="827" hidden="1" ht="14.25" customHeight="1" s="75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5">
      <c r="A828" s="90" t="inlineStr">
        <is>
          <t>RH</t>
        </is>
      </c>
      <c r="B828" s="90" t="inlineStr">
        <is>
          <t>Custo Fixo</t>
        </is>
      </c>
      <c r="C828" s="90" t="inlineStr">
        <is>
          <t>Treinamento e capacitação</t>
        </is>
      </c>
      <c r="D828" s="117" t="n">
        <v>1</v>
      </c>
      <c r="E828" s="118" t="n">
        <v>1776.46</v>
      </c>
      <c r="F828" s="96">
        <f>IFERROR(D828*E828,0)</f>
        <v/>
      </c>
      <c r="G828" s="90">
        <f>INDEX(SETORES!$B:$B,MATCH(A828,SETORES!$A:$A,0))</f>
        <v/>
      </c>
      <c r="H828" s="90" t="inlineStr">
        <is>
          <t>Junho/2026</t>
        </is>
      </c>
    </row>
    <row r="829" hidden="1" ht="14.25" customHeight="1" s="75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5">
      <c r="A830" s="90" t="inlineStr">
        <is>
          <t>RH</t>
        </is>
      </c>
      <c r="B830" s="90" t="inlineStr">
        <is>
          <t>Custo Fixo</t>
        </is>
      </c>
      <c r="C830" s="90" t="inlineStr">
        <is>
          <t>Ações de endomarketing</t>
        </is>
      </c>
      <c r="D830" s="117" t="n"/>
      <c r="E830" s="118" t="n"/>
      <c r="F830" s="96">
        <f>IFERROR(D830*E830,0)</f>
        <v/>
      </c>
      <c r="G830" s="90">
        <f>INDEX(SETORES!$B:$B,MATCH(A830,SETORES!$A:$A,0))</f>
        <v/>
      </c>
      <c r="H830" s="90" t="inlineStr">
        <is>
          <t>Junho/2026</t>
        </is>
      </c>
    </row>
    <row r="831" hidden="1" ht="14.25" customHeight="1" s="75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5">
      <c r="A832" s="90" t="inlineStr">
        <is>
          <t>RH</t>
        </is>
      </c>
      <c r="B832" s="90" t="inlineStr">
        <is>
          <t>Custo Fixo</t>
        </is>
      </c>
      <c r="C832" s="90" t="inlineStr">
        <is>
          <t>Licença de e-mail corporativo</t>
        </is>
      </c>
      <c r="D832" s="117" t="n">
        <v>4</v>
      </c>
      <c r="E832" s="118" t="n">
        <v>50</v>
      </c>
      <c r="F832" s="96">
        <f>IFERROR(D832*E832,0)</f>
        <v/>
      </c>
      <c r="G832" s="90">
        <f>INDEX(SETORES!$B:$B,MATCH(A832,SETORES!$A:$A,0))</f>
        <v/>
      </c>
      <c r="H832" s="90" t="inlineStr">
        <is>
          <t>Junho/2026</t>
        </is>
      </c>
    </row>
    <row r="833" hidden="1" ht="14.25" customHeight="1" s="75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5">
      <c r="A834" s="90" t="inlineStr">
        <is>
          <t>RH</t>
        </is>
      </c>
      <c r="B834" s="90" t="inlineStr">
        <is>
          <t>Custo Fixo</t>
        </is>
      </c>
      <c r="C834" s="90" t="inlineStr">
        <is>
          <t>Gympass</t>
        </is>
      </c>
      <c r="D834" s="117" t="n">
        <v>4</v>
      </c>
      <c r="E834" s="118" t="n">
        <v>9.85</v>
      </c>
      <c r="F834" s="96">
        <f>IFERROR(D834*E834,0)</f>
        <v/>
      </c>
      <c r="G834" s="90">
        <f>INDEX(SETORES!$B:$B,MATCH(A834,SETORES!$A:$A,0))</f>
        <v/>
      </c>
      <c r="H834" s="90" t="inlineStr">
        <is>
          <t>Junho/2026</t>
        </is>
      </c>
    </row>
    <row r="835" hidden="1" ht="14.25" customHeight="1" s="75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5">
      <c r="A836" s="90" t="inlineStr">
        <is>
          <t>Retenção</t>
        </is>
      </c>
      <c r="B836" s="90" t="inlineStr">
        <is>
          <t>Custo Fixo</t>
        </is>
      </c>
      <c r="C836" s="90" t="inlineStr">
        <is>
          <t>Material de escritório (suprimentos de informática)</t>
        </is>
      </c>
      <c r="D836" s="117" t="n">
        <v>14</v>
      </c>
      <c r="E836" s="118" t="n">
        <v>0.2641</v>
      </c>
      <c r="F836" s="96" t="n">
        <v>3.6974</v>
      </c>
      <c r="G836" s="90">
        <f>INDEX(SETORES!$B:$B,MATCH(A836,SETORES!$A:$A,0))</f>
        <v/>
      </c>
      <c r="H836" s="90" t="inlineStr">
        <is>
          <t>Junho/2026</t>
        </is>
      </c>
    </row>
    <row r="837" hidden="1" ht="14.25" customHeight="1" s="75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5">
      <c r="A838" s="90" t="inlineStr">
        <is>
          <t>Retenção</t>
        </is>
      </c>
      <c r="B838" s="90" t="inlineStr">
        <is>
          <t>Custo Fixo</t>
        </is>
      </c>
      <c r="C838" s="90" t="inlineStr">
        <is>
          <t>Energia elétrica (rateio)</t>
        </is>
      </c>
      <c r="D838" s="117" t="n">
        <v>1</v>
      </c>
      <c r="E838" s="118" t="n">
        <v>122.601</v>
      </c>
      <c r="F838" s="96" t="n">
        <v>122.601</v>
      </c>
      <c r="G838" s="90">
        <f>INDEX(SETORES!$B:$B,MATCH(A838,SETORES!$A:$A,0))</f>
        <v/>
      </c>
      <c r="H838" s="90" t="inlineStr">
        <is>
          <t>Junho/2026</t>
        </is>
      </c>
    </row>
    <row r="839" hidden="1" ht="14.25" customHeight="1" s="75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5">
      <c r="A840" s="90" t="inlineStr">
        <is>
          <t>Retenção</t>
        </is>
      </c>
      <c r="B840" s="90" t="inlineStr">
        <is>
          <t>Custo Fixo</t>
        </is>
      </c>
      <c r="C840" s="90" t="inlineStr">
        <is>
          <t>Telefonia móvel corporativa</t>
        </is>
      </c>
      <c r="D840" s="117" t="n"/>
      <c r="E840" s="118" t="n"/>
      <c r="F840" s="96">
        <f>IFERROR(D840*E840,0)</f>
        <v/>
      </c>
      <c r="G840" s="90">
        <f>INDEX(SETORES!$B:$B,MATCH(A840,SETORES!$A:$A,0))</f>
        <v/>
      </c>
      <c r="H840" s="90" t="inlineStr">
        <is>
          <t>Junho/2026</t>
        </is>
      </c>
    </row>
    <row r="841" hidden="1" ht="14.25" customHeight="1" s="75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5">
      <c r="A842" s="90" t="inlineStr">
        <is>
          <t>Retenção</t>
        </is>
      </c>
      <c r="B842" s="90" t="inlineStr">
        <is>
          <t>Custo Variável</t>
        </is>
      </c>
      <c r="C842" s="90" t="inlineStr">
        <is>
          <t>Fardamento novo</t>
        </is>
      </c>
      <c r="D842" s="117" t="n">
        <v>1</v>
      </c>
      <c r="E842" s="118" t="n">
        <v>496</v>
      </c>
      <c r="F842" s="96">
        <f>IFERROR(D842*E842,0)</f>
        <v/>
      </c>
      <c r="G842" s="90">
        <f>INDEX(SETORES!$B:$B,MATCH(A842,SETORES!$A:$A,0))</f>
        <v/>
      </c>
      <c r="H842" s="90" t="inlineStr">
        <is>
          <t>Junho/2026</t>
        </is>
      </c>
    </row>
    <row r="843" hidden="1" ht="14.25" customHeight="1" s="75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5">
      <c r="A844" s="90" t="inlineStr">
        <is>
          <t>Retenção</t>
        </is>
      </c>
      <c r="B844" s="90" t="inlineStr">
        <is>
          <t>Custo Variável</t>
        </is>
      </c>
      <c r="C844" s="90" t="inlineStr">
        <is>
          <t>Rescisões trabalhistas</t>
        </is>
      </c>
      <c r="D844" s="117" t="n"/>
      <c r="E844" s="118" t="n"/>
      <c r="F844" s="96">
        <f>IFERROR(D844*E844,0)</f>
        <v/>
      </c>
      <c r="G844" s="90">
        <f>INDEX(SETORES!$B:$B,MATCH(A844,SETORES!$A:$A,0))</f>
        <v/>
      </c>
      <c r="H844" s="90" t="inlineStr">
        <is>
          <t>Junho/2026</t>
        </is>
      </c>
    </row>
    <row r="845" hidden="1" ht="14.25" customHeight="1" s="75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5">
      <c r="A846" s="90" t="inlineStr">
        <is>
          <t>Retenção</t>
        </is>
      </c>
      <c r="B846" s="90" t="inlineStr">
        <is>
          <t>Custo Fixo</t>
        </is>
      </c>
      <c r="C846" s="90" t="inlineStr">
        <is>
          <t>Software MATRIX (rateio equipe Relacionamento)</t>
        </is>
      </c>
      <c r="D846" s="117" t="n">
        <v>1</v>
      </c>
      <c r="E846" s="118" t="n">
        <v>774.799018</v>
      </c>
      <c r="F846" s="96">
        <f>IFERROR(D846*E846,0)</f>
        <v/>
      </c>
      <c r="G846" s="90">
        <f>INDEX(SETORES!$B:$B,MATCH(A846,SETORES!$A:$A,0))</f>
        <v/>
      </c>
      <c r="H846" s="90" t="inlineStr">
        <is>
          <t>Junho/2026</t>
        </is>
      </c>
    </row>
    <row r="847" hidden="1" ht="14.25" customHeight="1" s="75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5">
      <c r="A848" s="90" t="inlineStr">
        <is>
          <t>Retenção</t>
        </is>
      </c>
      <c r="B848" s="90" t="inlineStr">
        <is>
          <t>Custo Fixo</t>
        </is>
      </c>
      <c r="C848" s="90" t="inlineStr">
        <is>
          <t>Gympass</t>
        </is>
      </c>
      <c r="D848" s="117" t="n">
        <v>14</v>
      </c>
      <c r="E848" s="118" t="n">
        <v>9.85</v>
      </c>
      <c r="F848" s="96">
        <f>IFERROR(D848*E848,0)</f>
        <v/>
      </c>
      <c r="G848" s="90">
        <f>INDEX(SETORES!$B:$B,MATCH(A848,SETORES!$A:$A,0))</f>
        <v/>
      </c>
      <c r="H848" s="90" t="inlineStr">
        <is>
          <t>Junho/2026</t>
        </is>
      </c>
    </row>
    <row r="849" hidden="1" ht="14.25" customHeight="1" s="75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5">
      <c r="A850" s="90" t="inlineStr">
        <is>
          <t>Segurança do Trabalho</t>
        </is>
      </c>
      <c r="B850" s="90" t="inlineStr">
        <is>
          <t>Custo Fixo</t>
        </is>
      </c>
      <c r="C850" s="90" t="inlineStr">
        <is>
          <t>Material de escritório (suprimentos de informática)</t>
        </is>
      </c>
      <c r="D850" s="117" t="n"/>
      <c r="E850" s="118" t="n"/>
      <c r="F850" s="96" t="n">
        <v>0</v>
      </c>
      <c r="G850" s="90">
        <f>INDEX(SETORES!$B:$B,MATCH(A850,SETORES!$A:$A,0))</f>
        <v/>
      </c>
      <c r="H850" s="90" t="inlineStr">
        <is>
          <t>Junho/2026</t>
        </is>
      </c>
    </row>
    <row r="851" hidden="1" ht="14.25" customHeight="1" s="75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5">
      <c r="A852" s="90" t="inlineStr">
        <is>
          <t>Segurança do Trabalho</t>
        </is>
      </c>
      <c r="B852" s="90" t="inlineStr">
        <is>
          <t>Custo Fixo</t>
        </is>
      </c>
      <c r="C852" s="90" t="inlineStr">
        <is>
          <t>Energia elétrica (rateio)</t>
        </is>
      </c>
      <c r="D852" s="117" t="n">
        <v>6</v>
      </c>
      <c r="E852" s="118" t="n">
        <v>23.6877</v>
      </c>
      <c r="F852" s="96" t="n">
        <v>142.1262</v>
      </c>
      <c r="G852" s="90">
        <f>INDEX(SETORES!$B:$B,MATCH(A852,SETORES!$A:$A,0))</f>
        <v/>
      </c>
      <c r="H852" s="90" t="inlineStr">
        <is>
          <t>Junho/2026</t>
        </is>
      </c>
    </row>
    <row r="853" hidden="1" ht="14.25" customHeight="1" s="75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5">
      <c r="A854" s="90" t="inlineStr">
        <is>
          <t>Segurança do Trabalho</t>
        </is>
      </c>
      <c r="B854" s="90" t="inlineStr">
        <is>
          <t>Custo Fixo</t>
        </is>
      </c>
      <c r="C854" s="90" t="inlineStr">
        <is>
          <t>Folha de pagamento (salários)</t>
        </is>
      </c>
      <c r="D854" s="117" t="n">
        <v>1</v>
      </c>
      <c r="E854" s="118" t="n">
        <v>37889.97</v>
      </c>
      <c r="F854" s="96">
        <f>IFERROR(E854,0)</f>
        <v/>
      </c>
      <c r="G854" s="90">
        <f>INDEX(SETORES!$B:$B,MATCH(A854,SETORES!$A:$A,0))</f>
        <v/>
      </c>
      <c r="H854" s="90" t="inlineStr">
        <is>
          <t>Junho/2026</t>
        </is>
      </c>
    </row>
    <row r="855" hidden="1" ht="14.25" customHeight="1" s="75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5">
      <c r="A856" s="90" t="inlineStr">
        <is>
          <t>Segurança do Trabalho</t>
        </is>
      </c>
      <c r="B856" s="90" t="inlineStr">
        <is>
          <t>Custo Variável</t>
        </is>
      </c>
      <c r="C856" s="90" t="inlineStr">
        <is>
          <t>Exames médicos</t>
        </is>
      </c>
      <c r="D856" s="117" t="n">
        <v>1</v>
      </c>
      <c r="E856" s="118" t="n">
        <v>70</v>
      </c>
      <c r="F856" s="96">
        <f>IFERROR(D856*E856,0)</f>
        <v/>
      </c>
      <c r="G856" s="90">
        <f>INDEX(SETORES!$B:$B,MATCH(A856,SETORES!$A:$A,0))</f>
        <v/>
      </c>
      <c r="H856" s="90" t="inlineStr">
        <is>
          <t>Junho/2026</t>
        </is>
      </c>
    </row>
    <row r="857" hidden="1" ht="14.25" customHeight="1" s="75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5">
      <c r="A858" s="90" t="inlineStr">
        <is>
          <t>Segurança do Trabalho</t>
        </is>
      </c>
      <c r="B858" s="90" t="inlineStr">
        <is>
          <t>Custo Variável</t>
        </is>
      </c>
      <c r="C858" s="90" t="inlineStr">
        <is>
          <t>Fardamento substituição</t>
        </is>
      </c>
      <c r="D858" s="117" t="n"/>
      <c r="E858" s="118" t="n"/>
      <c r="F858" s="96">
        <f>IFERROR(D858*E858,0)</f>
        <v/>
      </c>
      <c r="G858" s="90">
        <f>INDEX(SETORES!$B:$B,MATCH(A858,SETORES!$A:$A,0))</f>
        <v/>
      </c>
      <c r="H858" s="90" t="inlineStr">
        <is>
          <t>Junho/2026</t>
        </is>
      </c>
    </row>
    <row r="859" hidden="1" ht="14.25" customHeight="1" s="75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5">
      <c r="A860" s="90" t="inlineStr">
        <is>
          <t>Segurança do Trabalho</t>
        </is>
      </c>
      <c r="B860" s="90" t="inlineStr">
        <is>
          <t>Custo Variável</t>
        </is>
      </c>
      <c r="C860" s="90" t="inlineStr">
        <is>
          <t>Médico do trabalho</t>
        </is>
      </c>
      <c r="D860" s="117" t="n">
        <v>1</v>
      </c>
      <c r="E860" s="118" t="n">
        <v>7689.5</v>
      </c>
      <c r="F860" s="96">
        <f>IFERROR(D860*E860,0)</f>
        <v/>
      </c>
      <c r="G860" s="90">
        <f>INDEX(SETORES!$B:$B,MATCH(A860,SETORES!$A:$A,0))</f>
        <v/>
      </c>
      <c r="H860" s="90" t="inlineStr">
        <is>
          <t>Junho/2026</t>
        </is>
      </c>
    </row>
    <row r="861" hidden="1" ht="14.25" customHeight="1" s="75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5">
      <c r="A862" s="90" t="inlineStr">
        <is>
          <t>Segurança do Trabalho</t>
        </is>
      </c>
      <c r="B862" s="90" t="inlineStr">
        <is>
          <t>Custo Variável</t>
        </is>
      </c>
      <c r="C862" s="90" t="inlineStr">
        <is>
          <t>Combustível de frota</t>
        </is>
      </c>
      <c r="D862" s="117" t="n">
        <v>1</v>
      </c>
      <c r="E862" s="118" t="n">
        <v>4151.02</v>
      </c>
      <c r="F862" s="96">
        <f>IFERROR(D862*E862,0)</f>
        <v/>
      </c>
      <c r="G862" s="90">
        <f>INDEX(SETORES!$B:$B,MATCH(A862,SETORES!$A:$A,0))</f>
        <v/>
      </c>
      <c r="H862" s="90" t="inlineStr">
        <is>
          <t>Junho/2026</t>
        </is>
      </c>
    </row>
    <row r="863" hidden="1" ht="14.25" customHeight="1" s="75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5">
      <c r="A864" s="90" t="inlineStr">
        <is>
          <t>Segurança do Trabalho</t>
        </is>
      </c>
      <c r="B864" s="90" t="inlineStr">
        <is>
          <t>Custo Fixo</t>
        </is>
      </c>
      <c r="C864" s="90" t="inlineStr">
        <is>
          <t>Gympass</t>
        </is>
      </c>
      <c r="D864" s="117" t="n">
        <v>6</v>
      </c>
      <c r="E864" s="118" t="n">
        <v>9.85</v>
      </c>
      <c r="F864" s="96">
        <f>IFERROR(D864*E864,0)</f>
        <v/>
      </c>
      <c r="G864" s="90">
        <f>INDEX(SETORES!$B:$B,MATCH(A864,SETORES!$A:$A,0))</f>
        <v/>
      </c>
      <c r="H864" s="90" t="inlineStr">
        <is>
          <t>Junho/2026</t>
        </is>
      </c>
    </row>
    <row r="865" hidden="1" ht="14.25" customHeight="1" s="75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5">
      <c r="A866" s="90" t="inlineStr">
        <is>
          <t>Suporte Orbix</t>
        </is>
      </c>
      <c r="B866" s="90" t="inlineStr">
        <is>
          <t>Custo Fixo</t>
        </is>
      </c>
      <c r="C866" s="90" t="inlineStr">
        <is>
          <t>Material de escritório (suprimentos de informática)</t>
        </is>
      </c>
      <c r="D866" s="117" t="n">
        <v>8</v>
      </c>
      <c r="E866" s="118" t="n">
        <v>0.2641</v>
      </c>
      <c r="F866" s="96" t="n">
        <v>2.1128</v>
      </c>
      <c r="G866" s="90">
        <f>INDEX(SETORES!$B:$B,MATCH(A866,SETORES!$A:$A,0))</f>
        <v/>
      </c>
      <c r="H866" s="90" t="inlineStr">
        <is>
          <t>Junho/2026</t>
        </is>
      </c>
    </row>
    <row r="867" hidden="1" ht="14.25" customHeight="1" s="75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5">
      <c r="A868" s="90" t="inlineStr">
        <is>
          <t>Suporte Orbix</t>
        </is>
      </c>
      <c r="B868" s="90" t="inlineStr">
        <is>
          <t>Custo Fixo</t>
        </is>
      </c>
      <c r="C868" s="90" t="inlineStr">
        <is>
          <t>Energia elétrica (rateio)</t>
        </is>
      </c>
      <c r="D868" s="117" t="n">
        <v>1</v>
      </c>
      <c r="E868" s="118" t="n">
        <v>70.0577</v>
      </c>
      <c r="F868" s="96" t="n">
        <v>70.0577</v>
      </c>
      <c r="G868" s="90">
        <f>INDEX(SETORES!$B:$B,MATCH(A868,SETORES!$A:$A,0))</f>
        <v/>
      </c>
      <c r="H868" s="90" t="inlineStr">
        <is>
          <t>Junho/2026</t>
        </is>
      </c>
    </row>
    <row r="869" hidden="1" ht="14.25" customHeight="1" s="75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5">
      <c r="A870" s="90" t="inlineStr">
        <is>
          <t>Suporte Orbix</t>
        </is>
      </c>
      <c r="B870" s="90" t="inlineStr">
        <is>
          <t>Custo Fixo</t>
        </is>
      </c>
      <c r="C870" s="90" t="inlineStr">
        <is>
          <t>Telefonia móvel corporativa</t>
        </is>
      </c>
      <c r="D870" s="117" t="n"/>
      <c r="E870" s="118" t="n"/>
      <c r="F870" s="96">
        <f>IFERROR(D870*E870,0)</f>
        <v/>
      </c>
      <c r="G870" s="90">
        <f>INDEX(SETORES!$B:$B,MATCH(A870,SETORES!$A:$A,0))</f>
        <v/>
      </c>
      <c r="H870" s="90" t="inlineStr">
        <is>
          <t>Junho/2026</t>
        </is>
      </c>
    </row>
    <row r="871" hidden="1" ht="14.25" customHeight="1" s="75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5">
      <c r="A872" s="90" t="inlineStr">
        <is>
          <t>Suporte Orbix</t>
        </is>
      </c>
      <c r="B872" s="90" t="inlineStr">
        <is>
          <t>Custo Fixo</t>
        </is>
      </c>
      <c r="C872" s="90" t="inlineStr">
        <is>
          <t>Licença de e-mail corporativo</t>
        </is>
      </c>
      <c r="D872" s="117" t="n">
        <v>8</v>
      </c>
      <c r="E872" s="118" t="n">
        <v>50</v>
      </c>
      <c r="F872" s="96">
        <f>IFERROR(D872*E872,0)</f>
        <v/>
      </c>
      <c r="G872" s="90">
        <f>INDEX(SETORES!$B:$B,MATCH(A872,SETORES!$A:$A,0))</f>
        <v/>
      </c>
      <c r="H872" s="90" t="inlineStr">
        <is>
          <t>Junho/2026</t>
        </is>
      </c>
    </row>
    <row r="873" hidden="1" ht="14.25" customHeight="1" s="75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5">
      <c r="A874" s="90" t="inlineStr">
        <is>
          <t>Suporte Orbix</t>
        </is>
      </c>
      <c r="B874" s="90" t="inlineStr">
        <is>
          <t>Custo Fixo</t>
        </is>
      </c>
      <c r="C874" s="90" t="inlineStr">
        <is>
          <t>Impressora (rateio equipe Relacionamento)</t>
        </is>
      </c>
      <c r="D874" s="117" t="n">
        <v>1</v>
      </c>
      <c r="E874" s="118" t="n">
        <v>1.678688</v>
      </c>
      <c r="F874" s="96">
        <f>IFERROR(D874*E874,0)</f>
        <v/>
      </c>
      <c r="G874" s="90">
        <f>INDEX(SETORES!$B:$B,MATCH(A874,SETORES!$A:$A,0))</f>
        <v/>
      </c>
      <c r="H874" s="90" t="inlineStr">
        <is>
          <t>Junho/2026</t>
        </is>
      </c>
    </row>
    <row r="875" hidden="1" ht="14.25" customHeight="1" s="75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5">
      <c r="A876" s="90" t="inlineStr">
        <is>
          <t>Suporte Orbix</t>
        </is>
      </c>
      <c r="B876" s="90" t="inlineStr">
        <is>
          <t>Custo Fixo</t>
        </is>
      </c>
      <c r="C876" s="90" t="inlineStr">
        <is>
          <t>Stargrid</t>
        </is>
      </c>
      <c r="D876" s="117" t="n">
        <v>8</v>
      </c>
      <c r="E876" s="118" t="n">
        <v>2.04</v>
      </c>
      <c r="F876" s="96">
        <f>IFERROR(D876*E876,0)</f>
        <v/>
      </c>
      <c r="G876" s="90">
        <f>INDEX(SETORES!$B:$B,MATCH(A876,SETORES!$A:$A,0))</f>
        <v/>
      </c>
      <c r="H876" s="90" t="inlineStr">
        <is>
          <t>Junho/2026</t>
        </is>
      </c>
    </row>
    <row r="877" hidden="1" ht="14.25" customHeight="1" s="75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5">
      <c r="A878" s="90" t="inlineStr">
        <is>
          <t>Suporte da Central</t>
        </is>
      </c>
      <c r="B878" s="90" t="inlineStr">
        <is>
          <t>Custo Fixo</t>
        </is>
      </c>
      <c r="C878" s="90" t="inlineStr">
        <is>
          <t>Material de uso coletivo (copa/limpeza)</t>
        </is>
      </c>
      <c r="D878" s="117" t="n">
        <v>1</v>
      </c>
      <c r="E878" s="118" t="n">
        <v>1970.135082</v>
      </c>
      <c r="F878" s="96" t="n">
        <v>1970.135082</v>
      </c>
      <c r="G878" s="90">
        <f>INDEX(SETORES!$B:$B,MATCH(A878,SETORES!$A:$A,0))</f>
        <v/>
      </c>
      <c r="H878" s="90" t="inlineStr">
        <is>
          <t>Junho/2026</t>
        </is>
      </c>
    </row>
    <row r="879" hidden="1" ht="14.25" customHeight="1" s="75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5">
      <c r="A880" s="90" t="inlineStr">
        <is>
          <t>Suporte da Central</t>
        </is>
      </c>
      <c r="B880" s="90" t="inlineStr">
        <is>
          <t>Custo Fixo</t>
        </is>
      </c>
      <c r="C880" s="90" t="inlineStr">
        <is>
          <t>Água e esgoto (rateio)</t>
        </is>
      </c>
      <c r="D880" s="117" t="n">
        <v>1</v>
      </c>
      <c r="E880" s="118" t="n">
        <v>0.8</v>
      </c>
      <c r="F880" s="96" t="n">
        <v>0.8</v>
      </c>
      <c r="G880" s="90">
        <f>INDEX(SETORES!$B:$B,MATCH(A880,SETORES!$A:$A,0))</f>
        <v/>
      </c>
      <c r="H880" s="90" t="inlineStr">
        <is>
          <t>Junho/2026</t>
        </is>
      </c>
    </row>
    <row r="881" hidden="1" ht="14.25" customHeight="1" s="75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5">
      <c r="A882" s="90" t="inlineStr">
        <is>
          <t>Suporte da Central</t>
        </is>
      </c>
      <c r="B882" s="90" t="inlineStr">
        <is>
          <t>Custo Fixo</t>
        </is>
      </c>
      <c r="C882" s="90" t="inlineStr">
        <is>
          <t>Folha de pagamento (salários)</t>
        </is>
      </c>
      <c r="D882" s="117" t="n">
        <v>1</v>
      </c>
      <c r="E882" s="118" t="n">
        <v>101577.79</v>
      </c>
      <c r="F882" s="96">
        <f>IFERROR(E882,0)</f>
        <v/>
      </c>
      <c r="G882" s="90">
        <f>INDEX(SETORES!$B:$B,MATCH(A882,SETORES!$A:$A,0))</f>
        <v/>
      </c>
      <c r="H882" s="90" t="inlineStr">
        <is>
          <t>Junho/2026</t>
        </is>
      </c>
    </row>
    <row r="883" hidden="1" ht="14.25" customHeight="1" s="75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5">
      <c r="A884" s="90" t="inlineStr">
        <is>
          <t>Suporte da Central</t>
        </is>
      </c>
      <c r="B884" s="90" t="inlineStr">
        <is>
          <t>Custo Fixo</t>
        </is>
      </c>
      <c r="C884" s="90" t="inlineStr">
        <is>
          <t>Software MATRIX (rateio equipe Relacionamento)</t>
        </is>
      </c>
      <c r="D884" s="117" t="n">
        <v>1</v>
      </c>
      <c r="E884" s="118" t="n">
        <v>1770.969184</v>
      </c>
      <c r="F884" s="96">
        <f>IFERROR(D884*E884,0)</f>
        <v/>
      </c>
      <c r="G884" s="90">
        <f>INDEX(SETORES!$B:$B,MATCH(A884,SETORES!$A:$A,0))</f>
        <v/>
      </c>
      <c r="H884" s="90" t="inlineStr">
        <is>
          <t>Junho/2026</t>
        </is>
      </c>
    </row>
    <row r="885" hidden="1" ht="14.25" customHeight="1" s="75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5">
      <c r="A886" s="90" t="inlineStr">
        <is>
          <t>Suporte da Central</t>
        </is>
      </c>
      <c r="B886" s="90" t="inlineStr">
        <is>
          <t>Custo Fixo</t>
        </is>
      </c>
      <c r="C886" s="90" t="inlineStr">
        <is>
          <t>Gympass</t>
        </is>
      </c>
      <c r="D886" s="117" t="n">
        <v>32</v>
      </c>
      <c r="E886" s="118" t="n">
        <v>9.85</v>
      </c>
      <c r="F886" s="96">
        <f>IFERROR(D886*E886,0)</f>
        <v/>
      </c>
      <c r="G886" s="90">
        <f>INDEX(SETORES!$B:$B,MATCH(A886,SETORES!$A:$A,0))</f>
        <v/>
      </c>
      <c r="H886" s="90" t="inlineStr">
        <is>
          <t>Junho/2026</t>
        </is>
      </c>
    </row>
    <row r="887" hidden="1" ht="14.25" customHeight="1" s="75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5">
      <c r="A888" s="90" t="inlineStr">
        <is>
          <t>Televendas</t>
        </is>
      </c>
      <c r="B888" s="90" t="inlineStr">
        <is>
          <t>Custo Fixo</t>
        </is>
      </c>
      <c r="C888" s="90" t="inlineStr">
        <is>
          <t>Material de escritório (suprimentos de informática)</t>
        </is>
      </c>
      <c r="D888" s="117" t="n">
        <v>13</v>
      </c>
      <c r="E888" s="118" t="n">
        <v>0.2641</v>
      </c>
      <c r="F888" s="96" t="n">
        <v>3.4333</v>
      </c>
      <c r="G888" s="90">
        <f>INDEX(SETORES!$B:$B,MATCH(A888,SETORES!$A:$A,0))</f>
        <v/>
      </c>
      <c r="H888" s="90" t="inlineStr">
        <is>
          <t>Junho/2026</t>
        </is>
      </c>
    </row>
    <row r="889" hidden="1" ht="14.25" customHeight="1" s="75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5">
      <c r="A890" s="90" t="inlineStr">
        <is>
          <t>Televendas</t>
        </is>
      </c>
      <c r="B890" s="90" t="inlineStr">
        <is>
          <t>Custo Fixo</t>
        </is>
      </c>
      <c r="C890" s="90" t="inlineStr">
        <is>
          <t>Energia elétrica (rateio)</t>
        </is>
      </c>
      <c r="D890" s="117" t="n">
        <v>1</v>
      </c>
      <c r="E890" s="118" t="n">
        <v>113.8438</v>
      </c>
      <c r="F890" s="96" t="n">
        <v>113.8438</v>
      </c>
      <c r="G890" s="90">
        <f>INDEX(SETORES!$B:$B,MATCH(A890,SETORES!$A:$A,0))</f>
        <v/>
      </c>
      <c r="H890" s="90" t="inlineStr">
        <is>
          <t>Junho/2026</t>
        </is>
      </c>
    </row>
    <row r="891" hidden="1" ht="14.25" customHeight="1" s="75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5">
      <c r="A892" s="90" t="inlineStr">
        <is>
          <t>Televendas</t>
        </is>
      </c>
      <c r="B892" s="90" t="inlineStr">
        <is>
          <t>Custo Fixo</t>
        </is>
      </c>
      <c r="C892" s="90" t="inlineStr">
        <is>
          <t>Telefonia móvel corporativa</t>
        </is>
      </c>
      <c r="D892" s="117" t="n"/>
      <c r="E892" s="118" t="n"/>
      <c r="F892" s="96">
        <f>IFERROR(D892*E892,0)</f>
        <v/>
      </c>
      <c r="G892" s="90">
        <f>INDEX(SETORES!$B:$B,MATCH(A892,SETORES!$A:$A,0))</f>
        <v/>
      </c>
      <c r="H892" s="90" t="inlineStr">
        <is>
          <t>Junho/2026</t>
        </is>
      </c>
    </row>
    <row r="893" hidden="1" ht="14.25" customHeight="1" s="75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5">
      <c r="A894" s="90" t="inlineStr">
        <is>
          <t>Televendas</t>
        </is>
      </c>
      <c r="B894" s="90" t="inlineStr">
        <is>
          <t>Custo Fixo</t>
        </is>
      </c>
      <c r="C894" s="90" t="inlineStr">
        <is>
          <t>Licença de e-mail corporativo</t>
        </is>
      </c>
      <c r="D894" s="117" t="n">
        <v>14</v>
      </c>
      <c r="E894" s="118" t="n">
        <v>50</v>
      </c>
      <c r="F894" s="96">
        <f>IFERROR(D894*E894,0)</f>
        <v/>
      </c>
      <c r="G894" s="90">
        <f>INDEX(SETORES!$B:$B,MATCH(A894,SETORES!$A:$A,0))</f>
        <v/>
      </c>
      <c r="H894" s="90" t="inlineStr">
        <is>
          <t>Junho/2026</t>
        </is>
      </c>
    </row>
    <row r="895" hidden="1" ht="14.25" customHeight="1" s="75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5">
      <c r="A896" s="90" t="inlineStr">
        <is>
          <t>Televendas</t>
        </is>
      </c>
      <c r="B896" s="90" t="inlineStr">
        <is>
          <t>Custo Fixo</t>
        </is>
      </c>
      <c r="C896" s="90" t="inlineStr">
        <is>
          <t>Stargrid</t>
        </is>
      </c>
      <c r="D896" s="117" t="n">
        <v>13</v>
      </c>
      <c r="E896" s="118" t="n">
        <v>2.04</v>
      </c>
      <c r="F896" s="96" t="n">
        <v>26.52</v>
      </c>
      <c r="G896" s="90">
        <f>INDEX(SETORES!$B:$B,MATCH(A896,SETORES!$A:$A,0))</f>
        <v/>
      </c>
      <c r="H896" s="90" t="inlineStr">
        <is>
          <t>Junho/2026</t>
        </is>
      </c>
    </row>
    <row r="897" hidden="1" ht="14.25" customHeight="1" s="75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5">
      <c r="A898" s="90" t="inlineStr">
        <is>
          <t>Televendas</t>
        </is>
      </c>
      <c r="B898" s="90" t="inlineStr">
        <is>
          <t>Custo Variável</t>
        </is>
      </c>
      <c r="C898" s="90" t="inlineStr">
        <is>
          <t>Combustível de frota</t>
        </is>
      </c>
      <c r="D898" s="117" t="n"/>
      <c r="E898" s="118" t="n"/>
      <c r="F898" s="96">
        <f>IFERROR(D898*E898,0)</f>
        <v/>
      </c>
      <c r="G898" s="90">
        <f>INDEX(SETORES!$B:$B,MATCH(A898,SETORES!$A:$A,0))</f>
        <v/>
      </c>
      <c r="H898" s="90" t="inlineStr">
        <is>
          <t>Junho/2026</t>
        </is>
      </c>
    </row>
    <row r="899" hidden="1" ht="14.25" customHeight="1" s="75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5">
      <c r="A900" s="90" t="inlineStr">
        <is>
          <t>Suporte da Central</t>
        </is>
      </c>
      <c r="B900" s="90" t="inlineStr">
        <is>
          <t>Custo Variável</t>
        </is>
      </c>
      <c r="C900" s="90" t="inlineStr">
        <is>
          <t>Exames médicos</t>
        </is>
      </c>
      <c r="D900" s="117" t="n">
        <v>1</v>
      </c>
      <c r="E900" s="118" t="n">
        <v>6245.8</v>
      </c>
      <c r="F900" s="96">
        <f>IFERROR(D900*E900,0)</f>
        <v/>
      </c>
      <c r="G900" s="90">
        <f>INDEX(SETORES!$B:$B,MATCH(A900,SETORES!$A:$A,0))</f>
        <v/>
      </c>
      <c r="H900" s="90" t="inlineStr">
        <is>
          <t>Junho/2026</t>
        </is>
      </c>
    </row>
    <row r="901" hidden="1" ht="14.25" customHeight="1" s="75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5">
      <c r="A902" s="90" t="inlineStr">
        <is>
          <t>CAC</t>
        </is>
      </c>
      <c r="B902" s="90" t="inlineStr">
        <is>
          <t>Custo Variável</t>
        </is>
      </c>
      <c r="C902" s="90" t="inlineStr">
        <is>
          <t>Rescisões trabalhistas</t>
        </is>
      </c>
      <c r="D902" s="117" t="n"/>
      <c r="E902" s="118" t="n"/>
      <c r="F902" s="96">
        <f>IFERROR(D902*E902,0)</f>
        <v/>
      </c>
      <c r="G902" s="90">
        <f>INDEX(SETORES!$B:$B,MATCH(A902,SETORES!$A:$A,0))</f>
        <v/>
      </c>
      <c r="H902" s="90" t="inlineStr">
        <is>
          <t>Junho/2026</t>
        </is>
      </c>
    </row>
    <row r="903" hidden="1" ht="14.25" customHeight="1" s="75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5">
      <c r="A904" s="90" t="inlineStr">
        <is>
          <t>Suporte da Central</t>
        </is>
      </c>
      <c r="B904" s="90" t="inlineStr">
        <is>
          <t>Custo Variável</t>
        </is>
      </c>
      <c r="C904" s="90" t="inlineStr">
        <is>
          <t>Rescisões trabalhistas</t>
        </is>
      </c>
      <c r="D904" s="117" t="n">
        <v>1</v>
      </c>
      <c r="E904" s="118" t="n">
        <v>5707.48</v>
      </c>
      <c r="F904" s="96">
        <f>IFERROR(D904*E904,0)</f>
        <v/>
      </c>
      <c r="G904" s="90">
        <f>INDEX(SETORES!$B:$B,MATCH(A904,SETORES!$A:$A,0))</f>
        <v/>
      </c>
      <c r="H904" s="90" t="inlineStr">
        <is>
          <t>Junho/2026</t>
        </is>
      </c>
    </row>
    <row r="905" hidden="1" ht="14.25" customHeight="1" s="75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5">
      <c r="A906" s="90" t="inlineStr">
        <is>
          <t>Administrativo</t>
        </is>
      </c>
      <c r="B906" s="90" t="inlineStr">
        <is>
          <t>Custo Fixo</t>
        </is>
      </c>
      <c r="C906" s="90" t="inlineStr">
        <is>
          <t>Licença Google Workspace</t>
        </is>
      </c>
      <c r="D906" s="117" t="n">
        <v>1</v>
      </c>
      <c r="E906" s="118" t="n">
        <v>21454</v>
      </c>
      <c r="F906" s="96">
        <f>IFERROR(D906*E906,0)</f>
        <v/>
      </c>
      <c r="G906" s="90">
        <f>INDEX(SETORES!$B:$B,MATCH(A906,SETORES!$A:$A,0))</f>
        <v/>
      </c>
      <c r="H906" s="90" t="inlineStr">
        <is>
          <t>Junho/2026</t>
        </is>
      </c>
    </row>
    <row r="907" hidden="1" ht="14.25" customHeight="1" s="75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5">
      <c r="A908" s="90" t="inlineStr">
        <is>
          <t>Qualidade</t>
        </is>
      </c>
      <c r="B908" s="90" t="inlineStr">
        <is>
          <t>Custo Fixo</t>
        </is>
      </c>
      <c r="C908" s="90" t="inlineStr">
        <is>
          <t>Folha de pagamento (salários)</t>
        </is>
      </c>
      <c r="D908" s="117" t="n">
        <v>1</v>
      </c>
      <c r="E908" s="118" t="n">
        <v>33078.39</v>
      </c>
      <c r="F908" s="96">
        <f>IFERROR(E908,0)</f>
        <v/>
      </c>
      <c r="G908" s="90">
        <f>INDEX(SETORES!$B:$B,MATCH(A908,SETORES!$A:$A,0))</f>
        <v/>
      </c>
      <c r="H908" s="90" t="inlineStr">
        <is>
          <t>Junho/2026</t>
        </is>
      </c>
    </row>
    <row r="909" hidden="1" ht="14.25" customHeight="1" s="75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5">
      <c r="A910" s="90" t="inlineStr">
        <is>
          <t>Jurídico</t>
        </is>
      </c>
      <c r="B910" s="90" t="inlineStr">
        <is>
          <t>Custo Fixo</t>
        </is>
      </c>
      <c r="C910" s="90" t="inlineStr">
        <is>
          <t>Folha de pagamento (salários)</t>
        </is>
      </c>
      <c r="D910" s="117" t="n">
        <v>1</v>
      </c>
      <c r="E910" s="118" t="n">
        <v>6068.32</v>
      </c>
      <c r="F910" s="96">
        <f>IFERROR(E910,0)</f>
        <v/>
      </c>
      <c r="G910" s="90">
        <f>INDEX(SETORES!$B:$B,MATCH(A910,SETORES!$A:$A,0))</f>
        <v/>
      </c>
      <c r="H910" s="90" t="inlineStr">
        <is>
          <t>Junho/2026</t>
        </is>
      </c>
    </row>
    <row r="911" hidden="1" ht="14.25" customHeight="1" s="75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5">
      <c r="A912" s="90" t="inlineStr">
        <is>
          <t>Jurídico</t>
        </is>
      </c>
      <c r="B912" s="90" t="inlineStr">
        <is>
          <t>Custo Variável</t>
        </is>
      </c>
      <c r="C912" s="90" t="inlineStr">
        <is>
          <t>Combustível de frota</t>
        </is>
      </c>
      <c r="D912" s="117" t="n">
        <v>1</v>
      </c>
      <c r="E912" s="118" t="n">
        <v>1362.25</v>
      </c>
      <c r="F912" s="96">
        <f>IFERROR(D912*E912,0)</f>
        <v/>
      </c>
      <c r="G912" s="90">
        <f>INDEX(SETORES!$B:$B,MATCH(A912,SETORES!$A:$A,0))</f>
        <v/>
      </c>
      <c r="H912" s="90" t="inlineStr">
        <is>
          <t>Junho/2026</t>
        </is>
      </c>
    </row>
    <row r="913" hidden="1" ht="14.25" customHeight="1" s="75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5">
      <c r="A914" s="90" t="inlineStr">
        <is>
          <t>Marketing</t>
        </is>
      </c>
      <c r="B914" s="90" t="inlineStr">
        <is>
          <t>Custo Fixo</t>
        </is>
      </c>
      <c r="C914" s="90" t="inlineStr">
        <is>
          <t>Material de uso coletivo (copa/limpeza)</t>
        </is>
      </c>
      <c r="D914" s="117" t="n">
        <v>1</v>
      </c>
      <c r="E914" s="118" t="n">
        <v>136.5</v>
      </c>
      <c r="F914" s="96" t="n">
        <v>136.5</v>
      </c>
      <c r="G914" s="90">
        <f>INDEX(SETORES!$B:$B,MATCH(A914,SETORES!$A:$A,0))</f>
        <v/>
      </c>
      <c r="H914" s="90" t="inlineStr">
        <is>
          <t>Junho/2026</t>
        </is>
      </c>
    </row>
    <row r="915" hidden="1" ht="14.25" customHeight="1" s="75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5">
      <c r="A916" s="90" t="inlineStr">
        <is>
          <t>TIC</t>
        </is>
      </c>
      <c r="B916" s="90" t="inlineStr">
        <is>
          <t>Custo Fixo</t>
        </is>
      </c>
      <c r="C916" s="90" t="inlineStr">
        <is>
          <t>Folha de pagamento (salários)</t>
        </is>
      </c>
      <c r="D916" s="117" t="n">
        <v>1</v>
      </c>
      <c r="E916" s="118" t="n">
        <v>24319.74</v>
      </c>
      <c r="F916" s="96">
        <f>IFERROR(E916,0)</f>
        <v/>
      </c>
      <c r="G916" s="90">
        <f>INDEX(SETORES!$B:$B,MATCH(A916,SETORES!$A:$A,0))</f>
        <v/>
      </c>
      <c r="H916" s="90" t="inlineStr">
        <is>
          <t>Junho/2026</t>
        </is>
      </c>
    </row>
    <row r="917" hidden="1" ht="14.25" customHeight="1" s="75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5">
      <c r="A918" s="90" t="inlineStr">
        <is>
          <t>TIC</t>
        </is>
      </c>
      <c r="B918" s="90" t="inlineStr">
        <is>
          <t>Custo Variável</t>
        </is>
      </c>
      <c r="C918" s="90" t="inlineStr">
        <is>
          <t>Rescisões trabalhistas</t>
        </is>
      </c>
      <c r="D918" s="117" t="n">
        <v>1</v>
      </c>
      <c r="E918" s="118" t="n">
        <v>6209</v>
      </c>
      <c r="F918" s="96">
        <f>IFERROR(D918*E918,0)</f>
        <v/>
      </c>
      <c r="G918" s="90">
        <f>INDEX(SETORES!$B:$B,MATCH(A918,SETORES!$A:$A,0))</f>
        <v/>
      </c>
      <c r="H918" s="90" t="inlineStr">
        <is>
          <t>Junho/2026</t>
        </is>
      </c>
    </row>
    <row r="919" hidden="1" ht="14.25" customHeight="1" s="75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5">
      <c r="A920" s="90" t="inlineStr">
        <is>
          <t>Fique Móvel</t>
        </is>
      </c>
      <c r="B920" s="90" t="inlineStr">
        <is>
          <t>Custo Fixo</t>
        </is>
      </c>
      <c r="C920" s="90" t="inlineStr">
        <is>
          <t>Folha de pagamento (salários)</t>
        </is>
      </c>
      <c r="D920" s="117" t="n">
        <v>1</v>
      </c>
      <c r="E920" s="118" t="n">
        <v>12859.26</v>
      </c>
      <c r="F920" s="96">
        <f>IFERROR(E920,0)</f>
        <v/>
      </c>
      <c r="G920" s="90">
        <f>INDEX(SETORES!$B:$B,MATCH(A920,SETORES!$A:$A,0))</f>
        <v/>
      </c>
      <c r="H920" s="90" t="inlineStr">
        <is>
          <t>Junho/2026</t>
        </is>
      </c>
    </row>
    <row r="921" hidden="1" ht="14.25" customHeight="1" s="75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5">
      <c r="A922" s="90" t="inlineStr">
        <is>
          <t>Lançamento</t>
        </is>
      </c>
      <c r="B922" s="90" t="inlineStr">
        <is>
          <t>Custo Variável</t>
        </is>
      </c>
      <c r="C922" s="90" t="inlineStr">
        <is>
          <t>Combustível de frota</t>
        </is>
      </c>
      <c r="D922" s="117" t="n">
        <v>1</v>
      </c>
      <c r="E922" s="118" t="n">
        <v>12957.78</v>
      </c>
      <c r="F922" s="96">
        <f>IFERROR(D922*E922,0)</f>
        <v/>
      </c>
      <c r="G922" s="90">
        <f>INDEX(SETORES!$B:$B,MATCH(A922,SETORES!$A:$A,0))</f>
        <v/>
      </c>
      <c r="H922" s="90" t="inlineStr">
        <is>
          <t>Junho/2026</t>
        </is>
      </c>
    </row>
    <row r="923" hidden="1" ht="14.25" customHeight="1" s="75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5">
      <c r="A924" s="90" t="inlineStr">
        <is>
          <t>Fusão</t>
        </is>
      </c>
      <c r="B924" s="90" t="inlineStr">
        <is>
          <t>Custo Fixo</t>
        </is>
      </c>
      <c r="C924" s="90" t="inlineStr">
        <is>
          <t>Folha de pagamento (salários)</t>
        </is>
      </c>
      <c r="D924" s="117" t="n">
        <v>1</v>
      </c>
      <c r="E924" s="118" t="n">
        <v>86186.53</v>
      </c>
      <c r="F924" s="96">
        <f>IFERROR(E924,0)</f>
        <v/>
      </c>
      <c r="G924" s="90">
        <f>INDEX(SETORES!$B:$B,MATCH(A924,SETORES!$A:$A,0))</f>
        <v/>
      </c>
      <c r="H924" s="90" t="inlineStr">
        <is>
          <t>Junho/2026</t>
        </is>
      </c>
    </row>
    <row r="925" hidden="1" ht="14.25" customHeight="1" s="75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5">
      <c r="A926" s="90" t="inlineStr">
        <is>
          <t>Fusão</t>
        </is>
      </c>
      <c r="B926" s="90" t="inlineStr">
        <is>
          <t>Custo Variável</t>
        </is>
      </c>
      <c r="C926" s="90" t="inlineStr">
        <is>
          <t>EPIs - Equipamento de Proteção Individual</t>
        </is>
      </c>
      <c r="D926" s="117" t="n">
        <v>1</v>
      </c>
      <c r="E926" s="118" t="n">
        <v>2848.49</v>
      </c>
      <c r="F926" s="96">
        <f>IFERROR(D926*E926,0)</f>
        <v/>
      </c>
      <c r="G926" s="90">
        <f>INDEX(SETORES!$B:$B,MATCH(A926,SETORES!$A:$A,0))</f>
        <v/>
      </c>
      <c r="H926" s="90" t="inlineStr">
        <is>
          <t>Junho/2026</t>
        </is>
      </c>
    </row>
    <row r="927" hidden="1" ht="14.25" customHeight="1" s="75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5">
      <c r="A928" s="90" t="inlineStr">
        <is>
          <t>Diretoria Adm</t>
        </is>
      </c>
      <c r="B928" s="90" t="inlineStr">
        <is>
          <t>Custo Fixo</t>
        </is>
      </c>
      <c r="C928" s="90" t="inlineStr">
        <is>
          <t>Material de uso coletivo (copa/limpeza)</t>
        </is>
      </c>
      <c r="D928" s="117" t="n">
        <v>1</v>
      </c>
      <c r="E928" s="118" t="n">
        <v>46.45</v>
      </c>
      <c r="F928" s="96" t="n">
        <v>46.45</v>
      </c>
      <c r="G928" s="90">
        <f>INDEX(SETORES!$B:$B,MATCH(A928,SETORES!$A:$A,0))</f>
        <v/>
      </c>
      <c r="H928" s="90" t="inlineStr">
        <is>
          <t>Junho/2026</t>
        </is>
      </c>
    </row>
    <row r="929" hidden="1" ht="14.25" customHeight="1" s="75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5">
      <c r="A930" s="90" t="inlineStr">
        <is>
          <t>Fique Móvel</t>
        </is>
      </c>
      <c r="B930" s="90" t="inlineStr">
        <is>
          <t>Custo Fixo</t>
        </is>
      </c>
      <c r="C930" s="90" t="inlineStr">
        <is>
          <t>Material de uso coletivo (copa/limpeza)</t>
        </is>
      </c>
      <c r="D930" s="117" t="n">
        <v>1</v>
      </c>
      <c r="E930" s="118" t="n">
        <v>50.68</v>
      </c>
      <c r="F930" s="96" t="n">
        <v>50.68</v>
      </c>
      <c r="G930" s="90">
        <f>INDEX(SETORES!$B:$B,MATCH(A930,SETORES!$A:$A,0))</f>
        <v/>
      </c>
      <c r="H930" s="90" t="inlineStr">
        <is>
          <t>Junho/2026</t>
        </is>
      </c>
    </row>
    <row r="931" hidden="1" ht="14.25" customHeight="1" s="75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5">
      <c r="A932" s="90" t="inlineStr">
        <is>
          <t>Qualidade</t>
        </is>
      </c>
      <c r="B932" s="90" t="inlineStr">
        <is>
          <t>Custo Fixo</t>
        </is>
      </c>
      <c r="C932" s="90" t="inlineStr">
        <is>
          <t>Stargrid</t>
        </is>
      </c>
      <c r="D932" s="117" t="n">
        <v>8</v>
      </c>
      <c r="E932" s="118" t="n">
        <v>2.04</v>
      </c>
      <c r="F932" s="96">
        <f>IFERROR(D932*E932,0)</f>
        <v/>
      </c>
      <c r="G932" s="90">
        <f>INDEX(SETORES!$B:$B,MATCH(A932,SETORES!$A:$A,0))</f>
        <v/>
      </c>
      <c r="H932" s="90" t="inlineStr">
        <is>
          <t>Junho/2026</t>
        </is>
      </c>
    </row>
    <row r="933" hidden="1" ht="14.25" customHeight="1" s="75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5">
      <c r="A934" s="90" t="inlineStr">
        <is>
          <t>Qualidade</t>
        </is>
      </c>
      <c r="B934" s="90" t="inlineStr">
        <is>
          <t>Custo Fixo</t>
        </is>
      </c>
      <c r="C934" s="90" t="inlineStr">
        <is>
          <t>Despesas com RH</t>
        </is>
      </c>
      <c r="D934" s="117" t="n">
        <v>8</v>
      </c>
      <c r="E934" s="118" t="n">
        <v>28.31</v>
      </c>
      <c r="F934" s="96">
        <f>IFERROR(D934*E934,0)</f>
        <v/>
      </c>
      <c r="G934" s="90">
        <f>INDEX(SETORES!$B:$B,MATCH(A934,SETORES!$A:$A,0))</f>
        <v/>
      </c>
      <c r="H934" s="90" t="inlineStr">
        <is>
          <t>Junho/2026</t>
        </is>
      </c>
    </row>
    <row r="935" hidden="1" ht="14.25" customHeight="1" s="75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5">
      <c r="A936" s="90" t="inlineStr">
        <is>
          <t>Qualidade</t>
        </is>
      </c>
      <c r="B936" s="90" t="inlineStr">
        <is>
          <t>Custo Fixo</t>
        </is>
      </c>
      <c r="C936" s="90" t="inlineStr">
        <is>
          <t>Despesas com SST</t>
        </is>
      </c>
      <c r="D936" s="117" t="n">
        <v>8</v>
      </c>
      <c r="E936" s="118" t="n">
        <v>64.54000000000001</v>
      </c>
      <c r="F936" s="96">
        <f>IFERROR(D936*E936,0)</f>
        <v/>
      </c>
      <c r="G936" s="90">
        <f>INDEX(SETORES!$B:$B,MATCH(A936,SETORES!$A:$A,0))</f>
        <v/>
      </c>
      <c r="H936" s="90" t="inlineStr">
        <is>
          <t>Junho/2026</t>
        </is>
      </c>
    </row>
    <row r="937" hidden="1" ht="14.25" customHeight="1" s="75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5">
      <c r="A938" s="90" t="inlineStr">
        <is>
          <t>Jurídico</t>
        </is>
      </c>
      <c r="B938" s="90" t="inlineStr">
        <is>
          <t>Custo Fixo</t>
        </is>
      </c>
      <c r="C938" s="90" t="inlineStr">
        <is>
          <t>Stargrid</t>
        </is>
      </c>
      <c r="D938" s="117" t="n">
        <v>2</v>
      </c>
      <c r="E938" s="118" t="n">
        <v>2.04</v>
      </c>
      <c r="F938" s="96">
        <f>IFERROR(D938*E938,0)</f>
        <v/>
      </c>
      <c r="G938" s="90">
        <f>INDEX(SETORES!$B:$B,MATCH(A938,SETORES!$A:$A,0))</f>
        <v/>
      </c>
      <c r="H938" s="90" t="inlineStr">
        <is>
          <t>Junho/2026</t>
        </is>
      </c>
    </row>
    <row r="939" hidden="1" ht="14.25" customHeight="1" s="75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5">
      <c r="A940" s="90" t="inlineStr">
        <is>
          <t>Jurídico</t>
        </is>
      </c>
      <c r="B940" s="90" t="inlineStr">
        <is>
          <t>Custo Fixo</t>
        </is>
      </c>
      <c r="C940" s="90" t="inlineStr">
        <is>
          <t>Despesas com RH</t>
        </is>
      </c>
      <c r="D940" s="117" t="n">
        <v>2</v>
      </c>
      <c r="E940" s="118" t="n">
        <v>28.31</v>
      </c>
      <c r="F940" s="96">
        <f>IFERROR(D940*E940,0)</f>
        <v/>
      </c>
      <c r="G940" s="90">
        <f>INDEX(SETORES!$B:$B,MATCH(A940,SETORES!$A:$A,0))</f>
        <v/>
      </c>
      <c r="H940" s="90" t="inlineStr">
        <is>
          <t>Junho/2026</t>
        </is>
      </c>
    </row>
    <row r="941" hidden="1" ht="14.25" customHeight="1" s="75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5">
      <c r="A942" s="90" t="inlineStr">
        <is>
          <t>Jurídico</t>
        </is>
      </c>
      <c r="B942" s="90" t="inlineStr">
        <is>
          <t>Custo Fixo</t>
        </is>
      </c>
      <c r="C942" s="90" t="inlineStr">
        <is>
          <t>Despesas com SST</t>
        </is>
      </c>
      <c r="D942" s="117" t="n">
        <v>2</v>
      </c>
      <c r="E942" s="118" t="n">
        <v>64.54000000000001</v>
      </c>
      <c r="F942" s="96">
        <f>IFERROR(D942*E942,0)</f>
        <v/>
      </c>
      <c r="G942" s="90">
        <f>INDEX(SETORES!$B:$B,MATCH(A942,SETORES!$A:$A,0))</f>
        <v/>
      </c>
      <c r="H942" s="90" t="inlineStr">
        <is>
          <t>Junho/2026</t>
        </is>
      </c>
    </row>
    <row r="943" hidden="1" ht="14.25" customHeight="1" s="75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5">
      <c r="A944" s="90" t="inlineStr">
        <is>
          <t>Marketing</t>
        </is>
      </c>
      <c r="B944" s="90" t="inlineStr">
        <is>
          <t>Custo Fixo</t>
        </is>
      </c>
      <c r="C944" s="90" t="inlineStr">
        <is>
          <t>Stargrid</t>
        </is>
      </c>
      <c r="D944" s="117" t="n">
        <v>12</v>
      </c>
      <c r="E944" s="118" t="n">
        <v>2.04</v>
      </c>
      <c r="F944" s="96">
        <f>IFERROR(D944*E944,0)</f>
        <v/>
      </c>
      <c r="G944" s="90">
        <f>INDEX(SETORES!$B:$B,MATCH(A944,SETORES!$A:$A,0))</f>
        <v/>
      </c>
      <c r="H944" s="90" t="inlineStr">
        <is>
          <t>Junho/2026</t>
        </is>
      </c>
    </row>
    <row r="945" hidden="1" ht="14.25" customHeight="1" s="75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5">
      <c r="A946" s="90" t="inlineStr">
        <is>
          <t>Marketing</t>
        </is>
      </c>
      <c r="B946" s="90" t="inlineStr">
        <is>
          <t>Custo Fixo</t>
        </is>
      </c>
      <c r="C946" s="90" t="inlineStr">
        <is>
          <t>Despesas com RH</t>
        </is>
      </c>
      <c r="D946" s="117" t="n">
        <v>12</v>
      </c>
      <c r="E946" s="118" t="n">
        <v>28.31</v>
      </c>
      <c r="F946" s="96">
        <f>IFERROR(D946*E946,0)</f>
        <v/>
      </c>
      <c r="G946" s="90">
        <f>INDEX(SETORES!$B:$B,MATCH(A946,SETORES!$A:$A,0))</f>
        <v/>
      </c>
      <c r="H946" s="90" t="inlineStr">
        <is>
          <t>Junho/2026</t>
        </is>
      </c>
    </row>
    <row r="947" hidden="1" ht="14.25" customHeight="1" s="75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5">
      <c r="A948" s="90" t="inlineStr">
        <is>
          <t>Marketing</t>
        </is>
      </c>
      <c r="B948" s="90" t="inlineStr">
        <is>
          <t>Custo Fixo</t>
        </is>
      </c>
      <c r="C948" s="90" t="inlineStr">
        <is>
          <t>Despesas com SST</t>
        </is>
      </c>
      <c r="D948" s="117" t="n">
        <v>12</v>
      </c>
      <c r="E948" s="118" t="n">
        <v>64.54000000000001</v>
      </c>
      <c r="F948" s="96">
        <f>IFERROR(D948*E948,0)</f>
        <v/>
      </c>
      <c r="G948" s="90">
        <f>INDEX(SETORES!$B:$B,MATCH(A948,SETORES!$A:$A,0))</f>
        <v/>
      </c>
      <c r="H948" s="90" t="inlineStr">
        <is>
          <t>Junho/2026</t>
        </is>
      </c>
    </row>
    <row r="949" hidden="1" ht="14.25" customHeight="1" s="75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5">
      <c r="A950" s="90" t="inlineStr">
        <is>
          <t>TIC</t>
        </is>
      </c>
      <c r="B950" s="90" t="inlineStr">
        <is>
          <t>Custo Fixo</t>
        </is>
      </c>
      <c r="C950" s="90" t="inlineStr">
        <is>
          <t>Stargrid</t>
        </is>
      </c>
      <c r="D950" s="117" t="n">
        <v>5</v>
      </c>
      <c r="E950" s="118" t="n">
        <v>2.04</v>
      </c>
      <c r="F950" s="96">
        <f>IFERROR(D950*E950,0)</f>
        <v/>
      </c>
      <c r="G950" s="90">
        <f>INDEX(SETORES!$B:$B,MATCH(A950,SETORES!$A:$A,0))</f>
        <v/>
      </c>
      <c r="H950" s="90" t="inlineStr">
        <is>
          <t>Junho/2026</t>
        </is>
      </c>
    </row>
    <row r="951" hidden="1" ht="14.25" customHeight="1" s="75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5">
      <c r="A952" s="90" t="inlineStr">
        <is>
          <t>TIC</t>
        </is>
      </c>
      <c r="B952" s="90" t="inlineStr">
        <is>
          <t>Custo Fixo</t>
        </is>
      </c>
      <c r="C952" s="90" t="inlineStr">
        <is>
          <t>Despesas com RH</t>
        </is>
      </c>
      <c r="D952" s="117" t="n">
        <v>5</v>
      </c>
      <c r="E952" s="118" t="n">
        <v>28.31</v>
      </c>
      <c r="F952" s="96">
        <f>IFERROR(D952*E952,0)</f>
        <v/>
      </c>
      <c r="G952" s="90">
        <f>INDEX(SETORES!$B:$B,MATCH(A952,SETORES!$A:$A,0))</f>
        <v/>
      </c>
      <c r="H952" s="90" t="inlineStr">
        <is>
          <t>Junho/2026</t>
        </is>
      </c>
    </row>
    <row r="953" hidden="1" ht="14.25" customHeight="1" s="75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5">
      <c r="A954" s="90" t="inlineStr">
        <is>
          <t>TIC</t>
        </is>
      </c>
      <c r="B954" s="90" t="inlineStr">
        <is>
          <t>Custo Fixo</t>
        </is>
      </c>
      <c r="C954" s="90" t="inlineStr">
        <is>
          <t>Despesas com SST</t>
        </is>
      </c>
      <c r="D954" s="117" t="n">
        <v>5</v>
      </c>
      <c r="E954" s="118" t="n">
        <v>64.54000000000001</v>
      </c>
      <c r="F954" s="96">
        <f>IFERROR(D954*E954,0)</f>
        <v/>
      </c>
      <c r="G954" s="90">
        <f>INDEX(SETORES!$B:$B,MATCH(A954,SETORES!$A:$A,0))</f>
        <v/>
      </c>
      <c r="H954" s="90" t="inlineStr">
        <is>
          <t>Junho/2026</t>
        </is>
      </c>
    </row>
    <row r="955" hidden="1" ht="14.25" customHeight="1" s="75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5">
      <c r="A956" s="90" t="inlineStr">
        <is>
          <t>COE</t>
        </is>
      </c>
      <c r="B956" s="90" t="inlineStr">
        <is>
          <t>Custo Fixo</t>
        </is>
      </c>
      <c r="C956" s="90" t="inlineStr">
        <is>
          <t>Stargrid</t>
        </is>
      </c>
      <c r="D956" s="117" t="n">
        <v>15</v>
      </c>
      <c r="E956" s="118" t="n">
        <v>2.04</v>
      </c>
      <c r="F956" s="96">
        <f>IFERROR(D956*E956,0)</f>
        <v/>
      </c>
      <c r="G956" s="90">
        <f>INDEX(SETORES!$B:$B,MATCH(A956,SETORES!$A:$A,0))</f>
        <v/>
      </c>
      <c r="H956" s="90" t="inlineStr">
        <is>
          <t>Junho/2026</t>
        </is>
      </c>
    </row>
    <row r="957" hidden="1" ht="14.25" customHeight="1" s="75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5">
      <c r="A958" s="90" t="inlineStr">
        <is>
          <t>COE</t>
        </is>
      </c>
      <c r="B958" s="90" t="inlineStr">
        <is>
          <t>Custo Fixo</t>
        </is>
      </c>
      <c r="C958" s="90" t="inlineStr">
        <is>
          <t>Despesas com RH</t>
        </is>
      </c>
      <c r="D958" s="117" t="n">
        <v>15</v>
      </c>
      <c r="E958" s="118" t="n">
        <v>28.31</v>
      </c>
      <c r="F958" s="96">
        <f>IFERROR(D958*E958,0)</f>
        <v/>
      </c>
      <c r="G958" s="90">
        <f>INDEX(SETORES!$B:$B,MATCH(A958,SETORES!$A:$A,0))</f>
        <v/>
      </c>
      <c r="H958" s="90" t="inlineStr">
        <is>
          <t>Junho/2026</t>
        </is>
      </c>
    </row>
    <row r="959" hidden="1" ht="14.25" customHeight="1" s="75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5">
      <c r="A960" s="90" t="inlineStr">
        <is>
          <t>COE</t>
        </is>
      </c>
      <c r="B960" s="90" t="inlineStr">
        <is>
          <t>Custo Fixo</t>
        </is>
      </c>
      <c r="C960" s="90" t="inlineStr">
        <is>
          <t>Despesas com SST</t>
        </is>
      </c>
      <c r="D960" s="117" t="n">
        <v>15</v>
      </c>
      <c r="E960" s="118" t="n">
        <v>64.54000000000001</v>
      </c>
      <c r="F960" s="96">
        <f>IFERROR(D960*E960,0)</f>
        <v/>
      </c>
      <c r="G960" s="90">
        <f>INDEX(SETORES!$B:$B,MATCH(A960,SETORES!$A:$A,0))</f>
        <v/>
      </c>
      <c r="H960" s="90" t="inlineStr">
        <is>
          <t>Junho/2026</t>
        </is>
      </c>
    </row>
    <row r="961" hidden="1" ht="14.25" customHeight="1" s="75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5">
      <c r="A962" s="90" t="inlineStr">
        <is>
          <t>Fique Móvel</t>
        </is>
      </c>
      <c r="B962" s="90" t="inlineStr">
        <is>
          <t>Custo Fixo</t>
        </is>
      </c>
      <c r="C962" s="90" t="inlineStr">
        <is>
          <t>Stargrid</t>
        </is>
      </c>
      <c r="D962" s="117" t="n">
        <v>2</v>
      </c>
      <c r="E962" s="118" t="n">
        <v>2.04</v>
      </c>
      <c r="F962" s="96">
        <f>IFERROR(D962*E962,0)</f>
        <v/>
      </c>
      <c r="G962" s="90">
        <f>INDEX(SETORES!$B:$B,MATCH(A962,SETORES!$A:$A,0))</f>
        <v/>
      </c>
      <c r="H962" s="90" t="inlineStr">
        <is>
          <t>Junho/2026</t>
        </is>
      </c>
    </row>
    <row r="963" hidden="1" ht="14.25" customHeight="1" s="75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5">
      <c r="A964" s="90" t="inlineStr">
        <is>
          <t>Fique Móvel</t>
        </is>
      </c>
      <c r="B964" s="90" t="inlineStr">
        <is>
          <t>Custo Fixo</t>
        </is>
      </c>
      <c r="C964" s="90" t="inlineStr">
        <is>
          <t>Despesas com RH</t>
        </is>
      </c>
      <c r="D964" s="117" t="n">
        <v>2</v>
      </c>
      <c r="E964" s="118" t="n">
        <v>28.31</v>
      </c>
      <c r="F964" s="96">
        <f>IFERROR(D964*E964,0)</f>
        <v/>
      </c>
      <c r="G964" s="90">
        <f>INDEX(SETORES!$B:$B,MATCH(A964,SETORES!$A:$A,0))</f>
        <v/>
      </c>
      <c r="H964" s="90" t="inlineStr">
        <is>
          <t>Junho/2026</t>
        </is>
      </c>
    </row>
    <row r="965" hidden="1" ht="14.25" customHeight="1" s="75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5">
      <c r="A966" s="90" t="inlineStr">
        <is>
          <t>Fique Móvel</t>
        </is>
      </c>
      <c r="B966" s="90" t="inlineStr">
        <is>
          <t>Custo Fixo</t>
        </is>
      </c>
      <c r="C966" s="90" t="inlineStr">
        <is>
          <t>Despesas com SST</t>
        </is>
      </c>
      <c r="D966" s="117" t="n">
        <v>2</v>
      </c>
      <c r="E966" s="118" t="n">
        <v>64.54000000000001</v>
      </c>
      <c r="F966" s="96">
        <f>IFERROR(D966*E966,0)</f>
        <v/>
      </c>
      <c r="G966" s="90">
        <f>INDEX(SETORES!$B:$B,MATCH(A966,SETORES!$A:$A,0))</f>
        <v/>
      </c>
      <c r="H966" s="90" t="inlineStr">
        <is>
          <t>Junho/2026</t>
        </is>
      </c>
    </row>
    <row r="967" hidden="1" ht="14.25" customHeight="1" s="75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5">
      <c r="A968" s="90" t="inlineStr">
        <is>
          <t>Lançamento</t>
        </is>
      </c>
      <c r="B968" s="90" t="inlineStr">
        <is>
          <t>Custo Fixo</t>
        </is>
      </c>
      <c r="C968" s="90" t="inlineStr">
        <is>
          <t>Stargrid</t>
        </is>
      </c>
      <c r="D968" s="117" t="n">
        <v>21</v>
      </c>
      <c r="E968" s="118" t="n">
        <v>2.04</v>
      </c>
      <c r="F968" s="96">
        <f>IFERROR(D968*E968,0)</f>
        <v/>
      </c>
      <c r="G968" s="90">
        <f>INDEX(SETORES!$B:$B,MATCH(A968,SETORES!$A:$A,0))</f>
        <v/>
      </c>
      <c r="H968" s="90" t="inlineStr">
        <is>
          <t>Junho/2026</t>
        </is>
      </c>
    </row>
    <row r="969" hidden="1" ht="14.25" customHeight="1" s="75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5">
      <c r="A970" s="90" t="inlineStr">
        <is>
          <t>Lançamento</t>
        </is>
      </c>
      <c r="B970" s="90" t="inlineStr">
        <is>
          <t>Custo Fixo</t>
        </is>
      </c>
      <c r="C970" s="90" t="inlineStr">
        <is>
          <t>Despesas com RH</t>
        </is>
      </c>
      <c r="D970" s="117" t="n">
        <v>21</v>
      </c>
      <c r="E970" s="118" t="n">
        <v>28.31</v>
      </c>
      <c r="F970" s="96">
        <f>IFERROR(D970*E970,0)</f>
        <v/>
      </c>
      <c r="G970" s="90">
        <f>INDEX(SETORES!$B:$B,MATCH(A970,SETORES!$A:$A,0))</f>
        <v/>
      </c>
      <c r="H970" s="90" t="inlineStr">
        <is>
          <t>Junho/2026</t>
        </is>
      </c>
    </row>
    <row r="971" hidden="1" ht="14.25" customHeight="1" s="75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5">
      <c r="A972" s="90" t="inlineStr">
        <is>
          <t>Lançamento</t>
        </is>
      </c>
      <c r="B972" s="90" t="inlineStr">
        <is>
          <t>Custo Fixo</t>
        </is>
      </c>
      <c r="C972" s="90" t="inlineStr">
        <is>
          <t>Despesas com SST</t>
        </is>
      </c>
      <c r="D972" s="117" t="n">
        <v>21</v>
      </c>
      <c r="E972" s="118" t="n">
        <v>64.54000000000001</v>
      </c>
      <c r="F972" s="96">
        <f>IFERROR(D972*E972,0)</f>
        <v/>
      </c>
      <c r="G972" s="90">
        <f>INDEX(SETORES!$B:$B,MATCH(A972,SETORES!$A:$A,0))</f>
        <v/>
      </c>
      <c r="H972" s="90" t="inlineStr">
        <is>
          <t>Junho/2026</t>
        </is>
      </c>
    </row>
    <row r="973" hidden="1" ht="14.25" customHeight="1" s="75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5">
      <c r="A974" s="90" t="inlineStr">
        <is>
          <t>Fusão</t>
        </is>
      </c>
      <c r="B974" s="90" t="inlineStr">
        <is>
          <t>Custo Fixo</t>
        </is>
      </c>
      <c r="C974" s="90" t="inlineStr">
        <is>
          <t>Stargrid</t>
        </is>
      </c>
      <c r="D974" s="117" t="n">
        <v>9</v>
      </c>
      <c r="E974" s="118" t="n">
        <v>2.04</v>
      </c>
      <c r="F974" s="96">
        <f>IFERROR(D974*E974,0)</f>
        <v/>
      </c>
      <c r="G974" s="90">
        <f>INDEX(SETORES!$B:$B,MATCH(A974,SETORES!$A:$A,0))</f>
        <v/>
      </c>
      <c r="H974" s="90" t="inlineStr">
        <is>
          <t>Junho/2026</t>
        </is>
      </c>
    </row>
    <row r="975" hidden="1" ht="14.25" customHeight="1" s="75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5">
      <c r="A976" s="90" t="inlineStr">
        <is>
          <t>Fusão</t>
        </is>
      </c>
      <c r="B976" s="90" t="inlineStr">
        <is>
          <t>Custo Fixo</t>
        </is>
      </c>
      <c r="C976" s="90" t="inlineStr">
        <is>
          <t>Despesas com RH</t>
        </is>
      </c>
      <c r="D976" s="117" t="n">
        <v>9</v>
      </c>
      <c r="E976" s="118" t="n">
        <v>28.31</v>
      </c>
      <c r="F976" s="96">
        <f>IFERROR(D976*E976,0)</f>
        <v/>
      </c>
      <c r="G976" s="90">
        <f>INDEX(SETORES!$B:$B,MATCH(A976,SETORES!$A:$A,0))</f>
        <v/>
      </c>
      <c r="H976" s="90" t="inlineStr">
        <is>
          <t>Junho/2026</t>
        </is>
      </c>
    </row>
    <row r="977" hidden="1" ht="14.25" customHeight="1" s="75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5">
      <c r="A978" s="90" t="inlineStr">
        <is>
          <t>Fusão</t>
        </is>
      </c>
      <c r="B978" s="90" t="inlineStr">
        <is>
          <t>Custo Fixo</t>
        </is>
      </c>
      <c r="C978" s="90" t="inlineStr">
        <is>
          <t>Despesas com SST</t>
        </is>
      </c>
      <c r="D978" s="117" t="n">
        <v>9</v>
      </c>
      <c r="E978" s="118" t="n">
        <v>64.54000000000001</v>
      </c>
      <c r="F978" s="96">
        <f>IFERROR(D978*E978,0)</f>
        <v/>
      </c>
      <c r="G978" s="90">
        <f>INDEX(SETORES!$B:$B,MATCH(A978,SETORES!$A:$A,0))</f>
        <v/>
      </c>
      <c r="H978" s="90" t="inlineStr">
        <is>
          <t>Junho/2026</t>
        </is>
      </c>
    </row>
    <row r="979" hidden="1" ht="14.25" customHeight="1" s="75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5">
      <c r="A980" s="90" t="inlineStr">
        <is>
          <t>Diretoria Adm</t>
        </is>
      </c>
      <c r="B980" s="90" t="inlineStr">
        <is>
          <t>Custo Fixo</t>
        </is>
      </c>
      <c r="C980" s="90" t="inlineStr">
        <is>
          <t>Stargrid</t>
        </is>
      </c>
      <c r="D980" s="117" t="n">
        <v>3</v>
      </c>
      <c r="E980" s="118" t="n">
        <v>2.04</v>
      </c>
      <c r="F980" s="96">
        <f>IFERROR(D980*E980,0)</f>
        <v/>
      </c>
      <c r="G980" s="90">
        <f>INDEX(SETORES!$B:$B,MATCH(A980,SETORES!$A:$A,0))</f>
        <v/>
      </c>
      <c r="H980" s="90" t="inlineStr">
        <is>
          <t>Junho/2026</t>
        </is>
      </c>
    </row>
    <row r="981" hidden="1" ht="14.25" customHeight="1" s="75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5">
      <c r="A982" s="90" t="inlineStr">
        <is>
          <t>Diretoria Adm</t>
        </is>
      </c>
      <c r="B982" s="90" t="inlineStr">
        <is>
          <t>Custo Fixo</t>
        </is>
      </c>
      <c r="C982" s="90" t="inlineStr">
        <is>
          <t>Despesas com RH</t>
        </is>
      </c>
      <c r="D982" s="117" t="n">
        <v>3</v>
      </c>
      <c r="E982" s="118" t="n">
        <v>28.31</v>
      </c>
      <c r="F982" s="96">
        <f>IFERROR(D982*E982,0)</f>
        <v/>
      </c>
      <c r="G982" s="90">
        <f>INDEX(SETORES!$B:$B,MATCH(A982,SETORES!$A:$A,0))</f>
        <v/>
      </c>
      <c r="H982" s="90" t="inlineStr">
        <is>
          <t>Junho/2026</t>
        </is>
      </c>
    </row>
    <row r="983" hidden="1" ht="14.25" customHeight="1" s="75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5">
      <c r="A984" s="90" t="inlineStr">
        <is>
          <t>Diretoria Adm</t>
        </is>
      </c>
      <c r="B984" s="90" t="inlineStr">
        <is>
          <t>Custo Fixo</t>
        </is>
      </c>
      <c r="C984" s="90" t="inlineStr">
        <is>
          <t>Despesas com SST</t>
        </is>
      </c>
      <c r="D984" s="117" t="n">
        <v>3</v>
      </c>
      <c r="E984" s="118" t="n">
        <v>64.54000000000001</v>
      </c>
      <c r="F984" s="96">
        <f>IFERROR(D984*E984,0)</f>
        <v/>
      </c>
      <c r="G984" s="90">
        <f>INDEX(SETORES!$B:$B,MATCH(A984,SETORES!$A:$A,0))</f>
        <v/>
      </c>
      <c r="H984" s="90" t="inlineStr">
        <is>
          <t>Junho/2026</t>
        </is>
      </c>
    </row>
    <row r="985" hidden="1" ht="14.25" customHeight="1" s="75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5">
      <c r="A986" s="90" t="inlineStr">
        <is>
          <t>Jurídico</t>
        </is>
      </c>
      <c r="B986" s="90" t="inlineStr">
        <is>
          <t>Custo Fixo</t>
        </is>
      </c>
      <c r="C986" s="90" t="inlineStr">
        <is>
          <t>Consultoria Jurídica</t>
        </is>
      </c>
      <c r="D986" s="117" t="n">
        <v>1</v>
      </c>
      <c r="E986" s="118" t="n">
        <v>7500</v>
      </c>
      <c r="F986" s="96">
        <f>IFERROR(D986*E986,0)</f>
        <v/>
      </c>
      <c r="G986" s="90">
        <f>INDEX(SETORES!$B:$B,MATCH(A986,SETORES!$A:$A,0))</f>
        <v/>
      </c>
      <c r="H986" s="90" t="inlineStr">
        <is>
          <t>Junho/2026</t>
        </is>
      </c>
    </row>
    <row r="987" hidden="1" ht="14.25" customHeight="1" s="75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32544.89</v>
      </c>
      <c r="F987" s="116">
        <f>IFERROR(E987,0)</f>
        <v/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5">
      <c r="A988" s="90" t="inlineStr">
        <is>
          <t>COE</t>
        </is>
      </c>
      <c r="B988" s="90" t="inlineStr">
        <is>
          <t>Custo Variável</t>
        </is>
      </c>
      <c r="C988" s="90" t="inlineStr">
        <is>
          <t>Rateio de transporte coletivo</t>
        </is>
      </c>
      <c r="D988" s="117" t="n">
        <v>15</v>
      </c>
      <c r="E988" s="118" t="n">
        <v>85.70999999999999</v>
      </c>
      <c r="F988" s="96">
        <f>IFERROR(D988*E988,0)</f>
        <v/>
      </c>
      <c r="G988" s="90">
        <f>INDEX(SETORES!$B:$B,MATCH(A988,SETORES!$A:$A,0))</f>
        <v/>
      </c>
      <c r="H988" s="90" t="inlineStr">
        <is>
          <t>Junho/2026</t>
        </is>
      </c>
    </row>
    <row r="989" hidden="1" ht="14.25" customHeight="1" s="75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5">
      <c r="A990" s="90" t="inlineStr">
        <is>
          <t>COE</t>
        </is>
      </c>
      <c r="B990" s="90" t="inlineStr">
        <is>
          <t>Custo Fixo</t>
        </is>
      </c>
      <c r="C990" s="90" t="inlineStr">
        <is>
          <t>Energia elétrica (rateio)</t>
        </is>
      </c>
      <c r="D990" s="117" t="n">
        <v>15</v>
      </c>
      <c r="E990" s="118" t="n">
        <v>23.6877</v>
      </c>
      <c r="F990" s="96" t="n">
        <v>355.3155</v>
      </c>
      <c r="G990" s="90">
        <f>INDEX(SETORES!$B:$B,MATCH(A990,SETORES!$A:$A,0))</f>
        <v/>
      </c>
      <c r="H990" s="90" t="inlineStr">
        <is>
          <t>Junho/2026</t>
        </is>
      </c>
    </row>
    <row r="991" hidden="1" ht="14.25" customHeight="1" s="75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5">
      <c r="A992" s="90" t="inlineStr">
        <is>
          <t>Cozinha</t>
        </is>
      </c>
      <c r="B992" s="90" t="inlineStr">
        <is>
          <t>Custo Fixo</t>
        </is>
      </c>
      <c r="C992" s="90" t="inlineStr">
        <is>
          <t>Energia elétrica (rateio)</t>
        </is>
      </c>
      <c r="D992" s="117" t="n">
        <v>7</v>
      </c>
      <c r="E992" s="118" t="n">
        <v>23.6877</v>
      </c>
      <c r="F992" s="96" t="n">
        <v>165.8139</v>
      </c>
      <c r="G992" s="90">
        <f>INDEX(SETORES!$B:$B,MATCH(A992,SETORES!$A:$A,0))</f>
        <v/>
      </c>
      <c r="H992" s="90" t="inlineStr">
        <is>
          <t>Junho/2026</t>
        </is>
      </c>
    </row>
    <row r="993" hidden="1" ht="14.25" customHeight="1" s="75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5">
      <c r="A994" s="90" t="inlineStr">
        <is>
          <t>COE</t>
        </is>
      </c>
      <c r="B994" s="90" t="inlineStr">
        <is>
          <t>Custo Variável</t>
        </is>
      </c>
      <c r="C994" s="90" t="inlineStr">
        <is>
          <t>Rescisões trabalhistas</t>
        </is>
      </c>
      <c r="D994" s="117" t="n"/>
      <c r="E994" s="118" t="n"/>
      <c r="F994" s="96">
        <f>IFERROR(D994*E994,0)</f>
        <v/>
      </c>
      <c r="G994" s="90">
        <f>INDEX(SETORES!$B:$B,MATCH(A994,SETORES!$A:$A,0))</f>
        <v/>
      </c>
      <c r="H994" s="90" t="inlineStr">
        <is>
          <t>Junho/2026</t>
        </is>
      </c>
    </row>
    <row r="995" hidden="1" ht="14.25" customHeight="1" s="75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5">
      <c r="A996" s="90" t="inlineStr">
        <is>
          <t>Controladoria</t>
        </is>
      </c>
      <c r="B996" s="90" t="inlineStr">
        <is>
          <t>Custo Variável</t>
        </is>
      </c>
      <c r="C996" s="90" t="inlineStr">
        <is>
          <t>Rescisões trabalhistas</t>
        </is>
      </c>
      <c r="D996" s="117" t="n"/>
      <c r="E996" s="118" t="n"/>
      <c r="F996" s="96">
        <f>IFERROR(D996*E996,0)</f>
        <v/>
      </c>
      <c r="G996" s="90">
        <f>INDEX(SETORES!$B:$B,MATCH(A996,SETORES!$A:$A,0))</f>
        <v/>
      </c>
      <c r="H996" s="90" t="inlineStr">
        <is>
          <t>Junho/2026</t>
        </is>
      </c>
    </row>
    <row r="997" hidden="1" ht="14.25" customHeight="1" s="75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5">
      <c r="A998" s="90" t="inlineStr">
        <is>
          <t>Diretoria Adm</t>
        </is>
      </c>
      <c r="B998" s="90" t="inlineStr">
        <is>
          <t>Custo Variável</t>
        </is>
      </c>
      <c r="C998" s="90" t="inlineStr">
        <is>
          <t>Rescisões trabalhistas</t>
        </is>
      </c>
      <c r="D998" s="117" t="n"/>
      <c r="E998" s="118" t="n"/>
      <c r="F998" s="96">
        <f>IFERROR(D998*E998,0)</f>
        <v/>
      </c>
      <c r="G998" s="90">
        <f>INDEX(SETORES!$B:$B,MATCH(A998,SETORES!$A:$A,0))</f>
        <v/>
      </c>
      <c r="H998" s="90" t="inlineStr">
        <is>
          <t>Junho/2026</t>
        </is>
      </c>
    </row>
    <row r="999" hidden="1" ht="14.25" customHeight="1" s="75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5">
      <c r="A1000" s="90" t="inlineStr">
        <is>
          <t>Financeiro</t>
        </is>
      </c>
      <c r="B1000" s="90" t="inlineStr">
        <is>
          <t>Custo Variável</t>
        </is>
      </c>
      <c r="C1000" s="90" t="inlineStr">
        <is>
          <t>Rescisões trabalhistas</t>
        </is>
      </c>
      <c r="D1000" s="117" t="n"/>
      <c r="E1000" s="118" t="n"/>
      <c r="F1000" s="96">
        <f>IFERROR(D1000*E1000,0)</f>
        <v/>
      </c>
      <c r="G1000" s="90">
        <f>INDEX(SETORES!$B:$B,MATCH(A1000,SETORES!$A:$A,0))</f>
        <v/>
      </c>
      <c r="H1000" s="90" t="inlineStr">
        <is>
          <t>Junho/2026</t>
        </is>
      </c>
    </row>
    <row r="1001" hidden="1" ht="14.25" customHeight="1" s="75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5">
      <c r="A1002" s="90" t="inlineStr">
        <is>
          <t>Fusão</t>
        </is>
      </c>
      <c r="B1002" s="90" t="inlineStr">
        <is>
          <t>Custo Variável</t>
        </is>
      </c>
      <c r="C1002" s="90" t="inlineStr">
        <is>
          <t>Rescisões trabalhistas</t>
        </is>
      </c>
      <c r="D1002" s="117" t="n"/>
      <c r="E1002" s="118" t="n"/>
      <c r="F1002" s="96">
        <f>IFERROR(D1002*E1002,0)</f>
        <v/>
      </c>
      <c r="G1002" s="90">
        <f>INDEX(SETORES!$B:$B,MATCH(A1002,SETORES!$A:$A,0))</f>
        <v/>
      </c>
      <c r="H1002" s="90" t="inlineStr">
        <is>
          <t>Junho/2026</t>
        </is>
      </c>
    </row>
    <row r="1003" hidden="1" ht="14.25" customHeight="1" s="75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5">
      <c r="A1004" s="90" t="inlineStr">
        <is>
          <t>Jurídico</t>
        </is>
      </c>
      <c r="B1004" s="90" t="inlineStr">
        <is>
          <t>Custo Variável</t>
        </is>
      </c>
      <c r="C1004" s="90" t="inlineStr">
        <is>
          <t>Rescisões trabalhistas</t>
        </is>
      </c>
      <c r="D1004" s="117" t="n"/>
      <c r="E1004" s="118" t="n"/>
      <c r="F1004" s="96">
        <f>IFERROR(D1004*E1004,0)</f>
        <v/>
      </c>
      <c r="G1004" s="90">
        <f>INDEX(SETORES!$B:$B,MATCH(A1004,SETORES!$A:$A,0))</f>
        <v/>
      </c>
      <c r="H1004" s="90" t="inlineStr">
        <is>
          <t>Junho/2026</t>
        </is>
      </c>
    </row>
    <row r="1005" hidden="1" ht="14.25" customHeight="1" s="75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5">
      <c r="A1006" s="90" t="inlineStr">
        <is>
          <t>Marketing</t>
        </is>
      </c>
      <c r="B1006" s="90" t="inlineStr">
        <is>
          <t>Custo Variável</t>
        </is>
      </c>
      <c r="C1006" s="90" t="inlineStr">
        <is>
          <t>Rescisões trabalhistas</t>
        </is>
      </c>
      <c r="D1006" s="117" t="n"/>
      <c r="E1006" s="118" t="n"/>
      <c r="F1006" s="96">
        <f>IFERROR(D1006*E1006,0)</f>
        <v/>
      </c>
      <c r="G1006" s="90">
        <f>INDEX(SETORES!$B:$B,MATCH(A1006,SETORES!$A:$A,0))</f>
        <v/>
      </c>
      <c r="H1006" s="90" t="inlineStr">
        <is>
          <t>Junho/2026</t>
        </is>
      </c>
    </row>
    <row r="1007" hidden="1" ht="14.25" customHeight="1" s="75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5">
      <c r="A1008" s="90" t="inlineStr">
        <is>
          <t>Qualidade</t>
        </is>
      </c>
      <c r="B1008" s="90" t="inlineStr">
        <is>
          <t>Custo Variável</t>
        </is>
      </c>
      <c r="C1008" s="90" t="inlineStr">
        <is>
          <t>Rescisões trabalhistas</t>
        </is>
      </c>
      <c r="D1008" s="117" t="n"/>
      <c r="E1008" s="118" t="n"/>
      <c r="F1008" s="96">
        <f>IFERROR(D1008*E1008,0)</f>
        <v/>
      </c>
      <c r="G1008" s="90">
        <f>INDEX(SETORES!$B:$B,MATCH(A1008,SETORES!$A:$A,0))</f>
        <v/>
      </c>
      <c r="H1008" s="90" t="inlineStr">
        <is>
          <t>Junho/2026</t>
        </is>
      </c>
    </row>
    <row r="1009" hidden="1" ht="14.25" customHeight="1" s="75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5">
      <c r="A1010" s="90" t="inlineStr">
        <is>
          <t>Fique Móvel</t>
        </is>
      </c>
      <c r="B1010" s="90" t="inlineStr">
        <is>
          <t>Custo Fixo</t>
        </is>
      </c>
      <c r="C1010" s="90" t="inlineStr">
        <is>
          <t>Impressora</t>
        </is>
      </c>
      <c r="D1010" s="117" t="n">
        <v>1</v>
      </c>
      <c r="E1010" s="118" t="n">
        <v>2.272728</v>
      </c>
      <c r="F1010" s="96">
        <f>IFERROR(D1010*E1010,0)</f>
        <v/>
      </c>
      <c r="G1010" s="90">
        <f>INDEX(SETORES!$B:$B,MATCH(A1010,SETORES!$A:$A,0))</f>
        <v/>
      </c>
      <c r="H1010" s="90" t="inlineStr">
        <is>
          <t>Junho/2026</t>
        </is>
      </c>
    </row>
    <row r="1011" hidden="1" ht="14.25" customHeight="1" s="75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5">
      <c r="A1012" s="90" t="inlineStr">
        <is>
          <t>Comercial Corporativo</t>
        </is>
      </c>
      <c r="B1012" s="90" t="inlineStr">
        <is>
          <t>Custo Fixo</t>
        </is>
      </c>
      <c r="C1012" s="90" t="inlineStr">
        <is>
          <t>Impressora</t>
        </is>
      </c>
      <c r="D1012" s="117" t="n">
        <v>1</v>
      </c>
      <c r="E1012" s="118" t="n">
        <v>11.36364</v>
      </c>
      <c r="F1012" s="96">
        <f>IFERROR(D1012*E1012,0)</f>
        <v/>
      </c>
      <c r="G1012" s="90">
        <f>INDEX(SETORES!$B:$B,MATCH(A1012,SETORES!$A:$A,0))</f>
        <v/>
      </c>
      <c r="H1012" s="90" t="inlineStr">
        <is>
          <t>Junho/2026</t>
        </is>
      </c>
    </row>
    <row r="1013" hidden="1" ht="14.25" customHeight="1" s="75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5">
      <c r="A1014" s="90" t="inlineStr">
        <is>
          <t>Qualidade</t>
        </is>
      </c>
      <c r="B1014" s="90" t="inlineStr">
        <is>
          <t>Custo Fixo</t>
        </is>
      </c>
      <c r="C1014" s="90" t="inlineStr">
        <is>
          <t>Impressora</t>
        </is>
      </c>
      <c r="D1014" s="117" t="n">
        <v>1</v>
      </c>
      <c r="E1014" s="118" t="n">
        <v>9.090911999999999</v>
      </c>
      <c r="F1014" s="96">
        <f>IFERROR(D1014*E1014,0)</f>
        <v/>
      </c>
      <c r="G1014" s="90">
        <f>INDEX(SETORES!$B:$B,MATCH(A1014,SETORES!$A:$A,0))</f>
        <v/>
      </c>
      <c r="H1014" s="90" t="inlineStr">
        <is>
          <t>Junho/2026</t>
        </is>
      </c>
    </row>
    <row r="1015" hidden="1" ht="14.25" customHeight="1" s="75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5">
      <c r="A1016" s="90" t="inlineStr">
        <is>
          <t>Diretoria Operacional</t>
        </is>
      </c>
      <c r="B1016" s="90" t="inlineStr">
        <is>
          <t>Custo Fixo</t>
        </is>
      </c>
      <c r="C1016" s="90" t="inlineStr">
        <is>
          <t>Impressora</t>
        </is>
      </c>
      <c r="D1016" s="117" t="n">
        <v>1</v>
      </c>
      <c r="E1016" s="118" t="n">
        <v>2.272728</v>
      </c>
      <c r="F1016" s="96">
        <f>IFERROR(D1016*E1016,0)</f>
        <v/>
      </c>
      <c r="G1016" s="90">
        <f>INDEX(SETORES!$B:$B,MATCH(A1016,SETORES!$A:$A,0))</f>
        <v/>
      </c>
      <c r="H1016" s="90" t="inlineStr">
        <is>
          <t>Junho/2026</t>
        </is>
      </c>
    </row>
    <row r="1017" hidden="1" ht="14.25" customHeight="1" s="75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5">
      <c r="A1018" s="90" t="inlineStr">
        <is>
          <t>Controladoria</t>
        </is>
      </c>
      <c r="B1018" s="90" t="inlineStr">
        <is>
          <t>Custo Fixo</t>
        </is>
      </c>
      <c r="C1018" s="90" t="inlineStr">
        <is>
          <t>Impressora</t>
        </is>
      </c>
      <c r="D1018" s="117" t="n">
        <v>1</v>
      </c>
      <c r="E1018" s="118" t="n">
        <v>1.136364</v>
      </c>
      <c r="F1018" s="96">
        <f>IFERROR(D1018*E1018,0)</f>
        <v/>
      </c>
      <c r="G1018" s="90">
        <f>INDEX(SETORES!$B:$B,MATCH(A1018,SETORES!$A:$A,0))</f>
        <v/>
      </c>
      <c r="H1018" s="90" t="inlineStr">
        <is>
          <t>Junho/2026</t>
        </is>
      </c>
    </row>
    <row r="1019" hidden="1" ht="14.25" customHeight="1" s="75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5">
      <c r="A1020" s="90" t="inlineStr">
        <is>
          <t>COE</t>
        </is>
      </c>
      <c r="B1020" s="90" t="inlineStr">
        <is>
          <t>Custo Fixo</t>
        </is>
      </c>
      <c r="C1020" s="90" t="inlineStr">
        <is>
          <t>Chip móvel corporativo</t>
        </is>
      </c>
      <c r="D1020" s="117" t="n">
        <v>13</v>
      </c>
      <c r="E1020" s="118" t="n">
        <v>30</v>
      </c>
      <c r="F1020" s="96">
        <f>IFERROR(D1020*E1020,0)</f>
        <v/>
      </c>
      <c r="G1020" s="90">
        <f>INDEX(SETORES!$B:$B,MATCH(A1020,SETORES!$A:$A,0))</f>
        <v/>
      </c>
      <c r="H1020" s="90" t="inlineStr">
        <is>
          <t>Junho/2026</t>
        </is>
      </c>
    </row>
    <row r="1021" hidden="1" ht="14.25" customHeight="1" s="75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5">
      <c r="A1022" s="90" t="inlineStr">
        <is>
          <t>Contabilidade</t>
        </is>
      </c>
      <c r="B1022" s="90" t="inlineStr">
        <is>
          <t>Custo Fixo</t>
        </is>
      </c>
      <c r="C1022" s="90" t="inlineStr">
        <is>
          <t>Chip móvel corporativo</t>
        </is>
      </c>
      <c r="D1022" s="117" t="n">
        <v>2</v>
      </c>
      <c r="E1022" s="118" t="n">
        <v>30</v>
      </c>
      <c r="F1022" s="96">
        <f>IFERROR(D1022*E1022,0)</f>
        <v/>
      </c>
      <c r="G1022" s="90">
        <f>INDEX(SETORES!$B:$B,MATCH(A1022,SETORES!$A:$A,0))</f>
        <v/>
      </c>
      <c r="H1022" s="90" t="inlineStr">
        <is>
          <t>Junho/2026</t>
        </is>
      </c>
    </row>
    <row r="1023" hidden="1" ht="14.25" customHeight="1" s="75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5">
      <c r="A1024" s="90" t="inlineStr">
        <is>
          <t>Engenharia</t>
        </is>
      </c>
      <c r="B1024" s="90" t="inlineStr">
        <is>
          <t>Custo Fixo</t>
        </is>
      </c>
      <c r="C1024" s="90" t="inlineStr">
        <is>
          <t>Chip móvel corporativo</t>
        </is>
      </c>
      <c r="D1024" s="117" t="n">
        <v>8</v>
      </c>
      <c r="E1024" s="118" t="n">
        <v>30</v>
      </c>
      <c r="F1024" s="96">
        <f>IFERROR(D1024*E1024,0)</f>
        <v/>
      </c>
      <c r="G1024" s="90">
        <f>INDEX(SETORES!$B:$B,MATCH(A1024,SETORES!$A:$A,0))</f>
        <v/>
      </c>
      <c r="H1024" s="90" t="inlineStr">
        <is>
          <t>Junho/2026</t>
        </is>
      </c>
    </row>
    <row r="1025" hidden="1" ht="14.25" customHeight="1" s="75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5">
      <c r="A1026" s="90" t="inlineStr">
        <is>
          <t>Fique Móvel</t>
        </is>
      </c>
      <c r="B1026" s="90" t="inlineStr">
        <is>
          <t>Custo Fixo</t>
        </is>
      </c>
      <c r="C1026" s="90" t="inlineStr">
        <is>
          <t>Chip móvel corporativo</t>
        </is>
      </c>
      <c r="D1026" s="117" t="n">
        <v>2</v>
      </c>
      <c r="E1026" s="118" t="n">
        <v>30</v>
      </c>
      <c r="F1026" s="96">
        <f>IFERROR(D1026*E1026,0)</f>
        <v/>
      </c>
      <c r="G1026" s="90">
        <f>INDEX(SETORES!$B:$B,MATCH(A1026,SETORES!$A:$A,0))</f>
        <v/>
      </c>
      <c r="H1026" s="90" t="inlineStr">
        <is>
          <t>Junho/2026</t>
        </is>
      </c>
    </row>
    <row r="1027" hidden="1" ht="14.25" customHeight="1" s="75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5">
      <c r="A1028" s="90" t="inlineStr">
        <is>
          <t>Jurídico</t>
        </is>
      </c>
      <c r="B1028" s="90" t="inlineStr">
        <is>
          <t>Custo Fixo</t>
        </is>
      </c>
      <c r="C1028" s="90" t="inlineStr">
        <is>
          <t>Chip móvel corporativo</t>
        </is>
      </c>
      <c r="D1028" s="117" t="n">
        <v>2</v>
      </c>
      <c r="E1028" s="118" t="n">
        <v>30</v>
      </c>
      <c r="F1028" s="96">
        <f>IFERROR(D1028*E1028,0)</f>
        <v/>
      </c>
      <c r="G1028" s="90">
        <f>INDEX(SETORES!$B:$B,MATCH(A1028,SETORES!$A:$A,0))</f>
        <v/>
      </c>
      <c r="H1028" s="90" t="inlineStr">
        <is>
          <t>Junho/2026</t>
        </is>
      </c>
    </row>
    <row r="1029" hidden="1" ht="14.25" customHeight="1" s="75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5">
      <c r="A1030" s="90" t="inlineStr">
        <is>
          <t>Manutenção Predial</t>
        </is>
      </c>
      <c r="B1030" s="90" t="inlineStr">
        <is>
          <t>Custo Fixo</t>
        </is>
      </c>
      <c r="C1030" s="90" t="inlineStr">
        <is>
          <t>Chip móvel corporativo</t>
        </is>
      </c>
      <c r="D1030" s="117" t="n">
        <v>7</v>
      </c>
      <c r="E1030" s="118" t="n">
        <v>30</v>
      </c>
      <c r="F1030" s="96">
        <f>IFERROR(D1030*E1030,0)</f>
        <v/>
      </c>
      <c r="G1030" s="90">
        <f>INDEX(SETORES!$B:$B,MATCH(A1030,SETORES!$A:$A,0))</f>
        <v/>
      </c>
      <c r="H1030" s="90" t="inlineStr">
        <is>
          <t>Junho/2026</t>
        </is>
      </c>
    </row>
    <row r="1031" hidden="1" ht="14.25" customHeight="1" s="75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5">
      <c r="A1032" s="90" t="inlineStr">
        <is>
          <t>NOC</t>
        </is>
      </c>
      <c r="B1032" s="90" t="inlineStr">
        <is>
          <t>Custo Fixo</t>
        </is>
      </c>
      <c r="C1032" s="90" t="inlineStr">
        <is>
          <t>Chip móvel corporativo</t>
        </is>
      </c>
      <c r="D1032" s="117" t="n">
        <v>3</v>
      </c>
      <c r="E1032" s="118" t="n">
        <v>30</v>
      </c>
      <c r="F1032" s="96">
        <f>IFERROR(D1032*E1032,0)</f>
        <v/>
      </c>
      <c r="G1032" s="90">
        <f>INDEX(SETORES!$B:$B,MATCH(A1032,SETORES!$A:$A,0))</f>
        <v/>
      </c>
      <c r="H1032" s="90" t="inlineStr">
        <is>
          <t>Junho/2026</t>
        </is>
      </c>
    </row>
    <row r="1033" hidden="1" ht="14.25" customHeight="1" s="75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5">
      <c r="A1034" s="90" t="inlineStr">
        <is>
          <t>Qualidade</t>
        </is>
      </c>
      <c r="B1034" s="90" t="inlineStr">
        <is>
          <t>Custo Fixo</t>
        </is>
      </c>
      <c r="C1034" s="90" t="inlineStr">
        <is>
          <t>Chip móvel corporativo</t>
        </is>
      </c>
      <c r="D1034" s="117" t="n">
        <v>4</v>
      </c>
      <c r="E1034" s="118" t="n">
        <v>30</v>
      </c>
      <c r="F1034" s="96">
        <f>IFERROR(D1034*E1034,0)</f>
        <v/>
      </c>
      <c r="G1034" s="90">
        <f>INDEX(SETORES!$B:$B,MATCH(A1034,SETORES!$A:$A,0))</f>
        <v/>
      </c>
      <c r="H1034" s="90" t="inlineStr">
        <is>
          <t>Junho/2026</t>
        </is>
      </c>
    </row>
    <row r="1035" hidden="1" ht="14.25" customHeight="1" s="75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5">
      <c r="A1036" s="90" t="inlineStr">
        <is>
          <t>Segurança do Trabalho</t>
        </is>
      </c>
      <c r="B1036" s="90" t="inlineStr">
        <is>
          <t>Custo Fixo</t>
        </is>
      </c>
      <c r="C1036" s="90" t="inlineStr">
        <is>
          <t>Chip móvel corporativo</t>
        </is>
      </c>
      <c r="D1036" s="117" t="n">
        <v>5</v>
      </c>
      <c r="E1036" s="118" t="n">
        <v>30</v>
      </c>
      <c r="F1036" s="96">
        <f>IFERROR(D1036*E1036,0)</f>
        <v/>
      </c>
      <c r="G1036" s="90">
        <f>INDEX(SETORES!$B:$B,MATCH(A1036,SETORES!$A:$A,0))</f>
        <v/>
      </c>
      <c r="H1036" s="90" t="inlineStr">
        <is>
          <t>Junho/2026</t>
        </is>
      </c>
    </row>
    <row r="1037" hidden="1" ht="14.25" customHeight="1" s="75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5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5">
      <c r="A1039" s="90" t="inlineStr">
        <is>
          <t>Gestão de Atendimento</t>
        </is>
      </c>
      <c r="B1039" s="90" t="inlineStr">
        <is>
          <t>Custo Fixo</t>
        </is>
      </c>
      <c r="C1039" s="90" t="inlineStr">
        <is>
          <t>Material de uso coletivo (copa/limpeza)</t>
        </is>
      </c>
      <c r="D1039" s="117" t="n">
        <v>1</v>
      </c>
      <c r="E1039" s="118" t="n">
        <v>188.83</v>
      </c>
      <c r="F1039" s="96" t="n">
        <v>188.83</v>
      </c>
      <c r="G1039" s="90">
        <f>INDEX(SETORES!$B:$B,MATCH(A1039,SETORES!$A:$A,0))</f>
        <v/>
      </c>
      <c r="H1039" s="90" t="inlineStr">
        <is>
          <t>Julho/2026</t>
        </is>
      </c>
    </row>
    <row r="1040" hidden="1" ht="14.25" customHeight="1" s="75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5">
      <c r="A1041" s="90" t="inlineStr">
        <is>
          <t>Gestão de Atendimento</t>
        </is>
      </c>
      <c r="B1041" s="90" t="inlineStr">
        <is>
          <t>Custo Fixo</t>
        </is>
      </c>
      <c r="C1041" s="90" t="inlineStr">
        <is>
          <t>Água e esgoto (rateio)</t>
        </is>
      </c>
      <c r="D1041" s="117" t="n">
        <v>1</v>
      </c>
      <c r="E1041" s="118" t="n">
        <v>0.1455</v>
      </c>
      <c r="F1041" s="96" t="n">
        <v>0.1455</v>
      </c>
      <c r="G1041" s="90">
        <f>INDEX(SETORES!$B:$B,MATCH(A1041,SETORES!$A:$A,0))</f>
        <v/>
      </c>
      <c r="H1041" s="90" t="inlineStr">
        <is>
          <t>Julho/2026</t>
        </is>
      </c>
    </row>
    <row r="1042" hidden="1" ht="14.25" customHeight="1" s="75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5">
      <c r="A1043" s="90" t="inlineStr">
        <is>
          <t>Gestão de Atendimento</t>
        </is>
      </c>
      <c r="B1043" s="90" t="inlineStr">
        <is>
          <t>Custo Fixo</t>
        </is>
      </c>
      <c r="C1043" s="90" t="inlineStr">
        <is>
          <t>Folha de pagamento (salários)</t>
        </is>
      </c>
      <c r="D1043" s="117" t="n">
        <v>1</v>
      </c>
      <c r="E1043" s="118" t="n">
        <v>22488.24</v>
      </c>
      <c r="F1043" s="96">
        <f>IFERROR(E1043,0)</f>
        <v/>
      </c>
      <c r="G1043" s="90">
        <f>INDEX(SETORES!$B:$B,MATCH(A1043,SETORES!$A:$A,0))</f>
        <v/>
      </c>
      <c r="H1043" s="90" t="inlineStr">
        <is>
          <t>Julho/2026</t>
        </is>
      </c>
    </row>
    <row r="1044" hidden="1" ht="14.25" customHeight="1" s="75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5">
      <c r="A1045" s="90" t="inlineStr">
        <is>
          <t>Gestão de Atendimento</t>
        </is>
      </c>
      <c r="B1045" s="90" t="inlineStr">
        <is>
          <t>Custo Variável</t>
        </is>
      </c>
      <c r="C1045" s="90" t="inlineStr">
        <is>
          <t>Fardamento substituição</t>
        </is>
      </c>
      <c r="D1045" s="117" t="n"/>
      <c r="E1045" s="118" t="n"/>
      <c r="F1045" s="96">
        <f>IFERROR(D1045*E1045,0)</f>
        <v/>
      </c>
      <c r="G1045" s="90">
        <f>INDEX(SETORES!$B:$B,MATCH(A1045,SETORES!$A:$A,0))</f>
        <v/>
      </c>
      <c r="H1045" s="90" t="inlineStr">
        <is>
          <t>Julho/2026</t>
        </is>
      </c>
    </row>
    <row r="1046" hidden="1" ht="14.25" customHeight="1" s="75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5">
      <c r="A1047" s="90" t="inlineStr">
        <is>
          <t>Gestão de Atendimento</t>
        </is>
      </c>
      <c r="B1047" s="90" t="inlineStr">
        <is>
          <t>Custo Fixo</t>
        </is>
      </c>
      <c r="C1047" s="90" t="inlineStr">
        <is>
          <t>Licença de e-mail corporativo</t>
        </is>
      </c>
      <c r="D1047" s="117" t="n">
        <v>6</v>
      </c>
      <c r="E1047" s="118" t="n">
        <v>50</v>
      </c>
      <c r="F1047" s="96">
        <f>IFERROR(D1047*E1047,0)</f>
        <v/>
      </c>
      <c r="G1047" s="90">
        <f>INDEX(SETORES!$B:$B,MATCH(A1047,SETORES!$A:$A,0))</f>
        <v/>
      </c>
      <c r="H1047" s="90" t="inlineStr">
        <is>
          <t>Julho/2026</t>
        </is>
      </c>
    </row>
    <row r="1048" hidden="1" ht="14.25" customHeight="1" s="75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5">
      <c r="A1049" s="90" t="inlineStr">
        <is>
          <t>Gestão de Atendimento</t>
        </is>
      </c>
      <c r="B1049" s="90" t="inlineStr">
        <is>
          <t>Custo Fixo</t>
        </is>
      </c>
      <c r="C1049" s="90" t="inlineStr">
        <is>
          <t>Stargrid</t>
        </is>
      </c>
      <c r="D1049" s="117" t="n">
        <v>6</v>
      </c>
      <c r="E1049" s="118" t="n">
        <v>2.05</v>
      </c>
      <c r="F1049" s="96">
        <f>IFERROR(D1049*E1049,0)</f>
        <v/>
      </c>
      <c r="G1049" s="90">
        <f>INDEX(SETORES!$B:$B,MATCH(A1049,SETORES!$A:$A,0))</f>
        <v/>
      </c>
      <c r="H1049" s="90" t="inlineStr">
        <is>
          <t>Julho/2026</t>
        </is>
      </c>
    </row>
    <row r="1050" hidden="1" ht="14.25" customHeight="1" s="75">
      <c r="A1050" s="113" t="inlineStr">
        <is>
          <t>Administrativo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idden="1" ht="14.25" customHeight="1" s="75">
      <c r="A1051" s="90" t="inlineStr">
        <is>
          <t>Administrativo</t>
        </is>
      </c>
      <c r="B1051" s="90" t="inlineStr">
        <is>
          <t>Custo Fixo</t>
        </is>
      </c>
      <c r="C1051" s="90" t="inlineStr">
        <is>
          <t>Software RH1000 (RH)</t>
        </is>
      </c>
      <c r="D1051" s="117" t="n">
        <v>1</v>
      </c>
      <c r="E1051" s="118" t="n">
        <v>2612.9</v>
      </c>
      <c r="F1051" s="96">
        <f>IFERROR(D1051*E1051,0)</f>
        <v/>
      </c>
      <c r="G1051" s="90">
        <f>INDEX(SETORES!$B:$B,MATCH(A1051,SETORES!$A:$A,0))</f>
        <v/>
      </c>
      <c r="H1051" s="90" t="inlineStr">
        <is>
          <t>Julho/2026</t>
        </is>
      </c>
    </row>
    <row r="1052" hidden="1" ht="14.25" customHeight="1" s="75">
      <c r="A1052" s="113" t="inlineStr">
        <is>
          <t>Administrativo</t>
        </is>
      </c>
      <c r="B1052" s="113" t="inlineStr">
        <is>
          <t>Custo Fixo</t>
        </is>
      </c>
      <c r="C1052" s="113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idden="1" ht="14.25" customHeight="1" s="75">
      <c r="A1053" s="90" t="inlineStr">
        <is>
          <t>Administrativo</t>
        </is>
      </c>
      <c r="B1053" s="90" t="inlineStr">
        <is>
          <t>Custo Fixo</t>
        </is>
      </c>
      <c r="C1053" s="90" t="inlineStr">
        <is>
          <t>Plataforma do aplicativo Vexpenses</t>
        </is>
      </c>
      <c r="D1053" s="117" t="n">
        <v>1</v>
      </c>
      <c r="E1053" s="118" t="n">
        <v>1807.85</v>
      </c>
      <c r="F1053" s="96">
        <f>IFERROR(D1053*E1053,0)</f>
        <v/>
      </c>
      <c r="G1053" s="90">
        <f>INDEX(SETORES!$B:$B,MATCH(A1053,SETORES!$A:$A,0))</f>
        <v/>
      </c>
      <c r="H1053" s="90" t="inlineStr">
        <is>
          <t>Julho/2026</t>
        </is>
      </c>
    </row>
    <row r="1054" hidden="1" ht="14.25" customHeight="1" s="75">
      <c r="A1054" s="113" t="inlineStr">
        <is>
          <t>Administrativo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idden="1" ht="14.25" customHeight="1" s="75">
      <c r="A1055" s="90" t="inlineStr">
        <is>
          <t>Administrativo</t>
        </is>
      </c>
      <c r="B1055" s="90" t="inlineStr">
        <is>
          <t>Custo Fixo</t>
        </is>
      </c>
      <c r="C1055" s="90" t="inlineStr">
        <is>
          <t>Sistema de ponto eletrônico (KAIROS) (DP)</t>
        </is>
      </c>
      <c r="D1055" s="117" t="n">
        <v>1</v>
      </c>
      <c r="E1055" s="118" t="n">
        <v>4226.8</v>
      </c>
      <c r="F1055" s="96">
        <f>IFERROR(D1055*E1055,0)</f>
        <v/>
      </c>
      <c r="G1055" s="90">
        <f>INDEX(SETORES!$B:$B,MATCH(A1055,SETORES!$A:$A,0))</f>
        <v/>
      </c>
      <c r="H1055" s="90" t="inlineStr">
        <is>
          <t>Julho/2026</t>
        </is>
      </c>
    </row>
    <row r="1056" hidden="1" ht="14.25" customHeight="1" s="75">
      <c r="A1056" s="113" t="inlineStr">
        <is>
          <t>Administrativo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idden="1" ht="14.25" customHeight="1" s="75">
      <c r="A1057" s="90" t="inlineStr">
        <is>
          <t>Administrativo</t>
        </is>
      </c>
      <c r="B1057" s="90" t="inlineStr">
        <is>
          <t>Custo Fixo</t>
        </is>
      </c>
      <c r="C1057" s="90" t="inlineStr">
        <is>
          <t>Software exclusivo B2D (Arquivar) (DP)</t>
        </is>
      </c>
      <c r="D1057" s="117" t="n">
        <v>1</v>
      </c>
      <c r="E1057" s="118" t="n">
        <v>1099.93</v>
      </c>
      <c r="F1057" s="96">
        <f>IFERROR(D1057*E1057,0)</f>
        <v/>
      </c>
      <c r="G1057" s="90">
        <f>INDEX(SETORES!$B:$B,MATCH(A1057,SETORES!$A:$A,0))</f>
        <v/>
      </c>
      <c r="H1057" s="90" t="inlineStr">
        <is>
          <t>Julho/2026</t>
        </is>
      </c>
    </row>
    <row r="1058" hidden="1" ht="14.25" customHeight="1" s="75">
      <c r="A1058" s="113" t="inlineStr">
        <is>
          <t>Administrativo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idden="1" ht="14.25" customHeight="1" s="75">
      <c r="A1059" s="90" t="inlineStr">
        <is>
          <t>Administrativo</t>
        </is>
      </c>
      <c r="B1059" s="90" t="inlineStr">
        <is>
          <t>Custo Fixo</t>
        </is>
      </c>
      <c r="C1059" s="90" t="inlineStr">
        <is>
          <t>Licenças de software/sistemas corporativos (Contabilidade)</t>
        </is>
      </c>
      <c r="D1059" s="117" t="n">
        <v>1</v>
      </c>
      <c r="E1059" s="118" t="n">
        <v>2559.45</v>
      </c>
      <c r="F1059" s="96">
        <f>IFERROR(D1059*E1059,0)</f>
        <v/>
      </c>
      <c r="G1059" s="90">
        <f>INDEX(SETORES!$B:$B,MATCH(A1059,SETORES!$A:$A,0))</f>
        <v/>
      </c>
      <c r="H1059" s="90" t="inlineStr">
        <is>
          <t>Julho/2026</t>
        </is>
      </c>
    </row>
    <row r="1060" hidden="1" ht="14.25" customHeight="1" s="75">
      <c r="A1060" s="113" t="inlineStr">
        <is>
          <t>Administrativo</t>
        </is>
      </c>
      <c r="B1060" s="113" t="inlineStr">
        <is>
          <t>Custo Fixo</t>
        </is>
      </c>
      <c r="C1060" s="113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idden="1" ht="14.25" customHeight="1" s="75">
      <c r="A1061" s="90" t="inlineStr">
        <is>
          <t>Administrativo</t>
        </is>
      </c>
      <c r="B1061" s="90" t="inlineStr">
        <is>
          <t>Custo Fixo</t>
        </is>
      </c>
      <c r="C1061" s="90" t="inlineStr">
        <is>
          <t>Software de geolocalização (Engenharia)</t>
        </is>
      </c>
      <c r="D1061" s="117" t="n">
        <v>1</v>
      </c>
      <c r="E1061" s="118" t="n">
        <v>666.2</v>
      </c>
      <c r="F1061" s="96">
        <f>IFERROR(D1061*E1061,0)</f>
        <v/>
      </c>
      <c r="G1061" s="90">
        <f>INDEX(SETORES!$B:$B,MATCH(A1061,SETORES!$A:$A,0))</f>
        <v/>
      </c>
      <c r="H1061" s="90" t="inlineStr">
        <is>
          <t>Julho/2026</t>
        </is>
      </c>
    </row>
    <row r="1062" hidden="1" ht="14.25" customHeight="1" s="75">
      <c r="A1062" s="113" t="inlineStr">
        <is>
          <t>Administrativo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idden="1" ht="14.25" customHeight="1" s="75">
      <c r="A1063" s="90" t="inlineStr">
        <is>
          <t>Administrativo</t>
        </is>
      </c>
      <c r="B1063" s="90" t="inlineStr">
        <is>
          <t>Custo Fixo</t>
        </is>
      </c>
      <c r="C1063" s="90" t="inlineStr">
        <is>
          <t>Software de sistema eletronico de alarme</t>
        </is>
      </c>
      <c r="D1063" s="117" t="n">
        <v>1</v>
      </c>
      <c r="E1063" s="118" t="n">
        <v>436</v>
      </c>
      <c r="F1063" s="96">
        <f>IFERROR(D1063*E1063,0)</f>
        <v/>
      </c>
      <c r="G1063" s="90">
        <f>INDEX(SETORES!$B:$B,MATCH(A1063,SETORES!$A:$A,0))</f>
        <v/>
      </c>
      <c r="H1063" s="90" t="inlineStr">
        <is>
          <t>Julho/2026</t>
        </is>
      </c>
    </row>
    <row r="1064" hidden="1" ht="14.25" customHeight="1" s="75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5">
      <c r="A1065" s="90" t="inlineStr">
        <is>
          <t>CAC</t>
        </is>
      </c>
      <c r="B1065" s="90" t="inlineStr">
        <is>
          <t>Custo Fixo</t>
        </is>
      </c>
      <c r="C1065" s="90" t="inlineStr">
        <is>
          <t>Material de uso coletivo (copa/limpeza)</t>
        </is>
      </c>
      <c r="D1065" s="117" t="n">
        <v>1</v>
      </c>
      <c r="E1065" s="118" t="n">
        <v>92.0001</v>
      </c>
      <c r="F1065" s="96" t="n">
        <v>92.0001</v>
      </c>
      <c r="G1065" s="90">
        <f>INDEX(SETORES!$B:$B,MATCH(A1065,SETORES!$A:$A,0))</f>
        <v/>
      </c>
      <c r="H1065" s="90" t="inlineStr">
        <is>
          <t>Julho/2026</t>
        </is>
      </c>
    </row>
    <row r="1066" hidden="1" ht="14.25" customHeight="1" s="75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5">
      <c r="A1067" s="90" t="inlineStr">
        <is>
          <t>CAC</t>
        </is>
      </c>
      <c r="B1067" s="90" t="inlineStr">
        <is>
          <t>Custo Fixo</t>
        </is>
      </c>
      <c r="C1067" s="90" t="inlineStr">
        <is>
          <t>Água e esgoto (rateio)</t>
        </is>
      </c>
      <c r="D1067" s="117" t="n">
        <v>1</v>
      </c>
      <c r="E1067" s="118" t="n">
        <v>0.0727</v>
      </c>
      <c r="F1067" s="96" t="n">
        <v>0.0727</v>
      </c>
      <c r="G1067" s="90">
        <f>INDEX(SETORES!$B:$B,MATCH(A1067,SETORES!$A:$A,0))</f>
        <v/>
      </c>
      <c r="H1067" s="90" t="inlineStr">
        <is>
          <t>Julho/2026</t>
        </is>
      </c>
    </row>
    <row r="1068" hidden="1" ht="14.25" customHeight="1" s="75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5">
      <c r="A1069" s="90" t="inlineStr">
        <is>
          <t>CAC</t>
        </is>
      </c>
      <c r="B1069" s="90" t="inlineStr">
        <is>
          <t>Custo Fixo</t>
        </is>
      </c>
      <c r="C1069" s="90" t="inlineStr">
        <is>
          <t>Folha de pagamento (salários)</t>
        </is>
      </c>
      <c r="D1069" s="117" t="n">
        <v>1</v>
      </c>
      <c r="E1069" s="118" t="n">
        <v>8929.700000000001</v>
      </c>
      <c r="F1069" s="96">
        <f>IFERROR(E1069,0)</f>
        <v/>
      </c>
      <c r="G1069" s="90">
        <f>INDEX(SETORES!$B:$B,MATCH(A1069,SETORES!$A:$A,0))</f>
        <v/>
      </c>
      <c r="H1069" s="90" t="inlineStr">
        <is>
          <t>Julho/2026</t>
        </is>
      </c>
    </row>
    <row r="1070" hidden="1" ht="14.25" customHeight="1" s="75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5">
      <c r="A1071" s="90" t="inlineStr">
        <is>
          <t>CAC</t>
        </is>
      </c>
      <c r="B1071" s="90" t="inlineStr">
        <is>
          <t>Custo Variável</t>
        </is>
      </c>
      <c r="C1071" s="90" t="inlineStr">
        <is>
          <t>Fardamento substituição</t>
        </is>
      </c>
      <c r="D1071" s="117" t="n"/>
      <c r="E1071" s="118" t="n"/>
      <c r="F1071" s="96">
        <f>IFERROR(D1071*E1071,0)</f>
        <v/>
      </c>
      <c r="G1071" s="90">
        <f>INDEX(SETORES!$B:$B,MATCH(A1071,SETORES!$A:$A,0))</f>
        <v/>
      </c>
      <c r="H1071" s="90" t="inlineStr">
        <is>
          <t>Julho/2026</t>
        </is>
      </c>
    </row>
    <row r="1072" hidden="1" ht="14.25" customHeight="1" s="75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5">
      <c r="A1073" s="90" t="inlineStr">
        <is>
          <t>CAC</t>
        </is>
      </c>
      <c r="B1073" s="90" t="inlineStr">
        <is>
          <t>Custo Fixo</t>
        </is>
      </c>
      <c r="C1073" s="90" t="inlineStr">
        <is>
          <t>Licença de e-mail corporativo</t>
        </is>
      </c>
      <c r="D1073" s="117" t="n">
        <v>2</v>
      </c>
      <c r="E1073" s="118" t="n">
        <v>50</v>
      </c>
      <c r="F1073" s="96">
        <f>IFERROR(D1073*E1073,0)</f>
        <v/>
      </c>
      <c r="G1073" s="90">
        <f>INDEX(SETORES!$B:$B,MATCH(A1073,SETORES!$A:$A,0))</f>
        <v/>
      </c>
      <c r="H1073" s="90" t="inlineStr">
        <is>
          <t>Julho/2026</t>
        </is>
      </c>
    </row>
    <row r="1074" hidden="1" ht="14.25" customHeight="1" s="75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5">
      <c r="A1075" s="90" t="inlineStr">
        <is>
          <t>CAC</t>
        </is>
      </c>
      <c r="B1075" s="90" t="inlineStr">
        <is>
          <t>Custo Fixo</t>
        </is>
      </c>
      <c r="C1075" s="90" t="inlineStr">
        <is>
          <t>Stargrid</t>
        </is>
      </c>
      <c r="D1075" s="117" t="n">
        <v>3</v>
      </c>
      <c r="E1075" s="118" t="n">
        <v>2.05</v>
      </c>
      <c r="F1075" s="96">
        <f>IFERROR(D1075*E1075,0)</f>
        <v/>
      </c>
      <c r="G1075" s="90">
        <f>INDEX(SETORES!$B:$B,MATCH(A1075,SETORES!$A:$A,0))</f>
        <v/>
      </c>
      <c r="H1075" s="90" t="inlineStr">
        <is>
          <t>Julho/2026</t>
        </is>
      </c>
    </row>
    <row r="1076" hidden="1" ht="14.25" customHeight="1" s="75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5">
      <c r="A1077" s="90" t="inlineStr">
        <is>
          <t>Cobrança</t>
        </is>
      </c>
      <c r="B1077" s="90" t="inlineStr">
        <is>
          <t>Custo Fixo</t>
        </is>
      </c>
      <c r="C1077" s="90" t="inlineStr">
        <is>
          <t>Material de uso coletivo (copa/limpeza)</t>
        </is>
      </c>
      <c r="D1077" s="117" t="n">
        <v>1</v>
      </c>
      <c r="E1077" s="118" t="n">
        <v>389.232787</v>
      </c>
      <c r="F1077" s="96" t="n">
        <v>389.232787</v>
      </c>
      <c r="G1077" s="90">
        <f>INDEX(SETORES!$B:$B,MATCH(A1077,SETORES!$A:$A,0))</f>
        <v/>
      </c>
      <c r="H1077" s="90" t="inlineStr">
        <is>
          <t>Julho/2026</t>
        </is>
      </c>
    </row>
    <row r="1078" hidden="1" ht="14.25" customHeight="1" s="75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5">
      <c r="A1079" s="90" t="inlineStr">
        <is>
          <t>Cobrança</t>
        </is>
      </c>
      <c r="B1079" s="90" t="inlineStr">
        <is>
          <t>Custo Fixo</t>
        </is>
      </c>
      <c r="C1079" s="90" t="inlineStr">
        <is>
          <t>Água e esgoto (rateio)</t>
        </is>
      </c>
      <c r="D1079" s="117" t="n">
        <v>1</v>
      </c>
      <c r="E1079" s="118" t="n">
        <v>0.3152</v>
      </c>
      <c r="F1079" s="96" t="n">
        <v>0.3152</v>
      </c>
      <c r="G1079" s="90">
        <f>INDEX(SETORES!$B:$B,MATCH(A1079,SETORES!$A:$A,0))</f>
        <v/>
      </c>
      <c r="H1079" s="90" t="inlineStr">
        <is>
          <t>Julho/2026</t>
        </is>
      </c>
    </row>
    <row r="1080" hidden="1" ht="14.25" customHeight="1" s="75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5">
      <c r="A1081" s="90" t="inlineStr">
        <is>
          <t>Cobrança</t>
        </is>
      </c>
      <c r="B1081" s="90" t="inlineStr">
        <is>
          <t>Custo Fixo</t>
        </is>
      </c>
      <c r="C1081" s="90" t="inlineStr">
        <is>
          <t>Folha de pagamento (salários)</t>
        </is>
      </c>
      <c r="D1081" s="117" t="n">
        <v>1</v>
      </c>
      <c r="E1081" s="118" t="n">
        <v>38898.86</v>
      </c>
      <c r="F1081" s="96">
        <f>IFERROR(E1081,0)</f>
        <v/>
      </c>
      <c r="G1081" s="90">
        <f>INDEX(SETORES!$B:$B,MATCH(A1081,SETORES!$A:$A,0))</f>
        <v/>
      </c>
      <c r="H1081" s="90" t="inlineStr">
        <is>
          <t>Julho/2026</t>
        </is>
      </c>
    </row>
    <row r="1082" hidden="1" ht="14.25" customHeight="1" s="75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5">
      <c r="A1083" s="90" t="inlineStr">
        <is>
          <t>Cobrança</t>
        </is>
      </c>
      <c r="B1083" s="90" t="inlineStr">
        <is>
          <t>Custo Variável</t>
        </is>
      </c>
      <c r="C1083" s="90" t="inlineStr">
        <is>
          <t>Fardamento substituição</t>
        </is>
      </c>
      <c r="D1083" s="117" t="n"/>
      <c r="E1083" s="118" t="n"/>
      <c r="F1083" s="96">
        <f>IFERROR(D1083*E1083,0)</f>
        <v/>
      </c>
      <c r="G1083" s="90">
        <f>INDEX(SETORES!$B:$B,MATCH(A1083,SETORES!$A:$A,0))</f>
        <v/>
      </c>
      <c r="H1083" s="90" t="inlineStr">
        <is>
          <t>Julho/2026</t>
        </is>
      </c>
    </row>
    <row r="1084" hidden="1" ht="14.25" customHeight="1" s="75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5">
      <c r="A1085" s="90" t="inlineStr">
        <is>
          <t>Cobrança</t>
        </is>
      </c>
      <c r="B1085" s="90" t="inlineStr">
        <is>
          <t>Custo Fixo</t>
        </is>
      </c>
      <c r="C1085" s="90" t="inlineStr">
        <is>
          <t>Licença de e-mail corporativo</t>
        </is>
      </c>
      <c r="D1085" s="117" t="n">
        <v>1</v>
      </c>
      <c r="E1085" s="118" t="n">
        <v>50</v>
      </c>
      <c r="F1085" s="96">
        <f>IFERROR(D1085*E1085,0)</f>
        <v/>
      </c>
      <c r="G1085" s="90">
        <f>INDEX(SETORES!$B:$B,MATCH(A1085,SETORES!$A:$A,0))</f>
        <v/>
      </c>
      <c r="H1085" s="90" t="inlineStr">
        <is>
          <t>Julho/2026</t>
        </is>
      </c>
    </row>
    <row r="1086" hidden="1" ht="14.25" customHeight="1" s="75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5">
      <c r="A1087" s="90" t="inlineStr">
        <is>
          <t>Cobrança</t>
        </is>
      </c>
      <c r="B1087" s="90" t="inlineStr">
        <is>
          <t>Custo Fixo</t>
        </is>
      </c>
      <c r="C1087" s="90" t="inlineStr">
        <is>
          <t>Impressora (rateio equipe Relacionamento)</t>
        </is>
      </c>
      <c r="D1087" s="117" t="n">
        <v>1</v>
      </c>
      <c r="E1087" s="118" t="n">
        <v>2.727868</v>
      </c>
      <c r="F1087" s="96">
        <f>IFERROR(D1087*E1087,0)</f>
        <v/>
      </c>
      <c r="G1087" s="90">
        <f>INDEX(SETORES!$B:$B,MATCH(A1087,SETORES!$A:$A,0))</f>
        <v/>
      </c>
      <c r="H1087" s="90" t="inlineStr">
        <is>
          <t>Julho/2026</t>
        </is>
      </c>
    </row>
    <row r="1088" hidden="1" ht="14.25" customHeight="1" s="75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5">
      <c r="A1089" s="90" t="inlineStr">
        <is>
          <t>Cobrança</t>
        </is>
      </c>
      <c r="B1089" s="90" t="inlineStr">
        <is>
          <t>Custo Fixo</t>
        </is>
      </c>
      <c r="C1089" s="90" t="inlineStr">
        <is>
          <t>Stargrid</t>
        </is>
      </c>
      <c r="D1089" s="117" t="n">
        <v>13</v>
      </c>
      <c r="E1089" s="118" t="n">
        <v>2.05</v>
      </c>
      <c r="F1089" s="96">
        <f>IFERROR(D1089*E1089,0)</f>
        <v/>
      </c>
      <c r="G1089" s="90">
        <f>INDEX(SETORES!$B:$B,MATCH(A1089,SETORES!$A:$A,0))</f>
        <v/>
      </c>
      <c r="H1089" s="90" t="inlineStr">
        <is>
          <t>Julho/2026</t>
        </is>
      </c>
    </row>
    <row r="1090" hidden="1" ht="14.25" customHeight="1" s="75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5">
      <c r="A1091" s="90" t="inlineStr">
        <is>
          <t>Comercial Corporativo</t>
        </is>
      </c>
      <c r="B1091" s="90" t="inlineStr">
        <is>
          <t>Custo Variável</t>
        </is>
      </c>
      <c r="C1091" s="90" t="inlineStr">
        <is>
          <t>Marketing direto</t>
        </is>
      </c>
      <c r="D1091" s="117" t="n"/>
      <c r="E1091" s="118" t="n"/>
      <c r="F1091" s="96">
        <f>IFERROR(D1091*E1091,0)</f>
        <v/>
      </c>
      <c r="G1091" s="90">
        <f>INDEX(SETORES!$B:$B,MATCH(A1091,SETORES!$A:$A,0))</f>
        <v/>
      </c>
      <c r="H1091" s="90" t="inlineStr">
        <is>
          <t>Julho/2026</t>
        </is>
      </c>
    </row>
    <row r="1092" hidden="1" ht="14.25" customHeight="1" s="75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5">
      <c r="A1093" s="90" t="inlineStr">
        <is>
          <t>Comercial Corporativo</t>
        </is>
      </c>
      <c r="B1093" s="90" t="inlineStr">
        <is>
          <t>Custo Fixo</t>
        </is>
      </c>
      <c r="C1093" s="90" t="inlineStr">
        <is>
          <t>Folha de pagamento (salários)</t>
        </is>
      </c>
      <c r="D1093" s="117" t="n">
        <v>1</v>
      </c>
      <c r="E1093" s="118" t="n">
        <v>113007.3</v>
      </c>
      <c r="F1093" s="96">
        <f>IFERROR(E1093,0)</f>
        <v/>
      </c>
      <c r="G1093" s="90">
        <f>INDEX(SETORES!$B:$B,MATCH(A1093,SETORES!$A:$A,0))</f>
        <v/>
      </c>
      <c r="H1093" s="90" t="inlineStr">
        <is>
          <t>Julho/2026</t>
        </is>
      </c>
    </row>
    <row r="1094" hidden="1" ht="14.25" customHeight="1" s="75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5">
      <c r="A1095" s="90" t="inlineStr">
        <is>
          <t>Comercial Corporativo</t>
        </is>
      </c>
      <c r="B1095" s="90" t="inlineStr">
        <is>
          <t>Custo Fixo</t>
        </is>
      </c>
      <c r="C1095" s="90" t="inlineStr">
        <is>
          <t>Despesas com RH</t>
        </is>
      </c>
      <c r="D1095" s="117" t="n">
        <v>11</v>
      </c>
      <c r="E1095" s="118" t="n">
        <v>29.74</v>
      </c>
      <c r="F1095" s="96">
        <f>IFERROR(D1095*E1095,0)</f>
        <v/>
      </c>
      <c r="G1095" s="90">
        <f>INDEX(SETORES!$B:$B,MATCH(A1095,SETORES!$A:$A,0))</f>
        <v/>
      </c>
      <c r="H1095" s="90" t="inlineStr">
        <is>
          <t>Julho/2026</t>
        </is>
      </c>
    </row>
    <row r="1096" hidden="1" ht="14.25" customHeight="1" s="75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5">
      <c r="A1097" s="90" t="inlineStr">
        <is>
          <t>Comercial Corporativo</t>
        </is>
      </c>
      <c r="B1097" s="90" t="inlineStr">
        <is>
          <t>Custo Fixo</t>
        </is>
      </c>
      <c r="C1097" s="90" t="inlineStr">
        <is>
          <t>Despesas com SST</t>
        </is>
      </c>
      <c r="D1097" s="117" t="n">
        <v>11</v>
      </c>
      <c r="E1097" s="118" t="n">
        <v>47.66</v>
      </c>
      <c r="F1097" s="96">
        <f>IFERROR(D1097*E1097,0)</f>
        <v/>
      </c>
      <c r="G1097" s="90">
        <f>INDEX(SETORES!$B:$B,MATCH(A1097,SETORES!$A:$A,0))</f>
        <v/>
      </c>
      <c r="H1097" s="90" t="inlineStr">
        <is>
          <t>Julho/2026</t>
        </is>
      </c>
    </row>
    <row r="1098" hidden="1" ht="14.25" customHeight="1" s="75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5">
      <c r="A1099" s="90" t="inlineStr">
        <is>
          <t>Comercial Corporativo</t>
        </is>
      </c>
      <c r="B1099" s="90" t="inlineStr">
        <is>
          <t>Custo Variável</t>
        </is>
      </c>
      <c r="C1099" s="90" t="inlineStr">
        <is>
          <t>Novo Fardamento</t>
        </is>
      </c>
      <c r="D1099" s="117" t="n">
        <v>2</v>
      </c>
      <c r="E1099" s="118" t="n">
        <v>45</v>
      </c>
      <c r="F1099" s="96">
        <f>IFERROR(D1099*E1099,0)</f>
        <v/>
      </c>
      <c r="G1099" s="90">
        <f>INDEX(SETORES!$B:$B,MATCH(A1099,SETORES!$A:$A,0))</f>
        <v/>
      </c>
      <c r="H1099" s="90" t="inlineStr">
        <is>
          <t>Julho/2026</t>
        </is>
      </c>
    </row>
    <row r="1100" hidden="1" ht="14.25" customHeight="1" s="75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5">
      <c r="A1101" s="90" t="inlineStr">
        <is>
          <t>Comercial Corporativo</t>
        </is>
      </c>
      <c r="B1101" s="90" t="inlineStr">
        <is>
          <t>Custo Variável</t>
        </is>
      </c>
      <c r="C1101" s="90" t="inlineStr">
        <is>
          <t>Substituição extra de Fardamento</t>
        </is>
      </c>
      <c r="D1101" s="117" t="n"/>
      <c r="E1101" s="118" t="n"/>
      <c r="F1101" s="96">
        <f>IFERROR(D1101*E1101,0)</f>
        <v/>
      </c>
      <c r="G1101" s="90">
        <f>INDEX(SETORES!$B:$B,MATCH(A1101,SETORES!$A:$A,0))</f>
        <v/>
      </c>
      <c r="H1101" s="90" t="inlineStr">
        <is>
          <t>Julho/2026</t>
        </is>
      </c>
    </row>
    <row r="1102" hidden="1" ht="14.25" customHeight="1" s="75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5">
      <c r="A1103" s="90" t="inlineStr">
        <is>
          <t>Comercial Corporativo</t>
        </is>
      </c>
      <c r="B1103" s="90" t="inlineStr">
        <is>
          <t>Custo Fixo</t>
        </is>
      </c>
      <c r="C1103" s="90" t="inlineStr">
        <is>
          <t>Gympass</t>
        </is>
      </c>
      <c r="D1103" s="117" t="n">
        <v>11</v>
      </c>
      <c r="E1103" s="118" t="n">
        <v>9.92</v>
      </c>
      <c r="F1103" s="96">
        <f>IFERROR(D1103*E1103,0)</f>
        <v/>
      </c>
      <c r="G1103" s="90">
        <f>INDEX(SETORES!$B:$B,MATCH(A1103,SETORES!$A:$A,0))</f>
        <v/>
      </c>
      <c r="H1103" s="90" t="inlineStr">
        <is>
          <t>Julho/2026</t>
        </is>
      </c>
    </row>
    <row r="1104" hidden="1" ht="14.25" customHeight="1" s="75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5">
      <c r="A1105" s="90" t="inlineStr">
        <is>
          <t>Comercial Corporativo</t>
        </is>
      </c>
      <c r="B1105" s="90" t="inlineStr">
        <is>
          <t>Custo Variável</t>
        </is>
      </c>
      <c r="C1105" s="90" t="inlineStr">
        <is>
          <t>Rescisões/Despesas Trabalhistas extra folha</t>
        </is>
      </c>
      <c r="D1105" s="117" t="n"/>
      <c r="E1105" s="118" t="n"/>
      <c r="F1105" s="96">
        <f>IFERROR(D1105*E1105,0)</f>
        <v/>
      </c>
      <c r="G1105" s="90">
        <f>INDEX(SETORES!$B:$B,MATCH(A1105,SETORES!$A:$A,0))</f>
        <v/>
      </c>
      <c r="H1105" s="90" t="inlineStr">
        <is>
          <t>Julho/2026</t>
        </is>
      </c>
    </row>
    <row r="1106" hidden="1" ht="14.25" customHeight="1" s="75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5">
      <c r="A1107" s="90" t="inlineStr">
        <is>
          <t>Comercial Corporativo</t>
        </is>
      </c>
      <c r="B1107" s="90" t="inlineStr">
        <is>
          <t>Custo Fixo</t>
        </is>
      </c>
      <c r="C1107" s="90" t="inlineStr">
        <is>
          <t>Agendor (válido por 3 meses)</t>
        </is>
      </c>
      <c r="D1107" s="117" t="n">
        <v>1</v>
      </c>
      <c r="E1107" s="118" t="n">
        <v>545.99</v>
      </c>
      <c r="F1107" s="96">
        <f>IFERROR(D1107*E1107,0)</f>
        <v/>
      </c>
      <c r="G1107" s="90">
        <f>INDEX(SETORES!$B:$B,MATCH(A1107,SETORES!$A:$A,0))</f>
        <v/>
      </c>
      <c r="H1107" s="90" t="inlineStr">
        <is>
          <t>Julho/2026</t>
        </is>
      </c>
    </row>
    <row r="1108" hidden="1" ht="14.25" customHeight="1" s="75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5">
      <c r="A1109" s="90" t="inlineStr">
        <is>
          <t>Comercial Corporativo</t>
        </is>
      </c>
      <c r="B1109" s="90" t="inlineStr">
        <is>
          <t>Custo Fixo</t>
        </is>
      </c>
      <c r="C1109" s="90" t="inlineStr">
        <is>
          <t>Salesforce</t>
        </is>
      </c>
      <c r="D1109" s="117" t="n">
        <v>1</v>
      </c>
      <c r="E1109" s="118" t="n">
        <v>3042.34</v>
      </c>
      <c r="F1109" s="96">
        <f>IFERROR(D1109*E1109,0)</f>
        <v/>
      </c>
      <c r="G1109" s="90">
        <f>INDEX(SETORES!$B:$B,MATCH(A1109,SETORES!$A:$A,0))</f>
        <v/>
      </c>
      <c r="H1109" s="90" t="inlineStr">
        <is>
          <t>Julho/2026</t>
        </is>
      </c>
    </row>
    <row r="1110" hidden="1" ht="14.25" customHeight="1" s="75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5">
      <c r="A1111" s="90" t="inlineStr">
        <is>
          <t>Compras</t>
        </is>
      </c>
      <c r="B1111" s="90" t="inlineStr">
        <is>
          <t>Custo Fixo</t>
        </is>
      </c>
      <c r="C1111" s="90" t="inlineStr">
        <is>
          <t>Material de uso coletivo (copa/limpeza)</t>
        </is>
      </c>
      <c r="D1111" s="117" t="n"/>
      <c r="E1111" s="118" t="n"/>
      <c r="F1111" s="96" t="n">
        <v>0</v>
      </c>
      <c r="G1111" s="90">
        <f>INDEX(SETORES!$B:$B,MATCH(A1111,SETORES!$A:$A,0))</f>
        <v/>
      </c>
      <c r="H1111" s="90" t="inlineStr">
        <is>
          <t>Julho/2026</t>
        </is>
      </c>
    </row>
    <row r="1112" hidden="1" ht="14.25" customHeight="1" s="75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5">
      <c r="A1113" s="90" t="inlineStr">
        <is>
          <t>Compras</t>
        </is>
      </c>
      <c r="B1113" s="90" t="inlineStr">
        <is>
          <t>Custo Fixo</t>
        </is>
      </c>
      <c r="C1113" s="90" t="inlineStr">
        <is>
          <t>Água e esgoto (rateio)</t>
        </is>
      </c>
      <c r="D1113" s="117" t="n">
        <v>5</v>
      </c>
      <c r="E1113" s="118" t="n">
        <v>3.3247</v>
      </c>
      <c r="F1113" s="96" t="n">
        <v>16.6235</v>
      </c>
      <c r="G1113" s="90">
        <f>INDEX(SETORES!$B:$B,MATCH(A1113,SETORES!$A:$A,0))</f>
        <v/>
      </c>
      <c r="H1113" s="90" t="inlineStr">
        <is>
          <t>Julho/2026</t>
        </is>
      </c>
    </row>
    <row r="1114" hidden="1" ht="14.25" customHeight="1" s="75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5">
      <c r="A1115" s="90" t="inlineStr">
        <is>
          <t>Compras</t>
        </is>
      </c>
      <c r="B1115" s="90" t="inlineStr">
        <is>
          <t>Custo Fixo</t>
        </is>
      </c>
      <c r="C1115" s="90" t="inlineStr">
        <is>
          <t>Folha de pagamento (salários)</t>
        </is>
      </c>
      <c r="D1115" s="117" t="n">
        <v>1</v>
      </c>
      <c r="E1115" s="118" t="n">
        <v>25624.63</v>
      </c>
      <c r="F1115" s="96">
        <f>IFERROR(E1115,0)</f>
        <v/>
      </c>
      <c r="G1115" s="90">
        <f>INDEX(SETORES!$B:$B,MATCH(A1115,SETORES!$A:$A,0))</f>
        <v/>
      </c>
      <c r="H1115" s="90" t="inlineStr">
        <is>
          <t>Julho/2026</t>
        </is>
      </c>
    </row>
    <row r="1116" hidden="1" ht="14.25" customHeight="1" s="75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5">
      <c r="A1117" s="90" t="inlineStr">
        <is>
          <t>Compras</t>
        </is>
      </c>
      <c r="B1117" s="90" t="inlineStr">
        <is>
          <t>Custo Fixo</t>
        </is>
      </c>
      <c r="C1117" s="90" t="inlineStr">
        <is>
          <t>Licença de e-mail corporativo</t>
        </is>
      </c>
      <c r="D1117" s="117" t="n">
        <v>3</v>
      </c>
      <c r="E1117" s="118" t="n">
        <v>50</v>
      </c>
      <c r="F1117" s="96">
        <f>IFERROR(D1117*E1117,0)</f>
        <v/>
      </c>
      <c r="G1117" s="90">
        <f>INDEX(SETORES!$B:$B,MATCH(A1117,SETORES!$A:$A,0))</f>
        <v/>
      </c>
      <c r="H1117" s="90" t="inlineStr">
        <is>
          <t>Julho/2026</t>
        </is>
      </c>
    </row>
    <row r="1118" hidden="1" ht="14.25" customHeight="1" s="75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5">
      <c r="A1119" s="90" t="inlineStr">
        <is>
          <t>Compras</t>
        </is>
      </c>
      <c r="B1119" s="90" t="inlineStr">
        <is>
          <t>Custo Fixo</t>
        </is>
      </c>
      <c r="C1119" s="90" t="inlineStr">
        <is>
          <t>Gympass</t>
        </is>
      </c>
      <c r="D1119" s="117" t="n">
        <v>5</v>
      </c>
      <c r="E1119" s="118" t="n">
        <v>9.92</v>
      </c>
      <c r="F1119" s="96">
        <f>IFERROR(D1119*E1119,0)</f>
        <v/>
      </c>
      <c r="G1119" s="90">
        <f>INDEX(SETORES!$B:$B,MATCH(A1119,SETORES!$A:$A,0))</f>
        <v/>
      </c>
      <c r="H1119" s="90" t="inlineStr">
        <is>
          <t>Julho/2026</t>
        </is>
      </c>
    </row>
    <row r="1120" hidden="1" ht="14.25" customHeight="1" s="75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5">
      <c r="A1121" s="90" t="inlineStr">
        <is>
          <t>Contabilidade</t>
        </is>
      </c>
      <c r="B1121" s="90" t="inlineStr">
        <is>
          <t>Custo Fixo</t>
        </is>
      </c>
      <c r="C1121" s="90" t="inlineStr">
        <is>
          <t>Material de escritório (suprimentos de informática)</t>
        </is>
      </c>
      <c r="D1121" s="117" t="n"/>
      <c r="E1121" s="118" t="n"/>
      <c r="F1121" s="96" t="n">
        <v>0</v>
      </c>
      <c r="G1121" s="90">
        <f>INDEX(SETORES!$B:$B,MATCH(A1121,SETORES!$A:$A,0))</f>
        <v/>
      </c>
      <c r="H1121" s="90" t="inlineStr">
        <is>
          <t>Julho/2026</t>
        </is>
      </c>
    </row>
    <row r="1122" hidden="1" ht="14.25" customHeight="1" s="75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5">
      <c r="A1123" s="90" t="inlineStr">
        <is>
          <t>Contabilidade</t>
        </is>
      </c>
      <c r="B1123" s="90" t="inlineStr">
        <is>
          <t>Custo Fixo</t>
        </is>
      </c>
      <c r="C1123" s="90" t="inlineStr">
        <is>
          <t>Energia elétrica (rateio)</t>
        </is>
      </c>
      <c r="D1123" s="117" t="n">
        <v>1</v>
      </c>
      <c r="E1123" s="118" t="n">
        <v>41.365</v>
      </c>
      <c r="F1123" s="96" t="n">
        <v>41.365</v>
      </c>
      <c r="G1123" s="90">
        <f>INDEX(SETORES!$B:$B,MATCH(A1123,SETORES!$A:$A,0))</f>
        <v/>
      </c>
      <c r="H1123" s="90" t="inlineStr">
        <is>
          <t>Julho/2026</t>
        </is>
      </c>
    </row>
    <row r="1124" hidden="1" ht="14.25" customHeight="1" s="75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5">
      <c r="A1125" s="90" t="inlineStr">
        <is>
          <t>Contabilidade</t>
        </is>
      </c>
      <c r="B1125" s="90" t="inlineStr">
        <is>
          <t>Custo Fixo</t>
        </is>
      </c>
      <c r="C1125" s="90" t="inlineStr">
        <is>
          <t>Telefonia móvel corporativa</t>
        </is>
      </c>
      <c r="D1125" s="117" t="n"/>
      <c r="E1125" s="118" t="n"/>
      <c r="F1125" s="96">
        <f>IFERROR(D1125*E1125,0)</f>
        <v/>
      </c>
      <c r="G1125" s="90">
        <f>INDEX(SETORES!$B:$B,MATCH(A1125,SETORES!$A:$A,0))</f>
        <v/>
      </c>
      <c r="H1125" s="90" t="inlineStr">
        <is>
          <t>Julho/2026</t>
        </is>
      </c>
    </row>
    <row r="1126" hidden="1" ht="14.25" customHeight="1" s="75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5">
      <c r="A1127" s="90" t="inlineStr">
        <is>
          <t>Contabilidade</t>
        </is>
      </c>
      <c r="B1127" s="90" t="inlineStr">
        <is>
          <t>Custo Variável</t>
        </is>
      </c>
      <c r="C1127" s="90" t="inlineStr">
        <is>
          <t>Auditoria contábil externa (fiber finance)</t>
        </is>
      </c>
      <c r="D1127" s="117" t="n">
        <v>1</v>
      </c>
      <c r="E1127" s="118" t="n">
        <v>6000</v>
      </c>
      <c r="F1127" s="96">
        <f>IFERROR(D1127*E1127,0)</f>
        <v/>
      </c>
      <c r="G1127" s="90">
        <f>INDEX(SETORES!$B:$B,MATCH(A1127,SETORES!$A:$A,0))</f>
        <v/>
      </c>
      <c r="H1127" s="90" t="inlineStr">
        <is>
          <t>Julho/2026</t>
        </is>
      </c>
    </row>
    <row r="1128" hidden="1" ht="14.25" customHeight="1" s="75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5">
      <c r="A1129" s="90" t="inlineStr">
        <is>
          <t>Contabilidade</t>
        </is>
      </c>
      <c r="B1129" s="90" t="inlineStr">
        <is>
          <t>Custo Variável</t>
        </is>
      </c>
      <c r="C1129" s="90" t="inlineStr">
        <is>
          <t>Fardamento substituição</t>
        </is>
      </c>
      <c r="D1129" s="117" t="n"/>
      <c r="E1129" s="118" t="n"/>
      <c r="F1129" s="96">
        <f>IFERROR(D1129*E1129,0)</f>
        <v/>
      </c>
      <c r="G1129" s="90">
        <f>INDEX(SETORES!$B:$B,MATCH(A1129,SETORES!$A:$A,0))</f>
        <v/>
      </c>
      <c r="H1129" s="90" t="inlineStr">
        <is>
          <t>Julho/2026</t>
        </is>
      </c>
    </row>
    <row r="1130" hidden="1" ht="14.25" customHeight="1" s="75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5">
      <c r="A1131" s="90" t="inlineStr">
        <is>
          <t>Contabilidade</t>
        </is>
      </c>
      <c r="B1131" s="90" t="inlineStr">
        <is>
          <t>Custo Fixo</t>
        </is>
      </c>
      <c r="C1131" s="90" t="inlineStr">
        <is>
          <t>Licença de e-mail corporativo</t>
        </is>
      </c>
      <c r="D1131" s="117" t="n">
        <v>7</v>
      </c>
      <c r="E1131" s="118" t="n">
        <v>50</v>
      </c>
      <c r="F1131" s="96">
        <f>IFERROR(D1131*E1131,0)</f>
        <v/>
      </c>
      <c r="G1131" s="90">
        <f>INDEX(SETORES!$B:$B,MATCH(A1131,SETORES!$A:$A,0))</f>
        <v/>
      </c>
      <c r="H1131" s="90" t="inlineStr">
        <is>
          <t>Julho/2026</t>
        </is>
      </c>
    </row>
    <row r="1132" hidden="1" ht="14.25" customHeight="1" s="75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5">
      <c r="A1133" s="90" t="inlineStr">
        <is>
          <t>Contabilidade</t>
        </is>
      </c>
      <c r="B1133" s="90" t="inlineStr">
        <is>
          <t>Custo Fixo</t>
        </is>
      </c>
      <c r="C1133" s="90" t="inlineStr">
        <is>
          <t>Stargrid</t>
        </is>
      </c>
      <c r="D1133" s="117" t="n">
        <v>5</v>
      </c>
      <c r="E1133" s="118" t="n">
        <v>2.05</v>
      </c>
      <c r="F1133" s="96">
        <f>IFERROR(D1133*E1133,0)</f>
        <v/>
      </c>
      <c r="G1133" s="90">
        <f>INDEX(SETORES!$B:$B,MATCH(A1133,SETORES!$A:$A,0))</f>
        <v/>
      </c>
      <c r="H1133" s="90" t="inlineStr">
        <is>
          <t>Julho/2026</t>
        </is>
      </c>
    </row>
    <row r="1134" hidden="1" ht="14.25" customHeight="1" s="75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5">
      <c r="A1135" s="90" t="inlineStr">
        <is>
          <t>Controladoria</t>
        </is>
      </c>
      <c r="B1135" s="90" t="inlineStr">
        <is>
          <t>Custo Fixo</t>
        </is>
      </c>
      <c r="C1135" s="90" t="inlineStr">
        <is>
          <t>Material de escritório (suprimentos de informática)</t>
        </is>
      </c>
      <c r="D1135" s="117" t="n"/>
      <c r="E1135" s="118" t="n"/>
      <c r="F1135" s="96" t="n">
        <v>0</v>
      </c>
      <c r="G1135" s="90">
        <f>INDEX(SETORES!$B:$B,MATCH(A1135,SETORES!$A:$A,0))</f>
        <v/>
      </c>
      <c r="H1135" s="90" t="inlineStr">
        <is>
          <t>Julho/2026</t>
        </is>
      </c>
    </row>
    <row r="1136" hidden="1" ht="14.25" customHeight="1" s="75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5">
      <c r="A1137" s="90" t="inlineStr">
        <is>
          <t>Controladoria</t>
        </is>
      </c>
      <c r="B1137" s="90" t="inlineStr">
        <is>
          <t>Custo Fixo</t>
        </is>
      </c>
      <c r="C1137" s="90" t="inlineStr">
        <is>
          <t>Energia elétrica (rateio)</t>
        </is>
      </c>
      <c r="D1137" s="117" t="n">
        <v>1</v>
      </c>
      <c r="E1137" s="118" t="n">
        <v>8.273</v>
      </c>
      <c r="F1137" s="96" t="n">
        <v>8.273</v>
      </c>
      <c r="G1137" s="90">
        <f>INDEX(SETORES!$B:$B,MATCH(A1137,SETORES!$A:$A,0))</f>
        <v/>
      </c>
      <c r="H1137" s="90" t="inlineStr">
        <is>
          <t>Julho/2026</t>
        </is>
      </c>
    </row>
    <row r="1138" hidden="1" ht="14.25" customHeight="1" s="75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5">
      <c r="A1139" s="90" t="inlineStr">
        <is>
          <t>Controladoria</t>
        </is>
      </c>
      <c r="B1139" s="90" t="inlineStr">
        <is>
          <t>Custo Fixo</t>
        </is>
      </c>
      <c r="C1139" s="90" t="inlineStr">
        <is>
          <t>Chip móvel corporativo</t>
        </is>
      </c>
      <c r="D1139" s="117" t="n">
        <v>1</v>
      </c>
      <c r="E1139" s="118" t="n">
        <v>30</v>
      </c>
      <c r="F1139" s="96">
        <f>IFERROR(D1139*E1139,0)</f>
        <v/>
      </c>
      <c r="G1139" s="90">
        <f>INDEX(SETORES!$B:$B,MATCH(A1139,SETORES!$A:$A,0))</f>
        <v/>
      </c>
      <c r="H1139" s="90" t="inlineStr">
        <is>
          <t>Julho/2026</t>
        </is>
      </c>
    </row>
    <row r="1140" hidden="1" ht="14.25" customHeight="1" s="75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5">
      <c r="A1141" s="90" t="inlineStr">
        <is>
          <t>Controladoria</t>
        </is>
      </c>
      <c r="B1141" s="90" t="inlineStr">
        <is>
          <t>Custo Fixo</t>
        </is>
      </c>
      <c r="C1141" s="90" t="inlineStr">
        <is>
          <t>Gympass</t>
        </is>
      </c>
      <c r="D1141" s="117" t="n">
        <v>1</v>
      </c>
      <c r="E1141" s="118" t="n">
        <v>9.92</v>
      </c>
      <c r="F1141" s="96">
        <f>IFERROR(D1141*E1141,0)</f>
        <v/>
      </c>
      <c r="G1141" s="90">
        <f>INDEX(SETORES!$B:$B,MATCH(A1141,SETORES!$A:$A,0))</f>
        <v/>
      </c>
      <c r="H1141" s="90" t="inlineStr">
        <is>
          <t>Julho/2026</t>
        </is>
      </c>
    </row>
    <row r="1142" hidden="1" ht="14.25" customHeight="1" s="75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5">
      <c r="A1143" s="90" t="inlineStr">
        <is>
          <t>DP</t>
        </is>
      </c>
      <c r="B1143" s="90" t="inlineStr">
        <is>
          <t>Custo Fixo</t>
        </is>
      </c>
      <c r="C1143" s="90" t="inlineStr">
        <is>
          <t>Material de escritório (suprimentos de informática)</t>
        </is>
      </c>
      <c r="D1143" s="117" t="n"/>
      <c r="E1143" s="118" t="n"/>
      <c r="F1143" s="96" t="n">
        <v>0</v>
      </c>
      <c r="G1143" s="90">
        <f>INDEX(SETORES!$B:$B,MATCH(A1143,SETORES!$A:$A,0))</f>
        <v/>
      </c>
      <c r="H1143" s="90" t="inlineStr">
        <is>
          <t>Julho/2026</t>
        </is>
      </c>
    </row>
    <row r="1144" hidden="1" ht="14.25" customHeight="1" s="75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5">
      <c r="A1145" s="90" t="inlineStr">
        <is>
          <t>DP</t>
        </is>
      </c>
      <c r="B1145" s="90" t="inlineStr">
        <is>
          <t>Custo Fixo</t>
        </is>
      </c>
      <c r="C1145" s="90" t="inlineStr">
        <is>
          <t>Energia elétrica (rateio)</t>
        </is>
      </c>
      <c r="D1145" s="117" t="n">
        <v>1</v>
      </c>
      <c r="E1145" s="118" t="n">
        <v>57.911</v>
      </c>
      <c r="F1145" s="96" t="n">
        <v>57.911</v>
      </c>
      <c r="G1145" s="90">
        <f>INDEX(SETORES!$B:$B,MATCH(A1145,SETORES!$A:$A,0))</f>
        <v/>
      </c>
      <c r="H1145" s="90" t="inlineStr">
        <is>
          <t>Julho/2026</t>
        </is>
      </c>
    </row>
    <row r="1146" hidden="1" ht="14.25" customHeight="1" s="75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5">
      <c r="A1147" s="90" t="inlineStr">
        <is>
          <t>DP</t>
        </is>
      </c>
      <c r="B1147" s="90" t="inlineStr">
        <is>
          <t>Custo Fixo</t>
        </is>
      </c>
      <c r="C1147" s="90" t="inlineStr">
        <is>
          <t>Telefonia móvel corporativa</t>
        </is>
      </c>
      <c r="D1147" s="117" t="n"/>
      <c r="E1147" s="118" t="n"/>
      <c r="F1147" s="96">
        <f>IFERROR(D1147*E1147,0)</f>
        <v/>
      </c>
      <c r="G1147" s="90">
        <f>INDEX(SETORES!$B:$B,MATCH(A1147,SETORES!$A:$A,0))</f>
        <v/>
      </c>
      <c r="H1147" s="90" t="inlineStr">
        <is>
          <t>Julho/2026</t>
        </is>
      </c>
    </row>
    <row r="1148" hidden="1" ht="14.25" customHeight="1" s="75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5">
      <c r="A1149" s="90" t="inlineStr">
        <is>
          <t>Logística</t>
        </is>
      </c>
      <c r="B1149" s="90" t="inlineStr">
        <is>
          <t>Custo Variável</t>
        </is>
      </c>
      <c r="C1149" s="90" t="inlineStr">
        <is>
          <t>Exames médicos</t>
        </is>
      </c>
      <c r="D1149" s="117" t="n">
        <v>1</v>
      </c>
      <c r="E1149" s="118" t="n">
        <v>35</v>
      </c>
      <c r="F1149" s="96">
        <f>IFERROR(D1149*E1149,0)</f>
        <v/>
      </c>
      <c r="G1149" s="90">
        <f>INDEX(SETORES!$B:$B,MATCH(A1149,SETORES!$A:$A,0))</f>
        <v/>
      </c>
      <c r="H1149" s="90" t="inlineStr">
        <is>
          <t>Julho/2026</t>
        </is>
      </c>
    </row>
    <row r="1150" hidden="1" ht="14.25" customHeight="1" s="75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5">
      <c r="A1151" s="90" t="inlineStr">
        <is>
          <t>DP</t>
        </is>
      </c>
      <c r="B1151" s="90" t="inlineStr">
        <is>
          <t>Custo Variável</t>
        </is>
      </c>
      <c r="C1151" s="90" t="inlineStr">
        <is>
          <t>Exames médicos</t>
        </is>
      </c>
      <c r="D1151" s="117" t="n">
        <v>1</v>
      </c>
      <c r="E1151" s="118" t="n">
        <v>65</v>
      </c>
      <c r="F1151" s="96">
        <f>IFERROR(D1151*E1151,0)</f>
        <v/>
      </c>
      <c r="G1151" s="90">
        <f>INDEX(SETORES!$B:$B,MATCH(A1151,SETORES!$A:$A,0))</f>
        <v/>
      </c>
      <c r="H1151" s="90" t="inlineStr">
        <is>
          <t>Julho/2026</t>
        </is>
      </c>
    </row>
    <row r="1152" hidden="1" ht="14.25" customHeight="1" s="75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5">
      <c r="A1153" s="90" t="inlineStr">
        <is>
          <t>DP</t>
        </is>
      </c>
      <c r="B1153" s="90" t="inlineStr">
        <is>
          <t>Custo Variável</t>
        </is>
      </c>
      <c r="C1153" s="90" t="inlineStr">
        <is>
          <t>Fardamento novo</t>
        </is>
      </c>
      <c r="D1153" s="117" t="n"/>
      <c r="E1153" s="118" t="n"/>
      <c r="F1153" s="96">
        <f>IFERROR(D1153*E1153,0)</f>
        <v/>
      </c>
      <c r="G1153" s="90">
        <f>INDEX(SETORES!$B:$B,MATCH(A1153,SETORES!$A:$A,0))</f>
        <v/>
      </c>
      <c r="H1153" s="90" t="inlineStr">
        <is>
          <t>Julho/2026</t>
        </is>
      </c>
    </row>
    <row r="1154" hidden="1" ht="14.25" customHeight="1" s="75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5">
      <c r="A1155" s="90" t="inlineStr">
        <is>
          <t>DP</t>
        </is>
      </c>
      <c r="B1155" s="90" t="inlineStr">
        <is>
          <t>Custo Fixo</t>
        </is>
      </c>
      <c r="C1155" s="90" t="inlineStr">
        <is>
          <t>Licença de e-mail corporativo</t>
        </is>
      </c>
      <c r="D1155" s="117" t="n">
        <v>7</v>
      </c>
      <c r="E1155" s="118" t="n">
        <v>50</v>
      </c>
      <c r="F1155" s="96">
        <f>IFERROR(D1155*E1155,0)</f>
        <v/>
      </c>
      <c r="G1155" s="90">
        <f>INDEX(SETORES!$B:$B,MATCH(A1155,SETORES!$A:$A,0))</f>
        <v/>
      </c>
      <c r="H1155" s="90" t="inlineStr">
        <is>
          <t>Julho/2026</t>
        </is>
      </c>
    </row>
    <row r="1156" hidden="1" ht="14.25" customHeight="1" s="75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5">
      <c r="A1157" s="90" t="inlineStr">
        <is>
          <t>DP</t>
        </is>
      </c>
      <c r="B1157" s="90" t="inlineStr">
        <is>
          <t>Custo Fixo</t>
        </is>
      </c>
      <c r="C1157" s="90" t="inlineStr">
        <is>
          <t>Gympass</t>
        </is>
      </c>
      <c r="D1157" s="117" t="n">
        <v>7</v>
      </c>
      <c r="E1157" s="118" t="n">
        <v>9.92</v>
      </c>
      <c r="F1157" s="96">
        <f>IFERROR(D1157*E1157,0)</f>
        <v/>
      </c>
      <c r="G1157" s="90">
        <f>INDEX(SETORES!$B:$B,MATCH(A1157,SETORES!$A:$A,0))</f>
        <v/>
      </c>
      <c r="H1157" s="90" t="inlineStr">
        <is>
          <t>Julho/2026</t>
        </is>
      </c>
    </row>
    <row r="1158" hidden="1" ht="14.25" customHeight="1" s="75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5">
      <c r="A1159" s="90" t="inlineStr">
        <is>
          <t>Diretoria Operacional</t>
        </is>
      </c>
      <c r="B1159" s="90" t="inlineStr">
        <is>
          <t>Custo Fixo</t>
        </is>
      </c>
      <c r="C1159" s="90" t="inlineStr">
        <is>
          <t>Material de escritório (suprimentos de informática)</t>
        </is>
      </c>
      <c r="D1159" s="117" t="n">
        <v>2</v>
      </c>
      <c r="E1159" s="118" t="n">
        <v>3.385</v>
      </c>
      <c r="F1159" s="96" t="n">
        <v>6.77</v>
      </c>
      <c r="G1159" s="90">
        <f>INDEX(SETORES!$B:$B,MATCH(A1159,SETORES!$A:$A,0))</f>
        <v/>
      </c>
      <c r="H1159" s="90" t="inlineStr">
        <is>
          <t>Julho/2026</t>
        </is>
      </c>
    </row>
    <row r="1160" hidden="1" ht="14.25" customHeight="1" s="75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5">
      <c r="A1161" s="90" t="inlineStr">
        <is>
          <t>Diretoria Operacional</t>
        </is>
      </c>
      <c r="B1161" s="90" t="inlineStr">
        <is>
          <t>Custo Fixo</t>
        </is>
      </c>
      <c r="C1161" s="90" t="inlineStr">
        <is>
          <t>Energia elétrica (rateio)</t>
        </is>
      </c>
      <c r="D1161" s="117" t="n">
        <v>1</v>
      </c>
      <c r="E1161" s="118" t="n">
        <v>16.546</v>
      </c>
      <c r="F1161" s="96" t="n">
        <v>16.546</v>
      </c>
      <c r="G1161" s="90">
        <f>INDEX(SETORES!$B:$B,MATCH(A1161,SETORES!$A:$A,0))</f>
        <v/>
      </c>
      <c r="H1161" s="90" t="inlineStr">
        <is>
          <t>Julho/2026</t>
        </is>
      </c>
    </row>
    <row r="1162" hidden="1" ht="14.25" customHeight="1" s="75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5">
      <c r="A1163" s="90" t="inlineStr">
        <is>
          <t>Diretoria Operacional</t>
        </is>
      </c>
      <c r="B1163" s="90" t="inlineStr">
        <is>
          <t>Custo Fixo</t>
        </is>
      </c>
      <c r="C1163" s="90" t="inlineStr">
        <is>
          <t>Telefonia móvel corporativa</t>
        </is>
      </c>
      <c r="D1163" s="117" t="n"/>
      <c r="E1163" s="118" t="n"/>
      <c r="F1163" s="96">
        <f>IFERROR(D1163*E1163,0)</f>
        <v/>
      </c>
      <c r="G1163" s="90">
        <f>INDEX(SETORES!$B:$B,MATCH(A1163,SETORES!$A:$A,0))</f>
        <v/>
      </c>
      <c r="H1163" s="90" t="inlineStr">
        <is>
          <t>Julho/2026</t>
        </is>
      </c>
    </row>
    <row r="1164" hidden="1" ht="14.25" customHeight="1" s="75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5">
      <c r="A1165" s="90" t="inlineStr">
        <is>
          <t>Diretoria Operacional</t>
        </is>
      </c>
      <c r="B1165" s="90" t="inlineStr">
        <is>
          <t>Custo Variável</t>
        </is>
      </c>
      <c r="C1165" s="90" t="inlineStr">
        <is>
          <t>Viagens e hospedagem corporativas</t>
        </is>
      </c>
      <c r="D1165" s="117" t="n"/>
      <c r="E1165" s="118" t="n"/>
      <c r="F1165" s="96">
        <f>IFERROR(D1165*E1165,0)</f>
        <v/>
      </c>
      <c r="G1165" s="90">
        <f>INDEX(SETORES!$B:$B,MATCH(A1165,SETORES!$A:$A,0))</f>
        <v/>
      </c>
      <c r="H1165" s="90" t="inlineStr">
        <is>
          <t>Julho/2026</t>
        </is>
      </c>
    </row>
    <row r="1166" hidden="1" ht="14.25" customHeight="1" s="75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5">
      <c r="A1167" s="90" t="inlineStr">
        <is>
          <t>Diretoria Operacional</t>
        </is>
      </c>
      <c r="B1167" s="90" t="inlineStr">
        <is>
          <t>Custo Variável</t>
        </is>
      </c>
      <c r="C1167" s="90" t="inlineStr">
        <is>
          <t>Fardamento substituição</t>
        </is>
      </c>
      <c r="D1167" s="117" t="n"/>
      <c r="E1167" s="118" t="n"/>
      <c r="F1167" s="96">
        <f>IFERROR(D1167*E1167,0)</f>
        <v/>
      </c>
      <c r="G1167" s="90">
        <f>INDEX(SETORES!$B:$B,MATCH(A1167,SETORES!$A:$A,0))</f>
        <v/>
      </c>
      <c r="H1167" s="90" t="inlineStr">
        <is>
          <t>Julho/2026</t>
        </is>
      </c>
    </row>
    <row r="1168" hidden="1" ht="14.25" customHeight="1" s="75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5">
      <c r="A1169" s="90" t="inlineStr">
        <is>
          <t>Diretoria Operacional</t>
        </is>
      </c>
      <c r="B1169" s="90" t="inlineStr">
        <is>
          <t>Custo Fixo</t>
        </is>
      </c>
      <c r="C1169" s="90" t="inlineStr">
        <is>
          <t>Gympass</t>
        </is>
      </c>
      <c r="D1169" s="117" t="n">
        <v>2</v>
      </c>
      <c r="E1169" s="118" t="n">
        <v>9.92</v>
      </c>
      <c r="F1169" s="96">
        <f>IFERROR(D1169*E1169,0)</f>
        <v/>
      </c>
      <c r="G1169" s="90">
        <f>INDEX(SETORES!$B:$B,MATCH(A1169,SETORES!$A:$A,0))</f>
        <v/>
      </c>
      <c r="H1169" s="90" t="inlineStr">
        <is>
          <t>Julho/2026</t>
        </is>
      </c>
    </row>
    <row r="1170" hidden="1" ht="14.25" customHeight="1" s="75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5">
      <c r="A1171" s="90" t="inlineStr">
        <is>
          <t>Engenharia</t>
        </is>
      </c>
      <c r="B1171" s="90" t="inlineStr">
        <is>
          <t>Custo Fixo</t>
        </is>
      </c>
      <c r="C1171" s="90" t="inlineStr">
        <is>
          <t>Material de escritório (suprimentos de informática)</t>
        </is>
      </c>
      <c r="D1171" s="117" t="n"/>
      <c r="E1171" s="118" t="n"/>
      <c r="F1171" s="96" t="n">
        <v>0</v>
      </c>
      <c r="G1171" s="90">
        <f>INDEX(SETORES!$B:$B,MATCH(A1171,SETORES!$A:$A,0))</f>
        <v/>
      </c>
      <c r="H1171" s="90" t="inlineStr">
        <is>
          <t>Julho/2026</t>
        </is>
      </c>
    </row>
    <row r="1172" hidden="1" ht="14.25" customHeight="1" s="75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5">
      <c r="A1173" s="90" t="inlineStr">
        <is>
          <t>Engenharia</t>
        </is>
      </c>
      <c r="B1173" s="90" t="inlineStr">
        <is>
          <t>Custo Variável</t>
        </is>
      </c>
      <c r="C1173" s="90" t="inlineStr">
        <is>
          <t>Endomarketing</t>
        </is>
      </c>
      <c r="D1173" s="117" t="n"/>
      <c r="E1173" s="118" t="n"/>
      <c r="F1173" s="96">
        <f>IFERROR(D1173*E1173,0)</f>
        <v/>
      </c>
      <c r="G1173" s="90">
        <f>INDEX(SETORES!$B:$B,MATCH(A1173,SETORES!$A:$A,0))</f>
        <v/>
      </c>
      <c r="H1173" s="90" t="inlineStr">
        <is>
          <t>Julho/2026</t>
        </is>
      </c>
    </row>
    <row r="1174" hidden="1" ht="14.25" customHeight="1" s="75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5">
      <c r="A1175" s="90" t="inlineStr">
        <is>
          <t>Engenharia</t>
        </is>
      </c>
      <c r="B1175" s="90" t="inlineStr">
        <is>
          <t>Custo Fixo</t>
        </is>
      </c>
      <c r="C1175" s="90" t="inlineStr">
        <is>
          <t>Água e esgoto (rateio)</t>
        </is>
      </c>
      <c r="D1175" s="117" t="n">
        <v>10</v>
      </c>
      <c r="E1175" s="118" t="n">
        <v>3.3247</v>
      </c>
      <c r="F1175" s="96" t="n">
        <v>33.247</v>
      </c>
      <c r="G1175" s="90">
        <f>INDEX(SETORES!$B:$B,MATCH(A1175,SETORES!$A:$A,0))</f>
        <v/>
      </c>
      <c r="H1175" s="90" t="inlineStr">
        <is>
          <t>Julho/2026</t>
        </is>
      </c>
    </row>
    <row r="1176" hidden="1" ht="14.25" customHeight="1" s="75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5">
      <c r="A1177" s="90" t="inlineStr">
        <is>
          <t>Engenharia</t>
        </is>
      </c>
      <c r="B1177" s="90" t="inlineStr">
        <is>
          <t>Custo Fixo</t>
        </is>
      </c>
      <c r="C1177" s="90" t="inlineStr">
        <is>
          <t>Folha de pagamento (salários)</t>
        </is>
      </c>
      <c r="D1177" s="117" t="n">
        <v>1</v>
      </c>
      <c r="E1177" s="118" t="n">
        <v>59197.83</v>
      </c>
      <c r="F1177" s="96">
        <f>IFERROR(E1177,0)</f>
        <v/>
      </c>
      <c r="G1177" s="90">
        <f>INDEX(SETORES!$B:$B,MATCH(A1177,SETORES!$A:$A,0))</f>
        <v/>
      </c>
      <c r="H1177" s="90" t="inlineStr">
        <is>
          <t>Julho/2026</t>
        </is>
      </c>
    </row>
    <row r="1178" hidden="1" ht="14.25" customHeight="1" s="75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5">
      <c r="A1179" s="90" t="inlineStr">
        <is>
          <t>Engenharia</t>
        </is>
      </c>
      <c r="B1179" s="90" t="inlineStr">
        <is>
          <t>Custo Variável</t>
        </is>
      </c>
      <c r="C1179" s="90" t="inlineStr">
        <is>
          <t>Fardamento substituição</t>
        </is>
      </c>
      <c r="D1179" s="117" t="n"/>
      <c r="E1179" s="118" t="n"/>
      <c r="F1179" s="96">
        <f>IFERROR(D1179*E1179,0)</f>
        <v/>
      </c>
      <c r="G1179" s="90">
        <f>INDEX(SETORES!$B:$B,MATCH(A1179,SETORES!$A:$A,0))</f>
        <v/>
      </c>
      <c r="H1179" s="90" t="inlineStr">
        <is>
          <t>Julho/2026</t>
        </is>
      </c>
    </row>
    <row r="1180" hidden="1" ht="14.25" customHeight="1" s="75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5">
      <c r="A1181" s="90" t="inlineStr">
        <is>
          <t>Engenharia</t>
        </is>
      </c>
      <c r="B1181" s="90" t="inlineStr">
        <is>
          <t>Custo Variável</t>
        </is>
      </c>
      <c r="C1181" s="90" t="inlineStr">
        <is>
          <t>Rescisões trabalhistas</t>
        </is>
      </c>
      <c r="D1181" s="117" t="n">
        <v>1</v>
      </c>
      <c r="E1181" s="118" t="n">
        <v>14703.68</v>
      </c>
      <c r="F1181" s="96">
        <f>IFERROR(D1181*E1181,0)</f>
        <v/>
      </c>
      <c r="G1181" s="90">
        <f>INDEX(SETORES!$B:$B,MATCH(A1181,SETORES!$A:$A,0))</f>
        <v/>
      </c>
      <c r="H1181" s="90" t="inlineStr">
        <is>
          <t>Julho/2026</t>
        </is>
      </c>
    </row>
    <row r="1182" hidden="1" ht="14.25" customHeight="1" s="75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5">
      <c r="A1183" s="90" t="inlineStr">
        <is>
          <t>Engenharia</t>
        </is>
      </c>
      <c r="B1183" s="90" t="inlineStr">
        <is>
          <t>Custo Variável</t>
        </is>
      </c>
      <c r="C1183" s="90" t="inlineStr">
        <is>
          <t>Combustível de frota</t>
        </is>
      </c>
      <c r="D1183" s="117" t="n">
        <v>1</v>
      </c>
      <c r="E1183" s="118" t="n">
        <v>6506.65</v>
      </c>
      <c r="F1183" s="96">
        <f>IFERROR(D1183*E1183,0)</f>
        <v/>
      </c>
      <c r="G1183" s="90">
        <f>INDEX(SETORES!$B:$B,MATCH(A1183,SETORES!$A:$A,0))</f>
        <v/>
      </c>
      <c r="H1183" s="90" t="inlineStr">
        <is>
          <t>Julho/2026</t>
        </is>
      </c>
    </row>
    <row r="1184" hidden="1" ht="14.25" customHeight="1" s="75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5">
      <c r="A1185" s="90" t="inlineStr">
        <is>
          <t>Engenharia</t>
        </is>
      </c>
      <c r="B1185" s="90" t="inlineStr">
        <is>
          <t>Custo Fixo</t>
        </is>
      </c>
      <c r="C1185" s="90" t="inlineStr">
        <is>
          <t>Gympass</t>
        </is>
      </c>
      <c r="D1185" s="117" t="n">
        <v>10</v>
      </c>
      <c r="E1185" s="118" t="n">
        <v>9.92</v>
      </c>
      <c r="F1185" s="96">
        <f>IFERROR(D1185*E1185,0)</f>
        <v/>
      </c>
      <c r="G1185" s="90">
        <f>INDEX(SETORES!$B:$B,MATCH(A1185,SETORES!$A:$A,0))</f>
        <v/>
      </c>
      <c r="H1185" s="90" t="inlineStr">
        <is>
          <t>Julho/2026</t>
        </is>
      </c>
    </row>
    <row r="1186" hidden="1" ht="14.25" customHeight="1" s="75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5">
      <c r="A1187" s="90" t="inlineStr">
        <is>
          <t>Estoque</t>
        </is>
      </c>
      <c r="B1187" s="90" t="inlineStr">
        <is>
          <t>Custo Fixo</t>
        </is>
      </c>
      <c r="C1187" s="90" t="inlineStr">
        <is>
          <t>Material de escritório (suprimentos de informática)</t>
        </is>
      </c>
      <c r="D1187" s="117" t="n"/>
      <c r="E1187" s="118" t="n"/>
      <c r="F1187" s="96" t="n">
        <v>32684.03</v>
      </c>
      <c r="G1187" s="90">
        <f>INDEX(SETORES!$B:$B,MATCH(A1187,SETORES!$A:$A,0))</f>
        <v/>
      </c>
      <c r="H1187" s="90" t="inlineStr">
        <is>
          <t>Julho/2026</t>
        </is>
      </c>
    </row>
    <row r="1188" hidden="1" ht="14.25" customHeight="1" s="75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5">
      <c r="A1189" s="90" t="inlineStr">
        <is>
          <t>Estoque</t>
        </is>
      </c>
      <c r="B1189" s="90" t="inlineStr">
        <is>
          <t>Custo Fixo</t>
        </is>
      </c>
      <c r="C1189" s="90" t="inlineStr">
        <is>
          <t>Energia elétrica (rateio)</t>
        </is>
      </c>
      <c r="D1189" s="117" t="n">
        <v>16</v>
      </c>
      <c r="E1189" s="118" t="n">
        <v>21.2582</v>
      </c>
      <c r="F1189" s="96" t="n">
        <v>340.1312</v>
      </c>
      <c r="G1189" s="90">
        <f>INDEX(SETORES!$B:$B,MATCH(A1189,SETORES!$A:$A,0))</f>
        <v/>
      </c>
      <c r="H1189" s="90" t="inlineStr">
        <is>
          <t>Julho/2026</t>
        </is>
      </c>
    </row>
    <row r="1190" hidden="1" ht="14.25" customHeight="1" s="75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5">
      <c r="A1191" s="90" t="inlineStr">
        <is>
          <t>Estoque</t>
        </is>
      </c>
      <c r="B1191" s="90" t="inlineStr">
        <is>
          <t>Custo Fixo</t>
        </is>
      </c>
      <c r="C1191" s="90" t="inlineStr">
        <is>
          <t>Telefonia móvel corporativa</t>
        </is>
      </c>
      <c r="D1191" s="117" t="n"/>
      <c r="E1191" s="118" t="n"/>
      <c r="F1191" s="96">
        <f>IFERROR(D1191*E1191,0)</f>
        <v/>
      </c>
      <c r="G1191" s="90">
        <f>INDEX(SETORES!$B:$B,MATCH(A1191,SETORES!$A:$A,0))</f>
        <v/>
      </c>
      <c r="H1191" s="90" t="inlineStr">
        <is>
          <t>Julho/2026</t>
        </is>
      </c>
    </row>
    <row r="1192" hidden="1" ht="14.25" customHeight="1" s="75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5">
      <c r="A1193" s="90" t="inlineStr">
        <is>
          <t>Estoque</t>
        </is>
      </c>
      <c r="B1193" s="90" t="inlineStr">
        <is>
          <t>Custo Variável</t>
        </is>
      </c>
      <c r="C1193" s="90" t="inlineStr">
        <is>
          <t>Fardamento novo</t>
        </is>
      </c>
      <c r="D1193" s="117" t="n">
        <v>4</v>
      </c>
      <c r="E1193" s="118" t="n">
        <v>33.75</v>
      </c>
      <c r="F1193" s="96">
        <f>IFERROR(D1193*E1193,0)</f>
        <v/>
      </c>
      <c r="G1193" s="90">
        <f>INDEX(SETORES!$B:$B,MATCH(A1193,SETORES!$A:$A,0))</f>
        <v/>
      </c>
      <c r="H1193" s="90" t="inlineStr">
        <is>
          <t>Julho/2026</t>
        </is>
      </c>
    </row>
    <row r="1194" hidden="1" ht="14.25" customHeight="1" s="75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5">
      <c r="A1195" s="90" t="inlineStr">
        <is>
          <t>Estoque</t>
        </is>
      </c>
      <c r="B1195" s="90" t="inlineStr">
        <is>
          <t>Custo Variável</t>
        </is>
      </c>
      <c r="C1195" s="90" t="inlineStr">
        <is>
          <t>Rateio de transporte coletivo</t>
        </is>
      </c>
      <c r="D1195" s="117" t="n">
        <v>16</v>
      </c>
      <c r="E1195" s="118" t="n">
        <v>76.92</v>
      </c>
      <c r="F1195" s="96">
        <f>IFERROR(D1195*E1195,0)</f>
        <v/>
      </c>
      <c r="G1195" s="90">
        <f>INDEX(SETORES!$B:$B,MATCH(A1195,SETORES!$A:$A,0))</f>
        <v/>
      </c>
      <c r="H1195" s="90" t="inlineStr">
        <is>
          <t>Julho/2026</t>
        </is>
      </c>
    </row>
    <row r="1196" hidden="1" ht="14.25" customHeight="1" s="75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t="14.25" customHeight="1" s="75">
      <c r="A1197" s="90" t="inlineStr">
        <is>
          <t>Estoque</t>
        </is>
      </c>
      <c r="B1197" s="90" t="inlineStr">
        <is>
          <t>Custo Variável</t>
        </is>
      </c>
      <c r="C1197" s="90" t="inlineStr">
        <is>
          <t>Exames médicos</t>
        </is>
      </c>
      <c r="D1197" s="117" t="n">
        <v>1</v>
      </c>
      <c r="E1197" s="118" t="n">
        <v>100</v>
      </c>
      <c r="F1197" s="96">
        <f>IFERROR(D1197*E1197,0)</f>
        <v/>
      </c>
      <c r="G1197" s="90">
        <f>INDEX(SETORES!$B:$B,MATCH(A1197,SETORES!$A:$A,0))</f>
        <v/>
      </c>
      <c r="H1197" s="90" t="inlineStr">
        <is>
          <t>Julho/2026</t>
        </is>
      </c>
    </row>
    <row r="1198" ht="14.25" customHeight="1" s="75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t="14.25" customHeight="1" s="75">
      <c r="A1199" s="90" t="inlineStr">
        <is>
          <t>Estoque</t>
        </is>
      </c>
      <c r="B1199" s="90" t="inlineStr">
        <is>
          <t>Custo Fixo</t>
        </is>
      </c>
      <c r="C1199" s="90" t="inlineStr">
        <is>
          <t>Impressora</t>
        </is>
      </c>
      <c r="D1199" s="117" t="n">
        <v>1</v>
      </c>
      <c r="E1199" s="118" t="n">
        <v>153.58</v>
      </c>
      <c r="F1199" s="96">
        <f>IFERROR(D1199*E1199,0)</f>
        <v/>
      </c>
      <c r="G1199" s="90">
        <f>INDEX(SETORES!$B:$B,MATCH(A1199,SETORES!$A:$A,0))</f>
        <v/>
      </c>
      <c r="H1199" s="90" t="inlineStr">
        <is>
          <t>Julho/2026</t>
        </is>
      </c>
    </row>
    <row r="1200" ht="14.25" customHeight="1" s="75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t="14.25" customHeight="1" s="75">
      <c r="A1201" s="90" t="inlineStr">
        <is>
          <t>Estoque</t>
        </is>
      </c>
      <c r="B1201" s="90" t="inlineStr">
        <is>
          <t>Custo Fixo</t>
        </is>
      </c>
      <c r="C1201" s="90" t="inlineStr">
        <is>
          <t>Stargrid</t>
        </is>
      </c>
      <c r="D1201" s="117" t="n">
        <v>16</v>
      </c>
      <c r="E1201" s="118" t="n">
        <v>2.05</v>
      </c>
      <c r="F1201" s="96">
        <f>IFERROR(D1201*E1201,0)</f>
        <v/>
      </c>
      <c r="G1201" s="90">
        <f>INDEX(SETORES!$B:$B,MATCH(A1201,SETORES!$A:$A,0))</f>
        <v/>
      </c>
      <c r="H1201" s="90" t="inlineStr">
        <is>
          <t>Julho/2026</t>
        </is>
      </c>
    </row>
    <row r="1202" ht="14.25" customHeight="1" s="75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t="14.25" customHeight="1" s="75">
      <c r="A1203" s="90" t="inlineStr">
        <is>
          <t>Financeiro</t>
        </is>
      </c>
      <c r="B1203" s="90" t="inlineStr">
        <is>
          <t>Custo Fixo</t>
        </is>
      </c>
      <c r="C1203" s="90" t="inlineStr">
        <is>
          <t>Material de uso coletivo (copa/limpeza)</t>
        </is>
      </c>
      <c r="D1203" s="117" t="n">
        <v>1</v>
      </c>
      <c r="E1203" s="118" t="n">
        <v>221.42</v>
      </c>
      <c r="F1203" s="96" t="n">
        <v>221.42</v>
      </c>
      <c r="G1203" s="90">
        <f>INDEX(SETORES!$B:$B,MATCH(A1203,SETORES!$A:$A,0))</f>
        <v/>
      </c>
      <c r="H1203" s="90" t="inlineStr">
        <is>
          <t>Julho/2026</t>
        </is>
      </c>
    </row>
    <row r="1204" ht="14.25" customHeight="1" s="75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t="14.25" customHeight="1" s="75">
      <c r="A1205" s="90" t="inlineStr">
        <is>
          <t>Financeiro</t>
        </is>
      </c>
      <c r="B1205" s="90" t="inlineStr">
        <is>
          <t>Custo Fixo</t>
        </is>
      </c>
      <c r="C1205" s="90" t="inlineStr">
        <is>
          <t>Água e esgoto (rateio)</t>
        </is>
      </c>
      <c r="D1205" s="117" t="n">
        <v>1</v>
      </c>
      <c r="E1205" s="118" t="n">
        <v>0.194</v>
      </c>
      <c r="F1205" s="96" t="n">
        <v>0.194</v>
      </c>
      <c r="G1205" s="90">
        <f>INDEX(SETORES!$B:$B,MATCH(A1205,SETORES!$A:$A,0))</f>
        <v/>
      </c>
      <c r="H1205" s="90" t="inlineStr">
        <is>
          <t>Julho/2026</t>
        </is>
      </c>
    </row>
    <row r="1206" ht="14.25" customHeight="1" s="75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t="14.25" customHeight="1" s="75">
      <c r="A1207" s="90" t="inlineStr">
        <is>
          <t>Financeiro</t>
        </is>
      </c>
      <c r="B1207" s="90" t="inlineStr">
        <is>
          <t>Custo Fixo</t>
        </is>
      </c>
      <c r="C1207" s="90" t="inlineStr">
        <is>
          <t>Folha de pagamento (salários)</t>
        </is>
      </c>
      <c r="D1207" s="117" t="n">
        <v>1</v>
      </c>
      <c r="E1207" s="118" t="n">
        <v>41415.06</v>
      </c>
      <c r="F1207" s="96">
        <f>IFERROR(E1207,0)</f>
        <v/>
      </c>
      <c r="G1207" s="90">
        <f>INDEX(SETORES!$B:$B,MATCH(A1207,SETORES!$A:$A,0))</f>
        <v/>
      </c>
      <c r="H1207" s="90" t="inlineStr">
        <is>
          <t>Julho/2026</t>
        </is>
      </c>
    </row>
    <row r="1208" ht="14.25" customHeight="1" s="75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t="14.25" customHeight="1" s="75">
      <c r="A1209" s="90" t="inlineStr">
        <is>
          <t>Financeiro</t>
        </is>
      </c>
      <c r="B1209" s="90" t="inlineStr">
        <is>
          <t>Custo Variável</t>
        </is>
      </c>
      <c r="C1209" s="90" t="inlineStr">
        <is>
          <t>Fardamento novo</t>
        </is>
      </c>
      <c r="D1209" s="117" t="n">
        <v>2</v>
      </c>
      <c r="E1209" s="118" t="n">
        <v>45</v>
      </c>
      <c r="F1209" s="96">
        <f>IFERROR(D1209*E1209,0)</f>
        <v/>
      </c>
      <c r="G1209" s="90">
        <f>INDEX(SETORES!$B:$B,MATCH(A1209,SETORES!$A:$A,0))</f>
        <v/>
      </c>
      <c r="H1209" s="90" t="inlineStr">
        <is>
          <t>Julho/2026</t>
        </is>
      </c>
    </row>
    <row r="1210" ht="14.25" customHeight="1" s="75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t="14.25" customHeight="1" s="75">
      <c r="A1211" s="90" t="inlineStr">
        <is>
          <t>Financeiro</t>
        </is>
      </c>
      <c r="B1211" s="90" t="inlineStr">
        <is>
          <t>Custo Fixo</t>
        </is>
      </c>
      <c r="C1211" s="90" t="inlineStr">
        <is>
          <t>Licença de e-mail corporativo</t>
        </is>
      </c>
      <c r="D1211" s="117" t="n">
        <v>8</v>
      </c>
      <c r="E1211" s="118" t="n">
        <v>50</v>
      </c>
      <c r="F1211" s="96">
        <f>IFERROR(D1211*E1211,0)</f>
        <v/>
      </c>
      <c r="G1211" s="90">
        <f>INDEX(SETORES!$B:$B,MATCH(A1211,SETORES!$A:$A,0))</f>
        <v/>
      </c>
      <c r="H1211" s="90" t="inlineStr">
        <is>
          <t>Julho/2026</t>
        </is>
      </c>
    </row>
    <row r="1212" ht="14.25" customHeight="1" s="75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t="14.25" customHeight="1" s="75">
      <c r="A1213" s="90" t="inlineStr">
        <is>
          <t>Financeiro</t>
        </is>
      </c>
      <c r="B1213" s="90" t="inlineStr">
        <is>
          <t>Custo Fixo</t>
        </is>
      </c>
      <c r="C1213" s="90" t="inlineStr">
        <is>
          <t>Gympass</t>
        </is>
      </c>
      <c r="D1213" s="117" t="n">
        <v>9</v>
      </c>
      <c r="E1213" s="118" t="n">
        <v>9.92</v>
      </c>
      <c r="F1213" s="96">
        <f>IFERROR(D1213*E1213,0)</f>
        <v/>
      </c>
      <c r="G1213" s="90">
        <f>INDEX(SETORES!$B:$B,MATCH(A1213,SETORES!$A:$A,0))</f>
        <v/>
      </c>
      <c r="H1213" s="90" t="inlineStr">
        <is>
          <t>Julho/2026</t>
        </is>
      </c>
    </row>
    <row r="1214" ht="14.25" customHeight="1" s="75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t="14.25" customHeight="1" s="75">
      <c r="A1215" s="90" t="inlineStr">
        <is>
          <t>Logística</t>
        </is>
      </c>
      <c r="B1215" s="90" t="inlineStr">
        <is>
          <t>Custo Fixo</t>
        </is>
      </c>
      <c r="C1215" s="90" t="inlineStr">
        <is>
          <t>Material de escritório (suprimentos de informática)</t>
        </is>
      </c>
      <c r="D1215" s="117" t="n"/>
      <c r="E1215" s="118" t="n"/>
      <c r="F1215" s="96" t="n">
        <v>0</v>
      </c>
      <c r="G1215" s="90">
        <f>INDEX(SETORES!$B:$B,MATCH(A1215,SETORES!$A:$A,0))</f>
        <v/>
      </c>
      <c r="H1215" s="90" t="inlineStr">
        <is>
          <t>Julho/2026</t>
        </is>
      </c>
    </row>
    <row r="1216" ht="14.25" customHeight="1" s="75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t="14.25" customHeight="1" s="75">
      <c r="A1217" s="90" t="inlineStr">
        <is>
          <t>Logística</t>
        </is>
      </c>
      <c r="B1217" s="90" t="inlineStr">
        <is>
          <t>Custo Fixo</t>
        </is>
      </c>
      <c r="C1217" s="90" t="inlineStr">
        <is>
          <t>Energia elétrica (rateio)</t>
        </is>
      </c>
      <c r="D1217" s="117" t="n">
        <v>15</v>
      </c>
      <c r="E1217" s="118" t="n">
        <v>21.2582</v>
      </c>
      <c r="F1217" s="96" t="n">
        <v>318.873</v>
      </c>
      <c r="G1217" s="90">
        <f>INDEX(SETORES!$B:$B,MATCH(A1217,SETORES!$A:$A,0))</f>
        <v/>
      </c>
      <c r="H1217" s="90" t="inlineStr">
        <is>
          <t>Julho/2026</t>
        </is>
      </c>
    </row>
    <row r="1218" ht="14.25" customHeight="1" s="75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15</v>
      </c>
      <c r="E1218" s="115" t="n">
        <v>3.3247</v>
      </c>
      <c r="F1218" s="116" t="n">
        <v>49.8705</v>
      </c>
      <c r="G1218" s="113">
        <f>INDEX(SETORES!$B:$B,MATCH(A1218,SETORES!$A:$A,0))</f>
        <v/>
      </c>
      <c r="H1218" s="113" t="inlineStr">
        <is>
          <t>Julho/2026</t>
        </is>
      </c>
    </row>
    <row r="1219" ht="14.25" customHeight="1" s="75">
      <c r="A1219" s="90" t="inlineStr">
        <is>
          <t>Logística</t>
        </is>
      </c>
      <c r="B1219" s="90" t="inlineStr">
        <is>
          <t>Custo Fixo</t>
        </is>
      </c>
      <c r="C1219" s="90" t="inlineStr">
        <is>
          <t>Telefonia móvel corporativa</t>
        </is>
      </c>
      <c r="D1219" s="117" t="n"/>
      <c r="E1219" s="118" t="n"/>
      <c r="F1219" s="96">
        <f>IFERROR(D1219*E1219,0)</f>
        <v/>
      </c>
      <c r="G1219" s="90">
        <f>INDEX(SETORES!$B:$B,MATCH(A1219,SETORES!$A:$A,0))</f>
        <v/>
      </c>
      <c r="H1219" s="90" t="inlineStr">
        <is>
          <t>Julho/2026</t>
        </is>
      </c>
    </row>
    <row r="1220" ht="14.25" customHeight="1" s="75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80733.28</v>
      </c>
      <c r="F1220" s="116">
        <f>IFERROR(E1220,0)</f>
        <v/>
      </c>
      <c r="G1220" s="113">
        <f>INDEX(SETORES!$B:$B,MATCH(A1220,SETORES!$A:$A,0))</f>
        <v/>
      </c>
      <c r="H1220" s="113" t="inlineStr">
        <is>
          <t>Julho/2026</t>
        </is>
      </c>
    </row>
    <row r="1221" ht="14.25" customHeight="1" s="75">
      <c r="A1221" s="90" t="inlineStr">
        <is>
          <t>Logística</t>
        </is>
      </c>
      <c r="B1221" s="90" t="inlineStr">
        <is>
          <t>Custo Variável</t>
        </is>
      </c>
      <c r="C1221" s="90" t="inlineStr">
        <is>
          <t>Combustível de frota</t>
        </is>
      </c>
      <c r="D1221" s="117" t="n">
        <v>1</v>
      </c>
      <c r="E1221" s="118" t="n">
        <v>37632.61</v>
      </c>
      <c r="F1221" s="96">
        <f>IFERROR(D1221*E1221,0)</f>
        <v/>
      </c>
      <c r="G1221" s="90">
        <f>INDEX(SETORES!$B:$B,MATCH(A1221,SETORES!$A:$A,0))</f>
        <v/>
      </c>
      <c r="H1221" s="90" t="inlineStr">
        <is>
          <t>Julho/2026</t>
        </is>
      </c>
    </row>
    <row r="1222" ht="14.25" customHeight="1" s="75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t="14.25" customHeight="1" s="75">
      <c r="A1223" s="90" t="inlineStr">
        <is>
          <t>Logística</t>
        </is>
      </c>
      <c r="B1223" s="90" t="inlineStr">
        <is>
          <t>Custo Variável</t>
        </is>
      </c>
      <c r="C1223" s="90" t="inlineStr">
        <is>
          <t>Fardamento novo</t>
        </is>
      </c>
      <c r="D1223" s="117" t="n">
        <v>2</v>
      </c>
      <c r="E1223" s="118" t="n">
        <v>68</v>
      </c>
      <c r="F1223" s="96">
        <f>IFERROR(D1223*E1223,0)</f>
        <v/>
      </c>
      <c r="G1223" s="90">
        <f>INDEX(SETORES!$B:$B,MATCH(A1223,SETORES!$A:$A,0))</f>
        <v/>
      </c>
      <c r="H1223" s="90" t="inlineStr">
        <is>
          <t>Julho/2026</t>
        </is>
      </c>
    </row>
    <row r="1224" ht="14.25" customHeight="1" s="75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t="14.25" customHeight="1" s="75">
      <c r="A1225" s="90" t="inlineStr">
        <is>
          <t>Logística</t>
        </is>
      </c>
      <c r="B1225" s="90" t="inlineStr">
        <is>
          <t>Custo Variável</t>
        </is>
      </c>
      <c r="C1225" s="90" t="inlineStr">
        <is>
          <t>EPIs - Equipamento de Proteção Individual</t>
        </is>
      </c>
      <c r="D1225" s="117" t="n"/>
      <c r="E1225" s="118" t="n"/>
      <c r="F1225" s="96">
        <f>IFERROR(D1225*E1225,0)</f>
        <v/>
      </c>
      <c r="G1225" s="90">
        <f>INDEX(SETORES!$B:$B,MATCH(A1225,SETORES!$A:$A,0))</f>
        <v/>
      </c>
      <c r="H1225" s="90" t="inlineStr">
        <is>
          <t>Julho/2026</t>
        </is>
      </c>
    </row>
    <row r="1226" ht="14.25" customHeight="1" s="75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15</v>
      </c>
      <c r="E1226" s="115" t="n">
        <v>76.92</v>
      </c>
      <c r="F1226" s="116">
        <f>IFERROR(D1226*E1226,0)</f>
        <v/>
      </c>
      <c r="G1226" s="113">
        <f>INDEX(SETORES!$B:$B,MATCH(A1226,SETORES!$A:$A,0))</f>
        <v/>
      </c>
      <c r="H1226" s="113" t="inlineStr">
        <is>
          <t>Julho/2026</t>
        </is>
      </c>
    </row>
    <row r="1227" ht="14.25" customHeight="1" s="75">
      <c r="A1227" s="90" t="inlineStr">
        <is>
          <t>Logística</t>
        </is>
      </c>
      <c r="B1227" s="90" t="inlineStr">
        <is>
          <t>Custo Fixo</t>
        </is>
      </c>
      <c r="C1227" s="90" t="inlineStr">
        <is>
          <t>Licença de e-mail corporativo</t>
        </is>
      </c>
      <c r="D1227" s="117" t="n">
        <v>3</v>
      </c>
      <c r="E1227" s="118" t="n">
        <v>50</v>
      </c>
      <c r="F1227" s="96">
        <f>IFERROR(D1227*E1227,0)</f>
        <v/>
      </c>
      <c r="G1227" s="90">
        <f>INDEX(SETORES!$B:$B,MATCH(A1227,SETORES!$A:$A,0))</f>
        <v/>
      </c>
      <c r="H1227" s="90" t="inlineStr">
        <is>
          <t>Julho/2026</t>
        </is>
      </c>
    </row>
    <row r="1228" ht="14.25" customHeight="1" s="75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t="14.25" customHeight="1" s="75">
      <c r="A1229" s="90" t="inlineStr">
        <is>
          <t>Logística</t>
        </is>
      </c>
      <c r="B1229" s="90" t="inlineStr">
        <is>
          <t>Custo Fixo</t>
        </is>
      </c>
      <c r="C1229" s="90" t="inlineStr">
        <is>
          <t>Gympass</t>
        </is>
      </c>
      <c r="D1229" s="117" t="n">
        <v>15</v>
      </c>
      <c r="E1229" s="118" t="n">
        <v>9.92</v>
      </c>
      <c r="F1229" s="96">
        <f>IFERROR(D1229*E1229,0)</f>
        <v/>
      </c>
      <c r="G1229" s="90">
        <f>INDEX(SETORES!$B:$B,MATCH(A1229,SETORES!$A:$A,0))</f>
        <v/>
      </c>
      <c r="H1229" s="90" t="inlineStr">
        <is>
          <t>Julho/2026</t>
        </is>
      </c>
    </row>
    <row r="1230" ht="14.25" customHeight="1" s="75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15</v>
      </c>
      <c r="E1230" s="115" t="n">
        <v>2.05</v>
      </c>
      <c r="F1230" s="116">
        <f>IFERROR(D1230*E1230,0)</f>
        <v/>
      </c>
      <c r="G1230" s="113">
        <f>INDEX(SETORES!$B:$B,MATCH(A1230,SETORES!$A:$A,0))</f>
        <v/>
      </c>
      <c r="H1230" s="113" t="inlineStr">
        <is>
          <t>Julho/2026</t>
        </is>
      </c>
    </row>
    <row r="1231" ht="14.25" customHeight="1" s="75">
      <c r="A1231" s="90" t="inlineStr">
        <is>
          <t>Manutenção Predial</t>
        </is>
      </c>
      <c r="B1231" s="90" t="inlineStr">
        <is>
          <t>Custo Fixo</t>
        </is>
      </c>
      <c r="C1231" s="90" t="inlineStr">
        <is>
          <t>Material de escritório (suprimentos de informática)</t>
        </is>
      </c>
      <c r="D1231" s="117" t="n"/>
      <c r="E1231" s="118" t="n"/>
      <c r="F1231" s="96" t="n">
        <v>0</v>
      </c>
      <c r="G1231" s="90">
        <f>INDEX(SETORES!$B:$B,MATCH(A1231,SETORES!$A:$A,0))</f>
        <v/>
      </c>
      <c r="H1231" s="90" t="inlineStr">
        <is>
          <t>Julho/2026</t>
        </is>
      </c>
    </row>
    <row r="1232" ht="14.25" customHeight="1" s="75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t="14.25" customHeight="1" s="75">
      <c r="A1233" s="90" t="inlineStr">
        <is>
          <t>Manutenção Predial</t>
        </is>
      </c>
      <c r="B1233" s="90" t="inlineStr">
        <is>
          <t>Custo Fixo</t>
        </is>
      </c>
      <c r="C1233" s="90" t="inlineStr">
        <is>
          <t>Telefonia móvel corporativa</t>
        </is>
      </c>
      <c r="D1233" s="117" t="n"/>
      <c r="E1233" s="118" t="n"/>
      <c r="F1233" s="96">
        <f>IFERROR(D1233*E1233,0)</f>
        <v/>
      </c>
      <c r="G1233" s="90">
        <f>INDEX(SETORES!$B:$B,MATCH(A1233,SETORES!$A:$A,0))</f>
        <v/>
      </c>
      <c r="H1233" s="90" t="inlineStr">
        <is>
          <t>Julho/2026</t>
        </is>
      </c>
    </row>
    <row r="1234" ht="14.25" customHeight="1" s="75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t="14.25" customHeight="1" s="75">
      <c r="A1235" s="90" t="inlineStr">
        <is>
          <t>Manutenção Predial</t>
        </is>
      </c>
      <c r="B1235" s="90" t="inlineStr">
        <is>
          <t>Custo Variável</t>
        </is>
      </c>
      <c r="C1235" s="90" t="inlineStr">
        <is>
          <t>Investimento de equipamentos (não patrimoniável)</t>
        </is>
      </c>
      <c r="D1235" s="117" t="n"/>
      <c r="E1235" s="118" t="n"/>
      <c r="F1235" s="96">
        <f>IFERROR(D1235*E1235,0)</f>
        <v/>
      </c>
      <c r="G1235" s="90">
        <f>INDEX(SETORES!$B:$B,MATCH(A1235,SETORES!$A:$A,0))</f>
        <v/>
      </c>
      <c r="H1235" s="90" t="inlineStr">
        <is>
          <t>Julho/2026</t>
        </is>
      </c>
    </row>
    <row r="1236" ht="14.25" customHeight="1" s="75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t="14.25" customHeight="1" s="75">
      <c r="A1237" s="90" t="inlineStr">
        <is>
          <t>Manutenção Predial</t>
        </is>
      </c>
      <c r="B1237" s="90" t="inlineStr">
        <is>
          <t>Custo Fixo</t>
        </is>
      </c>
      <c r="C1237" s="90" t="inlineStr">
        <is>
          <t>Licença de e-mail corporativo</t>
        </is>
      </c>
      <c r="D1237" s="117" t="n">
        <v>1</v>
      </c>
      <c r="E1237" s="118" t="n">
        <v>50</v>
      </c>
      <c r="F1237" s="96">
        <f>IFERROR(D1237*E1237,0)</f>
        <v/>
      </c>
      <c r="G1237" s="90">
        <f>INDEX(SETORES!$B:$B,MATCH(A1237,SETORES!$A:$A,0))</f>
        <v/>
      </c>
      <c r="H1237" s="90" t="inlineStr">
        <is>
          <t>Julho/2026</t>
        </is>
      </c>
    </row>
    <row r="1238" ht="14.25" customHeight="1" s="75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t="14.25" customHeight="1" s="75">
      <c r="A1239" s="90" t="inlineStr">
        <is>
          <t>Manutenção Predial</t>
        </is>
      </c>
      <c r="B1239" s="90" t="inlineStr">
        <is>
          <t>Custo Fixo</t>
        </is>
      </c>
      <c r="C1239" s="90" t="inlineStr">
        <is>
          <t>Gympass</t>
        </is>
      </c>
      <c r="D1239" s="117" t="n">
        <v>13</v>
      </c>
      <c r="E1239" s="118" t="n">
        <v>9.92</v>
      </c>
      <c r="F1239" s="96">
        <f>IFERROR(D1239*E1239,0)</f>
        <v/>
      </c>
      <c r="G1239" s="90">
        <f>INDEX(SETORES!$B:$B,MATCH(A1239,SETORES!$A:$A,0))</f>
        <v/>
      </c>
      <c r="H1239" s="90" t="inlineStr">
        <is>
          <t>Julho/2026</t>
        </is>
      </c>
    </row>
    <row r="1240" ht="14.25" customHeight="1" s="75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t="14.25" customHeight="1" s="75">
      <c r="A1241" s="90" t="inlineStr">
        <is>
          <t>NOC</t>
        </is>
      </c>
      <c r="B1241" s="90" t="inlineStr">
        <is>
          <t>Custo Fixo</t>
        </is>
      </c>
      <c r="C1241" s="90" t="inlineStr">
        <is>
          <t>Material de escritório (suprimentos de informática)</t>
        </is>
      </c>
      <c r="D1241" s="117" t="n">
        <v>1</v>
      </c>
      <c r="E1241" s="118" t="n">
        <v>63.1</v>
      </c>
      <c r="F1241" s="96" t="n">
        <v>189.3</v>
      </c>
      <c r="G1241" s="90">
        <f>INDEX(SETORES!$B:$B,MATCH(A1241,SETORES!$A:$A,0))</f>
        <v/>
      </c>
      <c r="H1241" s="90" t="inlineStr">
        <is>
          <t>Julho/2026</t>
        </is>
      </c>
    </row>
    <row r="1242" ht="14.25" customHeight="1" s="75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t="14.25" customHeight="1" s="75">
      <c r="A1243" s="90" t="inlineStr">
        <is>
          <t>NOC</t>
        </is>
      </c>
      <c r="B1243" s="90" t="inlineStr">
        <is>
          <t>Custo Fixo</t>
        </is>
      </c>
      <c r="C1243" s="90" t="inlineStr">
        <is>
          <t>Energia elétrica (rateio)</t>
        </is>
      </c>
      <c r="D1243" s="117" t="n">
        <v>1</v>
      </c>
      <c r="E1243" s="118" t="n">
        <v>41.365</v>
      </c>
      <c r="F1243" s="96" t="n">
        <v>41.365</v>
      </c>
      <c r="G1243" s="90">
        <f>INDEX(SETORES!$B:$B,MATCH(A1243,SETORES!$A:$A,0))</f>
        <v/>
      </c>
      <c r="H1243" s="90" t="inlineStr">
        <is>
          <t>Julho/2026</t>
        </is>
      </c>
    </row>
    <row r="1244" ht="14.25" customHeight="1" s="75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t="14.25" customHeight="1" s="75">
      <c r="A1245" s="90" t="inlineStr">
        <is>
          <t>NOC</t>
        </is>
      </c>
      <c r="B1245" s="90" t="inlineStr">
        <is>
          <t>Custo Fixo</t>
        </is>
      </c>
      <c r="C1245" s="90" t="inlineStr">
        <is>
          <t>Telefonia móvel corporativa</t>
        </is>
      </c>
      <c r="D1245" s="117" t="n"/>
      <c r="E1245" s="118" t="n"/>
      <c r="F1245" s="96">
        <f>IFERROR(D1245*E1245,0)</f>
        <v/>
      </c>
      <c r="G1245" s="90">
        <f>INDEX(SETORES!$B:$B,MATCH(A1245,SETORES!$A:$A,0))</f>
        <v/>
      </c>
      <c r="H1245" s="90" t="inlineStr">
        <is>
          <t>Julho/2026</t>
        </is>
      </c>
    </row>
    <row r="1246" ht="14.25" customHeight="1" s="75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t="14.25" customHeight="1" s="75">
      <c r="A1247" s="90" t="inlineStr">
        <is>
          <t>NOC</t>
        </is>
      </c>
      <c r="B1247" s="90" t="inlineStr">
        <is>
          <t>Custo Fixo</t>
        </is>
      </c>
      <c r="C1247" s="90" t="inlineStr">
        <is>
          <t>Licença de e-mail corporativo</t>
        </is>
      </c>
      <c r="D1247" s="117" t="n">
        <v>6</v>
      </c>
      <c r="E1247" s="118" t="n">
        <v>50</v>
      </c>
      <c r="F1247" s="96">
        <f>IFERROR(D1247*E1247,0)</f>
        <v/>
      </c>
      <c r="G1247" s="90">
        <f>INDEX(SETORES!$B:$B,MATCH(A1247,SETORES!$A:$A,0))</f>
        <v/>
      </c>
      <c r="H1247" s="90" t="inlineStr">
        <is>
          <t>Julho/2026</t>
        </is>
      </c>
    </row>
    <row r="1248" ht="14.25" customHeight="1" s="75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t="14.25" customHeight="1" s="75">
      <c r="A1249" s="90" t="inlineStr">
        <is>
          <t>NOC</t>
        </is>
      </c>
      <c r="B1249" s="90" t="inlineStr">
        <is>
          <t>Custo Fixo</t>
        </is>
      </c>
      <c r="C1249" s="90" t="inlineStr">
        <is>
          <t>Gympass</t>
        </is>
      </c>
      <c r="D1249" s="117" t="n">
        <v>5</v>
      </c>
      <c r="E1249" s="118" t="n">
        <v>9.92</v>
      </c>
      <c r="F1249" s="96">
        <f>IFERROR(D1249*E1249,0)</f>
        <v/>
      </c>
      <c r="G1249" s="90">
        <f>INDEX(SETORES!$B:$B,MATCH(A1249,SETORES!$A:$A,0))</f>
        <v/>
      </c>
      <c r="H1249" s="90" t="inlineStr">
        <is>
          <t>Julho/2026</t>
        </is>
      </c>
    </row>
    <row r="1250" ht="14.25" customHeight="1" s="75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t="14.25" customHeight="1" s="75">
      <c r="A1251" s="90" t="inlineStr">
        <is>
          <t>NRC</t>
        </is>
      </c>
      <c r="B1251" s="90" t="inlineStr">
        <is>
          <t>Custo Fixo</t>
        </is>
      </c>
      <c r="C1251" s="90" t="inlineStr">
        <is>
          <t>Material de escritório (suprimentos de informática)</t>
        </is>
      </c>
      <c r="D1251" s="117" t="n">
        <v>43</v>
      </c>
      <c r="E1251" s="118" t="n">
        <v>0.9851</v>
      </c>
      <c r="F1251" s="96" t="n">
        <v>42.3593</v>
      </c>
      <c r="G1251" s="90">
        <f>INDEX(SETORES!$B:$B,MATCH(A1251,SETORES!$A:$A,0))</f>
        <v/>
      </c>
      <c r="H1251" s="90" t="inlineStr">
        <is>
          <t>Julho/2026</t>
        </is>
      </c>
    </row>
    <row r="1252" ht="14.25" customHeight="1" s="75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t="14.25" customHeight="1" s="75">
      <c r="A1253" s="90" t="inlineStr">
        <is>
          <t>NRC</t>
        </is>
      </c>
      <c r="B1253" s="90" t="inlineStr">
        <is>
          <t>Custo Fixo</t>
        </is>
      </c>
      <c r="C1253" s="90" t="inlineStr">
        <is>
          <t>Energia elétrica (rateio)</t>
        </is>
      </c>
      <c r="D1253" s="117" t="n">
        <v>1</v>
      </c>
      <c r="E1253" s="118" t="n">
        <v>355.739</v>
      </c>
      <c r="F1253" s="96" t="n">
        <v>355.739</v>
      </c>
      <c r="G1253" s="90">
        <f>INDEX(SETORES!$B:$B,MATCH(A1253,SETORES!$A:$A,0))</f>
        <v/>
      </c>
      <c r="H1253" s="90" t="inlineStr">
        <is>
          <t>Julho/2026</t>
        </is>
      </c>
    </row>
    <row r="1254" ht="14.25" customHeight="1" s="75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t="14.25" customHeight="1" s="75">
      <c r="A1255" s="90" t="inlineStr">
        <is>
          <t>NRC</t>
        </is>
      </c>
      <c r="B1255" s="90" t="inlineStr">
        <is>
          <t>Custo Fixo</t>
        </is>
      </c>
      <c r="C1255" s="90" t="inlineStr">
        <is>
          <t>Telefonia móvel corporativa</t>
        </is>
      </c>
      <c r="D1255" s="117" t="n"/>
      <c r="E1255" s="118" t="n"/>
      <c r="F1255" s="96">
        <f>IFERROR(D1255*E1255,0)</f>
        <v/>
      </c>
      <c r="G1255" s="90">
        <f>INDEX(SETORES!$B:$B,MATCH(A1255,SETORES!$A:$A,0))</f>
        <v/>
      </c>
      <c r="H1255" s="90" t="inlineStr">
        <is>
          <t>Julho/2026</t>
        </is>
      </c>
    </row>
    <row r="1256" ht="14.25" customHeight="1" s="75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t="14.25" customHeight="1" s="75">
      <c r="A1257" s="90" t="inlineStr">
        <is>
          <t>NRC</t>
        </is>
      </c>
      <c r="B1257" s="90" t="inlineStr">
        <is>
          <t>Custo Fixo</t>
        </is>
      </c>
      <c r="C1257" s="90" t="inlineStr">
        <is>
          <t>Licenças de software/sistemas corporativos</t>
        </is>
      </c>
      <c r="D1257" s="117" t="n"/>
      <c r="E1257" s="118" t="n"/>
      <c r="F1257" s="96">
        <f>IFERROR(D1257*E1257,0)</f>
        <v/>
      </c>
      <c r="G1257" s="90">
        <f>INDEX(SETORES!$B:$B,MATCH(A1257,SETORES!$A:$A,0))</f>
        <v/>
      </c>
      <c r="H1257" s="90" t="inlineStr">
        <is>
          <t>Julho/2026</t>
        </is>
      </c>
    </row>
    <row r="1258" ht="14.25" customHeight="1" s="75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t="14.25" customHeight="1" s="75">
      <c r="A1259" s="90" t="inlineStr">
        <is>
          <t>NRC</t>
        </is>
      </c>
      <c r="B1259" s="90" t="inlineStr">
        <is>
          <t>Custo Variável</t>
        </is>
      </c>
      <c r="C1259" s="90" t="inlineStr">
        <is>
          <t>Fardamento substituição</t>
        </is>
      </c>
      <c r="D1259" s="117" t="n"/>
      <c r="E1259" s="118" t="n"/>
      <c r="F1259" s="96">
        <f>IFERROR(D1259*E1259,0)</f>
        <v/>
      </c>
      <c r="G1259" s="90">
        <f>INDEX(SETORES!$B:$B,MATCH(A1259,SETORES!$A:$A,0))</f>
        <v/>
      </c>
      <c r="H1259" s="90" t="inlineStr">
        <is>
          <t>Julho/2026</t>
        </is>
      </c>
    </row>
    <row r="1260" ht="14.25" customHeight="1" s="75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t="14.25" customHeight="1" s="75">
      <c r="A1261" s="90" t="inlineStr">
        <is>
          <t>NRC</t>
        </is>
      </c>
      <c r="B1261" s="90" t="inlineStr">
        <is>
          <t>Custo Fixo</t>
        </is>
      </c>
      <c r="C1261" s="90" t="inlineStr">
        <is>
          <t>Licença de e-mail corporativo</t>
        </is>
      </c>
      <c r="D1261" s="117" t="n">
        <v>7</v>
      </c>
      <c r="E1261" s="118" t="n">
        <v>50</v>
      </c>
      <c r="F1261" s="96">
        <f>IFERROR(D1261*E1261,0)</f>
        <v/>
      </c>
      <c r="G1261" s="90">
        <f>INDEX(SETORES!$B:$B,MATCH(A1261,SETORES!$A:$A,0))</f>
        <v/>
      </c>
      <c r="H1261" s="90" t="inlineStr">
        <is>
          <t>Julho/2026</t>
        </is>
      </c>
    </row>
    <row r="1262" ht="14.25" customHeight="1" s="75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t="14.25" customHeight="1" s="75">
      <c r="A1263" s="90" t="inlineStr">
        <is>
          <t>NRC</t>
        </is>
      </c>
      <c r="B1263" s="90" t="inlineStr">
        <is>
          <t>Custo Fixo</t>
        </is>
      </c>
      <c r="C1263" s="90" t="inlineStr">
        <is>
          <t>Impressora (rateio equipe Relacionamento)</t>
        </is>
      </c>
      <c r="D1263" s="117" t="n">
        <v>1</v>
      </c>
      <c r="E1263" s="118" t="n">
        <v>9.022948</v>
      </c>
      <c r="F1263" s="96">
        <f>IFERROR(D1263*E1263,0)</f>
        <v/>
      </c>
      <c r="G1263" s="90">
        <f>INDEX(SETORES!$B:$B,MATCH(A1263,SETORES!$A:$A,0))</f>
        <v/>
      </c>
      <c r="H1263" s="90" t="inlineStr">
        <is>
          <t>Julho/2026</t>
        </is>
      </c>
    </row>
    <row r="1264" ht="14.25" customHeight="1" s="75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t="14.25" customHeight="1" s="75">
      <c r="A1265" s="90" t="inlineStr">
        <is>
          <t>NRC</t>
        </is>
      </c>
      <c r="B1265" s="90" t="inlineStr">
        <is>
          <t>Custo Fixo</t>
        </is>
      </c>
      <c r="C1265" s="90" t="inlineStr">
        <is>
          <t>Stargrid</t>
        </is>
      </c>
      <c r="D1265" s="117" t="n">
        <v>43</v>
      </c>
      <c r="E1265" s="118" t="n">
        <v>2.05</v>
      </c>
      <c r="F1265" s="96">
        <f>IFERROR(D1265*E1265,0)</f>
        <v/>
      </c>
      <c r="G1265" s="90">
        <f>INDEX(SETORES!$B:$B,MATCH(A1265,SETORES!$A:$A,0))</f>
        <v/>
      </c>
      <c r="H1265" s="90" t="inlineStr">
        <is>
          <t>Julho/2026</t>
        </is>
      </c>
    </row>
    <row r="1266" ht="14.25" customHeight="1" s="75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t="14.25" customHeight="1" s="75">
      <c r="A1267" s="90" t="inlineStr">
        <is>
          <t>Obras</t>
        </is>
      </c>
      <c r="B1267" s="90" t="inlineStr">
        <is>
          <t>Custo Fixo</t>
        </is>
      </c>
      <c r="C1267" s="90" t="inlineStr">
        <is>
          <t>Folha de pagamento (salários)</t>
        </is>
      </c>
      <c r="D1267" s="117" t="n">
        <v>1</v>
      </c>
      <c r="E1267" s="118" t="n">
        <v>154792.47</v>
      </c>
      <c r="F1267" s="96">
        <f>IFERROR(E1267,0)</f>
        <v/>
      </c>
      <c r="G1267" s="90">
        <f>INDEX(SETORES!$B:$B,MATCH(A1267,SETORES!$A:$A,0))</f>
        <v/>
      </c>
      <c r="H1267" s="90" t="inlineStr">
        <is>
          <t>Julho/2026</t>
        </is>
      </c>
    </row>
    <row r="1268" ht="14.25" customHeight="1" s="75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t="14.25" customHeight="1" s="75">
      <c r="A1269" s="90" t="inlineStr">
        <is>
          <t>Obras</t>
        </is>
      </c>
      <c r="B1269" s="90" t="inlineStr">
        <is>
          <t>Custo Variável</t>
        </is>
      </c>
      <c r="C1269" s="90" t="inlineStr">
        <is>
          <t>EPIs - Equipamento de Proteção Individual</t>
        </is>
      </c>
      <c r="D1269" s="117" t="n">
        <v>1</v>
      </c>
      <c r="E1269" s="118" t="n">
        <v>749.1</v>
      </c>
      <c r="F1269" s="96">
        <f>IFERROR(D1269*E1269,0)</f>
        <v/>
      </c>
      <c r="G1269" s="90">
        <f>INDEX(SETORES!$B:$B,MATCH(A1269,SETORES!$A:$A,0))</f>
        <v/>
      </c>
      <c r="H1269" s="90" t="inlineStr">
        <is>
          <t>Julho/2026</t>
        </is>
      </c>
    </row>
    <row r="1270" ht="14.25" customHeight="1" s="75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t="14.25" customHeight="1" s="75">
      <c r="A1271" s="90" t="inlineStr">
        <is>
          <t>Obras</t>
        </is>
      </c>
      <c r="B1271" s="90" t="inlineStr">
        <is>
          <t>Custo Fixo</t>
        </is>
      </c>
      <c r="C1271" s="90" t="inlineStr">
        <is>
          <t>Licença de e-mail corporativo</t>
        </is>
      </c>
      <c r="D1271" s="117" t="n"/>
      <c r="E1271" s="118" t="n"/>
      <c r="F1271" s="96">
        <f>IFERROR(D1271*E1271,0)</f>
        <v/>
      </c>
      <c r="G1271" s="90">
        <f>INDEX(SETORES!$B:$B,MATCH(A1271,SETORES!$A:$A,0))</f>
        <v/>
      </c>
      <c r="H1271" s="90" t="inlineStr">
        <is>
          <t>Julho/2026</t>
        </is>
      </c>
    </row>
    <row r="1272" ht="14.25" customHeight="1" s="75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t="14.25" customHeight="1" s="75">
      <c r="A1273" s="90" t="inlineStr">
        <is>
          <t>Obras</t>
        </is>
      </c>
      <c r="B1273" s="90" t="inlineStr">
        <is>
          <t>Custo Fixo</t>
        </is>
      </c>
      <c r="C1273" s="90" t="inlineStr">
        <is>
          <t>Gympass</t>
        </is>
      </c>
      <c r="D1273" s="117" t="n">
        <v>23</v>
      </c>
      <c r="E1273" s="118" t="n">
        <v>9.92</v>
      </c>
      <c r="F1273" s="96">
        <f>IFERROR(D1273*E1273,0)</f>
        <v/>
      </c>
      <c r="G1273" s="90">
        <f>INDEX(SETORES!$B:$B,MATCH(A1273,SETORES!$A:$A,0))</f>
        <v/>
      </c>
      <c r="H1273" s="90" t="inlineStr">
        <is>
          <t>Julho/2026</t>
        </is>
      </c>
    </row>
    <row r="1274" ht="14.25" customHeight="1" s="75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t="14.25" customHeight="1" s="75">
      <c r="A1275" s="90" t="inlineStr">
        <is>
          <t>Oficina</t>
        </is>
      </c>
      <c r="B1275" s="90" t="inlineStr">
        <is>
          <t>Custo Fixo</t>
        </is>
      </c>
      <c r="C1275" s="90" t="inlineStr">
        <is>
          <t>Material de escritório (suprimentos de informática)</t>
        </is>
      </c>
      <c r="D1275" s="117" t="n"/>
      <c r="E1275" s="118" t="n"/>
      <c r="F1275" s="96" t="n">
        <v>0</v>
      </c>
      <c r="G1275" s="90">
        <f>INDEX(SETORES!$B:$B,MATCH(A1275,SETORES!$A:$A,0))</f>
        <v/>
      </c>
      <c r="H1275" s="90" t="inlineStr">
        <is>
          <t>Julho/2026</t>
        </is>
      </c>
    </row>
    <row r="1276" ht="14.25" customHeight="1" s="75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t="14.25" customHeight="1" s="75">
      <c r="A1277" s="90" t="inlineStr">
        <is>
          <t>Oficina</t>
        </is>
      </c>
      <c r="B1277" s="90" t="inlineStr">
        <is>
          <t>Custo Fixo</t>
        </is>
      </c>
      <c r="C1277" s="90" t="inlineStr">
        <is>
          <t>Software da oficina (soutech soluções)</t>
        </is>
      </c>
      <c r="D1277" s="117" t="n">
        <v>1</v>
      </c>
      <c r="E1277" s="118" t="n">
        <v>1800</v>
      </c>
      <c r="F1277" s="96">
        <f>IFERROR(D1277*E1277,0)</f>
        <v/>
      </c>
      <c r="G1277" s="90">
        <f>INDEX(SETORES!$B:$B,MATCH(A1277,SETORES!$A:$A,0))</f>
        <v/>
      </c>
      <c r="H1277" s="90" t="inlineStr">
        <is>
          <t>Julho/2026</t>
        </is>
      </c>
    </row>
    <row r="1278" ht="14.25" customHeight="1" s="75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t="14.25" customHeight="1" s="75">
      <c r="A1279" s="90" t="inlineStr">
        <is>
          <t>Oficina</t>
        </is>
      </c>
      <c r="B1279" s="90" t="inlineStr">
        <is>
          <t>Custo Fixo</t>
        </is>
      </c>
      <c r="C1279" s="90" t="inlineStr">
        <is>
          <t>Água e esgoto (rateio)</t>
        </is>
      </c>
      <c r="D1279" s="117" t="n">
        <v>4</v>
      </c>
      <c r="E1279" s="118" t="n">
        <v>3.3247</v>
      </c>
      <c r="F1279" s="96" t="n">
        <v>13.2988</v>
      </c>
      <c r="G1279" s="90">
        <f>INDEX(SETORES!$B:$B,MATCH(A1279,SETORES!$A:$A,0))</f>
        <v/>
      </c>
      <c r="H1279" s="90" t="inlineStr">
        <is>
          <t>Julho/2026</t>
        </is>
      </c>
    </row>
    <row r="1280" ht="14.25" customHeight="1" s="75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t="14.25" customHeight="1" s="75">
      <c r="A1281" s="90" t="inlineStr">
        <is>
          <t>Oficina</t>
        </is>
      </c>
      <c r="B1281" s="90" t="inlineStr">
        <is>
          <t>Custo Fixo</t>
        </is>
      </c>
      <c r="C1281" s="90" t="inlineStr">
        <is>
          <t>Folha de pagamento (salários)</t>
        </is>
      </c>
      <c r="D1281" s="117" t="n">
        <v>1</v>
      </c>
      <c r="E1281" s="118" t="n">
        <v>23068.3</v>
      </c>
      <c r="F1281" s="96">
        <f>IFERROR(E1281,0)</f>
        <v/>
      </c>
      <c r="G1281" s="90">
        <f>INDEX(SETORES!$B:$B,MATCH(A1281,SETORES!$A:$A,0))</f>
        <v/>
      </c>
      <c r="H1281" s="90" t="inlineStr">
        <is>
          <t>Julho/2026</t>
        </is>
      </c>
    </row>
    <row r="1282" ht="14.25" customHeight="1" s="75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t="14.25" customHeight="1" s="75">
      <c r="A1283" s="90" t="inlineStr">
        <is>
          <t>Oficina</t>
        </is>
      </c>
      <c r="B1283" s="90" t="inlineStr">
        <is>
          <t>Custo Variável</t>
        </is>
      </c>
      <c r="C1283" s="90" t="inlineStr">
        <is>
          <t>Manutenção de veículos</t>
        </is>
      </c>
      <c r="D1283" s="117" t="n"/>
      <c r="E1283" s="118" t="n"/>
      <c r="F1283" s="96">
        <f>IFERROR(D1283*E1283,0)</f>
        <v/>
      </c>
      <c r="G1283" s="90">
        <f>INDEX(SETORES!$B:$B,MATCH(A1283,SETORES!$A:$A,0))</f>
        <v/>
      </c>
      <c r="H1283" s="90" t="inlineStr">
        <is>
          <t>Julho/2026</t>
        </is>
      </c>
    </row>
    <row r="1284" ht="14.25" customHeight="1" s="75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t="14.25" customHeight="1" s="75">
      <c r="A1285" s="90" t="inlineStr">
        <is>
          <t>Oficina</t>
        </is>
      </c>
      <c r="B1285" s="90" t="inlineStr">
        <is>
          <t>Custo Fixo</t>
        </is>
      </c>
      <c r="C1285" s="90" t="inlineStr">
        <is>
          <t>Gympass</t>
        </is>
      </c>
      <c r="D1285" s="117" t="n">
        <v>4</v>
      </c>
      <c r="E1285" s="118" t="n">
        <v>9.92</v>
      </c>
      <c r="F1285" s="96">
        <f>IFERROR(D1285*E1285,0)</f>
        <v/>
      </c>
      <c r="G1285" s="90">
        <f>INDEX(SETORES!$B:$B,MATCH(A1285,SETORES!$A:$A,0))</f>
        <v/>
      </c>
      <c r="H1285" s="90" t="inlineStr">
        <is>
          <t>Julho/2026</t>
        </is>
      </c>
    </row>
    <row r="1286" ht="14.25" customHeight="1" s="75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t="14.25" customHeight="1" s="75">
      <c r="A1287" s="90" t="inlineStr">
        <is>
          <t>RH</t>
        </is>
      </c>
      <c r="B1287" s="90" t="inlineStr">
        <is>
          <t>Custo Fixo</t>
        </is>
      </c>
      <c r="C1287" s="90" t="inlineStr">
        <is>
          <t>Material de escritório (suprimentos de informática)</t>
        </is>
      </c>
      <c r="D1287" s="117" t="n"/>
      <c r="E1287" s="118" t="n"/>
      <c r="F1287" s="96" t="n">
        <v>0</v>
      </c>
      <c r="G1287" s="90">
        <f>INDEX(SETORES!$B:$B,MATCH(A1287,SETORES!$A:$A,0))</f>
        <v/>
      </c>
      <c r="H1287" s="90" t="inlineStr">
        <is>
          <t>Julho/2026</t>
        </is>
      </c>
    </row>
    <row r="1288" ht="14.25" customHeight="1" s="75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t="14.25" customHeight="1" s="75">
      <c r="A1289" s="90" t="inlineStr">
        <is>
          <t>RH</t>
        </is>
      </c>
      <c r="B1289" s="90" t="inlineStr">
        <is>
          <t>Custo Fixo</t>
        </is>
      </c>
      <c r="C1289" s="90" t="inlineStr">
        <is>
          <t>Energia elétrica (rateio)</t>
        </is>
      </c>
      <c r="D1289" s="117" t="n">
        <v>1</v>
      </c>
      <c r="E1289" s="118" t="n">
        <v>49.638</v>
      </c>
      <c r="F1289" s="96" t="n">
        <v>49.638</v>
      </c>
      <c r="G1289" s="90">
        <f>INDEX(SETORES!$B:$B,MATCH(A1289,SETORES!$A:$A,0))</f>
        <v/>
      </c>
      <c r="H1289" s="90" t="inlineStr">
        <is>
          <t>Julho/2026</t>
        </is>
      </c>
    </row>
    <row r="1290" ht="14.25" customHeight="1" s="75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t="14.25" customHeight="1" s="75">
      <c r="A1291" s="90" t="inlineStr">
        <is>
          <t>RH</t>
        </is>
      </c>
      <c r="B1291" s="90" t="inlineStr">
        <is>
          <t>Custo Fixo</t>
        </is>
      </c>
      <c r="C1291" s="90" t="inlineStr">
        <is>
          <t>Telefonia móvel corporativa</t>
        </is>
      </c>
      <c r="D1291" s="117" t="n"/>
      <c r="E1291" s="118" t="n"/>
      <c r="F1291" s="96">
        <f>IFERROR(D1291*E1291,0)</f>
        <v/>
      </c>
      <c r="G1291" s="90">
        <f>INDEX(SETORES!$B:$B,MATCH(A1291,SETORES!$A:$A,0))</f>
        <v/>
      </c>
      <c r="H1291" s="90" t="inlineStr">
        <is>
          <t>Julho/2026</t>
        </is>
      </c>
    </row>
    <row r="1292" ht="14.25" customHeight="1" s="75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t="14.25" customHeight="1" s="75">
      <c r="A1293" s="90" t="inlineStr">
        <is>
          <t>RH</t>
        </is>
      </c>
      <c r="B1293" s="90" t="inlineStr">
        <is>
          <t>Custo Variável</t>
        </is>
      </c>
      <c r="C1293" s="90" t="inlineStr">
        <is>
          <t>Fardamento novo (compra corporativa)</t>
        </is>
      </c>
      <c r="D1293" s="117" t="n">
        <v>4</v>
      </c>
      <c r="E1293" s="118" t="n">
        <v>45</v>
      </c>
      <c r="F1293" s="96">
        <f>IFERROR(D1293*E1293,0)</f>
        <v/>
      </c>
      <c r="G1293" s="90">
        <f>INDEX(SETORES!$B:$B,MATCH(A1293,SETORES!$A:$A,0))</f>
        <v/>
      </c>
      <c r="H1293" s="90" t="inlineStr">
        <is>
          <t>Julho/2026</t>
        </is>
      </c>
    </row>
    <row r="1294" ht="14.25" customHeight="1" s="75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t="14.25" customHeight="1" s="75">
      <c r="A1295" s="90" t="inlineStr">
        <is>
          <t>RH</t>
        </is>
      </c>
      <c r="B1295" s="90" t="inlineStr">
        <is>
          <t>Custo Fixo</t>
        </is>
      </c>
      <c r="C1295" s="90" t="inlineStr">
        <is>
          <t>Treinamento e capacitação</t>
        </is>
      </c>
      <c r="D1295" s="117" t="n"/>
      <c r="E1295" s="118" t="n"/>
      <c r="F1295" s="96">
        <f>IFERROR(D1295*E1295,0)</f>
        <v/>
      </c>
      <c r="G1295" s="90">
        <f>INDEX(SETORES!$B:$B,MATCH(A1295,SETORES!$A:$A,0))</f>
        <v/>
      </c>
      <c r="H1295" s="90" t="inlineStr">
        <is>
          <t>Julho/2026</t>
        </is>
      </c>
    </row>
    <row r="1296" ht="14.25" customHeight="1" s="75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t="14.25" customHeight="1" s="75">
      <c r="A1297" s="90" t="inlineStr">
        <is>
          <t>RH</t>
        </is>
      </c>
      <c r="B1297" s="90" t="inlineStr">
        <is>
          <t>Custo Fixo</t>
        </is>
      </c>
      <c r="C1297" s="90" t="inlineStr">
        <is>
          <t>Ações de endomarketing</t>
        </is>
      </c>
      <c r="D1297" s="117" t="n"/>
      <c r="E1297" s="118" t="n"/>
      <c r="F1297" s="96">
        <f>IFERROR(D1297*E1297,0)</f>
        <v/>
      </c>
      <c r="G1297" s="90">
        <f>INDEX(SETORES!$B:$B,MATCH(A1297,SETORES!$A:$A,0))</f>
        <v/>
      </c>
      <c r="H1297" s="90" t="inlineStr">
        <is>
          <t>Julho/2026</t>
        </is>
      </c>
    </row>
    <row r="1298" ht="14.25" customHeight="1" s="75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t="14.25" customHeight="1" s="75">
      <c r="A1299" s="90" t="inlineStr">
        <is>
          <t>RH</t>
        </is>
      </c>
      <c r="B1299" s="90" t="inlineStr">
        <is>
          <t>Custo Fixo</t>
        </is>
      </c>
      <c r="C1299" s="90" t="inlineStr">
        <is>
          <t>Licença de e-mail corporativo</t>
        </is>
      </c>
      <c r="D1299" s="117" t="n">
        <v>6</v>
      </c>
      <c r="E1299" s="118" t="n">
        <v>50</v>
      </c>
      <c r="F1299" s="96">
        <f>IFERROR(D1299*E1299,0)</f>
        <v/>
      </c>
      <c r="G1299" s="90">
        <f>INDEX(SETORES!$B:$B,MATCH(A1299,SETORES!$A:$A,0))</f>
        <v/>
      </c>
      <c r="H1299" s="90" t="inlineStr">
        <is>
          <t>Julho/2026</t>
        </is>
      </c>
    </row>
    <row r="1300" ht="14.25" customHeight="1" s="75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t="14.25" customHeight="1" s="75">
      <c r="A1301" s="90" t="inlineStr">
        <is>
          <t>RH</t>
        </is>
      </c>
      <c r="B1301" s="90" t="inlineStr">
        <is>
          <t>Custo Fixo</t>
        </is>
      </c>
      <c r="C1301" s="90" t="inlineStr">
        <is>
          <t>Gympass</t>
        </is>
      </c>
      <c r="D1301" s="117" t="n">
        <v>6</v>
      </c>
      <c r="E1301" s="118" t="n">
        <v>9.92</v>
      </c>
      <c r="F1301" s="96">
        <f>IFERROR(D1301*E1301,0)</f>
        <v/>
      </c>
      <c r="G1301" s="90">
        <f>INDEX(SETORES!$B:$B,MATCH(A1301,SETORES!$A:$A,0))</f>
        <v/>
      </c>
      <c r="H1301" s="90" t="inlineStr">
        <is>
          <t>Julho/2026</t>
        </is>
      </c>
    </row>
    <row r="1302" ht="14.25" customHeight="1" s="75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t="14.25" customHeight="1" s="75">
      <c r="A1303" s="90" t="inlineStr">
        <is>
          <t>Retenção</t>
        </is>
      </c>
      <c r="B1303" s="90" t="inlineStr">
        <is>
          <t>Custo Fixo</t>
        </is>
      </c>
      <c r="C1303" s="90" t="inlineStr">
        <is>
          <t>Material de escritório (suprimentos de informática)</t>
        </is>
      </c>
      <c r="D1303" s="117" t="n">
        <v>12</v>
      </c>
      <c r="E1303" s="118" t="n">
        <v>0.9851</v>
      </c>
      <c r="F1303" s="96" t="n">
        <v>11.8212</v>
      </c>
      <c r="G1303" s="90">
        <f>INDEX(SETORES!$B:$B,MATCH(A1303,SETORES!$A:$A,0))</f>
        <v/>
      </c>
      <c r="H1303" s="90" t="inlineStr">
        <is>
          <t>Julho/2026</t>
        </is>
      </c>
    </row>
    <row r="1304" ht="14.25" customHeight="1" s="75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t="14.25" customHeight="1" s="75">
      <c r="A1305" s="90" t="inlineStr">
        <is>
          <t>Retenção</t>
        </is>
      </c>
      <c r="B1305" s="90" t="inlineStr">
        <is>
          <t>Custo Fixo</t>
        </is>
      </c>
      <c r="C1305" s="90" t="inlineStr">
        <is>
          <t>Energia elétrica (rateio)</t>
        </is>
      </c>
      <c r="D1305" s="117" t="n">
        <v>1</v>
      </c>
      <c r="E1305" s="118" t="n">
        <v>99.276</v>
      </c>
      <c r="F1305" s="96" t="n">
        <v>99.276</v>
      </c>
      <c r="G1305" s="90">
        <f>INDEX(SETORES!$B:$B,MATCH(A1305,SETORES!$A:$A,0))</f>
        <v/>
      </c>
      <c r="H1305" s="90" t="inlineStr">
        <is>
          <t>Julho/2026</t>
        </is>
      </c>
    </row>
    <row r="1306" ht="14.25" customHeight="1" s="75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t="14.25" customHeight="1" s="75">
      <c r="A1307" s="90" t="inlineStr">
        <is>
          <t>Retenção</t>
        </is>
      </c>
      <c r="B1307" s="90" t="inlineStr">
        <is>
          <t>Custo Fixo</t>
        </is>
      </c>
      <c r="C1307" s="90" t="inlineStr">
        <is>
          <t>Telefonia móvel corporativa</t>
        </is>
      </c>
      <c r="D1307" s="117" t="n"/>
      <c r="E1307" s="118" t="n"/>
      <c r="F1307" s="96">
        <f>IFERROR(D1307*E1307,0)</f>
        <v/>
      </c>
      <c r="G1307" s="90">
        <f>INDEX(SETORES!$B:$B,MATCH(A1307,SETORES!$A:$A,0))</f>
        <v/>
      </c>
      <c r="H1307" s="90" t="inlineStr">
        <is>
          <t>Julho/2026</t>
        </is>
      </c>
    </row>
    <row r="1308" ht="14.25" customHeight="1" s="75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t="14.25" customHeight="1" s="75">
      <c r="A1309" s="90" t="inlineStr">
        <is>
          <t>Retenção</t>
        </is>
      </c>
      <c r="B1309" s="90" t="inlineStr">
        <is>
          <t>Custo Variável</t>
        </is>
      </c>
      <c r="C1309" s="90" t="inlineStr">
        <is>
          <t>Fardamento novo</t>
        </is>
      </c>
      <c r="D1309" s="117" t="n"/>
      <c r="E1309" s="118" t="n"/>
      <c r="F1309" s="96">
        <f>IFERROR(D1309*E1309,0)</f>
        <v/>
      </c>
      <c r="G1309" s="90">
        <f>INDEX(SETORES!$B:$B,MATCH(A1309,SETORES!$A:$A,0))</f>
        <v/>
      </c>
      <c r="H1309" s="90" t="inlineStr">
        <is>
          <t>Julho/2026</t>
        </is>
      </c>
    </row>
    <row r="1310" ht="14.25" customHeight="1" s="75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t="14.25" customHeight="1" s="75">
      <c r="A1311" s="90" t="inlineStr">
        <is>
          <t>Retenção</t>
        </is>
      </c>
      <c r="B1311" s="90" t="inlineStr">
        <is>
          <t>Custo Variável</t>
        </is>
      </c>
      <c r="C1311" s="90" t="inlineStr">
        <is>
          <t>Rescisões trabalhistas</t>
        </is>
      </c>
      <c r="D1311" s="117" t="n">
        <v>1</v>
      </c>
      <c r="E1311" s="118" t="n">
        <v>10389.2</v>
      </c>
      <c r="F1311" s="96">
        <f>IFERROR(D1311*E1311,0)</f>
        <v/>
      </c>
      <c r="G1311" s="90">
        <f>INDEX(SETORES!$B:$B,MATCH(A1311,SETORES!$A:$A,0))</f>
        <v/>
      </c>
      <c r="H1311" s="90" t="inlineStr">
        <is>
          <t>Julho/2026</t>
        </is>
      </c>
    </row>
    <row r="1312" ht="14.25" customHeight="1" s="75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t="14.25" customHeight="1" s="75">
      <c r="A1313" s="90" t="inlineStr">
        <is>
          <t>Retenção</t>
        </is>
      </c>
      <c r="B1313" s="90" t="inlineStr">
        <is>
          <t>Custo Fixo</t>
        </is>
      </c>
      <c r="C1313" s="90" t="inlineStr">
        <is>
          <t>Software MATRIX (rateio equipe Relacionamento)</t>
        </is>
      </c>
      <c r="D1313" s="117" t="n">
        <v>1</v>
      </c>
      <c r="E1313" s="118" t="n">
        <v>664.113444</v>
      </c>
      <c r="F1313" s="96">
        <f>IFERROR(D1313*E1313,0)</f>
        <v/>
      </c>
      <c r="G1313" s="90">
        <f>INDEX(SETORES!$B:$B,MATCH(A1313,SETORES!$A:$A,0))</f>
        <v/>
      </c>
      <c r="H1313" s="90" t="inlineStr">
        <is>
          <t>Julho/2026</t>
        </is>
      </c>
    </row>
    <row r="1314" ht="14.25" customHeight="1" s="75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t="14.25" customHeight="1" s="75">
      <c r="A1315" s="90" t="inlineStr">
        <is>
          <t>Retenção</t>
        </is>
      </c>
      <c r="B1315" s="90" t="inlineStr">
        <is>
          <t>Custo Fixo</t>
        </is>
      </c>
      <c r="C1315" s="90" t="inlineStr">
        <is>
          <t>Gympass</t>
        </is>
      </c>
      <c r="D1315" s="117" t="n">
        <v>12</v>
      </c>
      <c r="E1315" s="118" t="n">
        <v>9.92</v>
      </c>
      <c r="F1315" s="96">
        <f>IFERROR(D1315*E1315,0)</f>
        <v/>
      </c>
      <c r="G1315" s="90">
        <f>INDEX(SETORES!$B:$B,MATCH(A1315,SETORES!$A:$A,0))</f>
        <v/>
      </c>
      <c r="H1315" s="90" t="inlineStr">
        <is>
          <t>Julho/2026</t>
        </is>
      </c>
    </row>
    <row r="1316" ht="14.25" customHeight="1" s="75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t="14.25" customHeight="1" s="75">
      <c r="A1317" s="90" t="inlineStr">
        <is>
          <t>Segurança do Trabalho</t>
        </is>
      </c>
      <c r="B1317" s="90" t="inlineStr">
        <is>
          <t>Custo Fixo</t>
        </is>
      </c>
      <c r="C1317" s="90" t="inlineStr">
        <is>
          <t>Material de escritório (suprimentos de informática)</t>
        </is>
      </c>
      <c r="D1317" s="117" t="n"/>
      <c r="E1317" s="118" t="n"/>
      <c r="F1317" s="96" t="n">
        <v>0</v>
      </c>
      <c r="G1317" s="90">
        <f>INDEX(SETORES!$B:$B,MATCH(A1317,SETORES!$A:$A,0))</f>
        <v/>
      </c>
      <c r="H1317" s="90" t="inlineStr">
        <is>
          <t>Julho/2026</t>
        </is>
      </c>
    </row>
    <row r="1318" ht="14.25" customHeight="1" s="75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t="14.25" customHeight="1" s="75">
      <c r="A1319" s="90" t="inlineStr">
        <is>
          <t>Segurança do Trabalho</t>
        </is>
      </c>
      <c r="B1319" s="90" t="inlineStr">
        <is>
          <t>Custo Fixo</t>
        </is>
      </c>
      <c r="C1319" s="90" t="inlineStr">
        <is>
          <t>Energia elétrica (rateio)</t>
        </is>
      </c>
      <c r="D1319" s="117" t="n">
        <v>9</v>
      </c>
      <c r="E1319" s="118" t="n">
        <v>21.2582</v>
      </c>
      <c r="F1319" s="96" t="n">
        <v>191.3238</v>
      </c>
      <c r="G1319" s="90">
        <f>INDEX(SETORES!$B:$B,MATCH(A1319,SETORES!$A:$A,0))</f>
        <v/>
      </c>
      <c r="H1319" s="90" t="inlineStr">
        <is>
          <t>Julho/2026</t>
        </is>
      </c>
    </row>
    <row r="1320" ht="14.25" customHeight="1" s="75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t="14.25" customHeight="1" s="75">
      <c r="A1321" s="90" t="inlineStr">
        <is>
          <t>Segurança do Trabalho</t>
        </is>
      </c>
      <c r="B1321" s="90" t="inlineStr">
        <is>
          <t>Custo Fixo</t>
        </is>
      </c>
      <c r="C1321" s="90" t="inlineStr">
        <is>
          <t>Telefonia móvel corporativa</t>
        </is>
      </c>
      <c r="D1321" s="117" t="n"/>
      <c r="E1321" s="118" t="n"/>
      <c r="F1321" s="96">
        <f>IFERROR(D1321*E1321,0)</f>
        <v/>
      </c>
      <c r="G1321" s="90">
        <f>INDEX(SETORES!$B:$B,MATCH(A1321,SETORES!$A:$A,0))</f>
        <v/>
      </c>
      <c r="H1321" s="90" t="inlineStr">
        <is>
          <t>Julho/2026</t>
        </is>
      </c>
    </row>
    <row r="1322" ht="14.25" customHeight="1" s="75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t="14.25" customHeight="1" s="75">
      <c r="A1323" s="90" t="inlineStr">
        <is>
          <t>Segurança do Trabalho</t>
        </is>
      </c>
      <c r="B1323" s="90" t="inlineStr">
        <is>
          <t>Custo Variável</t>
        </is>
      </c>
      <c r="C1323" s="90" t="inlineStr">
        <is>
          <t>EPIs - Equipamento de Proteção Individual</t>
        </is>
      </c>
      <c r="D1323" s="117" t="n"/>
      <c r="E1323" s="118" t="n"/>
      <c r="F1323" s="96">
        <f>IFERROR(D1323*E1323,0)</f>
        <v/>
      </c>
      <c r="G1323" s="90">
        <f>INDEX(SETORES!$B:$B,MATCH(A1323,SETORES!$A:$A,0))</f>
        <v/>
      </c>
      <c r="H1323" s="90" t="inlineStr">
        <is>
          <t>Julho/2026</t>
        </is>
      </c>
    </row>
    <row r="1324" ht="14.25" customHeight="1" s="75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t="14.25" customHeight="1" s="75">
      <c r="A1325" s="90" t="inlineStr">
        <is>
          <t>NRC</t>
        </is>
      </c>
      <c r="B1325" s="90" t="inlineStr">
        <is>
          <t>Custo Variável</t>
        </is>
      </c>
      <c r="C1325" s="90" t="inlineStr">
        <is>
          <t>Exames médicos</t>
        </is>
      </c>
      <c r="D1325" s="117" t="n">
        <v>1</v>
      </c>
      <c r="E1325" s="118" t="n">
        <v>35</v>
      </c>
      <c r="F1325" s="96">
        <f>IFERROR(D1325*E1325,0)</f>
        <v/>
      </c>
      <c r="G1325" s="90">
        <f>INDEX(SETORES!$B:$B,MATCH(A1325,SETORES!$A:$A,0))</f>
        <v/>
      </c>
      <c r="H1325" s="90" t="inlineStr">
        <is>
          <t>Julho/2026</t>
        </is>
      </c>
    </row>
    <row r="1326" ht="14.25" customHeight="1" s="75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t="14.25" customHeight="1" s="75">
      <c r="A1327" s="90" t="inlineStr">
        <is>
          <t>Manutenção Predial</t>
        </is>
      </c>
      <c r="B1327" s="90" t="inlineStr">
        <is>
          <t>Custo Variável</t>
        </is>
      </c>
      <c r="C1327" s="90" t="inlineStr">
        <is>
          <t>Exames médicos</t>
        </is>
      </c>
      <c r="D1327" s="117" t="n">
        <v>1</v>
      </c>
      <c r="E1327" s="118" t="n">
        <v>735</v>
      </c>
      <c r="F1327" s="96">
        <f>IFERROR(D1327*E1327,0)</f>
        <v/>
      </c>
      <c r="G1327" s="90">
        <f>INDEX(SETORES!$B:$B,MATCH(A1327,SETORES!$A:$A,0))</f>
        <v/>
      </c>
      <c r="H1327" s="90" t="inlineStr">
        <is>
          <t>Julho/2026</t>
        </is>
      </c>
    </row>
    <row r="1328" ht="14.25" customHeight="1" s="75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t="14.25" customHeight="1" s="75">
      <c r="A1329" s="90" t="inlineStr">
        <is>
          <t>Segurança do Trabalho</t>
        </is>
      </c>
      <c r="B1329" s="90" t="inlineStr">
        <is>
          <t>Custo Variável</t>
        </is>
      </c>
      <c r="C1329" s="90" t="inlineStr">
        <is>
          <t>Fardamento novo</t>
        </is>
      </c>
      <c r="D1329" s="117" t="n">
        <v>4</v>
      </c>
      <c r="E1329" s="118" t="n">
        <v>45</v>
      </c>
      <c r="F1329" s="96">
        <f>IFERROR(D1329*E1329,0)</f>
        <v/>
      </c>
      <c r="G1329" s="90">
        <f>INDEX(SETORES!$B:$B,MATCH(A1329,SETORES!$A:$A,0))</f>
        <v/>
      </c>
      <c r="H1329" s="90" t="inlineStr">
        <is>
          <t>Julho/2026</t>
        </is>
      </c>
    </row>
    <row r="1330" ht="14.25" customHeight="1" s="75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t="14.25" customHeight="1" s="75">
      <c r="A1331" s="90" t="inlineStr">
        <is>
          <t>Segurança do Trabalho</t>
        </is>
      </c>
      <c r="B1331" s="90" t="inlineStr">
        <is>
          <t>Custo Variável</t>
        </is>
      </c>
      <c r="C1331" s="90" t="inlineStr">
        <is>
          <t>Rateio de transporte coletivo</t>
        </is>
      </c>
      <c r="D1331" s="117" t="n">
        <v>9</v>
      </c>
      <c r="E1331" s="118" t="n">
        <v>76.92</v>
      </c>
      <c r="F1331" s="96">
        <f>IFERROR(D1331*E1331,0)</f>
        <v/>
      </c>
      <c r="G1331" s="90">
        <f>INDEX(SETORES!$B:$B,MATCH(A1331,SETORES!$A:$A,0))</f>
        <v/>
      </c>
      <c r="H1331" s="90" t="inlineStr">
        <is>
          <t>Julho/2026</t>
        </is>
      </c>
    </row>
    <row r="1332" ht="14.25" customHeight="1" s="75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t="14.25" customHeight="1" s="75">
      <c r="A1333" s="90" t="inlineStr">
        <is>
          <t>Segurança do Trabalho</t>
        </is>
      </c>
      <c r="B1333" s="90" t="inlineStr">
        <is>
          <t>Custo Fixo</t>
        </is>
      </c>
      <c r="C1333" s="90" t="inlineStr">
        <is>
          <t>Licença de e-mail corporativo</t>
        </is>
      </c>
      <c r="D1333" s="117" t="n">
        <v>7</v>
      </c>
      <c r="E1333" s="118" t="n">
        <v>50</v>
      </c>
      <c r="F1333" s="96">
        <f>IFERROR(D1333*E1333,0)</f>
        <v/>
      </c>
      <c r="G1333" s="90">
        <f>INDEX(SETORES!$B:$B,MATCH(A1333,SETORES!$A:$A,0))</f>
        <v/>
      </c>
      <c r="H1333" s="90" t="inlineStr">
        <is>
          <t>Julho/2026</t>
        </is>
      </c>
    </row>
    <row r="1334" ht="14.25" customHeight="1" s="75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5036.91</v>
      </c>
      <c r="F1334" s="116">
        <f>IFERROR(D1334*E1334,0)</f>
        <v/>
      </c>
      <c r="G1334" s="113">
        <f>INDEX(SETORES!$B:$B,MATCH(A1334,SETORES!$A:$A,0))</f>
        <v/>
      </c>
      <c r="H1334" s="113" t="inlineStr">
        <is>
          <t>Julho/2026</t>
        </is>
      </c>
    </row>
    <row r="1335" ht="14.25" customHeight="1" s="75">
      <c r="A1335" s="90" t="inlineStr">
        <is>
          <t>Segurança do Trabalho</t>
        </is>
      </c>
      <c r="B1335" s="90" t="inlineStr">
        <is>
          <t>Custo Fixo</t>
        </is>
      </c>
      <c r="C1335" s="90" t="inlineStr">
        <is>
          <t>Impressora</t>
        </is>
      </c>
      <c r="D1335" s="117" t="n">
        <v>1</v>
      </c>
      <c r="E1335" s="118" t="n">
        <v>570</v>
      </c>
      <c r="F1335" s="96">
        <f>IFERROR(D1335*E1335,0)</f>
        <v/>
      </c>
      <c r="G1335" s="90">
        <f>INDEX(SETORES!$B:$B,MATCH(A1335,SETORES!$A:$A,0))</f>
        <v/>
      </c>
      <c r="H1335" s="90" t="inlineStr">
        <is>
          <t>Julho/2026</t>
        </is>
      </c>
    </row>
    <row r="1336" ht="14.25" customHeight="1" s="75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t="14.25" customHeight="1" s="75">
      <c r="A1337" s="90" t="inlineStr">
        <is>
          <t>Segurança do Trabalho</t>
        </is>
      </c>
      <c r="B1337" s="90" t="inlineStr">
        <is>
          <t>Custo Fixo</t>
        </is>
      </c>
      <c r="C1337" s="90" t="inlineStr">
        <is>
          <t>Stargrid</t>
        </is>
      </c>
      <c r="D1337" s="117" t="n">
        <v>9</v>
      </c>
      <c r="E1337" s="118" t="n">
        <v>2.05</v>
      </c>
      <c r="F1337" s="96">
        <f>IFERROR(D1337*E1337,0)</f>
        <v/>
      </c>
      <c r="G1337" s="90">
        <f>INDEX(SETORES!$B:$B,MATCH(A1337,SETORES!$A:$A,0))</f>
        <v/>
      </c>
      <c r="H1337" s="90" t="inlineStr">
        <is>
          <t>Julho/2026</t>
        </is>
      </c>
    </row>
    <row r="1338" ht="14.25" customHeight="1" s="75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t="14.25" customHeight="1" s="75">
      <c r="A1339" s="90" t="inlineStr">
        <is>
          <t>Suporte Orbix</t>
        </is>
      </c>
      <c r="B1339" s="90" t="inlineStr">
        <is>
          <t>Custo Fixo</t>
        </is>
      </c>
      <c r="C1339" s="90" t="inlineStr">
        <is>
          <t>Material de uso coletivo (copa/limpeza)</t>
        </is>
      </c>
      <c r="D1339" s="117" t="n">
        <v>1</v>
      </c>
      <c r="E1339" s="118" t="n">
        <v>239.527869</v>
      </c>
      <c r="F1339" s="96" t="n">
        <v>239.527869</v>
      </c>
      <c r="G1339" s="90">
        <f>INDEX(SETORES!$B:$B,MATCH(A1339,SETORES!$A:$A,0))</f>
        <v/>
      </c>
      <c r="H1339" s="90" t="inlineStr">
        <is>
          <t>Julho/2026</t>
        </is>
      </c>
    </row>
    <row r="1340" ht="14.25" customHeight="1" s="75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t="14.25" customHeight="1" s="75">
      <c r="A1341" s="90" t="inlineStr">
        <is>
          <t>Suporte Orbix</t>
        </is>
      </c>
      <c r="B1341" s="90" t="inlineStr">
        <is>
          <t>Custo Fixo</t>
        </is>
      </c>
      <c r="C1341" s="90" t="inlineStr">
        <is>
          <t>Água e esgoto (rateio)</t>
        </is>
      </c>
      <c r="D1341" s="117" t="n">
        <v>1</v>
      </c>
      <c r="E1341" s="118" t="n">
        <v>0.194</v>
      </c>
      <c r="F1341" s="96" t="n">
        <v>0.194</v>
      </c>
      <c r="G1341" s="90">
        <f>INDEX(SETORES!$B:$B,MATCH(A1341,SETORES!$A:$A,0))</f>
        <v/>
      </c>
      <c r="H1341" s="90" t="inlineStr">
        <is>
          <t>Julho/2026</t>
        </is>
      </c>
    </row>
    <row r="1342" ht="14.25" customHeight="1" s="75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t="14.25" customHeight="1" s="75">
      <c r="A1343" s="90" t="inlineStr">
        <is>
          <t>Suporte Orbix</t>
        </is>
      </c>
      <c r="B1343" s="90" t="inlineStr">
        <is>
          <t>Custo Fixo</t>
        </is>
      </c>
      <c r="C1343" s="90" t="inlineStr">
        <is>
          <t>Folha de pagamento (salários)</t>
        </is>
      </c>
      <c r="D1343" s="117" t="n">
        <v>1</v>
      </c>
      <c r="E1343" s="118" t="n">
        <v>26304.95</v>
      </c>
      <c r="F1343" s="96">
        <f>IFERROR(E1343,0)</f>
        <v/>
      </c>
      <c r="G1343" s="90">
        <f>INDEX(SETORES!$B:$B,MATCH(A1343,SETORES!$A:$A,0))</f>
        <v/>
      </c>
      <c r="H1343" s="90" t="inlineStr">
        <is>
          <t>Julho/2026</t>
        </is>
      </c>
    </row>
    <row r="1344" ht="14.25" customHeight="1" s="75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t="14.25" customHeight="1" s="75">
      <c r="A1345" s="90" t="inlineStr">
        <is>
          <t>Suporte Orbix</t>
        </is>
      </c>
      <c r="B1345" s="90" t="inlineStr">
        <is>
          <t>Custo Fixo</t>
        </is>
      </c>
      <c r="C1345" s="90" t="inlineStr">
        <is>
          <t>Software MATRIX (rateio equipe Relacionamento)</t>
        </is>
      </c>
      <c r="D1345" s="117" t="n">
        <v>1</v>
      </c>
      <c r="E1345" s="118" t="n">
        <v>442.742296</v>
      </c>
      <c r="F1345" s="96">
        <f>IFERROR(D1345*E1345,0)</f>
        <v/>
      </c>
      <c r="G1345" s="90">
        <f>INDEX(SETORES!$B:$B,MATCH(A1345,SETORES!$A:$A,0))</f>
        <v/>
      </c>
      <c r="H1345" s="90" t="inlineStr">
        <is>
          <t>Julho/2026</t>
        </is>
      </c>
    </row>
    <row r="1346" ht="14.25" customHeight="1" s="75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t="14.25" customHeight="1" s="75">
      <c r="A1347" s="90" t="inlineStr">
        <is>
          <t>Suporte Orbix</t>
        </is>
      </c>
      <c r="B1347" s="90" t="inlineStr">
        <is>
          <t>Custo Fixo</t>
        </is>
      </c>
      <c r="C1347" s="90" t="inlineStr">
        <is>
          <t>Gympass</t>
        </is>
      </c>
      <c r="D1347" s="117" t="n">
        <v>8</v>
      </c>
      <c r="E1347" s="118" t="n">
        <v>9.92</v>
      </c>
      <c r="F1347" s="96">
        <f>IFERROR(D1347*E1347,0)</f>
        <v/>
      </c>
      <c r="G1347" s="90">
        <f>INDEX(SETORES!$B:$B,MATCH(A1347,SETORES!$A:$A,0))</f>
        <v/>
      </c>
      <c r="H1347" s="90" t="inlineStr">
        <is>
          <t>Julho/2026</t>
        </is>
      </c>
    </row>
    <row r="1348" ht="14.25" customHeight="1" s="75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t="14.25" customHeight="1" s="75">
      <c r="A1349" s="90" t="inlineStr">
        <is>
          <t>Suporte da Central</t>
        </is>
      </c>
      <c r="B1349" s="90" t="inlineStr">
        <is>
          <t>Custo Fixo</t>
        </is>
      </c>
      <c r="C1349" s="90" t="inlineStr">
        <is>
          <t>Material de escritório (suprimentos de informática)</t>
        </is>
      </c>
      <c r="D1349" s="117" t="n">
        <v>33</v>
      </c>
      <c r="E1349" s="118" t="n">
        <v>0.9851</v>
      </c>
      <c r="F1349" s="96" t="n">
        <v>32.5083</v>
      </c>
      <c r="G1349" s="90">
        <f>INDEX(SETORES!$B:$B,MATCH(A1349,SETORES!$A:$A,0))</f>
        <v/>
      </c>
      <c r="H1349" s="90" t="inlineStr">
        <is>
          <t>Julho/2026</t>
        </is>
      </c>
    </row>
    <row r="1350" ht="14.25" customHeight="1" s="75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t="14.25" customHeight="1" s="75">
      <c r="A1351" s="90" t="inlineStr">
        <is>
          <t>Suporte da Central</t>
        </is>
      </c>
      <c r="B1351" s="90" t="inlineStr">
        <is>
          <t>Custo Fixo</t>
        </is>
      </c>
      <c r="C1351" s="90" t="inlineStr">
        <is>
          <t>Energia elétrica (rateio)</t>
        </is>
      </c>
      <c r="D1351" s="117" t="n">
        <v>1</v>
      </c>
      <c r="E1351" s="118" t="n">
        <v>273.009</v>
      </c>
      <c r="F1351" s="96" t="n">
        <v>273.009</v>
      </c>
      <c r="G1351" s="90">
        <f>INDEX(SETORES!$B:$B,MATCH(A1351,SETORES!$A:$A,0))</f>
        <v/>
      </c>
      <c r="H1351" s="90" t="inlineStr">
        <is>
          <t>Julho/2026</t>
        </is>
      </c>
    </row>
    <row r="1352" ht="14.25" customHeight="1" s="75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t="14.25" customHeight="1" s="75">
      <c r="A1353" s="90" t="inlineStr">
        <is>
          <t>Suporte da Central</t>
        </is>
      </c>
      <c r="B1353" s="90" t="inlineStr">
        <is>
          <t>Custo Fixo</t>
        </is>
      </c>
      <c r="C1353" s="90" t="inlineStr">
        <is>
          <t>Telefonia móvel corporativa</t>
        </is>
      </c>
      <c r="D1353" s="117" t="n"/>
      <c r="E1353" s="118" t="n"/>
      <c r="F1353" s="96">
        <f>IFERROR(D1353*E1353,0)</f>
        <v/>
      </c>
      <c r="G1353" s="90">
        <f>INDEX(SETORES!$B:$B,MATCH(A1353,SETORES!$A:$A,0))</f>
        <v/>
      </c>
      <c r="H1353" s="90" t="inlineStr">
        <is>
          <t>Julho/2026</t>
        </is>
      </c>
    </row>
    <row r="1354" ht="14.25" customHeight="1" s="75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t="14.25" customHeight="1" s="75">
      <c r="A1355" s="90" t="inlineStr">
        <is>
          <t>Suporte da Central</t>
        </is>
      </c>
      <c r="B1355" s="90" t="inlineStr">
        <is>
          <t>Custo Fixo</t>
        </is>
      </c>
      <c r="C1355" s="90" t="inlineStr">
        <is>
          <t>Licença de e-mail corporativo</t>
        </is>
      </c>
      <c r="D1355" s="117" t="n">
        <v>33</v>
      </c>
      <c r="E1355" s="118" t="n">
        <v>50</v>
      </c>
      <c r="F1355" s="96">
        <f>IFERROR(D1355*E1355,0)</f>
        <v/>
      </c>
      <c r="G1355" s="90">
        <f>INDEX(SETORES!$B:$B,MATCH(A1355,SETORES!$A:$A,0))</f>
        <v/>
      </c>
      <c r="H1355" s="90" t="inlineStr">
        <is>
          <t>Julho/2026</t>
        </is>
      </c>
    </row>
    <row r="1356" ht="14.25" customHeight="1" s="75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t="14.25" customHeight="1" s="75">
      <c r="A1357" s="90" t="inlineStr">
        <is>
          <t>Suporte da Central</t>
        </is>
      </c>
      <c r="B1357" s="90" t="inlineStr">
        <is>
          <t>Custo Fixo</t>
        </is>
      </c>
      <c r="C1357" s="90" t="inlineStr">
        <is>
          <t>Impressora (rateio equipe Relacionamento)</t>
        </is>
      </c>
      <c r="D1357" s="117" t="n">
        <v>1</v>
      </c>
      <c r="E1357" s="118" t="n">
        <v>6.924588</v>
      </c>
      <c r="F1357" s="96">
        <f>IFERROR(D1357*E1357,0)</f>
        <v/>
      </c>
      <c r="G1357" s="90">
        <f>INDEX(SETORES!$B:$B,MATCH(A1357,SETORES!$A:$A,0))</f>
        <v/>
      </c>
      <c r="H1357" s="90" t="inlineStr">
        <is>
          <t>Julho/2026</t>
        </is>
      </c>
    </row>
    <row r="1358" ht="14.25" customHeight="1" s="75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t="14.25" customHeight="1" s="75">
      <c r="A1359" s="90" t="inlineStr">
        <is>
          <t>Suporte da Central</t>
        </is>
      </c>
      <c r="B1359" s="90" t="inlineStr">
        <is>
          <t>Custo Fixo</t>
        </is>
      </c>
      <c r="C1359" s="90" t="inlineStr">
        <is>
          <t>Stargrid</t>
        </is>
      </c>
      <c r="D1359" s="117" t="n">
        <v>33</v>
      </c>
      <c r="E1359" s="118" t="n">
        <v>2.05</v>
      </c>
      <c r="F1359" s="96">
        <f>IFERROR(D1359*E1359,0)</f>
        <v/>
      </c>
      <c r="G1359" s="90">
        <f>INDEX(SETORES!$B:$B,MATCH(A1359,SETORES!$A:$A,0))</f>
        <v/>
      </c>
      <c r="H1359" s="90" t="inlineStr">
        <is>
          <t>Julho/2026</t>
        </is>
      </c>
    </row>
    <row r="1360" ht="14.25" customHeight="1" s="75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t="14.25" customHeight="1" s="75">
      <c r="A1361" s="90" t="inlineStr">
        <is>
          <t>Televendas</t>
        </is>
      </c>
      <c r="B1361" s="90" t="inlineStr">
        <is>
          <t>Custo Fixo</t>
        </is>
      </c>
      <c r="C1361" s="90" t="inlineStr">
        <is>
          <t>Material de uso coletivo (copa/limpeza)</t>
        </is>
      </c>
      <c r="D1361" s="117" t="n">
        <v>1</v>
      </c>
      <c r="E1361" s="118" t="n">
        <v>389.232787</v>
      </c>
      <c r="F1361" s="96" t="n">
        <v>389.232787</v>
      </c>
      <c r="G1361" s="90">
        <f>INDEX(SETORES!$B:$B,MATCH(A1361,SETORES!$A:$A,0))</f>
        <v/>
      </c>
      <c r="H1361" s="90" t="inlineStr">
        <is>
          <t>Julho/2026</t>
        </is>
      </c>
    </row>
    <row r="1362" ht="14.25" customHeight="1" s="75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t="14.25" customHeight="1" s="75">
      <c r="A1363" s="90" t="inlineStr">
        <is>
          <t>Televendas</t>
        </is>
      </c>
      <c r="B1363" s="90" t="inlineStr">
        <is>
          <t>Custo Fixo</t>
        </is>
      </c>
      <c r="C1363" s="90" t="inlineStr">
        <is>
          <t>Água e esgoto (rateio)</t>
        </is>
      </c>
      <c r="D1363" s="117" t="n">
        <v>1</v>
      </c>
      <c r="E1363" s="118" t="n">
        <v>0.3152</v>
      </c>
      <c r="F1363" s="96" t="n">
        <v>0.3152</v>
      </c>
      <c r="G1363" s="90">
        <f>INDEX(SETORES!$B:$B,MATCH(A1363,SETORES!$A:$A,0))</f>
        <v/>
      </c>
      <c r="H1363" s="90" t="inlineStr">
        <is>
          <t>Julho/2026</t>
        </is>
      </c>
    </row>
    <row r="1364" ht="14.25" customHeight="1" s="75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t="14.25" customHeight="1" s="75">
      <c r="A1365" s="90" t="inlineStr">
        <is>
          <t>Televendas</t>
        </is>
      </c>
      <c r="B1365" s="90" t="inlineStr">
        <is>
          <t>Custo Fixo</t>
        </is>
      </c>
      <c r="C1365" s="90" t="inlineStr">
        <is>
          <t>Folha de pagamento (salários)</t>
        </is>
      </c>
      <c r="D1365" s="117" t="n">
        <v>1</v>
      </c>
      <c r="E1365" s="118" t="n">
        <v>130589.439786667</v>
      </c>
      <c r="F1365" s="96" t="n">
        <v>130589.439786667</v>
      </c>
      <c r="G1365" s="90">
        <f>INDEX(SETORES!$B:$B,MATCH(A1365,SETORES!$A:$A,0))</f>
        <v/>
      </c>
      <c r="H1365" s="90" t="inlineStr">
        <is>
          <t>Julho/2026</t>
        </is>
      </c>
    </row>
    <row r="1366" ht="14.25" customHeight="1" s="75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t="14.25" customHeight="1" s="75">
      <c r="A1367" s="90" t="inlineStr">
        <is>
          <t>Televendas</t>
        </is>
      </c>
      <c r="B1367" s="90" t="inlineStr">
        <is>
          <t>Custo Fixo</t>
        </is>
      </c>
      <c r="C1367" s="90" t="inlineStr">
        <is>
          <t>Gympass</t>
        </is>
      </c>
      <c r="D1367" s="117" t="n">
        <v>13</v>
      </c>
      <c r="E1367" s="118" t="n">
        <v>9.92</v>
      </c>
      <c r="F1367" s="96" t="n">
        <v>128.96</v>
      </c>
      <c r="G1367" s="90">
        <f>INDEX(SETORES!$B:$B,MATCH(A1367,SETORES!$A:$A,0))</f>
        <v/>
      </c>
      <c r="H1367" s="90" t="inlineStr">
        <is>
          <t>Julho/2026</t>
        </is>
      </c>
    </row>
    <row r="1368" ht="14.25" customHeight="1" s="75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5">
      <c r="A1369" s="90" t="inlineStr">
        <is>
          <t>Administrativo</t>
        </is>
      </c>
      <c r="B1369" s="90" t="inlineStr">
        <is>
          <t>Custo Fixo</t>
        </is>
      </c>
      <c r="C1369" s="90" t="inlineStr">
        <is>
          <t>Licença Google Workspace</t>
        </is>
      </c>
      <c r="D1369" s="117" t="n">
        <v>1</v>
      </c>
      <c r="E1369" s="118" t="n">
        <v>21454</v>
      </c>
      <c r="F1369" s="96">
        <f>IFERROR(D1369*E1369,0)</f>
        <v/>
      </c>
      <c r="G1369" s="90">
        <f>INDEX(SETORES!$B:$B,MATCH(A1369,SETORES!$A:$A,0))</f>
        <v/>
      </c>
      <c r="H1369" s="90" t="inlineStr">
        <is>
          <t>Julho/2026</t>
        </is>
      </c>
    </row>
    <row r="1370" ht="14.25" customHeight="1" s="75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t="14.25" customHeight="1" s="75">
      <c r="A1371" s="90" t="inlineStr">
        <is>
          <t>Gestão de Atendimento</t>
        </is>
      </c>
      <c r="B1371" s="90" t="inlineStr">
        <is>
          <t>Custo Fixo</t>
        </is>
      </c>
      <c r="C1371" s="90" t="inlineStr">
        <is>
          <t>Despesas com DP</t>
        </is>
      </c>
      <c r="D1371" s="117" t="n">
        <v>6</v>
      </c>
      <c r="E1371" s="118" t="n">
        <v>43.54</v>
      </c>
      <c r="F1371" s="96">
        <f>IFERROR(D1371*E1371,0)</f>
        <v/>
      </c>
      <c r="G1371" s="90">
        <f>INDEX(SETORES!$B:$B,MATCH(A1371,SETORES!$A:$A,0))</f>
        <v/>
      </c>
      <c r="H1371" s="90" t="inlineStr">
        <is>
          <t>Julho/2026</t>
        </is>
      </c>
    </row>
    <row r="1372" ht="14.25" customHeight="1" s="75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t="14.25" customHeight="1" s="75">
      <c r="A1373" s="90" t="inlineStr">
        <is>
          <t>CAC</t>
        </is>
      </c>
      <c r="B1373" s="90" t="inlineStr">
        <is>
          <t>Custo Fixo</t>
        </is>
      </c>
      <c r="C1373" s="90" t="inlineStr">
        <is>
          <t>Despesas com RH</t>
        </is>
      </c>
      <c r="D1373" s="117" t="n">
        <v>3</v>
      </c>
      <c r="E1373" s="118" t="n">
        <v>29.74</v>
      </c>
      <c r="F1373" s="96">
        <f>IFERROR(D1373*E1373,0)</f>
        <v/>
      </c>
      <c r="G1373" s="90">
        <f>INDEX(SETORES!$B:$B,MATCH(A1373,SETORES!$A:$A,0))</f>
        <v/>
      </c>
      <c r="H1373" s="90" t="inlineStr">
        <is>
          <t>Julho/2026</t>
        </is>
      </c>
    </row>
    <row r="1374" ht="14.25" customHeight="1" s="75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t="14.25" customHeight="1" s="75">
      <c r="A1375" s="90" t="inlineStr">
        <is>
          <t>CAC</t>
        </is>
      </c>
      <c r="B1375" s="90" t="inlineStr">
        <is>
          <t>Custo Fixo</t>
        </is>
      </c>
      <c r="C1375" s="90" t="inlineStr">
        <is>
          <t>Despesas com SST</t>
        </is>
      </c>
      <c r="D1375" s="117" t="n">
        <v>3</v>
      </c>
      <c r="E1375" s="118" t="n">
        <v>47.66</v>
      </c>
      <c r="F1375" s="96">
        <f>IFERROR(D1375*E1375,0)</f>
        <v/>
      </c>
      <c r="G1375" s="90">
        <f>INDEX(SETORES!$B:$B,MATCH(A1375,SETORES!$A:$A,0))</f>
        <v/>
      </c>
      <c r="H1375" s="90" t="inlineStr">
        <is>
          <t>Julho/2026</t>
        </is>
      </c>
    </row>
    <row r="1376" ht="14.25" customHeight="1" s="75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t="14.25" customHeight="1" s="75">
      <c r="A1377" s="90" t="inlineStr">
        <is>
          <t>Cobrança</t>
        </is>
      </c>
      <c r="B1377" s="90" t="inlineStr">
        <is>
          <t>Custo Fixo</t>
        </is>
      </c>
      <c r="C1377" s="90" t="inlineStr">
        <is>
          <t>Despesas com DP</t>
        </is>
      </c>
      <c r="D1377" s="117" t="n">
        <v>13</v>
      </c>
      <c r="E1377" s="118" t="n">
        <v>43.54</v>
      </c>
      <c r="F1377" s="96">
        <f>IFERROR(D1377*E1377,0)</f>
        <v/>
      </c>
      <c r="G1377" s="90">
        <f>INDEX(SETORES!$B:$B,MATCH(A1377,SETORES!$A:$A,0))</f>
        <v/>
      </c>
      <c r="H1377" s="90" t="inlineStr">
        <is>
          <t>Julho/2026</t>
        </is>
      </c>
    </row>
    <row r="1378" ht="14.25" customHeight="1" s="75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t="14.25" customHeight="1" s="75">
      <c r="A1379" s="90" t="inlineStr">
        <is>
          <t>Compras</t>
        </is>
      </c>
      <c r="B1379" s="90" t="inlineStr">
        <is>
          <t>Custo Fixo</t>
        </is>
      </c>
      <c r="C1379" s="90" t="inlineStr">
        <is>
          <t>Despesas com RH</t>
        </is>
      </c>
      <c r="D1379" s="117" t="n">
        <v>5</v>
      </c>
      <c r="E1379" s="118" t="n">
        <v>29.74</v>
      </c>
      <c r="F1379" s="96">
        <f>IFERROR(D1379*E1379,0)</f>
        <v/>
      </c>
      <c r="G1379" s="90">
        <f>INDEX(SETORES!$B:$B,MATCH(A1379,SETORES!$A:$A,0))</f>
        <v/>
      </c>
      <c r="H1379" s="90" t="inlineStr">
        <is>
          <t>Julho/2026</t>
        </is>
      </c>
    </row>
    <row r="1380" ht="14.25" customHeight="1" s="75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t="14.25" customHeight="1" s="75">
      <c r="A1381" s="90" t="inlineStr">
        <is>
          <t>Compras</t>
        </is>
      </c>
      <c r="B1381" s="90" t="inlineStr">
        <is>
          <t>Custo Fixo</t>
        </is>
      </c>
      <c r="C1381" s="90" t="inlineStr">
        <is>
          <t>Despesas com SST</t>
        </is>
      </c>
      <c r="D1381" s="117" t="n">
        <v>5</v>
      </c>
      <c r="E1381" s="118" t="n">
        <v>47.66</v>
      </c>
      <c r="F1381" s="96">
        <f>IFERROR(D1381*E1381,0)</f>
        <v/>
      </c>
      <c r="G1381" s="90">
        <f>INDEX(SETORES!$B:$B,MATCH(A1381,SETORES!$A:$A,0))</f>
        <v/>
      </c>
      <c r="H1381" s="90" t="inlineStr">
        <is>
          <t>Julho/2026</t>
        </is>
      </c>
    </row>
    <row r="1382" ht="14.25" customHeight="1" s="75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t="14.25" customHeight="1" s="75">
      <c r="A1383" s="90" t="inlineStr">
        <is>
          <t>Contabilidade</t>
        </is>
      </c>
      <c r="B1383" s="90" t="inlineStr">
        <is>
          <t>Custo Fixo</t>
        </is>
      </c>
      <c r="C1383" s="90" t="inlineStr">
        <is>
          <t>Despesas com DP</t>
        </is>
      </c>
      <c r="D1383" s="117" t="n">
        <v>5</v>
      </c>
      <c r="E1383" s="118" t="n">
        <v>43.54</v>
      </c>
      <c r="F1383" s="96">
        <f>IFERROR(D1383*E1383,0)</f>
        <v/>
      </c>
      <c r="G1383" s="90">
        <f>INDEX(SETORES!$B:$B,MATCH(A1383,SETORES!$A:$A,0))</f>
        <v/>
      </c>
      <c r="H1383" s="90" t="inlineStr">
        <is>
          <t>Julho/2026</t>
        </is>
      </c>
    </row>
    <row r="1384" ht="14.25" customHeight="1" s="75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t="14.25" customHeight="1" s="75">
      <c r="A1385" s="90" t="inlineStr">
        <is>
          <t>Controladoria</t>
        </is>
      </c>
      <c r="B1385" s="90" t="inlineStr">
        <is>
          <t>Custo Fixo</t>
        </is>
      </c>
      <c r="C1385" s="90" t="inlineStr">
        <is>
          <t>Despesas com RH</t>
        </is>
      </c>
      <c r="D1385" s="117" t="n">
        <v>1</v>
      </c>
      <c r="E1385" s="118" t="n">
        <v>29.74</v>
      </c>
      <c r="F1385" s="96">
        <f>IFERROR(D1385*E1385,0)</f>
        <v/>
      </c>
      <c r="G1385" s="90">
        <f>INDEX(SETORES!$B:$B,MATCH(A1385,SETORES!$A:$A,0))</f>
        <v/>
      </c>
      <c r="H1385" s="90" t="inlineStr">
        <is>
          <t>Julho/2026</t>
        </is>
      </c>
    </row>
    <row r="1386" ht="14.25" customHeight="1" s="75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t="14.25" customHeight="1" s="75">
      <c r="A1387" s="90" t="inlineStr">
        <is>
          <t>Controladoria</t>
        </is>
      </c>
      <c r="B1387" s="90" t="inlineStr">
        <is>
          <t>Custo Fixo</t>
        </is>
      </c>
      <c r="C1387" s="90" t="inlineStr">
        <is>
          <t>Despesas com SST</t>
        </is>
      </c>
      <c r="D1387" s="117" t="n">
        <v>1</v>
      </c>
      <c r="E1387" s="118" t="n">
        <v>47.66</v>
      </c>
      <c r="F1387" s="96">
        <f>IFERROR(D1387*E1387,0)</f>
        <v/>
      </c>
      <c r="G1387" s="90">
        <f>INDEX(SETORES!$B:$B,MATCH(A1387,SETORES!$A:$A,0))</f>
        <v/>
      </c>
      <c r="H1387" s="90" t="inlineStr">
        <is>
          <t>Julho/2026</t>
        </is>
      </c>
    </row>
    <row r="1388" ht="14.25" customHeight="1" s="75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t="14.25" customHeight="1" s="75">
      <c r="A1389" s="90" t="inlineStr">
        <is>
          <t>DP</t>
        </is>
      </c>
      <c r="B1389" s="90" t="inlineStr">
        <is>
          <t>Custo Fixo</t>
        </is>
      </c>
      <c r="C1389" s="90" t="inlineStr">
        <is>
          <t>Despesas com DP</t>
        </is>
      </c>
      <c r="D1389" s="117" t="n">
        <v>7</v>
      </c>
      <c r="E1389" s="118" t="n">
        <v>43.54</v>
      </c>
      <c r="F1389" s="96">
        <f>IFERROR(D1389*E1389,0)</f>
        <v/>
      </c>
      <c r="G1389" s="90">
        <f>INDEX(SETORES!$B:$B,MATCH(A1389,SETORES!$A:$A,0))</f>
        <v/>
      </c>
      <c r="H1389" s="90" t="inlineStr">
        <is>
          <t>Julho/2026</t>
        </is>
      </c>
    </row>
    <row r="1390" ht="14.25" customHeight="1" s="75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t="14.25" customHeight="1" s="75">
      <c r="A1391" s="90" t="inlineStr">
        <is>
          <t>Diretoria Operacional</t>
        </is>
      </c>
      <c r="B1391" s="90" t="inlineStr">
        <is>
          <t>Custo Fixo</t>
        </is>
      </c>
      <c r="C1391" s="90" t="inlineStr">
        <is>
          <t>Despesas com RH</t>
        </is>
      </c>
      <c r="D1391" s="117" t="n">
        <v>2</v>
      </c>
      <c r="E1391" s="118" t="n">
        <v>29.74</v>
      </c>
      <c r="F1391" s="96">
        <f>IFERROR(D1391*E1391,0)</f>
        <v/>
      </c>
      <c r="G1391" s="90">
        <f>INDEX(SETORES!$B:$B,MATCH(A1391,SETORES!$A:$A,0))</f>
        <v/>
      </c>
      <c r="H1391" s="90" t="inlineStr">
        <is>
          <t>Julho/2026</t>
        </is>
      </c>
    </row>
    <row r="1392" ht="14.25" customHeight="1" s="75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t="14.25" customHeight="1" s="75">
      <c r="A1393" s="90" t="inlineStr">
        <is>
          <t>Diretoria Operacional</t>
        </is>
      </c>
      <c r="B1393" s="90" t="inlineStr">
        <is>
          <t>Custo Fixo</t>
        </is>
      </c>
      <c r="C1393" s="90" t="inlineStr">
        <is>
          <t>Despesas com SST</t>
        </is>
      </c>
      <c r="D1393" s="117" t="n">
        <v>2</v>
      </c>
      <c r="E1393" s="118" t="n">
        <v>47.66</v>
      </c>
      <c r="F1393" s="96">
        <f>IFERROR(D1393*E1393,0)</f>
        <v/>
      </c>
      <c r="G1393" s="90">
        <f>INDEX(SETORES!$B:$B,MATCH(A1393,SETORES!$A:$A,0))</f>
        <v/>
      </c>
      <c r="H1393" s="90" t="inlineStr">
        <is>
          <t>Julho/2026</t>
        </is>
      </c>
    </row>
    <row r="1394" ht="14.25" customHeight="1" s="75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t="14.25" customHeight="1" s="75">
      <c r="A1395" s="90" t="inlineStr">
        <is>
          <t>Engenharia</t>
        </is>
      </c>
      <c r="B1395" s="90" t="inlineStr">
        <is>
          <t>Custo Fixo</t>
        </is>
      </c>
      <c r="C1395" s="90" t="inlineStr">
        <is>
          <t>Despesas com DP</t>
        </is>
      </c>
      <c r="D1395" s="117" t="n">
        <v>10</v>
      </c>
      <c r="E1395" s="118" t="n">
        <v>43.54</v>
      </c>
      <c r="F1395" s="96">
        <f>IFERROR(D1395*E1395,0)</f>
        <v/>
      </c>
      <c r="G1395" s="90">
        <f>INDEX(SETORES!$B:$B,MATCH(A1395,SETORES!$A:$A,0))</f>
        <v/>
      </c>
      <c r="H1395" s="90" t="inlineStr">
        <is>
          <t>Julho/2026</t>
        </is>
      </c>
    </row>
    <row r="1396" ht="14.25" customHeight="1" s="75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t="14.25" customHeight="1" s="75">
      <c r="A1397" s="90" t="inlineStr">
        <is>
          <t>Estoque</t>
        </is>
      </c>
      <c r="B1397" s="90" t="inlineStr">
        <is>
          <t>Custo Fixo</t>
        </is>
      </c>
      <c r="C1397" s="90" t="inlineStr">
        <is>
          <t>Despesas com RH</t>
        </is>
      </c>
      <c r="D1397" s="117" t="n">
        <v>16</v>
      </c>
      <c r="E1397" s="118" t="n">
        <v>29.74</v>
      </c>
      <c r="F1397" s="96">
        <f>IFERROR(D1397*E1397,0)</f>
        <v/>
      </c>
      <c r="G1397" s="90">
        <f>INDEX(SETORES!$B:$B,MATCH(A1397,SETORES!$A:$A,0))</f>
        <v/>
      </c>
      <c r="H1397" s="90" t="inlineStr">
        <is>
          <t>Julho/2026</t>
        </is>
      </c>
    </row>
    <row r="1398" ht="14.25" customHeight="1" s="75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t="14.25" customHeight="1" s="75">
      <c r="A1399" s="90" t="inlineStr">
        <is>
          <t>Estoque</t>
        </is>
      </c>
      <c r="B1399" s="90" t="inlineStr">
        <is>
          <t>Custo Fixo</t>
        </is>
      </c>
      <c r="C1399" s="90" t="inlineStr">
        <is>
          <t>Despesas com SST</t>
        </is>
      </c>
      <c r="D1399" s="117" t="n">
        <v>16</v>
      </c>
      <c r="E1399" s="118" t="n">
        <v>47.66</v>
      </c>
      <c r="F1399" s="96">
        <f>IFERROR(D1399*E1399,0)</f>
        <v/>
      </c>
      <c r="G1399" s="90">
        <f>INDEX(SETORES!$B:$B,MATCH(A1399,SETORES!$A:$A,0))</f>
        <v/>
      </c>
      <c r="H1399" s="90" t="inlineStr">
        <is>
          <t>Julho/2026</t>
        </is>
      </c>
    </row>
    <row r="1400" ht="14.25" customHeight="1" s="75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t="14.25" customHeight="1" s="75">
      <c r="A1401" s="90" t="inlineStr">
        <is>
          <t>Financeiro</t>
        </is>
      </c>
      <c r="B1401" s="90" t="inlineStr">
        <is>
          <t>Custo Fixo</t>
        </is>
      </c>
      <c r="C1401" s="90" t="inlineStr">
        <is>
          <t>Despesas com DP</t>
        </is>
      </c>
      <c r="D1401" s="117" t="n">
        <v>9</v>
      </c>
      <c r="E1401" s="118" t="n">
        <v>43.54</v>
      </c>
      <c r="F1401" s="96">
        <f>IFERROR(D1401*E1401,0)</f>
        <v/>
      </c>
      <c r="G1401" s="90">
        <f>INDEX(SETORES!$B:$B,MATCH(A1401,SETORES!$A:$A,0))</f>
        <v/>
      </c>
      <c r="H1401" s="90" t="inlineStr">
        <is>
          <t>Julho/2026</t>
        </is>
      </c>
    </row>
    <row r="1402" ht="14.25" customHeight="1" s="75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t="14.25" customHeight="1" s="75">
      <c r="A1403" s="90" t="inlineStr">
        <is>
          <t>Logística</t>
        </is>
      </c>
      <c r="B1403" s="90" t="inlineStr">
        <is>
          <t>Custo Fixo</t>
        </is>
      </c>
      <c r="C1403" s="90" t="inlineStr">
        <is>
          <t>Despesas com RH</t>
        </is>
      </c>
      <c r="D1403" s="117" t="n">
        <v>15</v>
      </c>
      <c r="E1403" s="118" t="n">
        <v>29.74</v>
      </c>
      <c r="F1403" s="96">
        <f>IFERROR(D1403*E1403,0)</f>
        <v/>
      </c>
      <c r="G1403" s="90">
        <f>INDEX(SETORES!$B:$B,MATCH(A1403,SETORES!$A:$A,0))</f>
        <v/>
      </c>
      <c r="H1403" s="90" t="inlineStr">
        <is>
          <t>Julho/2026</t>
        </is>
      </c>
    </row>
    <row r="1404" ht="14.25" customHeight="1" s="75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15</v>
      </c>
      <c r="E1404" s="115" t="n">
        <v>43.54</v>
      </c>
      <c r="F1404" s="116">
        <f>IFERROR(D1404*E1404,0)</f>
        <v/>
      </c>
      <c r="G1404" s="113">
        <f>INDEX(SETORES!$B:$B,MATCH(A1404,SETORES!$A:$A,0))</f>
        <v/>
      </c>
      <c r="H1404" s="113" t="inlineStr">
        <is>
          <t>Julho/2026</t>
        </is>
      </c>
    </row>
    <row r="1405" ht="14.25" customHeight="1" s="75">
      <c r="A1405" s="90" t="inlineStr">
        <is>
          <t>Logística</t>
        </is>
      </c>
      <c r="B1405" s="90" t="inlineStr">
        <is>
          <t>Custo Fixo</t>
        </is>
      </c>
      <c r="C1405" s="90" t="inlineStr">
        <is>
          <t>Despesas com SST</t>
        </is>
      </c>
      <c r="D1405" s="117" t="n">
        <v>15</v>
      </c>
      <c r="E1405" s="118" t="n">
        <v>47.66</v>
      </c>
      <c r="F1405" s="96">
        <f>IFERROR(D1405*E1405,0)</f>
        <v/>
      </c>
      <c r="G1405" s="90">
        <f>INDEX(SETORES!$B:$B,MATCH(A1405,SETORES!$A:$A,0))</f>
        <v/>
      </c>
      <c r="H1405" s="90" t="inlineStr">
        <is>
          <t>Julho/2026</t>
        </is>
      </c>
    </row>
    <row r="1406" ht="14.25" customHeight="1" s="75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t="14.25" customHeight="1" s="75">
      <c r="A1407" s="90" t="inlineStr">
        <is>
          <t>Manutenção Predial</t>
        </is>
      </c>
      <c r="B1407" s="90" t="inlineStr">
        <is>
          <t>Custo Fixo</t>
        </is>
      </c>
      <c r="C1407" s="90" t="inlineStr">
        <is>
          <t>Despesas com DP</t>
        </is>
      </c>
      <c r="D1407" s="117" t="n">
        <v>13</v>
      </c>
      <c r="E1407" s="118" t="n">
        <v>43.54</v>
      </c>
      <c r="F1407" s="96">
        <f>IFERROR(D1407*E1407,0)</f>
        <v/>
      </c>
      <c r="G1407" s="90">
        <f>INDEX(SETORES!$B:$B,MATCH(A1407,SETORES!$A:$A,0))</f>
        <v/>
      </c>
      <c r="H1407" s="90" t="inlineStr">
        <is>
          <t>Julho/2026</t>
        </is>
      </c>
    </row>
    <row r="1408" ht="14.25" customHeight="1" s="75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t="14.25" customHeight="1" s="75">
      <c r="A1409" s="90" t="inlineStr">
        <is>
          <t>NOC</t>
        </is>
      </c>
      <c r="B1409" s="90" t="inlineStr">
        <is>
          <t>Custo Fixo</t>
        </is>
      </c>
      <c r="C1409" s="90" t="inlineStr">
        <is>
          <t>Despesas com RH</t>
        </is>
      </c>
      <c r="D1409" s="117" t="n">
        <v>5</v>
      </c>
      <c r="E1409" s="118" t="n">
        <v>29.74</v>
      </c>
      <c r="F1409" s="96">
        <f>IFERROR(D1409*E1409,0)</f>
        <v/>
      </c>
      <c r="G1409" s="90">
        <f>INDEX(SETORES!$B:$B,MATCH(A1409,SETORES!$A:$A,0))</f>
        <v/>
      </c>
      <c r="H1409" s="90" t="inlineStr">
        <is>
          <t>Julho/2026</t>
        </is>
      </c>
    </row>
    <row r="1410" ht="14.25" customHeight="1" s="75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t="14.25" customHeight="1" s="75">
      <c r="A1411" s="90" t="inlineStr">
        <is>
          <t>NOC</t>
        </is>
      </c>
      <c r="B1411" s="90" t="inlineStr">
        <is>
          <t>Custo Fixo</t>
        </is>
      </c>
      <c r="C1411" s="90" t="inlineStr">
        <is>
          <t>Despesas com SST</t>
        </is>
      </c>
      <c r="D1411" s="117" t="n">
        <v>5</v>
      </c>
      <c r="E1411" s="118" t="n">
        <v>47.66</v>
      </c>
      <c r="F1411" s="96">
        <f>IFERROR(D1411*E1411,0)</f>
        <v/>
      </c>
      <c r="G1411" s="90">
        <f>INDEX(SETORES!$B:$B,MATCH(A1411,SETORES!$A:$A,0))</f>
        <v/>
      </c>
      <c r="H1411" s="90" t="inlineStr">
        <is>
          <t>Julho/2026</t>
        </is>
      </c>
    </row>
    <row r="1412" ht="14.25" customHeight="1" s="75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t="14.25" customHeight="1" s="75">
      <c r="A1413" s="90" t="inlineStr">
        <is>
          <t>NRC</t>
        </is>
      </c>
      <c r="B1413" s="90" t="inlineStr">
        <is>
          <t>Custo Fixo</t>
        </is>
      </c>
      <c r="C1413" s="90" t="inlineStr">
        <is>
          <t>Despesas com DP</t>
        </is>
      </c>
      <c r="D1413" s="117" t="n">
        <v>43</v>
      </c>
      <c r="E1413" s="118" t="n">
        <v>43.54</v>
      </c>
      <c r="F1413" s="96">
        <f>IFERROR(D1413*E1413,0)</f>
        <v/>
      </c>
      <c r="G1413" s="90">
        <f>INDEX(SETORES!$B:$B,MATCH(A1413,SETORES!$A:$A,0))</f>
        <v/>
      </c>
      <c r="H1413" s="90" t="inlineStr">
        <is>
          <t>Julho/2026</t>
        </is>
      </c>
    </row>
    <row r="1414" ht="14.25" customHeight="1" s="75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t="14.25" customHeight="1" s="75">
      <c r="A1415" s="90" t="inlineStr">
        <is>
          <t>Obras</t>
        </is>
      </c>
      <c r="B1415" s="90" t="inlineStr">
        <is>
          <t>Custo Fixo</t>
        </is>
      </c>
      <c r="C1415" s="90" t="inlineStr">
        <is>
          <t>Despesas com RH</t>
        </is>
      </c>
      <c r="D1415" s="117" t="n">
        <v>23</v>
      </c>
      <c r="E1415" s="118" t="n">
        <v>29.74</v>
      </c>
      <c r="F1415" s="96">
        <f>IFERROR(D1415*E1415,0)</f>
        <v/>
      </c>
      <c r="G1415" s="90">
        <f>INDEX(SETORES!$B:$B,MATCH(A1415,SETORES!$A:$A,0))</f>
        <v/>
      </c>
      <c r="H1415" s="90" t="inlineStr">
        <is>
          <t>Julho/2026</t>
        </is>
      </c>
    </row>
    <row r="1416" ht="14.25" customHeight="1" s="75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t="14.25" customHeight="1" s="75">
      <c r="A1417" s="90" t="inlineStr">
        <is>
          <t>Obras</t>
        </is>
      </c>
      <c r="B1417" s="90" t="inlineStr">
        <is>
          <t>Custo Fixo</t>
        </is>
      </c>
      <c r="C1417" s="90" t="inlineStr">
        <is>
          <t>Despesas com SST</t>
        </is>
      </c>
      <c r="D1417" s="117" t="n">
        <v>23</v>
      </c>
      <c r="E1417" s="118" t="n">
        <v>47.66</v>
      </c>
      <c r="F1417" s="96">
        <f>IFERROR(D1417*E1417,0)</f>
        <v/>
      </c>
      <c r="G1417" s="90">
        <f>INDEX(SETORES!$B:$B,MATCH(A1417,SETORES!$A:$A,0))</f>
        <v/>
      </c>
      <c r="H1417" s="90" t="inlineStr">
        <is>
          <t>Julho/2026</t>
        </is>
      </c>
    </row>
    <row r="1418" ht="14.25" customHeight="1" s="75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t="14.25" customHeight="1" s="75">
      <c r="A1419" s="90" t="inlineStr">
        <is>
          <t>Oficina</t>
        </is>
      </c>
      <c r="B1419" s="90" t="inlineStr">
        <is>
          <t>Custo Fixo</t>
        </is>
      </c>
      <c r="C1419" s="90" t="inlineStr">
        <is>
          <t>Despesas com DP</t>
        </is>
      </c>
      <c r="D1419" s="117" t="n">
        <v>4</v>
      </c>
      <c r="E1419" s="118" t="n">
        <v>43.54</v>
      </c>
      <c r="F1419" s="96">
        <f>IFERROR(D1419*E1419,0)</f>
        <v/>
      </c>
      <c r="G1419" s="90">
        <f>INDEX(SETORES!$B:$B,MATCH(A1419,SETORES!$A:$A,0))</f>
        <v/>
      </c>
      <c r="H1419" s="90" t="inlineStr">
        <is>
          <t>Julho/2026</t>
        </is>
      </c>
    </row>
    <row r="1420" ht="14.25" customHeight="1" s="75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t="14.25" customHeight="1" s="75">
      <c r="A1421" s="90" t="inlineStr">
        <is>
          <t>RH</t>
        </is>
      </c>
      <c r="B1421" s="90" t="inlineStr">
        <is>
          <t>Custo Fixo</t>
        </is>
      </c>
      <c r="C1421" s="90" t="inlineStr">
        <is>
          <t>Despesas com RH</t>
        </is>
      </c>
      <c r="D1421" s="117" t="n">
        <v>6</v>
      </c>
      <c r="E1421" s="118" t="n">
        <v>29.74</v>
      </c>
      <c r="F1421" s="96">
        <f>IFERROR(D1421*E1421,0)</f>
        <v/>
      </c>
      <c r="G1421" s="90">
        <f>INDEX(SETORES!$B:$B,MATCH(A1421,SETORES!$A:$A,0))</f>
        <v/>
      </c>
      <c r="H1421" s="90" t="inlineStr">
        <is>
          <t>Julho/2026</t>
        </is>
      </c>
    </row>
    <row r="1422" ht="14.25" customHeight="1" s="75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t="14.25" customHeight="1" s="75">
      <c r="A1423" s="90" t="inlineStr">
        <is>
          <t>RH</t>
        </is>
      </c>
      <c r="B1423" s="90" t="inlineStr">
        <is>
          <t>Custo Fixo</t>
        </is>
      </c>
      <c r="C1423" s="90" t="inlineStr">
        <is>
          <t>Despesas com SST</t>
        </is>
      </c>
      <c r="D1423" s="117" t="n">
        <v>6</v>
      </c>
      <c r="E1423" s="118" t="n">
        <v>47.66</v>
      </c>
      <c r="F1423" s="96">
        <f>IFERROR(D1423*E1423,0)</f>
        <v/>
      </c>
      <c r="G1423" s="90">
        <f>INDEX(SETORES!$B:$B,MATCH(A1423,SETORES!$A:$A,0))</f>
        <v/>
      </c>
      <c r="H1423" s="90" t="inlineStr">
        <is>
          <t>Julho/2026</t>
        </is>
      </c>
    </row>
    <row r="1424" ht="14.25" customHeight="1" s="75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t="14.25" customHeight="1" s="75">
      <c r="A1425" s="90" t="inlineStr">
        <is>
          <t>Retenção</t>
        </is>
      </c>
      <c r="B1425" s="90" t="inlineStr">
        <is>
          <t>Custo Fixo</t>
        </is>
      </c>
      <c r="C1425" s="90" t="inlineStr">
        <is>
          <t>Despesas com DP</t>
        </is>
      </c>
      <c r="D1425" s="117" t="n">
        <v>12</v>
      </c>
      <c r="E1425" s="118" t="n">
        <v>43.54</v>
      </c>
      <c r="F1425" s="96">
        <f>IFERROR(D1425*E1425,0)</f>
        <v/>
      </c>
      <c r="G1425" s="90">
        <f>INDEX(SETORES!$B:$B,MATCH(A1425,SETORES!$A:$A,0))</f>
        <v/>
      </c>
      <c r="H1425" s="90" t="inlineStr">
        <is>
          <t>Julho/2026</t>
        </is>
      </c>
    </row>
    <row r="1426" ht="14.25" customHeight="1" s="75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t="14.25" customHeight="1" s="75">
      <c r="A1427" s="90" t="inlineStr">
        <is>
          <t>Segurança do Trabalho</t>
        </is>
      </c>
      <c r="B1427" s="90" t="inlineStr">
        <is>
          <t>Custo Fixo</t>
        </is>
      </c>
      <c r="C1427" s="90" t="inlineStr">
        <is>
          <t>Despesas com RH</t>
        </is>
      </c>
      <c r="D1427" s="117" t="n">
        <v>9</v>
      </c>
      <c r="E1427" s="118" t="n">
        <v>29.74</v>
      </c>
      <c r="F1427" s="96">
        <f>IFERROR(D1427*E1427,0)</f>
        <v/>
      </c>
      <c r="G1427" s="90">
        <f>INDEX(SETORES!$B:$B,MATCH(A1427,SETORES!$A:$A,0))</f>
        <v/>
      </c>
      <c r="H1427" s="90" t="inlineStr">
        <is>
          <t>Julho/2026</t>
        </is>
      </c>
    </row>
    <row r="1428" ht="14.25" customHeight="1" s="75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t="14.25" customHeight="1" s="75">
      <c r="A1429" s="90" t="inlineStr">
        <is>
          <t>Segurança do Trabalho</t>
        </is>
      </c>
      <c r="B1429" s="90" t="inlineStr">
        <is>
          <t>Custo Fixo</t>
        </is>
      </c>
      <c r="C1429" s="90" t="inlineStr">
        <is>
          <t>Despesas com SST</t>
        </is>
      </c>
      <c r="D1429" s="117" t="n">
        <v>9</v>
      </c>
      <c r="E1429" s="118" t="n">
        <v>47.66</v>
      </c>
      <c r="F1429" s="96">
        <f>IFERROR(D1429*E1429,0)</f>
        <v/>
      </c>
      <c r="G1429" s="90">
        <f>INDEX(SETORES!$B:$B,MATCH(A1429,SETORES!$A:$A,0))</f>
        <v/>
      </c>
      <c r="H1429" s="90" t="inlineStr">
        <is>
          <t>Julho/2026</t>
        </is>
      </c>
    </row>
    <row r="1430" ht="14.25" customHeight="1" s="75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t="14.25" customHeight="1" s="75">
      <c r="A1431" s="90" t="inlineStr">
        <is>
          <t>Suporte Orbix</t>
        </is>
      </c>
      <c r="B1431" s="90" t="inlineStr">
        <is>
          <t>Custo Fixo</t>
        </is>
      </c>
      <c r="C1431" s="90" t="inlineStr">
        <is>
          <t>Despesas com DP</t>
        </is>
      </c>
      <c r="D1431" s="117" t="n">
        <v>8</v>
      </c>
      <c r="E1431" s="118" t="n">
        <v>43.54</v>
      </c>
      <c r="F1431" s="96">
        <f>IFERROR(D1431*E1431,0)</f>
        <v/>
      </c>
      <c r="G1431" s="90">
        <f>INDEX(SETORES!$B:$B,MATCH(A1431,SETORES!$A:$A,0))</f>
        <v/>
      </c>
      <c r="H1431" s="90" t="inlineStr">
        <is>
          <t>Julho/2026</t>
        </is>
      </c>
    </row>
    <row r="1432" ht="14.25" customHeight="1" s="75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t="14.25" customHeight="1" s="75">
      <c r="A1433" s="90" t="inlineStr">
        <is>
          <t>Suporte da Central</t>
        </is>
      </c>
      <c r="B1433" s="90" t="inlineStr">
        <is>
          <t>Custo Fixo</t>
        </is>
      </c>
      <c r="C1433" s="90" t="inlineStr">
        <is>
          <t>Despesas com RH</t>
        </is>
      </c>
      <c r="D1433" s="117" t="n">
        <v>33</v>
      </c>
      <c r="E1433" s="118" t="n">
        <v>29.74</v>
      </c>
      <c r="F1433" s="96">
        <f>IFERROR(D1433*E1433,0)</f>
        <v/>
      </c>
      <c r="G1433" s="90">
        <f>INDEX(SETORES!$B:$B,MATCH(A1433,SETORES!$A:$A,0))</f>
        <v/>
      </c>
      <c r="H1433" s="90" t="inlineStr">
        <is>
          <t>Julho/2026</t>
        </is>
      </c>
    </row>
    <row r="1434" ht="14.25" customHeight="1" s="75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t="14.25" customHeight="1" s="75">
      <c r="A1435" s="90" t="inlineStr">
        <is>
          <t>Suporte da Central</t>
        </is>
      </c>
      <c r="B1435" s="90" t="inlineStr">
        <is>
          <t>Custo Fixo</t>
        </is>
      </c>
      <c r="C1435" s="90" t="inlineStr">
        <is>
          <t>Despesas com SST</t>
        </is>
      </c>
      <c r="D1435" s="117" t="n">
        <v>33</v>
      </c>
      <c r="E1435" s="118" t="n">
        <v>47.66</v>
      </c>
      <c r="F1435" s="96">
        <f>IFERROR(D1435*E1435,0)</f>
        <v/>
      </c>
      <c r="G1435" s="90">
        <f>INDEX(SETORES!$B:$B,MATCH(A1435,SETORES!$A:$A,0))</f>
        <v/>
      </c>
      <c r="H1435" s="90" t="inlineStr">
        <is>
          <t>Julho/2026</t>
        </is>
      </c>
    </row>
    <row r="1436" ht="14.25" customHeight="1" s="75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t="14.25" customHeight="1" s="75">
      <c r="A1437" s="90" t="inlineStr">
        <is>
          <t>Televendas</t>
        </is>
      </c>
      <c r="B1437" s="90" t="inlineStr">
        <is>
          <t>Custo Fixo</t>
        </is>
      </c>
      <c r="C1437" s="90" t="inlineStr">
        <is>
          <t>Despesas com DP</t>
        </is>
      </c>
      <c r="D1437" s="117" t="n">
        <v>13</v>
      </c>
      <c r="E1437" s="118" t="n">
        <v>43.54</v>
      </c>
      <c r="F1437" s="96" t="n">
        <v>566.02</v>
      </c>
      <c r="G1437" s="90">
        <f>INDEX(SETORES!$B:$B,MATCH(A1437,SETORES!$A:$A,0))</f>
        <v/>
      </c>
      <c r="H1437" s="90" t="inlineStr">
        <is>
          <t>Julho/2026</t>
        </is>
      </c>
    </row>
    <row r="1438" ht="14.25" customHeight="1" s="75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t="14.25" customHeight="1" s="75">
      <c r="A1439" s="90" t="inlineStr">
        <is>
          <t>Comercial Corporativo</t>
        </is>
      </c>
      <c r="B1439" s="90" t="inlineStr">
        <is>
          <t>Custo Fixo</t>
        </is>
      </c>
      <c r="C1439" s="90" t="inlineStr">
        <is>
          <t>Plataforma de licitações (pago anual em julho, ref. 12 meses)</t>
        </is>
      </c>
      <c r="D1439" s="117" t="n">
        <v>1</v>
      </c>
      <c r="E1439" s="118" t="n">
        <v>106.58</v>
      </c>
      <c r="F1439" s="96">
        <f>IFERROR(D1439*E1439,0)</f>
        <v/>
      </c>
      <c r="G1439" s="90">
        <f>INDEX(SETORES!$B:$B,MATCH(A1439,SETORES!$A:$A,0))</f>
        <v/>
      </c>
      <c r="H1439" s="90" t="inlineStr">
        <is>
          <t>Julho/2026</t>
        </is>
      </c>
    </row>
    <row r="1440" ht="14.25" customHeight="1" s="75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t="14.25" customHeight="1" s="75">
      <c r="A1441" s="90" t="inlineStr">
        <is>
          <t>Compras</t>
        </is>
      </c>
      <c r="B1441" s="90" t="inlineStr">
        <is>
          <t>Custo Variável</t>
        </is>
      </c>
      <c r="C1441" s="90" t="inlineStr">
        <is>
          <t>Combustível de frota</t>
        </is>
      </c>
      <c r="D1441" s="117" t="n">
        <v>1</v>
      </c>
      <c r="E1441" s="118" t="n">
        <v>811.2</v>
      </c>
      <c r="F1441" s="96">
        <f>IFERROR(D1441*E1441,0)</f>
        <v/>
      </c>
      <c r="G1441" s="90">
        <f>INDEX(SETORES!$B:$B,MATCH(A1441,SETORES!$A:$A,0))</f>
        <v/>
      </c>
      <c r="H1441" s="90" t="inlineStr">
        <is>
          <t>Julho/2026</t>
        </is>
      </c>
    </row>
    <row r="1442" ht="14.25" customHeight="1" s="75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t="14.25" customHeight="1" s="75">
      <c r="A1443" s="90" t="inlineStr">
        <is>
          <t>Suporte da Central</t>
        </is>
      </c>
      <c r="B1443" s="90" t="inlineStr">
        <is>
          <t>Custo Variável</t>
        </is>
      </c>
      <c r="C1443" s="90" t="inlineStr">
        <is>
          <t>Rescisões trabalhistas</t>
        </is>
      </c>
      <c r="D1443" s="117" t="n">
        <v>1</v>
      </c>
      <c r="E1443" s="118" t="n">
        <v>89098.12</v>
      </c>
      <c r="F1443" s="96">
        <f>IFERROR(D1443*E1443,0)</f>
        <v/>
      </c>
      <c r="G1443" s="90">
        <f>INDEX(SETORES!$B:$B,MATCH(A1443,SETORES!$A:$A,0))</f>
        <v/>
      </c>
      <c r="H1443" s="90" t="inlineStr">
        <is>
          <t>Julho/2026</t>
        </is>
      </c>
    </row>
    <row r="1444" ht="14.25" customHeight="1" s="75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t="14.25" customHeight="1" s="75">
      <c r="A1445" s="90" t="inlineStr">
        <is>
          <t>CAC</t>
        </is>
      </c>
      <c r="B1445" s="90" t="inlineStr">
        <is>
          <t>Custo Variável</t>
        </is>
      </c>
      <c r="C1445" s="90" t="inlineStr">
        <is>
          <t>Rescisões trabalhistas</t>
        </is>
      </c>
      <c r="D1445" s="117" t="n"/>
      <c r="E1445" s="118" t="n"/>
      <c r="F1445" s="96">
        <f>IFERROR(D1445*E1445,0)</f>
        <v/>
      </c>
      <c r="G1445" s="90">
        <f>INDEX(SETORES!$B:$B,MATCH(A1445,SETORES!$A:$A,0))</f>
        <v/>
      </c>
      <c r="H1445" s="90" t="inlineStr">
        <is>
          <t>Julho/2026</t>
        </is>
      </c>
    </row>
    <row r="1446" ht="14.25" customHeight="1" s="75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t="14.25" customHeight="1" s="75">
      <c r="A1447" s="90" t="inlineStr">
        <is>
          <t>Segurança do Trabalho</t>
        </is>
      </c>
      <c r="B1447" s="90" t="inlineStr">
        <is>
          <t>Custo Variável</t>
        </is>
      </c>
      <c r="C1447" s="90" t="inlineStr">
        <is>
          <t>Rescisões trabalhistas</t>
        </is>
      </c>
      <c r="D1447" s="117" t="n">
        <v>1</v>
      </c>
      <c r="E1447" s="118" t="n">
        <v>5236.96</v>
      </c>
      <c r="F1447" s="96">
        <f>IFERROR(D1447*E1447,0)</f>
        <v/>
      </c>
      <c r="G1447" s="90">
        <f>INDEX(SETORES!$B:$B,MATCH(A1447,SETORES!$A:$A,0))</f>
        <v/>
      </c>
      <c r="H1447" s="90" t="inlineStr">
        <is>
          <t>Julho/2026</t>
        </is>
      </c>
    </row>
    <row r="1448" ht="14.25" customHeight="1" s="75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>
        <v>1</v>
      </c>
      <c r="E1448" s="115" t="n">
        <v>29459.75</v>
      </c>
      <c r="F1448" s="116">
        <f>IFERROR(D1448*E1448,0)</f>
        <v/>
      </c>
      <c r="G1448" s="113">
        <f>INDEX(SETORES!$B:$B,MATCH(A1448,SETORES!$A:$A,0))</f>
        <v/>
      </c>
      <c r="H1448" s="113" t="inlineStr">
        <is>
          <t>Julho/2026</t>
        </is>
      </c>
    </row>
    <row r="1449" ht="14.25" customHeight="1" s="75">
      <c r="A1449" s="90" t="inlineStr">
        <is>
          <t>Suporte Orbix</t>
        </is>
      </c>
      <c r="B1449" s="90" t="inlineStr">
        <is>
          <t>Custo Variável</t>
        </is>
      </c>
      <c r="C1449" s="90" t="inlineStr">
        <is>
          <t>Rescisões trabalhistas</t>
        </is>
      </c>
      <c r="D1449" s="117" t="n"/>
      <c r="E1449" s="118" t="n"/>
      <c r="F1449" s="96">
        <f>IFERROR(D1449*E1449,0)</f>
        <v/>
      </c>
      <c r="G1449" s="90">
        <f>INDEX(SETORES!$B:$B,MATCH(A1449,SETORES!$A:$A,0))</f>
        <v/>
      </c>
      <c r="H1449" s="90" t="inlineStr">
        <is>
          <t>Julho/2026</t>
        </is>
      </c>
    </row>
    <row r="1450" ht="14.25" customHeight="1" s="75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5">
      <c r="A1451" s="90" t="inlineStr">
        <is>
          <t>Administrativo</t>
        </is>
      </c>
      <c r="B1451" s="90" t="inlineStr">
        <is>
          <t>Custo Variável</t>
        </is>
      </c>
      <c r="C1451" s="90" t="inlineStr">
        <is>
          <t>Combustível de frota (gerador e veículos sem condutor identificado)</t>
        </is>
      </c>
      <c r="D1451" s="117" t="n">
        <v>1</v>
      </c>
      <c r="E1451" s="118" t="n">
        <v>21332.99</v>
      </c>
      <c r="F1451" s="96">
        <f>IFERROR(D1451*E1451,0)</f>
        <v/>
      </c>
      <c r="G1451" s="90">
        <f>INDEX(SETORES!$B:$B,MATCH(A1451,SETORES!$A:$A,0))</f>
        <v/>
      </c>
      <c r="H1451" s="90" t="inlineStr">
        <is>
          <t>Julho/2026</t>
        </is>
      </c>
    </row>
    <row r="1452" ht="14.25" customHeight="1" s="75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t="14.25" customHeight="1" s="75">
      <c r="A1453" s="90" t="inlineStr">
        <is>
          <t>Qualidade</t>
        </is>
      </c>
      <c r="B1453" s="90" t="inlineStr">
        <is>
          <t>Custo Fixo</t>
        </is>
      </c>
      <c r="C1453" s="90" t="inlineStr">
        <is>
          <t>Material de uso coletivo (copa/limpeza)</t>
        </is>
      </c>
      <c r="D1453" s="117" t="n">
        <v>1</v>
      </c>
      <c r="E1453" s="118" t="n">
        <v>176.73</v>
      </c>
      <c r="F1453" s="96" t="n">
        <v>176.73</v>
      </c>
      <c r="G1453" s="90">
        <f>INDEX(SETORES!$B:$B,MATCH(A1453,SETORES!$A:$A,0))</f>
        <v/>
      </c>
      <c r="H1453" s="90" t="inlineStr">
        <is>
          <t>Julho/2026</t>
        </is>
      </c>
    </row>
    <row r="1454" ht="14.25" customHeight="1" s="75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t="14.25" customHeight="1" s="75">
      <c r="A1455" s="90" t="inlineStr">
        <is>
          <t>Jurídico</t>
        </is>
      </c>
      <c r="B1455" s="90" t="inlineStr">
        <is>
          <t>Custo Fixo</t>
        </is>
      </c>
      <c r="C1455" s="90" t="inlineStr">
        <is>
          <t>Folha de pagamento (salários)</t>
        </is>
      </c>
      <c r="D1455" s="117" t="n">
        <v>1</v>
      </c>
      <c r="E1455" s="118" t="n">
        <v>6068.32</v>
      </c>
      <c r="F1455" s="96">
        <f>IFERROR(E1455,0)</f>
        <v/>
      </c>
      <c r="G1455" s="90">
        <f>INDEX(SETORES!$B:$B,MATCH(A1455,SETORES!$A:$A,0))</f>
        <v/>
      </c>
      <c r="H1455" s="90" t="inlineStr">
        <is>
          <t>Julho/2026</t>
        </is>
      </c>
    </row>
    <row r="1456" ht="14.25" customHeight="1" s="75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t="14.25" customHeight="1" s="75">
      <c r="A1457" s="90" t="inlineStr">
        <is>
          <t>Jurídico</t>
        </is>
      </c>
      <c r="B1457" s="90" t="inlineStr">
        <is>
          <t>Custo Variável</t>
        </is>
      </c>
      <c r="C1457" s="90" t="inlineStr">
        <is>
          <t>Combustível de frota</t>
        </is>
      </c>
      <c r="D1457" s="117" t="n">
        <v>1</v>
      </c>
      <c r="E1457" s="118" t="n">
        <v>1878.14</v>
      </c>
      <c r="F1457" s="96">
        <f>IFERROR(D1457*E1457,0)</f>
        <v/>
      </c>
      <c r="G1457" s="90">
        <f>INDEX(SETORES!$B:$B,MATCH(A1457,SETORES!$A:$A,0))</f>
        <v/>
      </c>
      <c r="H1457" s="90" t="inlineStr">
        <is>
          <t>Julho/2026</t>
        </is>
      </c>
    </row>
    <row r="1458" ht="14.25" customHeight="1" s="75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t="14.25" customHeight="1" s="75">
      <c r="A1459" s="90" t="inlineStr">
        <is>
          <t>Marketing</t>
        </is>
      </c>
      <c r="B1459" s="90" t="inlineStr">
        <is>
          <t>Custo Fixo</t>
        </is>
      </c>
      <c r="C1459" s="90" t="inlineStr">
        <is>
          <t>Material de uso coletivo (copa/limpeza)</t>
        </is>
      </c>
      <c r="D1459" s="117" t="n">
        <v>1</v>
      </c>
      <c r="E1459" s="118" t="n">
        <v>198.78</v>
      </c>
      <c r="F1459" s="96" t="n">
        <v>198.78</v>
      </c>
      <c r="G1459" s="90">
        <f>INDEX(SETORES!$B:$B,MATCH(A1459,SETORES!$A:$A,0))</f>
        <v/>
      </c>
      <c r="H1459" s="90" t="inlineStr">
        <is>
          <t>Julho/2026</t>
        </is>
      </c>
    </row>
    <row r="1460" ht="14.25" customHeight="1" s="75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t="14.25" customHeight="1" s="75">
      <c r="A1461" s="90" t="inlineStr">
        <is>
          <t>Marketing</t>
        </is>
      </c>
      <c r="B1461" s="90" t="inlineStr">
        <is>
          <t>Custo Variável</t>
        </is>
      </c>
      <c r="C1461" s="90" t="inlineStr">
        <is>
          <t>Exames médicos</t>
        </is>
      </c>
      <c r="D1461" s="117" t="n">
        <v>1</v>
      </c>
      <c r="E1461" s="118" t="n">
        <v>65</v>
      </c>
      <c r="F1461" s="96">
        <f>IFERROR(D1461*E1461,0)</f>
        <v/>
      </c>
      <c r="G1461" s="90">
        <f>INDEX(SETORES!$B:$B,MATCH(A1461,SETORES!$A:$A,0))</f>
        <v/>
      </c>
      <c r="H1461" s="90" t="inlineStr">
        <is>
          <t>Julho/2026</t>
        </is>
      </c>
    </row>
    <row r="1462" ht="14.25" customHeight="1" s="75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t="14.25" customHeight="1" s="75">
      <c r="A1463" s="90" t="inlineStr">
        <is>
          <t>TIC</t>
        </is>
      </c>
      <c r="B1463" s="90" t="inlineStr">
        <is>
          <t>Custo Fixo</t>
        </is>
      </c>
      <c r="C1463" s="90" t="inlineStr">
        <is>
          <t>Material de uso coletivo (copa/limpeza)</t>
        </is>
      </c>
      <c r="D1463" s="117" t="n">
        <v>1</v>
      </c>
      <c r="E1463" s="118" t="n">
        <v>74.08</v>
      </c>
      <c r="F1463" s="96" t="n">
        <v>74.08</v>
      </c>
      <c r="G1463" s="90">
        <f>INDEX(SETORES!$B:$B,MATCH(A1463,SETORES!$A:$A,0))</f>
        <v/>
      </c>
      <c r="H1463" s="90" t="inlineStr">
        <is>
          <t>Julho/2026</t>
        </is>
      </c>
    </row>
    <row r="1464" ht="14.25" customHeight="1" s="75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t="14.25" customHeight="1" s="75">
      <c r="A1465" s="90" t="inlineStr">
        <is>
          <t>Fique Móvel</t>
        </is>
      </c>
      <c r="B1465" s="90" t="inlineStr">
        <is>
          <t>Custo Fixo</t>
        </is>
      </c>
      <c r="C1465" s="90" t="inlineStr">
        <is>
          <t>Folha de pagamento (salários)</t>
        </is>
      </c>
      <c r="D1465" s="117" t="n">
        <v>1</v>
      </c>
      <c r="E1465" s="118" t="n">
        <v>13569.86</v>
      </c>
      <c r="F1465" s="96">
        <f>IFERROR(E1465,0)</f>
        <v/>
      </c>
      <c r="G1465" s="90">
        <f>INDEX(SETORES!$B:$B,MATCH(A1465,SETORES!$A:$A,0))</f>
        <v/>
      </c>
      <c r="H1465" s="90" t="inlineStr">
        <is>
          <t>Julho/2026</t>
        </is>
      </c>
    </row>
    <row r="1466" ht="14.25" customHeight="1" s="75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t="14.25" customHeight="1" s="75">
      <c r="A1467" s="90" t="inlineStr">
        <is>
          <t>Lançamento</t>
        </is>
      </c>
      <c r="B1467" s="90" t="inlineStr">
        <is>
          <t>Custo Variável</t>
        </is>
      </c>
      <c r="C1467" s="90" t="inlineStr">
        <is>
          <t>Combustível de frota</t>
        </is>
      </c>
      <c r="D1467" s="117" t="n">
        <v>1</v>
      </c>
      <c r="E1467" s="118" t="n">
        <v>7771.58</v>
      </c>
      <c r="F1467" s="96">
        <f>IFERROR(D1467*E1467,0)</f>
        <v/>
      </c>
      <c r="G1467" s="90">
        <f>INDEX(SETORES!$B:$B,MATCH(A1467,SETORES!$A:$A,0))</f>
        <v/>
      </c>
      <c r="H1467" s="90" t="inlineStr">
        <is>
          <t>Julho/2026</t>
        </is>
      </c>
    </row>
    <row r="1468" ht="14.25" customHeight="1" s="75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t="14.25" customHeight="1" s="75">
      <c r="A1469" s="90" t="inlineStr">
        <is>
          <t>Fusão</t>
        </is>
      </c>
      <c r="B1469" s="90" t="inlineStr">
        <is>
          <t>Custo Fixo</t>
        </is>
      </c>
      <c r="C1469" s="90" t="inlineStr">
        <is>
          <t>Folha de pagamento (salários)</t>
        </is>
      </c>
      <c r="D1469" s="117" t="n">
        <v>1</v>
      </c>
      <c r="E1469" s="118" t="n">
        <v>56795.02</v>
      </c>
      <c r="F1469" s="96">
        <f>IFERROR(E1469,0)</f>
        <v/>
      </c>
      <c r="G1469" s="90">
        <f>INDEX(SETORES!$B:$B,MATCH(A1469,SETORES!$A:$A,0))</f>
        <v/>
      </c>
      <c r="H1469" s="90" t="inlineStr">
        <is>
          <t>Julho/2026</t>
        </is>
      </c>
    </row>
    <row r="1470" ht="14.25" customHeight="1" s="75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t="14.25" customHeight="1" s="75">
      <c r="A1471" s="90" t="inlineStr">
        <is>
          <t>Fusão</t>
        </is>
      </c>
      <c r="B1471" s="90" t="inlineStr">
        <is>
          <t>Custo Variável</t>
        </is>
      </c>
      <c r="C1471" s="90" t="inlineStr">
        <is>
          <t>EPIs - Equipamento de Proteção Individual</t>
        </is>
      </c>
      <c r="D1471" s="117" t="n">
        <v>1</v>
      </c>
      <c r="E1471" s="118" t="n">
        <v>2979.78</v>
      </c>
      <c r="F1471" s="96">
        <f>IFERROR(D1471*E1471,0)</f>
        <v/>
      </c>
      <c r="G1471" s="90">
        <f>INDEX(SETORES!$B:$B,MATCH(A1471,SETORES!$A:$A,0))</f>
        <v/>
      </c>
      <c r="H1471" s="90" t="inlineStr">
        <is>
          <t>Julho/2026</t>
        </is>
      </c>
    </row>
    <row r="1472" ht="14.25" customHeight="1" s="75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t="14.25" customHeight="1" s="75">
      <c r="A1473" s="90" t="inlineStr">
        <is>
          <t>Diretoria Adm</t>
        </is>
      </c>
      <c r="B1473" s="90" t="inlineStr">
        <is>
          <t>Custo Fixo</t>
        </is>
      </c>
      <c r="C1473" s="90" t="inlineStr">
        <is>
          <t>Material de escritório (suprimentos de informática)</t>
        </is>
      </c>
      <c r="D1473" s="117" t="n">
        <v>3</v>
      </c>
      <c r="E1473" s="118" t="n">
        <v>2.2567</v>
      </c>
      <c r="F1473" s="96" t="n">
        <v>6.7701</v>
      </c>
      <c r="G1473" s="90">
        <f>INDEX(SETORES!$B:$B,MATCH(A1473,SETORES!$A:$A,0))</f>
        <v/>
      </c>
      <c r="H1473" s="90" t="inlineStr">
        <is>
          <t>Julho/2026</t>
        </is>
      </c>
    </row>
    <row r="1474" ht="14.25" customHeight="1" s="75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t="14.25" customHeight="1" s="75">
      <c r="A1475" s="90" t="inlineStr">
        <is>
          <t>Comercial Corporativo</t>
        </is>
      </c>
      <c r="B1475" s="90" t="inlineStr">
        <is>
          <t>Custo Fixo</t>
        </is>
      </c>
      <c r="C1475" s="90" t="inlineStr">
        <is>
          <t>Material de uso coletivo (copa/limpeza)</t>
        </is>
      </c>
      <c r="D1475" s="117" t="n">
        <v>1</v>
      </c>
      <c r="E1475" s="118" t="n">
        <v>81.33</v>
      </c>
      <c r="F1475" s="96" t="n">
        <v>81.33</v>
      </c>
      <c r="G1475" s="90">
        <f>INDEX(SETORES!$B:$B,MATCH(A1475,SETORES!$A:$A,0))</f>
        <v/>
      </c>
      <c r="H1475" s="90" t="inlineStr">
        <is>
          <t>Julho/2026</t>
        </is>
      </c>
    </row>
    <row r="1476" ht="14.25" customHeight="1" s="75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t="14.25" customHeight="1" s="75">
      <c r="A1477" s="90" t="inlineStr">
        <is>
          <t>Qualidade</t>
        </is>
      </c>
      <c r="B1477" s="90" t="inlineStr">
        <is>
          <t>Custo Fixo</t>
        </is>
      </c>
      <c r="C1477" s="90" t="inlineStr">
        <is>
          <t>Gympass</t>
        </is>
      </c>
      <c r="D1477" s="117" t="n">
        <v>7</v>
      </c>
      <c r="E1477" s="118" t="n">
        <v>9.92</v>
      </c>
      <c r="F1477" s="96">
        <f>IFERROR(D1477*E1477,0)</f>
        <v/>
      </c>
      <c r="G1477" s="90">
        <f>INDEX(SETORES!$B:$B,MATCH(A1477,SETORES!$A:$A,0))</f>
        <v/>
      </c>
      <c r="H1477" s="90" t="inlineStr">
        <is>
          <t>Julho/2026</t>
        </is>
      </c>
    </row>
    <row r="1478" ht="14.25" customHeight="1" s="75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t="14.25" customHeight="1" s="75">
      <c r="A1479" s="90" t="inlineStr">
        <is>
          <t>Qualidade</t>
        </is>
      </c>
      <c r="B1479" s="90" t="inlineStr">
        <is>
          <t>Custo Fixo</t>
        </is>
      </c>
      <c r="C1479" s="90" t="inlineStr">
        <is>
          <t>Licença de e-mail corporativo</t>
        </is>
      </c>
      <c r="D1479" s="117" t="n">
        <v>7</v>
      </c>
      <c r="E1479" s="118" t="n">
        <v>50</v>
      </c>
      <c r="F1479" s="96">
        <f>IFERROR(D1479*E1479,0)</f>
        <v/>
      </c>
      <c r="G1479" s="90">
        <f>INDEX(SETORES!$B:$B,MATCH(A1479,SETORES!$A:$A,0))</f>
        <v/>
      </c>
      <c r="H1479" s="90" t="inlineStr">
        <is>
          <t>Julho/2026</t>
        </is>
      </c>
    </row>
    <row r="1480" ht="14.25" customHeight="1" s="75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t="14.25" customHeight="1" s="75">
      <c r="A1481" s="90" t="inlineStr">
        <is>
          <t>Qualidade</t>
        </is>
      </c>
      <c r="B1481" s="90" t="inlineStr">
        <is>
          <t>Custo Fixo</t>
        </is>
      </c>
      <c r="C1481" s="90" t="inlineStr">
        <is>
          <t>Despesas com DP</t>
        </is>
      </c>
      <c r="D1481" s="117" t="n">
        <v>7</v>
      </c>
      <c r="E1481" s="118" t="n">
        <v>43.54</v>
      </c>
      <c r="F1481" s="96">
        <f>IFERROR(D1481*E1481,0)</f>
        <v/>
      </c>
      <c r="G1481" s="90">
        <f>INDEX(SETORES!$B:$B,MATCH(A1481,SETORES!$A:$A,0))</f>
        <v/>
      </c>
      <c r="H1481" s="90" t="inlineStr">
        <is>
          <t>Julho/2026</t>
        </is>
      </c>
    </row>
    <row r="1482" ht="14.25" customHeight="1" s="75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t="14.25" customHeight="1" s="75">
      <c r="A1483" s="90" t="inlineStr">
        <is>
          <t>Jurídico</t>
        </is>
      </c>
      <c r="B1483" s="90" t="inlineStr">
        <is>
          <t>Custo Fixo</t>
        </is>
      </c>
      <c r="C1483" s="90" t="inlineStr">
        <is>
          <t>Gympass</t>
        </is>
      </c>
      <c r="D1483" s="117" t="n">
        <v>2</v>
      </c>
      <c r="E1483" s="118" t="n">
        <v>9.92</v>
      </c>
      <c r="F1483" s="96">
        <f>IFERROR(D1483*E1483,0)</f>
        <v/>
      </c>
      <c r="G1483" s="90">
        <f>INDEX(SETORES!$B:$B,MATCH(A1483,SETORES!$A:$A,0))</f>
        <v/>
      </c>
      <c r="H1483" s="90" t="inlineStr">
        <is>
          <t>Julho/2026</t>
        </is>
      </c>
    </row>
    <row r="1484" ht="14.25" customHeight="1" s="75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t="14.25" customHeight="1" s="75">
      <c r="A1485" s="90" t="inlineStr">
        <is>
          <t>Jurídico</t>
        </is>
      </c>
      <c r="B1485" s="90" t="inlineStr">
        <is>
          <t>Custo Fixo</t>
        </is>
      </c>
      <c r="C1485" s="90" t="inlineStr">
        <is>
          <t>Licença de e-mail corporativo</t>
        </is>
      </c>
      <c r="D1485" s="117" t="n">
        <v>3</v>
      </c>
      <c r="E1485" s="118" t="n">
        <v>50</v>
      </c>
      <c r="F1485" s="96">
        <f>IFERROR(D1485*E1485,0)</f>
        <v/>
      </c>
      <c r="G1485" s="90">
        <f>INDEX(SETORES!$B:$B,MATCH(A1485,SETORES!$A:$A,0))</f>
        <v/>
      </c>
      <c r="H1485" s="90" t="inlineStr">
        <is>
          <t>Julho/2026</t>
        </is>
      </c>
    </row>
    <row r="1486" ht="14.25" customHeight="1" s="75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t="14.25" customHeight="1" s="75">
      <c r="A1487" s="90" t="inlineStr">
        <is>
          <t>Jurídico</t>
        </is>
      </c>
      <c r="B1487" s="90" t="inlineStr">
        <is>
          <t>Custo Fixo</t>
        </is>
      </c>
      <c r="C1487" s="90" t="inlineStr">
        <is>
          <t>Despesas com DP</t>
        </is>
      </c>
      <c r="D1487" s="117" t="n">
        <v>2</v>
      </c>
      <c r="E1487" s="118" t="n">
        <v>43.54</v>
      </c>
      <c r="F1487" s="96">
        <f>IFERROR(D1487*E1487,0)</f>
        <v/>
      </c>
      <c r="G1487" s="90">
        <f>INDEX(SETORES!$B:$B,MATCH(A1487,SETORES!$A:$A,0))</f>
        <v/>
      </c>
      <c r="H1487" s="90" t="inlineStr">
        <is>
          <t>Julho/2026</t>
        </is>
      </c>
    </row>
    <row r="1488" ht="14.25" customHeight="1" s="75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t="14.25" customHeight="1" s="75">
      <c r="A1489" s="90" t="inlineStr">
        <is>
          <t>Marketing</t>
        </is>
      </c>
      <c r="B1489" s="90" t="inlineStr">
        <is>
          <t>Custo Fixo</t>
        </is>
      </c>
      <c r="C1489" s="90" t="inlineStr">
        <is>
          <t>Gympass</t>
        </is>
      </c>
      <c r="D1489" s="117" t="n">
        <v>12</v>
      </c>
      <c r="E1489" s="118" t="n">
        <v>9.92</v>
      </c>
      <c r="F1489" s="96">
        <f>IFERROR(D1489*E1489,0)</f>
        <v/>
      </c>
      <c r="G1489" s="90">
        <f>INDEX(SETORES!$B:$B,MATCH(A1489,SETORES!$A:$A,0))</f>
        <v/>
      </c>
      <c r="H1489" s="90" t="inlineStr">
        <is>
          <t>Julho/2026</t>
        </is>
      </c>
    </row>
    <row r="1490" ht="14.25" customHeight="1" s="75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t="14.25" customHeight="1" s="75">
      <c r="A1491" s="90" t="inlineStr">
        <is>
          <t>Marketing</t>
        </is>
      </c>
      <c r="B1491" s="90" t="inlineStr">
        <is>
          <t>Custo Fixo</t>
        </is>
      </c>
      <c r="C1491" s="90" t="inlineStr">
        <is>
          <t>Licença de e-mail corporativo</t>
        </is>
      </c>
      <c r="D1491" s="117" t="n">
        <v>15</v>
      </c>
      <c r="E1491" s="118" t="n">
        <v>47.33</v>
      </c>
      <c r="F1491" s="96">
        <f>IFERROR(D1491*E1491,0)</f>
        <v/>
      </c>
      <c r="G1491" s="90">
        <f>INDEX(SETORES!$B:$B,MATCH(A1491,SETORES!$A:$A,0))</f>
        <v/>
      </c>
      <c r="H1491" s="90" t="inlineStr">
        <is>
          <t>Julho/2026</t>
        </is>
      </c>
    </row>
    <row r="1492" ht="14.25" customHeight="1" s="75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t="14.25" customHeight="1" s="75">
      <c r="A1493" s="90" t="inlineStr">
        <is>
          <t>Marketing</t>
        </is>
      </c>
      <c r="B1493" s="90" t="inlineStr">
        <is>
          <t>Custo Fixo</t>
        </is>
      </c>
      <c r="C1493" s="90" t="inlineStr">
        <is>
          <t>Despesas com DP</t>
        </is>
      </c>
      <c r="D1493" s="117" t="n">
        <v>12</v>
      </c>
      <c r="E1493" s="118" t="n">
        <v>43.54</v>
      </c>
      <c r="F1493" s="96">
        <f>IFERROR(D1493*E1493,0)</f>
        <v/>
      </c>
      <c r="G1493" s="90">
        <f>INDEX(SETORES!$B:$B,MATCH(A1493,SETORES!$A:$A,0))</f>
        <v/>
      </c>
      <c r="H1493" s="90" t="inlineStr">
        <is>
          <t>Julho/2026</t>
        </is>
      </c>
    </row>
    <row r="1494" ht="14.25" customHeight="1" s="75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t="14.25" customHeight="1" s="75">
      <c r="A1495" s="90" t="inlineStr">
        <is>
          <t>TIC</t>
        </is>
      </c>
      <c r="B1495" s="90" t="inlineStr">
        <is>
          <t>Custo Fixo</t>
        </is>
      </c>
      <c r="C1495" s="90" t="inlineStr">
        <is>
          <t>Gympass</t>
        </is>
      </c>
      <c r="D1495" s="117" t="n">
        <v>7</v>
      </c>
      <c r="E1495" s="118" t="n">
        <v>9.92</v>
      </c>
      <c r="F1495" s="96">
        <f>IFERROR(D1495*E1495,0)</f>
        <v/>
      </c>
      <c r="G1495" s="90">
        <f>INDEX(SETORES!$B:$B,MATCH(A1495,SETORES!$A:$A,0))</f>
        <v/>
      </c>
      <c r="H1495" s="90" t="inlineStr">
        <is>
          <t>Julho/2026</t>
        </is>
      </c>
    </row>
    <row r="1496" ht="14.25" customHeight="1" s="75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t="14.25" customHeight="1" s="75">
      <c r="A1497" s="90" t="inlineStr">
        <is>
          <t>TIC</t>
        </is>
      </c>
      <c r="B1497" s="90" t="inlineStr">
        <is>
          <t>Custo Fixo</t>
        </is>
      </c>
      <c r="C1497" s="90" t="inlineStr">
        <is>
          <t>Licença de e-mail corporativo</t>
        </is>
      </c>
      <c r="D1497" s="117" t="n">
        <v>12</v>
      </c>
      <c r="E1497" s="118" t="n">
        <v>66.67</v>
      </c>
      <c r="F1497" s="96">
        <f>IFERROR(D1497*E1497,0)</f>
        <v/>
      </c>
      <c r="G1497" s="90">
        <f>INDEX(SETORES!$B:$B,MATCH(A1497,SETORES!$A:$A,0))</f>
        <v/>
      </c>
      <c r="H1497" s="90" t="inlineStr">
        <is>
          <t>Julho/2026</t>
        </is>
      </c>
    </row>
    <row r="1498" ht="14.25" customHeight="1" s="75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t="14.25" customHeight="1" s="75">
      <c r="A1499" s="90" t="inlineStr">
        <is>
          <t>TIC</t>
        </is>
      </c>
      <c r="B1499" s="90" t="inlineStr">
        <is>
          <t>Custo Fixo</t>
        </is>
      </c>
      <c r="C1499" s="90" t="inlineStr">
        <is>
          <t>Despesas com DP</t>
        </is>
      </c>
      <c r="D1499" s="117" t="n">
        <v>7</v>
      </c>
      <c r="E1499" s="118" t="n">
        <v>43.54</v>
      </c>
      <c r="F1499" s="96">
        <f>IFERROR(D1499*E1499,0)</f>
        <v/>
      </c>
      <c r="G1499" s="90">
        <f>INDEX(SETORES!$B:$B,MATCH(A1499,SETORES!$A:$A,0))</f>
        <v/>
      </c>
      <c r="H1499" s="90" t="inlineStr">
        <is>
          <t>Julho/2026</t>
        </is>
      </c>
    </row>
    <row r="1500" ht="14.25" customHeight="1" s="75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t="14.25" customHeight="1" s="75">
      <c r="A1501" s="90" t="inlineStr">
        <is>
          <t>COE</t>
        </is>
      </c>
      <c r="B1501" s="90" t="inlineStr">
        <is>
          <t>Custo Fixo</t>
        </is>
      </c>
      <c r="C1501" s="90" t="inlineStr">
        <is>
          <t>Gympass</t>
        </is>
      </c>
      <c r="D1501" s="117" t="n">
        <v>14</v>
      </c>
      <c r="E1501" s="118" t="n">
        <v>9.92</v>
      </c>
      <c r="F1501" s="96">
        <f>IFERROR(D1501*E1501,0)</f>
        <v/>
      </c>
      <c r="G1501" s="90">
        <f>INDEX(SETORES!$B:$B,MATCH(A1501,SETORES!$A:$A,0))</f>
        <v/>
      </c>
      <c r="H1501" s="90" t="inlineStr">
        <is>
          <t>Julho/2026</t>
        </is>
      </c>
    </row>
    <row r="1502" ht="14.25" customHeight="1" s="75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t="14.25" customHeight="1" s="75">
      <c r="A1503" s="90" t="inlineStr">
        <is>
          <t>COE</t>
        </is>
      </c>
      <c r="B1503" s="90" t="inlineStr">
        <is>
          <t>Custo Fixo</t>
        </is>
      </c>
      <c r="C1503" s="90" t="inlineStr">
        <is>
          <t>Licença de e-mail corporativo</t>
        </is>
      </c>
      <c r="D1503" s="117" t="n">
        <v>8</v>
      </c>
      <c r="E1503" s="118" t="n">
        <v>50</v>
      </c>
      <c r="F1503" s="96">
        <f>IFERROR(D1503*E1503,0)</f>
        <v/>
      </c>
      <c r="G1503" s="90">
        <f>INDEX(SETORES!$B:$B,MATCH(A1503,SETORES!$A:$A,0))</f>
        <v/>
      </c>
      <c r="H1503" s="90" t="inlineStr">
        <is>
          <t>Julho/2026</t>
        </is>
      </c>
    </row>
    <row r="1504" ht="14.25" customHeight="1" s="75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t="14.25" customHeight="1" s="75">
      <c r="A1505" s="90" t="inlineStr">
        <is>
          <t>COE</t>
        </is>
      </c>
      <c r="B1505" s="90" t="inlineStr">
        <is>
          <t>Custo Fixo</t>
        </is>
      </c>
      <c r="C1505" s="90" t="inlineStr">
        <is>
          <t>Despesas com DP</t>
        </is>
      </c>
      <c r="D1505" s="117" t="n">
        <v>14</v>
      </c>
      <c r="E1505" s="118" t="n">
        <v>43.54</v>
      </c>
      <c r="F1505" s="96">
        <f>IFERROR(D1505*E1505,0)</f>
        <v/>
      </c>
      <c r="G1505" s="90">
        <f>INDEX(SETORES!$B:$B,MATCH(A1505,SETORES!$A:$A,0))</f>
        <v/>
      </c>
      <c r="H1505" s="90" t="inlineStr">
        <is>
          <t>Julho/2026</t>
        </is>
      </c>
    </row>
    <row r="1506" ht="14.25" customHeight="1" s="75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t="14.25" customHeight="1" s="75">
      <c r="A1507" s="90" t="inlineStr">
        <is>
          <t>Fique Móvel</t>
        </is>
      </c>
      <c r="B1507" s="90" t="inlineStr">
        <is>
          <t>Custo Fixo</t>
        </is>
      </c>
      <c r="C1507" s="90" t="inlineStr">
        <is>
          <t>Gympass</t>
        </is>
      </c>
      <c r="D1507" s="117" t="n">
        <v>3</v>
      </c>
      <c r="E1507" s="118" t="n">
        <v>9.92</v>
      </c>
      <c r="F1507" s="96">
        <f>IFERROR(D1507*E1507,0)</f>
        <v/>
      </c>
      <c r="G1507" s="90">
        <f>INDEX(SETORES!$B:$B,MATCH(A1507,SETORES!$A:$A,0))</f>
        <v/>
      </c>
      <c r="H1507" s="90" t="inlineStr">
        <is>
          <t>Julho/2026</t>
        </is>
      </c>
    </row>
    <row r="1508" ht="14.25" customHeight="1" s="75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t="14.25" customHeight="1" s="75">
      <c r="A1509" s="90" t="inlineStr">
        <is>
          <t>Fique Móvel</t>
        </is>
      </c>
      <c r="B1509" s="90" t="inlineStr">
        <is>
          <t>Custo Fixo</t>
        </is>
      </c>
      <c r="C1509" s="90" t="inlineStr">
        <is>
          <t>Licença de e-mail corporativo</t>
        </is>
      </c>
      <c r="D1509" s="117" t="n">
        <v>3</v>
      </c>
      <c r="E1509" s="118" t="n">
        <v>50</v>
      </c>
      <c r="F1509" s="96">
        <f>IFERROR(D1509*E1509,0)</f>
        <v/>
      </c>
      <c r="G1509" s="90">
        <f>INDEX(SETORES!$B:$B,MATCH(A1509,SETORES!$A:$A,0))</f>
        <v/>
      </c>
      <c r="H1509" s="90" t="inlineStr">
        <is>
          <t>Julho/2026</t>
        </is>
      </c>
    </row>
    <row r="1510" ht="14.25" customHeight="1" s="75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t="14.25" customHeight="1" s="75">
      <c r="A1511" s="90" t="inlineStr">
        <is>
          <t>Fique Móvel</t>
        </is>
      </c>
      <c r="B1511" s="90" t="inlineStr">
        <is>
          <t>Custo Fixo</t>
        </is>
      </c>
      <c r="C1511" s="90" t="inlineStr">
        <is>
          <t>Despesas com DP</t>
        </is>
      </c>
      <c r="D1511" s="117" t="n">
        <v>3</v>
      </c>
      <c r="E1511" s="118" t="n">
        <v>43.54</v>
      </c>
      <c r="F1511" s="96">
        <f>IFERROR(D1511*E1511,0)</f>
        <v/>
      </c>
      <c r="G1511" s="90">
        <f>INDEX(SETORES!$B:$B,MATCH(A1511,SETORES!$A:$A,0))</f>
        <v/>
      </c>
      <c r="H1511" s="90" t="inlineStr">
        <is>
          <t>Julho/2026</t>
        </is>
      </c>
    </row>
    <row r="1512" ht="14.25" customHeight="1" s="75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t="14.25" customHeight="1" s="75">
      <c r="A1513" s="90" t="inlineStr">
        <is>
          <t>Lançamento</t>
        </is>
      </c>
      <c r="B1513" s="90" t="inlineStr">
        <is>
          <t>Custo Fixo</t>
        </is>
      </c>
      <c r="C1513" s="90" t="inlineStr">
        <is>
          <t>Gympass</t>
        </is>
      </c>
      <c r="D1513" s="117" t="n">
        <v>22</v>
      </c>
      <c r="E1513" s="118" t="n">
        <v>9.92</v>
      </c>
      <c r="F1513" s="96">
        <f>IFERROR(D1513*E1513,0)</f>
        <v/>
      </c>
      <c r="G1513" s="90">
        <f>INDEX(SETORES!$B:$B,MATCH(A1513,SETORES!$A:$A,0))</f>
        <v/>
      </c>
      <c r="H1513" s="90" t="inlineStr">
        <is>
          <t>Julho/2026</t>
        </is>
      </c>
    </row>
    <row r="1514" ht="14.25" customHeight="1" s="75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t="14.25" customHeight="1" s="75">
      <c r="A1515" s="90" t="inlineStr">
        <is>
          <t>Lançamento</t>
        </is>
      </c>
      <c r="B1515" s="90" t="inlineStr">
        <is>
          <t>Custo Fixo</t>
        </is>
      </c>
      <c r="C1515" s="90" t="inlineStr">
        <is>
          <t>Licença de e-mail corporativo</t>
        </is>
      </c>
      <c r="D1515" s="117" t="n">
        <v>1</v>
      </c>
      <c r="E1515" s="118" t="n">
        <v>50</v>
      </c>
      <c r="F1515" s="96">
        <f>IFERROR(D1515*E1515,0)</f>
        <v/>
      </c>
      <c r="G1515" s="90">
        <f>INDEX(SETORES!$B:$B,MATCH(A1515,SETORES!$A:$A,0))</f>
        <v/>
      </c>
      <c r="H1515" s="90" t="inlineStr">
        <is>
          <t>Julho/2026</t>
        </is>
      </c>
    </row>
    <row r="1516" ht="14.25" customHeight="1" s="75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t="14.25" customHeight="1" s="75">
      <c r="A1517" s="90" t="inlineStr">
        <is>
          <t>Lançamento</t>
        </is>
      </c>
      <c r="B1517" s="90" t="inlineStr">
        <is>
          <t>Custo Fixo</t>
        </is>
      </c>
      <c r="C1517" s="90" t="inlineStr">
        <is>
          <t>Despesas com DP</t>
        </is>
      </c>
      <c r="D1517" s="117" t="n">
        <v>22</v>
      </c>
      <c r="E1517" s="118" t="n">
        <v>43.54</v>
      </c>
      <c r="F1517" s="96">
        <f>IFERROR(D1517*E1517,0)</f>
        <v/>
      </c>
      <c r="G1517" s="90">
        <f>INDEX(SETORES!$B:$B,MATCH(A1517,SETORES!$A:$A,0))</f>
        <v/>
      </c>
      <c r="H1517" s="90" t="inlineStr">
        <is>
          <t>Julho/2026</t>
        </is>
      </c>
    </row>
    <row r="1518" ht="14.25" customHeight="1" s="75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t="14.25" customHeight="1" s="75">
      <c r="A1519" s="90" t="inlineStr">
        <is>
          <t>Fusão</t>
        </is>
      </c>
      <c r="B1519" s="90" t="inlineStr">
        <is>
          <t>Custo Fixo</t>
        </is>
      </c>
      <c r="C1519" s="90" t="inlineStr">
        <is>
          <t>Gympass</t>
        </is>
      </c>
      <c r="D1519" s="117" t="n">
        <v>8</v>
      </c>
      <c r="E1519" s="118" t="n">
        <v>9.92</v>
      </c>
      <c r="F1519" s="96">
        <f>IFERROR(D1519*E1519,0)</f>
        <v/>
      </c>
      <c r="G1519" s="90">
        <f>INDEX(SETORES!$B:$B,MATCH(A1519,SETORES!$A:$A,0))</f>
        <v/>
      </c>
      <c r="H1519" s="90" t="inlineStr">
        <is>
          <t>Julho/2026</t>
        </is>
      </c>
    </row>
    <row r="1520" ht="14.25" customHeight="1" s="75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t="14.25" customHeight="1" s="75">
      <c r="A1521" s="90" t="inlineStr">
        <is>
          <t>Fusão</t>
        </is>
      </c>
      <c r="B1521" s="90" t="inlineStr">
        <is>
          <t>Custo Fixo</t>
        </is>
      </c>
      <c r="C1521" s="90" t="inlineStr">
        <is>
          <t>Licença de e-mail corporativo</t>
        </is>
      </c>
      <c r="D1521" s="117" t="n">
        <v>1</v>
      </c>
      <c r="E1521" s="118" t="n">
        <v>50</v>
      </c>
      <c r="F1521" s="96">
        <f>IFERROR(D1521*E1521,0)</f>
        <v/>
      </c>
      <c r="G1521" s="90">
        <f>INDEX(SETORES!$B:$B,MATCH(A1521,SETORES!$A:$A,0))</f>
        <v/>
      </c>
      <c r="H1521" s="90" t="inlineStr">
        <is>
          <t>Julho/2026</t>
        </is>
      </c>
    </row>
    <row r="1522" ht="14.25" customHeight="1" s="75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t="14.25" customHeight="1" s="75">
      <c r="A1523" s="90" t="inlineStr">
        <is>
          <t>Fusão</t>
        </is>
      </c>
      <c r="B1523" s="90" t="inlineStr">
        <is>
          <t>Custo Fixo</t>
        </is>
      </c>
      <c r="C1523" s="90" t="inlineStr">
        <is>
          <t>Despesas com DP</t>
        </is>
      </c>
      <c r="D1523" s="117" t="n">
        <v>8</v>
      </c>
      <c r="E1523" s="118" t="n">
        <v>43.54</v>
      </c>
      <c r="F1523" s="96">
        <f>IFERROR(D1523*E1523,0)</f>
        <v/>
      </c>
      <c r="G1523" s="90">
        <f>INDEX(SETORES!$B:$B,MATCH(A1523,SETORES!$A:$A,0))</f>
        <v/>
      </c>
      <c r="H1523" s="90" t="inlineStr">
        <is>
          <t>Julho/2026</t>
        </is>
      </c>
    </row>
    <row r="1524" ht="14.25" customHeight="1" s="75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t="14.25" customHeight="1" s="75">
      <c r="A1525" s="90" t="inlineStr">
        <is>
          <t>Diretoria Adm</t>
        </is>
      </c>
      <c r="B1525" s="90" t="inlineStr">
        <is>
          <t>Custo Fixo</t>
        </is>
      </c>
      <c r="C1525" s="90" t="inlineStr">
        <is>
          <t>Gympass</t>
        </is>
      </c>
      <c r="D1525" s="117" t="n">
        <v>3</v>
      </c>
      <c r="E1525" s="118" t="n">
        <v>9.92</v>
      </c>
      <c r="F1525" s="96">
        <f>IFERROR(D1525*E1525,0)</f>
        <v/>
      </c>
      <c r="G1525" s="90">
        <f>INDEX(SETORES!$B:$B,MATCH(A1525,SETORES!$A:$A,0))</f>
        <v/>
      </c>
      <c r="H1525" s="90" t="inlineStr">
        <is>
          <t>Julho/2026</t>
        </is>
      </c>
    </row>
    <row r="1526" ht="14.25" customHeight="1" s="75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t="14.25" customHeight="1" s="75">
      <c r="A1527" s="90" t="inlineStr">
        <is>
          <t>Diretoria Adm</t>
        </is>
      </c>
      <c r="B1527" s="90" t="inlineStr">
        <is>
          <t>Custo Fixo</t>
        </is>
      </c>
      <c r="C1527" s="90" t="inlineStr">
        <is>
          <t>Licença de e-mail corporativo</t>
        </is>
      </c>
      <c r="D1527" s="117" t="n">
        <v>2</v>
      </c>
      <c r="E1527" s="118" t="n">
        <v>50</v>
      </c>
      <c r="F1527" s="96">
        <f>IFERROR(D1527*E1527,0)</f>
        <v/>
      </c>
      <c r="G1527" s="90">
        <f>INDEX(SETORES!$B:$B,MATCH(A1527,SETORES!$A:$A,0))</f>
        <v/>
      </c>
      <c r="H1527" s="90" t="inlineStr">
        <is>
          <t>Julho/2026</t>
        </is>
      </c>
    </row>
    <row r="1528" ht="14.25" customHeight="1" s="75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t="14.25" customHeight="1" s="75">
      <c r="A1529" s="90" t="inlineStr">
        <is>
          <t>Diretoria Adm</t>
        </is>
      </c>
      <c r="B1529" s="90" t="inlineStr">
        <is>
          <t>Custo Fixo</t>
        </is>
      </c>
      <c r="C1529" s="90" t="inlineStr">
        <is>
          <t>Despesas com DP</t>
        </is>
      </c>
      <c r="D1529" s="117" t="n">
        <v>3</v>
      </c>
      <c r="E1529" s="118" t="n">
        <v>43.54</v>
      </c>
      <c r="F1529" s="96">
        <f>IFERROR(D1529*E1529,0)</f>
        <v/>
      </c>
      <c r="G1529" s="90">
        <f>INDEX(SETORES!$B:$B,MATCH(A1529,SETORES!$A:$A,0))</f>
        <v/>
      </c>
      <c r="H1529" s="90" t="inlineStr">
        <is>
          <t>Julho/2026</t>
        </is>
      </c>
    </row>
    <row r="1530" ht="14.25" customHeight="1" s="75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t="14.25" customHeight="1" s="75">
      <c r="A1531" s="90" t="inlineStr">
        <is>
          <t>TIC</t>
        </is>
      </c>
      <c r="B1531" s="90" t="inlineStr">
        <is>
          <t>Custo Fixo</t>
        </is>
      </c>
      <c r="C1531" s="90" t="inlineStr">
        <is>
          <t>Impressora</t>
        </is>
      </c>
      <c r="D1531" s="117" t="n">
        <v>1</v>
      </c>
      <c r="E1531" s="118" t="n">
        <v>6.862744</v>
      </c>
      <c r="F1531" s="96">
        <f>IFERROR(D1531*E1531,0)</f>
        <v/>
      </c>
      <c r="G1531" s="90">
        <f>INDEX(SETORES!$B:$B,MATCH(A1531,SETORES!$A:$A,0))</f>
        <v/>
      </c>
      <c r="H1531" s="90" t="inlineStr">
        <is>
          <t>Julho/2026</t>
        </is>
      </c>
    </row>
    <row r="1532" ht="14.25" customHeight="1" s="75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t="14.25" customHeight="1" s="75">
      <c r="A1533" s="90" t="inlineStr">
        <is>
          <t>NOC</t>
        </is>
      </c>
      <c r="B1533" s="90" t="inlineStr">
        <is>
          <t>Custo Fixo</t>
        </is>
      </c>
      <c r="C1533" s="90" t="inlineStr">
        <is>
          <t>Impressora</t>
        </is>
      </c>
      <c r="D1533" s="117" t="n">
        <v>1</v>
      </c>
      <c r="E1533" s="118" t="n">
        <v>200</v>
      </c>
      <c r="F1533" s="96">
        <f>IFERROR(D1533*E1533,0)</f>
        <v/>
      </c>
      <c r="G1533" s="90">
        <f>INDEX(SETORES!$B:$B,MATCH(A1533,SETORES!$A:$A,0))</f>
        <v/>
      </c>
      <c r="H1533" s="90" t="inlineStr">
        <is>
          <t>Julho/2026</t>
        </is>
      </c>
    </row>
    <row r="1534" ht="14.25" customHeight="1" s="75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t="14.25" customHeight="1" s="75">
      <c r="A1535" s="90" t="inlineStr">
        <is>
          <t>Oficina</t>
        </is>
      </c>
      <c r="B1535" s="90" t="inlineStr">
        <is>
          <t>Custo Fixo</t>
        </is>
      </c>
      <c r="C1535" s="90" t="inlineStr">
        <is>
          <t>Impressora</t>
        </is>
      </c>
      <c r="D1535" s="117" t="n">
        <v>1</v>
      </c>
      <c r="E1535" s="118" t="n">
        <v>250</v>
      </c>
      <c r="F1535" s="96">
        <f>IFERROR(D1535*E1535,0)</f>
        <v/>
      </c>
      <c r="G1535" s="90">
        <f>INDEX(SETORES!$B:$B,MATCH(A1535,SETORES!$A:$A,0))</f>
        <v/>
      </c>
      <c r="H1535" s="90" t="inlineStr">
        <is>
          <t>Julho/2026</t>
        </is>
      </c>
    </row>
    <row r="1536" ht="14.25" customHeight="1" s="75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t="14.25" customHeight="1" s="75">
      <c r="A1537" s="90" t="inlineStr">
        <is>
          <t>Controladoria</t>
        </is>
      </c>
      <c r="B1537" s="90" t="inlineStr">
        <is>
          <t>Custo Fixo</t>
        </is>
      </c>
      <c r="C1537" s="90" t="inlineStr">
        <is>
          <t>Licença de e-mail corporativo</t>
        </is>
      </c>
      <c r="D1537" s="117" t="n">
        <v>1</v>
      </c>
      <c r="E1537" s="118" t="n">
        <v>50</v>
      </c>
      <c r="F1537" s="96">
        <f>IFERROR(D1537*E1537,0)</f>
        <v/>
      </c>
      <c r="G1537" s="90">
        <f>INDEX(SETORES!$B:$B,MATCH(A1537,SETORES!$A:$A,0))</f>
        <v/>
      </c>
      <c r="H1537" s="90" t="inlineStr">
        <is>
          <t>Julho/2026</t>
        </is>
      </c>
    </row>
    <row r="1538" ht="14.25" customHeight="1" s="75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t="14.25" customHeight="1" s="75">
      <c r="A1539" s="90" t="inlineStr">
        <is>
          <t>Cozinha</t>
        </is>
      </c>
      <c r="B1539" s="90" t="inlineStr">
        <is>
          <t>Custo Fixo</t>
        </is>
      </c>
      <c r="C1539" s="90" t="inlineStr">
        <is>
          <t>Folha de pagamento (salários)</t>
        </is>
      </c>
      <c r="D1539" s="117" t="n">
        <v>1</v>
      </c>
      <c r="E1539" s="118" t="n">
        <v>22573.92</v>
      </c>
      <c r="F1539" s="96">
        <f>IFERROR(E1539,0)</f>
        <v/>
      </c>
      <c r="G1539" s="90">
        <f>INDEX(SETORES!$B:$B,MATCH(A1539,SETORES!$A:$A,0))</f>
        <v/>
      </c>
      <c r="H1539" s="90" t="inlineStr">
        <is>
          <t>Julho/2026</t>
        </is>
      </c>
    </row>
    <row r="1540" ht="14.25" customHeight="1" s="75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t="14.25" customHeight="1" s="75">
      <c r="A1541" s="90" t="inlineStr">
        <is>
          <t>COE</t>
        </is>
      </c>
      <c r="B1541" s="90" t="inlineStr">
        <is>
          <t>Custo Variável</t>
        </is>
      </c>
      <c r="C1541" s="90" t="inlineStr">
        <is>
          <t>Rateio de transporte coletivo</t>
        </is>
      </c>
      <c r="D1541" s="117" t="n">
        <v>14</v>
      </c>
      <c r="E1541" s="118" t="n">
        <v>76.92</v>
      </c>
      <c r="F1541" s="96">
        <f>IFERROR(D1541*E1541,0)</f>
        <v/>
      </c>
      <c r="G1541" s="90">
        <f>INDEX(SETORES!$B:$B,MATCH(A1541,SETORES!$A:$A,0))</f>
        <v/>
      </c>
      <c r="H1541" s="90" t="inlineStr">
        <is>
          <t>Julho/2026</t>
        </is>
      </c>
    </row>
    <row r="1542" ht="14.25" customHeight="1" s="75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t="14.25" customHeight="1" s="75">
      <c r="A1543" s="90" t="inlineStr">
        <is>
          <t>COE</t>
        </is>
      </c>
      <c r="B1543" s="90" t="inlineStr">
        <is>
          <t>Custo Fixo</t>
        </is>
      </c>
      <c r="C1543" s="90" t="inlineStr">
        <is>
          <t>Energia elétrica (rateio)</t>
        </is>
      </c>
      <c r="D1543" s="117" t="n">
        <v>14</v>
      </c>
      <c r="E1543" s="118" t="n">
        <v>21.2582</v>
      </c>
      <c r="F1543" s="96" t="n">
        <v>297.6148</v>
      </c>
      <c r="G1543" s="90">
        <f>INDEX(SETORES!$B:$B,MATCH(A1543,SETORES!$A:$A,0))</f>
        <v/>
      </c>
      <c r="H1543" s="90" t="inlineStr">
        <is>
          <t>Julho/2026</t>
        </is>
      </c>
    </row>
    <row r="1544" ht="14.25" customHeight="1" s="75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t="14.25" customHeight="1" s="75">
      <c r="A1545" s="90" t="inlineStr">
        <is>
          <t>Cozinha</t>
        </is>
      </c>
      <c r="B1545" s="90" t="inlineStr">
        <is>
          <t>Custo Fixo</t>
        </is>
      </c>
      <c r="C1545" s="90" t="inlineStr">
        <is>
          <t>Energia elétrica (rateio)</t>
        </is>
      </c>
      <c r="D1545" s="117" t="n">
        <v>5</v>
      </c>
      <c r="E1545" s="118" t="n">
        <v>21.2582</v>
      </c>
      <c r="F1545" s="96" t="n">
        <v>106.291</v>
      </c>
      <c r="G1545" s="90">
        <f>INDEX(SETORES!$B:$B,MATCH(A1545,SETORES!$A:$A,0))</f>
        <v/>
      </c>
      <c r="H1545" s="90" t="inlineStr">
        <is>
          <t>Julho/2026</t>
        </is>
      </c>
    </row>
    <row r="1546" ht="14.25" customHeight="1" s="75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t="14.25" customHeight="1" s="75">
      <c r="A1547" s="90" t="inlineStr">
        <is>
          <t>COE</t>
        </is>
      </c>
      <c r="B1547" s="90" t="inlineStr">
        <is>
          <t>Custo Variável</t>
        </is>
      </c>
      <c r="C1547" s="90" t="inlineStr">
        <is>
          <t>Rescisões trabalhistas</t>
        </is>
      </c>
      <c r="D1547" s="117" t="n"/>
      <c r="E1547" s="118" t="n"/>
      <c r="F1547" s="96">
        <f>IFERROR(D1547*E1547,0)</f>
        <v/>
      </c>
      <c r="G1547" s="90">
        <f>INDEX(SETORES!$B:$B,MATCH(A1547,SETORES!$A:$A,0))</f>
        <v/>
      </c>
      <c r="H1547" s="90" t="inlineStr">
        <is>
          <t>Julho/2026</t>
        </is>
      </c>
    </row>
    <row r="1548" ht="14.25" customHeight="1" s="75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t="14.25" customHeight="1" s="75">
      <c r="A1549" s="90" t="inlineStr">
        <is>
          <t>Controladoria</t>
        </is>
      </c>
      <c r="B1549" s="90" t="inlineStr">
        <is>
          <t>Custo Variável</t>
        </is>
      </c>
      <c r="C1549" s="90" t="inlineStr">
        <is>
          <t>Rescisões trabalhistas</t>
        </is>
      </c>
      <c r="D1549" s="117" t="n"/>
      <c r="E1549" s="118" t="n"/>
      <c r="F1549" s="96">
        <f>IFERROR(D1549*E1549,0)</f>
        <v/>
      </c>
      <c r="G1549" s="90">
        <f>INDEX(SETORES!$B:$B,MATCH(A1549,SETORES!$A:$A,0))</f>
        <v/>
      </c>
      <c r="H1549" s="90" t="inlineStr">
        <is>
          <t>Julho/2026</t>
        </is>
      </c>
    </row>
    <row r="1550" ht="14.25" customHeight="1" s="75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t="14.25" customHeight="1" s="75">
      <c r="A1551" s="90" t="inlineStr">
        <is>
          <t>Diretoria Adm</t>
        </is>
      </c>
      <c r="B1551" s="90" t="inlineStr">
        <is>
          <t>Custo Variável</t>
        </is>
      </c>
      <c r="C1551" s="90" t="inlineStr">
        <is>
          <t>Rescisões trabalhistas</t>
        </is>
      </c>
      <c r="D1551" s="117" t="n"/>
      <c r="E1551" s="118" t="n"/>
      <c r="F1551" s="96">
        <f>IFERROR(D1551*E1551,0)</f>
        <v/>
      </c>
      <c r="G1551" s="90">
        <f>INDEX(SETORES!$B:$B,MATCH(A1551,SETORES!$A:$A,0))</f>
        <v/>
      </c>
      <c r="H1551" s="90" t="inlineStr">
        <is>
          <t>Julho/2026</t>
        </is>
      </c>
    </row>
    <row r="1552" ht="14.25" customHeight="1" s="75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t="14.25" customHeight="1" s="75">
      <c r="A1553" s="90" t="inlineStr">
        <is>
          <t>Financeiro</t>
        </is>
      </c>
      <c r="B1553" s="90" t="inlineStr">
        <is>
          <t>Custo Variável</t>
        </is>
      </c>
      <c r="C1553" s="90" t="inlineStr">
        <is>
          <t>Rescisões trabalhistas</t>
        </is>
      </c>
      <c r="D1553" s="117" t="n"/>
      <c r="E1553" s="118" t="n"/>
      <c r="F1553" s="96">
        <f>IFERROR(D1553*E1553,0)</f>
        <v/>
      </c>
      <c r="G1553" s="90">
        <f>INDEX(SETORES!$B:$B,MATCH(A1553,SETORES!$A:$A,0))</f>
        <v/>
      </c>
      <c r="H1553" s="90" t="inlineStr">
        <is>
          <t>Julho/2026</t>
        </is>
      </c>
    </row>
    <row r="1554" ht="14.25" customHeight="1" s="75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t="14.25" customHeight="1" s="75">
      <c r="A1555" s="90" t="inlineStr">
        <is>
          <t>Fusão</t>
        </is>
      </c>
      <c r="B1555" s="90" t="inlineStr">
        <is>
          <t>Custo Variável</t>
        </is>
      </c>
      <c r="C1555" s="90" t="inlineStr">
        <is>
          <t>Rescisões trabalhistas</t>
        </is>
      </c>
      <c r="D1555" s="117" t="n"/>
      <c r="E1555" s="118" t="n"/>
      <c r="F1555" s="96">
        <f>IFERROR(D1555*E1555,0)</f>
        <v/>
      </c>
      <c r="G1555" s="90">
        <f>INDEX(SETORES!$B:$B,MATCH(A1555,SETORES!$A:$A,0))</f>
        <v/>
      </c>
      <c r="H1555" s="90" t="inlineStr">
        <is>
          <t>Julho/2026</t>
        </is>
      </c>
    </row>
    <row r="1556" ht="14.25" customHeight="1" s="75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t="14.25" customHeight="1" s="75">
      <c r="A1557" s="90" t="inlineStr">
        <is>
          <t>Jurídico</t>
        </is>
      </c>
      <c r="B1557" s="90" t="inlineStr">
        <is>
          <t>Custo Variável</t>
        </is>
      </c>
      <c r="C1557" s="90" t="inlineStr">
        <is>
          <t>Rescisões trabalhistas</t>
        </is>
      </c>
      <c r="D1557" s="117" t="n"/>
      <c r="E1557" s="118" t="n"/>
      <c r="F1557" s="96">
        <f>IFERROR(D1557*E1557,0)</f>
        <v/>
      </c>
      <c r="G1557" s="90">
        <f>INDEX(SETORES!$B:$B,MATCH(A1557,SETORES!$A:$A,0))</f>
        <v/>
      </c>
      <c r="H1557" s="90" t="inlineStr">
        <is>
          <t>Julho/2026</t>
        </is>
      </c>
    </row>
    <row r="1558" ht="14.25" customHeight="1" s="75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t="14.25" customHeight="1" s="75">
      <c r="A1559" s="90" t="inlineStr">
        <is>
          <t>Marketing</t>
        </is>
      </c>
      <c r="B1559" s="90" t="inlineStr">
        <is>
          <t>Custo Variável</t>
        </is>
      </c>
      <c r="C1559" s="90" t="inlineStr">
        <is>
          <t>Rescisões trabalhistas</t>
        </is>
      </c>
      <c r="D1559" s="117" t="n"/>
      <c r="E1559" s="118" t="n"/>
      <c r="F1559" s="96">
        <f>IFERROR(D1559*E1559,0)</f>
        <v/>
      </c>
      <c r="G1559" s="90">
        <f>INDEX(SETORES!$B:$B,MATCH(A1559,SETORES!$A:$A,0))</f>
        <v/>
      </c>
      <c r="H1559" s="90" t="inlineStr">
        <is>
          <t>Julho/2026</t>
        </is>
      </c>
    </row>
    <row r="1560" ht="14.25" customHeight="1" s="75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t="14.25" customHeight="1" s="75">
      <c r="A1561" s="90" t="inlineStr">
        <is>
          <t>Qualidade</t>
        </is>
      </c>
      <c r="B1561" s="90" t="inlineStr">
        <is>
          <t>Custo Variável</t>
        </is>
      </c>
      <c r="C1561" s="90" t="inlineStr">
        <is>
          <t>Rescisões trabalhistas</t>
        </is>
      </c>
      <c r="D1561" s="117" t="n"/>
      <c r="E1561" s="118" t="n"/>
      <c r="F1561" s="96">
        <f>IFERROR(D1561*E1561,0)</f>
        <v/>
      </c>
      <c r="G1561" s="90">
        <f>INDEX(SETORES!$B:$B,MATCH(A1561,SETORES!$A:$A,0))</f>
        <v/>
      </c>
      <c r="H1561" s="90" t="inlineStr">
        <is>
          <t>Julho/2026</t>
        </is>
      </c>
    </row>
    <row r="1562" ht="14.25" customHeight="1" s="75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t="14.25" customHeight="1" s="75">
      <c r="A1563" s="90" t="inlineStr">
        <is>
          <t>Fique Móvel</t>
        </is>
      </c>
      <c r="B1563" s="90" t="inlineStr">
        <is>
          <t>Custo Fixo</t>
        </is>
      </c>
      <c r="C1563" s="90" t="inlineStr">
        <is>
          <t>Impressora</t>
        </is>
      </c>
      <c r="D1563" s="117" t="n">
        <v>1</v>
      </c>
      <c r="E1563" s="118" t="n">
        <v>2.941176</v>
      </c>
      <c r="F1563" s="96">
        <f>IFERROR(D1563*E1563,0)</f>
        <v/>
      </c>
      <c r="G1563" s="90">
        <f>INDEX(SETORES!$B:$B,MATCH(A1563,SETORES!$A:$A,0))</f>
        <v/>
      </c>
      <c r="H1563" s="90" t="inlineStr">
        <is>
          <t>Julho/2026</t>
        </is>
      </c>
    </row>
    <row r="1564" ht="14.25" customHeight="1" s="75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t="14.25" customHeight="1" s="75">
      <c r="A1565" s="90" t="inlineStr">
        <is>
          <t>Contabilidade</t>
        </is>
      </c>
      <c r="B1565" s="90" t="inlineStr">
        <is>
          <t>Custo Fixo</t>
        </is>
      </c>
      <c r="C1565" s="90" t="inlineStr">
        <is>
          <t>Impressora</t>
        </is>
      </c>
      <c r="D1565" s="117" t="n">
        <v>1</v>
      </c>
      <c r="E1565" s="118" t="n">
        <v>4.90196</v>
      </c>
      <c r="F1565" s="96">
        <f>IFERROR(D1565*E1565,0)</f>
        <v/>
      </c>
      <c r="G1565" s="90">
        <f>INDEX(SETORES!$B:$B,MATCH(A1565,SETORES!$A:$A,0))</f>
        <v/>
      </c>
      <c r="H1565" s="90" t="inlineStr">
        <is>
          <t>Julho/2026</t>
        </is>
      </c>
    </row>
    <row r="1566" ht="14.25" customHeight="1" s="75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t="14.25" customHeight="1" s="75">
      <c r="A1567" s="90" t="inlineStr">
        <is>
          <t>Diretoria Adm</t>
        </is>
      </c>
      <c r="B1567" s="90" t="inlineStr">
        <is>
          <t>Custo Fixo</t>
        </is>
      </c>
      <c r="C1567" s="90" t="inlineStr">
        <is>
          <t>Impressora</t>
        </is>
      </c>
      <c r="D1567" s="117" t="n">
        <v>1</v>
      </c>
      <c r="E1567" s="118" t="n">
        <v>2.941176</v>
      </c>
      <c r="F1567" s="96">
        <f>IFERROR(D1567*E1567,0)</f>
        <v/>
      </c>
      <c r="G1567" s="90">
        <f>INDEX(SETORES!$B:$B,MATCH(A1567,SETORES!$A:$A,0))</f>
        <v/>
      </c>
      <c r="H1567" s="90" t="inlineStr">
        <is>
          <t>Julho/2026</t>
        </is>
      </c>
    </row>
    <row r="1568" ht="14.25" customHeight="1" s="75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t="14.25" customHeight="1" s="75">
      <c r="A1569" s="90" t="inlineStr">
        <is>
          <t>Gestão de Atendimento</t>
        </is>
      </c>
      <c r="B1569" s="90" t="inlineStr">
        <is>
          <t>Custo Fixo</t>
        </is>
      </c>
      <c r="C1569" s="90" t="inlineStr">
        <is>
          <t>Impressora</t>
        </is>
      </c>
      <c r="D1569" s="117" t="n">
        <v>1</v>
      </c>
      <c r="E1569" s="118" t="n">
        <v>5.882352</v>
      </c>
      <c r="F1569" s="96">
        <f>IFERROR(D1569*E1569,0)</f>
        <v/>
      </c>
      <c r="G1569" s="90">
        <f>INDEX(SETORES!$B:$B,MATCH(A1569,SETORES!$A:$A,0))</f>
        <v/>
      </c>
      <c r="H1569" s="90" t="inlineStr">
        <is>
          <t>Julho/2026</t>
        </is>
      </c>
    </row>
    <row r="1570" ht="14.25" customHeight="1" s="75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t="14.25" customHeight="1" s="75">
      <c r="A1571" s="90" t="inlineStr">
        <is>
          <t>CAC</t>
        </is>
      </c>
      <c r="B1571" s="90" t="inlineStr">
        <is>
          <t>Custo Fixo</t>
        </is>
      </c>
      <c r="C1571" s="90" t="inlineStr">
        <is>
          <t>Chip móvel corporativo</t>
        </is>
      </c>
      <c r="D1571" s="117" t="n">
        <v>1</v>
      </c>
      <c r="E1571" s="118" t="n">
        <v>30</v>
      </c>
      <c r="F1571" s="96">
        <f>IFERROR(D1571*E1571,0)</f>
        <v/>
      </c>
      <c r="G1571" s="90">
        <f>INDEX(SETORES!$B:$B,MATCH(A1571,SETORES!$A:$A,0))</f>
        <v/>
      </c>
      <c r="H1571" s="90" t="inlineStr">
        <is>
          <t>Julho/2026</t>
        </is>
      </c>
    </row>
    <row r="1572" ht="14.25" customHeight="1" s="75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t="14.25" customHeight="1" s="75">
      <c r="A1573" s="90" t="inlineStr">
        <is>
          <t>Compras</t>
        </is>
      </c>
      <c r="B1573" s="90" t="inlineStr">
        <is>
          <t>Custo Fixo</t>
        </is>
      </c>
      <c r="C1573" s="90" t="inlineStr">
        <is>
          <t>Chip móvel corporativo</t>
        </is>
      </c>
      <c r="D1573" s="117" t="n">
        <v>2</v>
      </c>
      <c r="E1573" s="118" t="n">
        <v>30</v>
      </c>
      <c r="F1573" s="96">
        <f>IFERROR(D1573*E1573,0)</f>
        <v/>
      </c>
      <c r="G1573" s="90">
        <f>INDEX(SETORES!$B:$B,MATCH(A1573,SETORES!$A:$A,0))</f>
        <v/>
      </c>
      <c r="H1573" s="90" t="inlineStr">
        <is>
          <t>Julho/2026</t>
        </is>
      </c>
    </row>
    <row r="1574" ht="14.25" customHeight="1" s="75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t="14.25" customHeight="1" s="75">
      <c r="A1575" s="90" t="inlineStr">
        <is>
          <t>DP</t>
        </is>
      </c>
      <c r="B1575" s="90" t="inlineStr">
        <is>
          <t>Custo Fixo</t>
        </is>
      </c>
      <c r="C1575" s="90" t="inlineStr">
        <is>
          <t>Chip móvel corporativo</t>
        </is>
      </c>
      <c r="D1575" s="117" t="n">
        <v>2</v>
      </c>
      <c r="E1575" s="118" t="n">
        <v>30</v>
      </c>
      <c r="F1575" s="96">
        <f>IFERROR(D1575*E1575,0)</f>
        <v/>
      </c>
      <c r="G1575" s="90">
        <f>INDEX(SETORES!$B:$B,MATCH(A1575,SETORES!$A:$A,0))</f>
        <v/>
      </c>
      <c r="H1575" s="90" t="inlineStr">
        <is>
          <t>Julho/2026</t>
        </is>
      </c>
    </row>
    <row r="1576" ht="14.25" customHeight="1" s="75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t="14.25" customHeight="1" s="75">
      <c r="A1577" s="90" t="inlineStr">
        <is>
          <t>Financeiro</t>
        </is>
      </c>
      <c r="B1577" s="90" t="inlineStr">
        <is>
          <t>Custo Fixo</t>
        </is>
      </c>
      <c r="C1577" s="90" t="inlineStr">
        <is>
          <t>Chip móvel corporativo</t>
        </is>
      </c>
      <c r="D1577" s="117" t="n">
        <v>2</v>
      </c>
      <c r="E1577" s="118" t="n">
        <v>30</v>
      </c>
      <c r="F1577" s="96">
        <f>IFERROR(D1577*E1577,0)</f>
        <v/>
      </c>
      <c r="G1577" s="90">
        <f>INDEX(SETORES!$B:$B,MATCH(A1577,SETORES!$A:$A,0))</f>
        <v/>
      </c>
      <c r="H1577" s="90" t="inlineStr">
        <is>
          <t>Julho/2026</t>
        </is>
      </c>
    </row>
    <row r="1578" ht="14.25" customHeight="1" s="75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t="14.25" customHeight="1" s="75">
      <c r="A1579" s="90" t="inlineStr">
        <is>
          <t>Gestão de Atendimento</t>
        </is>
      </c>
      <c r="B1579" s="90" t="inlineStr">
        <is>
          <t>Custo Fixo</t>
        </is>
      </c>
      <c r="C1579" s="90" t="inlineStr">
        <is>
          <t>Chip móvel corporativo</t>
        </is>
      </c>
      <c r="D1579" s="117" t="n">
        <v>2</v>
      </c>
      <c r="E1579" s="118" t="n">
        <v>30</v>
      </c>
      <c r="F1579" s="96">
        <f>IFERROR(D1579*E1579,0)</f>
        <v/>
      </c>
      <c r="G1579" s="90">
        <f>INDEX(SETORES!$B:$B,MATCH(A1579,SETORES!$A:$A,0))</f>
        <v/>
      </c>
      <c r="H1579" s="90" t="inlineStr">
        <is>
          <t>Julho/2026</t>
        </is>
      </c>
    </row>
    <row r="1580" ht="14.25" customHeight="1" s="75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t="14.25" customHeight="1" s="75">
      <c r="A1581" s="90" t="inlineStr">
        <is>
          <t>Logística</t>
        </is>
      </c>
      <c r="B1581" s="90" t="inlineStr">
        <is>
          <t>Custo Fixo</t>
        </is>
      </c>
      <c r="C1581" s="90" t="inlineStr">
        <is>
          <t>Chip móvel corporativo</t>
        </is>
      </c>
      <c r="D1581" s="117" t="n">
        <v>7</v>
      </c>
      <c r="E1581" s="118" t="n">
        <v>30</v>
      </c>
      <c r="F1581" s="96">
        <f>IFERROR(D1581*E1581,0)</f>
        <v/>
      </c>
      <c r="G1581" s="90">
        <f>INDEX(SETORES!$B:$B,MATCH(A1581,SETORES!$A:$A,0))</f>
        <v/>
      </c>
      <c r="H1581" s="90" t="inlineStr">
        <is>
          <t>Julho/2026</t>
        </is>
      </c>
    </row>
    <row r="1582" ht="14.25" customHeight="1" s="75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t="14.25" customHeight="1" s="75">
      <c r="A1583" s="90" t="inlineStr">
        <is>
          <t>Marketing</t>
        </is>
      </c>
      <c r="B1583" s="90" t="inlineStr">
        <is>
          <t>Custo Fixo</t>
        </is>
      </c>
      <c r="C1583" s="90" t="inlineStr">
        <is>
          <t>Chip móvel corporativo</t>
        </is>
      </c>
      <c r="D1583" s="117" t="n">
        <v>10</v>
      </c>
      <c r="E1583" s="118" t="n">
        <v>30</v>
      </c>
      <c r="F1583" s="96">
        <f>IFERROR(D1583*E1583,0)</f>
        <v/>
      </c>
      <c r="G1583" s="90">
        <f>INDEX(SETORES!$B:$B,MATCH(A1583,SETORES!$A:$A,0))</f>
        <v/>
      </c>
      <c r="H1583" s="90" t="inlineStr">
        <is>
          <t>Julho/2026</t>
        </is>
      </c>
    </row>
    <row r="1584" ht="14.25" customHeight="1" s="75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t="14.25" customHeight="1" s="75">
      <c r="A1585" s="90" t="inlineStr">
        <is>
          <t>Obras</t>
        </is>
      </c>
      <c r="B1585" s="90" t="inlineStr">
        <is>
          <t>Custo Fixo</t>
        </is>
      </c>
      <c r="C1585" s="90" t="inlineStr">
        <is>
          <t>Chip móvel corporativo</t>
        </is>
      </c>
      <c r="D1585" s="117" t="n">
        <v>5</v>
      </c>
      <c r="E1585" s="118" t="n">
        <v>30</v>
      </c>
      <c r="F1585" s="96">
        <f>IFERROR(D1585*E1585,0)</f>
        <v/>
      </c>
      <c r="G1585" s="90">
        <f>INDEX(SETORES!$B:$B,MATCH(A1585,SETORES!$A:$A,0))</f>
        <v/>
      </c>
      <c r="H1585" s="90" t="inlineStr">
        <is>
          <t>Julho/2026</t>
        </is>
      </c>
    </row>
    <row r="1586" ht="14.25" customHeight="1" s="75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t="14.25" customHeight="1" s="75">
      <c r="A1587" s="90" t="inlineStr">
        <is>
          <t>RH</t>
        </is>
      </c>
      <c r="B1587" s="90" t="inlineStr">
        <is>
          <t>Custo Fixo</t>
        </is>
      </c>
      <c r="C1587" s="90" t="inlineStr">
        <is>
          <t>Chip móvel corporativo</t>
        </is>
      </c>
      <c r="D1587" s="117" t="n">
        <v>3</v>
      </c>
      <c r="E1587" s="118" t="n">
        <v>30</v>
      </c>
      <c r="F1587" s="96">
        <f>IFERROR(D1587*E1587,0)</f>
        <v/>
      </c>
      <c r="G1587" s="90">
        <f>INDEX(SETORES!$B:$B,MATCH(A1587,SETORES!$A:$A,0))</f>
        <v/>
      </c>
      <c r="H1587" s="90" t="inlineStr">
        <is>
          <t>Julho/2026</t>
        </is>
      </c>
    </row>
    <row r="1588" ht="14.25" customHeight="1" s="75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5</v>
      </c>
      <c r="E1588" s="115" t="n">
        <v>30</v>
      </c>
      <c r="F1588" s="116">
        <f>IFERROR(D1588*E1588,0)</f>
        <v/>
      </c>
      <c r="G1588" s="113">
        <f>INDEX(SETORES!$B:$B,MATCH(A1588,SETORES!$A:$A,0))</f>
        <v/>
      </c>
      <c r="H1588" s="113" t="inlineStr">
        <is>
          <t>Julho/2026</t>
        </is>
      </c>
    </row>
    <row r="1589" ht="14.25" customHeight="1" s="75">
      <c r="A1589" s="90" t="inlineStr">
        <is>
          <t>TIC</t>
        </is>
      </c>
      <c r="B1589" s="90" t="inlineStr">
        <is>
          <t>Custo Fixo</t>
        </is>
      </c>
      <c r="C1589" s="90" t="inlineStr">
        <is>
          <t>Chip móvel corporativo</t>
        </is>
      </c>
      <c r="D1589" s="117" t="n">
        <v>5</v>
      </c>
      <c r="E1589" s="118" t="n">
        <v>30</v>
      </c>
      <c r="F1589" s="96">
        <f>IFERROR(D1589*E1589,0)</f>
        <v/>
      </c>
      <c r="G1589" s="90">
        <f>INDEX(SETORES!$B:$B,MATCH(A1589,SETORES!$A:$A,0))</f>
        <v/>
      </c>
      <c r="H1589" s="90" t="inlineStr">
        <is>
          <t>Julho/2026</t>
        </is>
      </c>
    </row>
    <row r="1590" ht="14.25" customHeight="1" s="75">
      <c r="A1590" s="90" t="inlineStr">
        <is>
          <t>Backoffice Comercial Varejo</t>
        </is>
      </c>
      <c r="B1590" s="90" t="inlineStr">
        <is>
          <t>Custo Fixo</t>
        </is>
      </c>
      <c r="C1590" s="90" t="inlineStr">
        <is>
          <t>Folha de pagamento (salários)</t>
        </is>
      </c>
      <c r="D1590" s="117" t="n">
        <v>1</v>
      </c>
      <c r="E1590" s="118" t="n">
        <v>6292.45</v>
      </c>
      <c r="F1590" s="96">
        <f>IFERROR(E1590,0)</f>
        <v/>
      </c>
      <c r="G1590" s="90">
        <f>INDEX(SETORES!$B:$B,MATCH(A1590,SETORES!$A:$A,0))</f>
        <v/>
      </c>
      <c r="H1590" s="90" t="inlineStr">
        <is>
          <t>Maio/2026</t>
        </is>
      </c>
    </row>
    <row r="1591" ht="14.25" customHeight="1" s="75">
      <c r="A1591" s="113" t="inlineStr">
        <is>
          <t>Serviços Gerais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16470.48</v>
      </c>
      <c r="F1591" s="116">
        <f>IFERROR(E1591,0)</f>
        <v/>
      </c>
      <c r="G1591" s="113">
        <f>INDEX(SETORES!$B:$B,MATCH(A1591,SETORES!$A:$A,0))</f>
        <v/>
      </c>
      <c r="H1591" s="113" t="inlineStr">
        <is>
          <t>Maio/2026</t>
        </is>
      </c>
    </row>
    <row r="1592" ht="14.25" customHeight="1" s="75">
      <c r="A1592" s="90" t="inlineStr">
        <is>
          <t>Gestão de Atendimento</t>
        </is>
      </c>
      <c r="B1592" s="90" t="inlineStr">
        <is>
          <t>Custo Fixo</t>
        </is>
      </c>
      <c r="C1592" s="90" t="inlineStr">
        <is>
          <t>Custo de gestão administrativa (rateado — Renata Thaysa dos Santos Cunha)</t>
        </is>
      </c>
      <c r="D1592" s="117" t="n">
        <v>1</v>
      </c>
      <c r="E1592" s="118" t="n">
        <v>2821.6</v>
      </c>
      <c r="F1592" s="96">
        <f>IFERROR(D1592*E1592,0)</f>
        <v/>
      </c>
      <c r="G1592" s="90">
        <f>INDEX(SETORES!$B:$B,MATCH(A1592,SETORES!$A:$A,0))</f>
        <v/>
      </c>
      <c r="H1592" s="90" t="inlineStr">
        <is>
          <t>Maio/2026</t>
        </is>
      </c>
    </row>
    <row r="1593" ht="14.25" customHeight="1" s="75">
      <c r="A1593" s="113" t="inlineStr">
        <is>
          <t>CAC</t>
        </is>
      </c>
      <c r="B1593" s="113" t="inlineStr">
        <is>
          <t>Custo Fixo</t>
        </is>
      </c>
      <c r="C1593" s="113" t="inlineStr">
        <is>
          <t>Custo de gestão administrativa (rateado — Renata Thaysa dos Santos Cunha)</t>
        </is>
      </c>
      <c r="D1593" s="114" t="n">
        <v>1</v>
      </c>
      <c r="E1593" s="115" t="n">
        <v>2257.28</v>
      </c>
      <c r="F1593" s="116">
        <f>IFERROR(D1593*E1593,0)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t="14.25" customHeight="1" s="75">
      <c r="A1594" s="90" t="inlineStr">
        <is>
          <t>Backoffice Comercial Varejo</t>
        </is>
      </c>
      <c r="B1594" s="90" t="inlineStr">
        <is>
          <t>Custo Fixo</t>
        </is>
      </c>
      <c r="C1594" s="90" t="inlineStr">
        <is>
          <t>Custo de gestão administrativa (rateado — Renata Thaysa dos Santos Cunha)</t>
        </is>
      </c>
      <c r="D1594" s="117" t="n">
        <v>1</v>
      </c>
      <c r="E1594" s="118" t="n">
        <v>1128.64</v>
      </c>
      <c r="F1594" s="96">
        <f>IFERROR(D1594*E1594,0)</f>
        <v/>
      </c>
      <c r="G1594" s="90">
        <f>INDEX(SETORES!$B:$B,MATCH(A1594,SETORES!$A:$A,0))</f>
        <v/>
      </c>
      <c r="H1594" s="90" t="inlineStr">
        <is>
          <t>Maio/2026</t>
        </is>
      </c>
    </row>
    <row r="1595" ht="14.25" customHeight="1" s="75">
      <c r="A1595" s="113" t="inlineStr">
        <is>
          <t>NRC</t>
        </is>
      </c>
      <c r="B1595" s="113" t="inlineStr">
        <is>
          <t>Custo Fixo</t>
        </is>
      </c>
      <c r="C1595" s="113" t="inlineStr">
        <is>
          <t>Custo de gestão administrativa (rateado — Ayrton da Silva Lima)</t>
        </is>
      </c>
      <c r="D1595" s="114" t="n">
        <v>1</v>
      </c>
      <c r="E1595" s="115" t="n">
        <v>4985.26</v>
      </c>
      <c r="F1595" s="116">
        <f>IFERROR(D1595*E1595,0)</f>
        <v/>
      </c>
      <c r="G1595" s="113">
        <f>INDEX(SETORES!$B:$B,MATCH(A1595,SETORES!$A:$A,0))</f>
        <v/>
      </c>
      <c r="H1595" s="113" t="inlineStr">
        <is>
          <t>Maio/2026</t>
        </is>
      </c>
    </row>
    <row r="1596" ht="14.25" customHeight="1" s="75">
      <c r="A1596" s="90" t="inlineStr">
        <is>
          <t>Cobrança</t>
        </is>
      </c>
      <c r="B1596" s="90" t="inlineStr">
        <is>
          <t>Custo Fixo</t>
        </is>
      </c>
      <c r="C1596" s="90" t="inlineStr">
        <is>
          <t>Custo de gestão administrativa (rateado — Ayrton da Silva Lima)</t>
        </is>
      </c>
      <c r="D1596" s="117" t="n">
        <v>1</v>
      </c>
      <c r="E1596" s="118" t="n">
        <v>1459.1</v>
      </c>
      <c r="F1596" s="96">
        <f>IFERROR(D1596*E1596,0)</f>
        <v/>
      </c>
      <c r="G1596" s="90">
        <f>INDEX(SETORES!$B:$B,MATCH(A1596,SETORES!$A:$A,0))</f>
        <v/>
      </c>
      <c r="H1596" s="90" t="inlineStr">
        <is>
          <t>Maio/2026</t>
        </is>
      </c>
    </row>
    <row r="1597" ht="14.25" customHeight="1" s="75">
      <c r="A1597" s="113" t="inlineStr">
        <is>
          <t>Retenção</t>
        </is>
      </c>
      <c r="B1597" s="113" t="inlineStr">
        <is>
          <t>Custo Fixo</t>
        </is>
      </c>
      <c r="C1597" s="113" t="inlineStr">
        <is>
          <t>Custo de gestão administrativa (rateado — Ayrton da Silva Lima)</t>
        </is>
      </c>
      <c r="D1597" s="114" t="n">
        <v>1</v>
      </c>
      <c r="E1597" s="115" t="n">
        <v>1215.92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t="14.25" customHeight="1" s="75">
      <c r="A1598" s="90" t="inlineStr">
        <is>
          <t>Televendas</t>
        </is>
      </c>
      <c r="B1598" s="90" t="inlineStr">
        <is>
          <t>Custo Fixo</t>
        </is>
      </c>
      <c r="C1598" s="90" t="inlineStr">
        <is>
          <t>Custo de gestão administrativa (rateado — Ayrton da Silva Lima)</t>
        </is>
      </c>
      <c r="D1598" s="117" t="n">
        <v>1</v>
      </c>
      <c r="E1598" s="118" t="n">
        <v>1215.92</v>
      </c>
      <c r="F1598" s="96">
        <f>IFERROR(D1598*E1598,0)</f>
        <v/>
      </c>
      <c r="G1598" s="90">
        <f>INDEX(SETORES!$B:$B,MATCH(A1598,SETORES!$A:$A,0))</f>
        <v/>
      </c>
      <c r="H1598" s="90" t="inlineStr">
        <is>
          <t>Maio/2026</t>
        </is>
      </c>
    </row>
    <row r="1599" ht="14.25" customHeight="1" s="75">
      <c r="A1599" s="113" t="inlineStr">
        <is>
          <t>Suporte da Central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3769.34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t="14.25" customHeight="1" s="75">
      <c r="A1600" s="90" t="inlineStr">
        <is>
          <t>Suporte Orbix</t>
        </is>
      </c>
      <c r="B1600" s="90" t="inlineStr">
        <is>
          <t>Custo Fixo</t>
        </is>
      </c>
      <c r="C1600" s="90" t="inlineStr">
        <is>
          <t>Custo de gestão administrativa (rateado — Ayrton da Silva Lima)</t>
        </is>
      </c>
      <c r="D1600" s="117" t="n">
        <v>1</v>
      </c>
      <c r="E1600" s="118" t="n">
        <v>1094.33</v>
      </c>
      <c r="F1600" s="96">
        <f>IFERROR(D1600*E1600,0)</f>
        <v/>
      </c>
      <c r="G1600" s="90">
        <f>INDEX(SETORES!$B:$B,MATCH(A1600,SETORES!$A:$A,0))</f>
        <v/>
      </c>
      <c r="H1600" s="90" t="inlineStr">
        <is>
          <t>Maio/2026</t>
        </is>
      </c>
    </row>
    <row r="1601" ht="14.25" customHeight="1" s="75">
      <c r="A1601" s="113" t="inlineStr">
        <is>
          <t>Engenharia</t>
        </is>
      </c>
      <c r="B1601" s="113" t="inlineStr">
        <is>
          <t>Custo Fixo</t>
        </is>
      </c>
      <c r="C1601" s="113" t="inlineStr">
        <is>
          <t>Custo de gestão administrativa (rateado — Cryslaine Fonseca Rosal)</t>
        </is>
      </c>
      <c r="D1601" s="114" t="n">
        <v>1</v>
      </c>
      <c r="E1601" s="115" t="n">
        <v>1269.37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t="14.25" customHeight="1" s="75">
      <c r="A1602" s="90" t="inlineStr">
        <is>
          <t>Obras</t>
        </is>
      </c>
      <c r="B1602" s="90" t="inlineStr">
        <is>
          <t>Custo Fixo</t>
        </is>
      </c>
      <c r="C1602" s="90" t="inlineStr">
        <is>
          <t>Custo de gestão administrativa (rateado — Cryslaine Fonseca Rosal)</t>
        </is>
      </c>
      <c r="D1602" s="117" t="n">
        <v>1</v>
      </c>
      <c r="E1602" s="118" t="n">
        <v>4170.78</v>
      </c>
      <c r="F1602" s="96">
        <f>IFERROR(D1602*E1602,0)</f>
        <v/>
      </c>
      <c r="G1602" s="90">
        <f>INDEX(SETORES!$B:$B,MATCH(A1602,SETORES!$A:$A,0))</f>
        <v/>
      </c>
      <c r="H1602" s="90" t="inlineStr">
        <is>
          <t>Maio/2026</t>
        </is>
      </c>
    </row>
    <row r="1603" ht="14.25" customHeight="1" s="75">
      <c r="A1603" s="113" t="inlineStr">
        <is>
          <t>Manutenção Predial</t>
        </is>
      </c>
      <c r="B1603" s="113" t="inlineStr">
        <is>
          <t>Custo Fixo</t>
        </is>
      </c>
      <c r="C1603" s="113" t="inlineStr">
        <is>
          <t>Custo de gestão administrativa (rateado — Cryslaine Fonseca Rosal)</t>
        </is>
      </c>
      <c r="D1603" s="114" t="n">
        <v>1</v>
      </c>
      <c r="E1603" s="115" t="n">
        <v>2176.06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t="14.25" customHeight="1" s="75">
      <c r="A1604" s="90" t="inlineStr">
        <is>
          <t>Lançamento</t>
        </is>
      </c>
      <c r="B1604" s="90" t="inlineStr">
        <is>
          <t>Custo Fixo</t>
        </is>
      </c>
      <c r="C1604" s="90" t="inlineStr">
        <is>
          <t>Custo de gestão administrativa (rateado — Cryslaine Fonseca Rosal)</t>
        </is>
      </c>
      <c r="D1604" s="117" t="n">
        <v>1</v>
      </c>
      <c r="E1604" s="118" t="n">
        <v>3989.44</v>
      </c>
      <c r="F1604" s="96">
        <f>IFERROR(D1604*E1604,0)</f>
        <v/>
      </c>
      <c r="G1604" s="90">
        <f>INDEX(SETORES!$B:$B,MATCH(A1604,SETORES!$A:$A,0))</f>
        <v/>
      </c>
      <c r="H1604" s="90" t="inlineStr">
        <is>
          <t>Maio/2026</t>
        </is>
      </c>
    </row>
    <row r="1605" ht="14.25" customHeight="1" s="75">
      <c r="A1605" s="113" t="inlineStr">
        <is>
          <t>Fusão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1632.05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t="14.25" customHeight="1" s="75">
      <c r="A1606" s="90" t="inlineStr">
        <is>
          <t>Serviços Gerais</t>
        </is>
      </c>
      <c r="B1606" s="90" t="inlineStr">
        <is>
          <t>Custo Fixo</t>
        </is>
      </c>
      <c r="C1606" s="90" t="inlineStr">
        <is>
          <t>Custo de gestão administrativa (rateado — Cryslaine Fonseca Rosal)</t>
        </is>
      </c>
      <c r="D1606" s="117" t="n">
        <v>1</v>
      </c>
      <c r="E1606" s="118" t="n">
        <v>906.6900000000001</v>
      </c>
      <c r="F1606" s="96">
        <f>IFERROR(D1606*E1606,0)</f>
        <v/>
      </c>
      <c r="G1606" s="90">
        <f>INDEX(SETORES!$B:$B,MATCH(A1606,SETORES!$A:$A,0))</f>
        <v/>
      </c>
      <c r="H1606" s="90" t="inlineStr">
        <is>
          <t>Maio/2026</t>
        </is>
      </c>
    </row>
    <row r="1607" ht="14.25" customHeight="1" s="75">
      <c r="A1607" s="113" t="inlineStr">
        <is>
          <t>Lançamento</t>
        </is>
      </c>
      <c r="B1607" s="113" t="inlineStr">
        <is>
          <t>Custo Fixo</t>
        </is>
      </c>
      <c r="C1607" s="113" t="inlineStr">
        <is>
          <t>Custo de gestão administrativa (rateado — Josadark José do Nascimento)</t>
        </is>
      </c>
      <c r="D1607" s="114" t="n">
        <v>1</v>
      </c>
      <c r="E1607" s="115" t="n">
        <v>7772.95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t="14.25" customHeight="1" s="75">
      <c r="A1608" s="90" t="inlineStr">
        <is>
          <t>Fusão</t>
        </is>
      </c>
      <c r="B1608" s="90" t="inlineStr">
        <is>
          <t>Custo Fixo</t>
        </is>
      </c>
      <c r="C1608" s="90" t="inlineStr">
        <is>
          <t>Custo de gestão administrativa (rateado — Josadark José do Nascimento)</t>
        </is>
      </c>
      <c r="D1608" s="117" t="n">
        <v>1</v>
      </c>
      <c r="E1608" s="118" t="n">
        <v>3179.85</v>
      </c>
      <c r="F1608" s="96">
        <f>IFERROR(D1608*E1608,0)</f>
        <v/>
      </c>
      <c r="G1608" s="90">
        <f>INDEX(SETORES!$B:$B,MATCH(A1608,SETORES!$A:$A,0))</f>
        <v/>
      </c>
      <c r="H1608" s="90" t="inlineStr">
        <is>
          <t>Maio/2026</t>
        </is>
      </c>
    </row>
    <row r="1609" ht="14.25" customHeight="1" s="75">
      <c r="A1609" s="113" t="inlineStr">
        <is>
          <t>Backoffice Comercial Varejo</t>
        </is>
      </c>
      <c r="B1609" s="113" t="inlineStr">
        <is>
          <t>Custo Fixo</t>
        </is>
      </c>
      <c r="C1609" s="113" t="inlineStr">
        <is>
          <t>Energia elétrica (rateio)</t>
        </is>
      </c>
      <c r="D1609" s="114" t="n">
        <v>1</v>
      </c>
      <c r="E1609" s="115" t="n">
        <v>17.0216</v>
      </c>
      <c r="F1609" s="116" t="n">
        <v>17.0216</v>
      </c>
      <c r="G1609" s="113" t="inlineStr">
        <is>
          <t>Clientes</t>
        </is>
      </c>
      <c r="H1609" s="113" t="inlineStr">
        <is>
          <t>Maio/2026</t>
        </is>
      </c>
    </row>
    <row r="1610" ht="14.25" customHeight="1" s="75">
      <c r="A1610" s="90" t="inlineStr">
        <is>
          <t>Marketing</t>
        </is>
      </c>
      <c r="B1610" s="90" t="inlineStr">
        <is>
          <t>Custo Fixo</t>
        </is>
      </c>
      <c r="C1610" s="90" t="inlineStr">
        <is>
          <t>Energia elétrica (rateio)</t>
        </is>
      </c>
      <c r="D1610" s="117" t="n">
        <v>1</v>
      </c>
      <c r="E1610" s="118" t="n">
        <v>102.1295</v>
      </c>
      <c r="F1610" s="96" t="n">
        <v>102.1295</v>
      </c>
      <c r="G1610" s="90" t="inlineStr">
        <is>
          <t>Clientes</t>
        </is>
      </c>
      <c r="H1610" s="90" t="inlineStr">
        <is>
          <t>Maio/2026</t>
        </is>
      </c>
    </row>
    <row r="1611" ht="14.25" customHeight="1" s="75">
      <c r="A1611" s="113" t="inlineStr">
        <is>
          <t>Comercial Corporativo</t>
        </is>
      </c>
      <c r="B1611" s="113" t="inlineStr">
        <is>
          <t>Custo Fixo</t>
        </is>
      </c>
      <c r="C1611" s="113" t="inlineStr">
        <is>
          <t>Energia elétrica (rateio)</t>
        </is>
      </c>
      <c r="D1611" s="114" t="n">
        <v>1</v>
      </c>
      <c r="E1611" s="115" t="n">
        <v>93.6187</v>
      </c>
      <c r="F1611" s="116" t="n">
        <v>93.6187</v>
      </c>
      <c r="G1611" s="113" t="inlineStr">
        <is>
          <t>Clientes</t>
        </is>
      </c>
      <c r="H1611" s="113" t="inlineStr">
        <is>
          <t>Maio/2026</t>
        </is>
      </c>
    </row>
    <row r="1612" ht="14.25" customHeight="1" s="75">
      <c r="A1612" s="90" t="inlineStr">
        <is>
          <t>TIC</t>
        </is>
      </c>
      <c r="B1612" s="90" t="inlineStr">
        <is>
          <t>Custo Fixo</t>
        </is>
      </c>
      <c r="C1612" s="90" t="inlineStr">
        <is>
          <t>Energia elétrica (rateio)</t>
        </is>
      </c>
      <c r="D1612" s="117" t="n">
        <v>1</v>
      </c>
      <c r="E1612" s="118" t="n">
        <v>51.0648</v>
      </c>
      <c r="F1612" s="96" t="n">
        <v>51.0648</v>
      </c>
      <c r="G1612" s="90" t="inlineStr">
        <is>
          <t>Clientes</t>
        </is>
      </c>
      <c r="H1612" s="90" t="inlineStr">
        <is>
          <t>Maio/2026</t>
        </is>
      </c>
    </row>
    <row r="1613" ht="14.25" customHeight="1" s="75">
      <c r="A1613" s="113" t="inlineStr">
        <is>
          <t>Diretoria Adm</t>
        </is>
      </c>
      <c r="B1613" s="113" t="inlineStr">
        <is>
          <t>Custo Fixo</t>
        </is>
      </c>
      <c r="C1613" s="113" t="inlineStr">
        <is>
          <t>Energia elétrica (rateio)</t>
        </is>
      </c>
      <c r="D1613" s="114" t="n">
        <v>1</v>
      </c>
      <c r="E1613" s="115" t="n">
        <v>25.5324</v>
      </c>
      <c r="F1613" s="116" t="n">
        <v>25.5324</v>
      </c>
      <c r="G1613" s="113" t="inlineStr">
        <is>
          <t>Clientes</t>
        </is>
      </c>
      <c r="H1613" s="113" t="inlineStr">
        <is>
          <t>Maio/2026</t>
        </is>
      </c>
    </row>
    <row r="1614" ht="14.25" customHeight="1" s="75">
      <c r="A1614" s="90" t="inlineStr">
        <is>
          <t>Backoffice Comercial Varejo</t>
        </is>
      </c>
      <c r="B1614" s="90" t="inlineStr">
        <is>
          <t>Custo Fixo</t>
        </is>
      </c>
      <c r="C1614" s="90" t="inlineStr">
        <is>
          <t>Gympass</t>
        </is>
      </c>
      <c r="D1614" s="117" t="n">
        <v>2</v>
      </c>
      <c r="E1614" s="118" t="n">
        <v>10.05</v>
      </c>
      <c r="F1614" s="96">
        <f>IFERROR(D1614*E1614,0)</f>
        <v/>
      </c>
      <c r="G1614" s="90">
        <f>INDEX(SETORES!$B:$B,MATCH(A1614,SETORES!$A:$A,0))</f>
        <v/>
      </c>
      <c r="H1614" s="90" t="inlineStr">
        <is>
          <t>Maio/2026</t>
        </is>
      </c>
    </row>
    <row r="1615" ht="14.25" customHeight="1" s="75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Stargrid</t>
        </is>
      </c>
      <c r="D1615" s="114" t="n">
        <v>2</v>
      </c>
      <c r="E1615" s="115" t="n">
        <v>2.07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Maio/2026</t>
        </is>
      </c>
    </row>
    <row r="1616" ht="14.25" customHeight="1" s="75">
      <c r="A1616" s="90" t="inlineStr">
        <is>
          <t>Backoffice Comercial Varejo</t>
        </is>
      </c>
      <c r="B1616" s="90" t="inlineStr">
        <is>
          <t>Custo Fixo</t>
        </is>
      </c>
      <c r="C1616" s="90" t="inlineStr">
        <is>
          <t>Despesas com RH</t>
        </is>
      </c>
      <c r="D1616" s="117" t="n">
        <v>2</v>
      </c>
      <c r="E1616" s="118" t="n">
        <v>28.31</v>
      </c>
      <c r="F1616" s="96">
        <f>IFERROR(D1616*E1616,0)</f>
        <v/>
      </c>
      <c r="G1616" s="90">
        <f>INDEX(SETORES!$B:$B,MATCH(A1616,SETORES!$A:$A,0))</f>
        <v/>
      </c>
      <c r="H1616" s="90" t="inlineStr">
        <is>
          <t>Maio/2026</t>
        </is>
      </c>
    </row>
    <row r="1617" ht="14.25" customHeight="1" s="75">
      <c r="A1617" s="90" t="inlineStr">
        <is>
          <t>Backoffice Comercial Varejo</t>
        </is>
      </c>
      <c r="B1617" s="90" t="inlineStr">
        <is>
          <t>Custo Fixo</t>
        </is>
      </c>
      <c r="C1617" s="90" t="inlineStr">
        <is>
          <t>Despesas com DP</t>
        </is>
      </c>
      <c r="D1617" s="117" t="n">
        <v>2</v>
      </c>
      <c r="E1617" s="118" t="n">
        <v>47.79</v>
      </c>
      <c r="F1617" s="96">
        <f>IFERROR(D1617*E1617,0)</f>
        <v/>
      </c>
      <c r="G1617" s="90">
        <f>INDEX(SETORES!$B:$B,MATCH(A1617,SETORES!$A:$A,0))</f>
        <v/>
      </c>
      <c r="H1617" s="90" t="inlineStr">
        <is>
          <t>Maio/2026</t>
        </is>
      </c>
    </row>
    <row r="1618" ht="14.25" customHeight="1" s="75">
      <c r="A1618" s="90" t="inlineStr">
        <is>
          <t>Backoffice Comercial Varejo</t>
        </is>
      </c>
      <c r="B1618" s="90" t="inlineStr">
        <is>
          <t>Custo Fixo</t>
        </is>
      </c>
      <c r="C1618" s="90" t="inlineStr">
        <is>
          <t>Despesas com SST</t>
        </is>
      </c>
      <c r="D1618" s="117" t="n">
        <v>2</v>
      </c>
      <c r="E1618" s="118" t="n">
        <v>64.56999999999999</v>
      </c>
      <c r="F1618" s="96">
        <f>IFERROR(D1618*E1618,0)</f>
        <v/>
      </c>
      <c r="G1618" s="90">
        <f>INDEX(SETORES!$B:$B,MATCH(A1618,SETORES!$A:$A,0))</f>
        <v/>
      </c>
      <c r="H1618" s="90" t="inlineStr">
        <is>
          <t>Maio/2026</t>
        </is>
      </c>
    </row>
    <row r="1619" ht="14.25" customHeight="1" s="75">
      <c r="A1619" s="113" t="inlineStr">
        <is>
          <t>Backoffice Comercial Varejo</t>
        </is>
      </c>
      <c r="B1619" s="113" t="inlineStr">
        <is>
          <t>Custo Fixo</t>
        </is>
      </c>
      <c r="C1619" s="113" t="inlineStr">
        <is>
          <t>Chip móvel corporativo</t>
        </is>
      </c>
      <c r="D1619" s="114" t="n">
        <v>1</v>
      </c>
      <c r="E1619" s="115" t="n">
        <v>30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Maio/2026</t>
        </is>
      </c>
    </row>
    <row r="1620" ht="14.25" customHeight="1" s="75">
      <c r="A1620" s="90" t="inlineStr">
        <is>
          <t>Serviços Gerais</t>
        </is>
      </c>
      <c r="B1620" s="90" t="inlineStr">
        <is>
          <t>Custo Fixo</t>
        </is>
      </c>
      <c r="C1620" s="90" t="inlineStr">
        <is>
          <t>Gympass</t>
        </is>
      </c>
      <c r="D1620" s="117" t="n">
        <v>5</v>
      </c>
      <c r="E1620" s="118" t="n">
        <v>10.05</v>
      </c>
      <c r="F1620" s="96">
        <f>IFERROR(D1620*E1620,0)</f>
        <v/>
      </c>
      <c r="G1620" s="90">
        <f>INDEX(SETORES!$B:$B,MATCH(A1620,SETORES!$A:$A,0))</f>
        <v/>
      </c>
      <c r="H1620" s="90" t="inlineStr">
        <is>
          <t>Maio/2026</t>
        </is>
      </c>
    </row>
    <row r="1621" ht="14.25" customHeight="1" s="75">
      <c r="A1621" s="113" t="inlineStr">
        <is>
          <t>Serviços Gerais</t>
        </is>
      </c>
      <c r="B1621" s="113" t="inlineStr">
        <is>
          <t>Custo Fixo</t>
        </is>
      </c>
      <c r="C1621" s="113" t="inlineStr">
        <is>
          <t>Stargrid</t>
        </is>
      </c>
      <c r="D1621" s="114" t="n">
        <v>5</v>
      </c>
      <c r="E1621" s="115" t="n">
        <v>2.07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Maio/2026</t>
        </is>
      </c>
    </row>
    <row r="1622" ht="14.25" customHeight="1" s="75">
      <c r="A1622" s="90" t="inlineStr">
        <is>
          <t>Serviços Gerais</t>
        </is>
      </c>
      <c r="B1622" s="90" t="inlineStr">
        <is>
          <t>Custo Fixo</t>
        </is>
      </c>
      <c r="C1622" s="90" t="inlineStr">
        <is>
          <t>Despesas com RH</t>
        </is>
      </c>
      <c r="D1622" s="117" t="n">
        <v>5</v>
      </c>
      <c r="E1622" s="118" t="n">
        <v>28.31</v>
      </c>
      <c r="F1622" s="96">
        <f>IFERROR(D1622*E1622,0)</f>
        <v/>
      </c>
      <c r="G1622" s="90">
        <f>INDEX(SETORES!$B:$B,MATCH(A1622,SETORES!$A:$A,0))</f>
        <v/>
      </c>
      <c r="H1622" s="90" t="inlineStr">
        <is>
          <t>Maio/2026</t>
        </is>
      </c>
    </row>
    <row r="1623" ht="14.25" customHeight="1" s="75">
      <c r="A1623" s="90" t="inlineStr">
        <is>
          <t>Serviços Gerais</t>
        </is>
      </c>
      <c r="B1623" s="90" t="inlineStr">
        <is>
          <t>Custo Fixo</t>
        </is>
      </c>
      <c r="C1623" s="90" t="inlineStr">
        <is>
          <t>Despesas com DP</t>
        </is>
      </c>
      <c r="D1623" s="117" t="n">
        <v>5</v>
      </c>
      <c r="E1623" s="118" t="n">
        <v>47.79</v>
      </c>
      <c r="F1623" s="96">
        <f>IFERROR(D1623*E1623,0)</f>
        <v/>
      </c>
      <c r="G1623" s="90">
        <f>INDEX(SETORES!$B:$B,MATCH(A1623,SETORES!$A:$A,0))</f>
        <v/>
      </c>
      <c r="H1623" s="90" t="inlineStr">
        <is>
          <t>Maio/2026</t>
        </is>
      </c>
    </row>
    <row r="1624" ht="14.25" customHeight="1" s="75">
      <c r="A1624" s="90" t="inlineStr">
        <is>
          <t>Serviços Gerais</t>
        </is>
      </c>
      <c r="B1624" s="90" t="inlineStr">
        <is>
          <t>Custo Fixo</t>
        </is>
      </c>
      <c r="C1624" s="90" t="inlineStr">
        <is>
          <t>Despesas com SST</t>
        </is>
      </c>
      <c r="D1624" s="117" t="n">
        <v>5</v>
      </c>
      <c r="E1624" s="118" t="n">
        <v>64.56999999999999</v>
      </c>
      <c r="F1624" s="96">
        <f>IFERROR(D1624*E1624,0)</f>
        <v/>
      </c>
      <c r="G1624" s="90">
        <f>INDEX(SETORES!$B:$B,MATCH(A1624,SETORES!$A:$A,0))</f>
        <v/>
      </c>
      <c r="H1624" s="90" t="inlineStr">
        <is>
          <t>Maio/2026</t>
        </is>
      </c>
    </row>
    <row r="1625" ht="14.25" customHeight="1" s="75">
      <c r="A1625" s="90" t="inlineStr">
        <is>
          <t>Administrativo</t>
        </is>
      </c>
      <c r="B1625" s="90" t="inlineStr">
        <is>
          <t>Custo Fixo</t>
        </is>
      </c>
      <c r="C1625" s="90" t="inlineStr">
        <is>
          <t>Software Power BI Dynamics (f001796)</t>
        </is>
      </c>
      <c r="D1625" s="117" t="n">
        <v>1</v>
      </c>
      <c r="E1625" s="118" t="n">
        <v>1787.15</v>
      </c>
      <c r="F1625" s="96">
        <f>IFERROR(D1625*E1625,0)</f>
        <v/>
      </c>
      <c r="G1625" s="90">
        <f>INDEX(SETORES!$B:$B,MATCH(A1625,SETORES!$A:$A,0))</f>
        <v/>
      </c>
      <c r="H1625" s="90" t="inlineStr">
        <is>
          <t>Maio/2026</t>
        </is>
      </c>
    </row>
    <row r="1626" ht="14.25" customHeight="1" s="75">
      <c r="A1626" s="90" t="inlineStr">
        <is>
          <t>Cozinha</t>
        </is>
      </c>
      <c r="B1626" s="90" t="inlineStr">
        <is>
          <t>Custo Fixo</t>
        </is>
      </c>
      <c r="C1626" s="90" t="inlineStr">
        <is>
          <t>Custo de gestão administrativa (rateado — Cryslaine Fonseca Rosal)</t>
        </is>
      </c>
      <c r="D1626" s="117" t="n">
        <v>1</v>
      </c>
      <c r="E1626" s="118" t="n">
        <v>1269.37</v>
      </c>
      <c r="F1626" s="96">
        <f>IFERROR(D1626*E1626,0)</f>
        <v/>
      </c>
      <c r="G1626" s="90" t="inlineStr">
        <is>
          <t>Funcionários</t>
        </is>
      </c>
      <c r="H1626" s="90" t="inlineStr">
        <is>
          <t>Maio/2026</t>
        </is>
      </c>
    </row>
    <row r="1627" ht="14.25" customHeight="1" s="75">
      <c r="A1627" s="113" t="inlineStr">
        <is>
          <t>Cozinha</t>
        </is>
      </c>
      <c r="B1627" s="113" t="inlineStr">
        <is>
          <t>Custo Fixo</t>
        </is>
      </c>
      <c r="C1627" s="113" t="inlineStr">
        <is>
          <t>Gympass</t>
        </is>
      </c>
      <c r="D1627" s="114" t="n">
        <v>7</v>
      </c>
      <c r="E1627" s="115" t="n">
        <v>10.05</v>
      </c>
      <c r="F1627" s="116">
        <f>IFERROR(D1627*E1627,0)</f>
        <v/>
      </c>
      <c r="G1627" s="113" t="inlineStr">
        <is>
          <t>Funcionários</t>
        </is>
      </c>
      <c r="H1627" s="113" t="inlineStr">
        <is>
          <t>Maio/2026</t>
        </is>
      </c>
    </row>
    <row r="1628" ht="14.25" customHeight="1" s="75">
      <c r="A1628" s="90" t="inlineStr">
        <is>
          <t>Cozinha</t>
        </is>
      </c>
      <c r="B1628" s="90" t="inlineStr">
        <is>
          <t>Custo Fixo</t>
        </is>
      </c>
      <c r="C1628" s="90" t="inlineStr">
        <is>
          <t>Stargrid</t>
        </is>
      </c>
      <c r="D1628" s="117" t="n">
        <v>7</v>
      </c>
      <c r="E1628" s="118" t="n">
        <v>2.07</v>
      </c>
      <c r="F1628" s="96">
        <f>IFERROR(D1628*E1628,0)</f>
        <v/>
      </c>
      <c r="G1628" s="90" t="inlineStr">
        <is>
          <t>Funcionários</t>
        </is>
      </c>
      <c r="H1628" s="90" t="inlineStr">
        <is>
          <t>Maio/2026</t>
        </is>
      </c>
    </row>
    <row r="1629" ht="14.25" customHeight="1" s="75">
      <c r="A1629" s="113" t="inlineStr">
        <is>
          <t>Cozinha</t>
        </is>
      </c>
      <c r="B1629" s="113" t="inlineStr">
        <is>
          <t>Custo Fixo</t>
        </is>
      </c>
      <c r="C1629" s="113" t="inlineStr">
        <is>
          <t>Despesas com RH</t>
        </is>
      </c>
      <c r="D1629" s="114" t="n">
        <v>7</v>
      </c>
      <c r="E1629" s="115" t="n">
        <v>28.31</v>
      </c>
      <c r="F1629" s="116">
        <f>IFERROR(D1629*E1629,0)</f>
        <v/>
      </c>
      <c r="G1629" s="113" t="inlineStr">
        <is>
          <t>Funcionários</t>
        </is>
      </c>
      <c r="H1629" s="113" t="inlineStr">
        <is>
          <t>Maio/2026</t>
        </is>
      </c>
    </row>
    <row r="1630" ht="14.25" customHeight="1" s="75">
      <c r="A1630" s="90" t="inlineStr">
        <is>
          <t>Cozinha</t>
        </is>
      </c>
      <c r="B1630" s="90" t="inlineStr">
        <is>
          <t>Custo Fixo</t>
        </is>
      </c>
      <c r="C1630" s="90" t="inlineStr">
        <is>
          <t>Despesas com DP</t>
        </is>
      </c>
      <c r="D1630" s="117" t="n">
        <v>7</v>
      </c>
      <c r="E1630" s="118" t="n">
        <v>47.79</v>
      </c>
      <c r="F1630" s="96">
        <f>IFERROR(D1630*E1630,0)</f>
        <v/>
      </c>
      <c r="G1630" s="90" t="inlineStr">
        <is>
          <t>Funcionários</t>
        </is>
      </c>
      <c r="H1630" s="90" t="inlineStr">
        <is>
          <t>Maio/2026</t>
        </is>
      </c>
    </row>
    <row r="1631" ht="14.25" customHeight="1" s="75">
      <c r="A1631" s="113" t="inlineStr">
        <is>
          <t>Cozinha</t>
        </is>
      </c>
      <c r="B1631" s="113" t="inlineStr">
        <is>
          <t>Custo Fixo</t>
        </is>
      </c>
      <c r="C1631" s="113" t="inlineStr">
        <is>
          <t>Despesas com SST</t>
        </is>
      </c>
      <c r="D1631" s="114" t="n">
        <v>7</v>
      </c>
      <c r="E1631" s="115" t="n">
        <v>64.56999999999999</v>
      </c>
      <c r="F1631" s="116">
        <f>IFERROR(D1631*E1631,0)</f>
        <v/>
      </c>
      <c r="G1631" s="113" t="inlineStr">
        <is>
          <t>Funcionários</t>
        </is>
      </c>
      <c r="H1631" s="113" t="inlineStr">
        <is>
          <t>Maio/2026</t>
        </is>
      </c>
    </row>
    <row r="1632" ht="14.25" customHeight="1" s="75">
      <c r="A1632" s="113" t="inlineStr">
        <is>
          <t>Backoffice Comercial Varejo</t>
        </is>
      </c>
      <c r="B1632" s="113" t="inlineStr">
        <is>
          <t>Custo Fixo</t>
        </is>
      </c>
      <c r="C1632" s="113" t="inlineStr">
        <is>
          <t>Folha de pagamento (salários)</t>
        </is>
      </c>
      <c r="D1632" s="114" t="n">
        <v>1</v>
      </c>
      <c r="E1632" s="115" t="n">
        <v>7245.47</v>
      </c>
      <c r="F1632" s="116">
        <f>IFERROR(E1632,0)</f>
        <v/>
      </c>
      <c r="G1632" s="113">
        <f>INDEX(SETORES!$B:$B,MATCH(A1632,SETORES!$A:$A,0))</f>
        <v/>
      </c>
      <c r="H1632" s="113" t="inlineStr">
        <is>
          <t>Junho/2026</t>
        </is>
      </c>
    </row>
    <row r="1633" ht="14.25" customHeight="1" s="75">
      <c r="A1633" s="90" t="inlineStr">
        <is>
          <t>Serviços Gerais</t>
        </is>
      </c>
      <c r="B1633" s="90" t="inlineStr">
        <is>
          <t>Custo Fixo</t>
        </is>
      </c>
      <c r="C1633" s="90" t="inlineStr">
        <is>
          <t>Folha de pagamento (salários)</t>
        </is>
      </c>
      <c r="D1633" s="117" t="n">
        <v>1</v>
      </c>
      <c r="E1633" s="118" t="n">
        <v>33307.21</v>
      </c>
      <c r="F1633" s="96">
        <f>IFERROR(E1633,0)</f>
        <v/>
      </c>
      <c r="G1633" s="90">
        <f>INDEX(SETORES!$B:$B,MATCH(A1633,SETORES!$A:$A,0))</f>
        <v/>
      </c>
      <c r="H1633" s="90" t="inlineStr">
        <is>
          <t>Junho/2026</t>
        </is>
      </c>
    </row>
    <row r="1634" ht="14.25" customHeight="1" s="75">
      <c r="A1634" s="113" t="inlineStr">
        <is>
          <t>Gestão de Atendimento</t>
        </is>
      </c>
      <c r="B1634" s="113" t="inlineStr">
        <is>
          <t>Custo Fixo</t>
        </is>
      </c>
      <c r="C1634" s="113" t="inlineStr">
        <is>
          <t>Custo de gestão administrativa (rateado — Renata Thaysa dos Santos Cunha)</t>
        </is>
      </c>
      <c r="D1634" s="114" t="n">
        <v>1</v>
      </c>
      <c r="E1634" s="115" t="n">
        <v>2962.14</v>
      </c>
      <c r="F1634" s="116">
        <f>IFERROR(D1634*E1634,0)</f>
        <v/>
      </c>
      <c r="G1634" s="113">
        <f>INDEX(SETORES!$B:$B,MATCH(A1634,SETORES!$A:$A,0))</f>
        <v/>
      </c>
      <c r="H1634" s="113" t="inlineStr">
        <is>
          <t>Junho/2026</t>
        </is>
      </c>
    </row>
    <row r="1635" ht="14.25" customHeight="1" s="75">
      <c r="A1635" s="90" t="inlineStr">
        <is>
          <t>CAC</t>
        </is>
      </c>
      <c r="B1635" s="90" t="inlineStr">
        <is>
          <t>Custo Fixo</t>
        </is>
      </c>
      <c r="C1635" s="90" t="inlineStr">
        <is>
          <t>Custo de gestão administrativa (rateado — Renata Thaysa dos Santos Cunha)</t>
        </is>
      </c>
      <c r="D1635" s="117" t="n">
        <v>1</v>
      </c>
      <c r="E1635" s="118" t="n">
        <v>2369.71</v>
      </c>
      <c r="F1635" s="96">
        <f>IFERROR(D1635*E1635,0)</f>
        <v/>
      </c>
      <c r="G1635" s="90">
        <f>INDEX(SETORES!$B:$B,MATCH(A1635,SETORES!$A:$A,0))</f>
        <v/>
      </c>
      <c r="H1635" s="90" t="inlineStr">
        <is>
          <t>Junho/2026</t>
        </is>
      </c>
    </row>
    <row r="1636" ht="14.25" customHeight="1" s="75">
      <c r="A1636" s="113" t="inlineStr">
        <is>
          <t>Backoffice Comercial Varejo</t>
        </is>
      </c>
      <c r="B1636" s="113" t="inlineStr">
        <is>
          <t>Custo Fixo</t>
        </is>
      </c>
      <c r="C1636" s="113" t="inlineStr">
        <is>
          <t>Custo de gestão administrativa (rateado — Renata Thaysa dos Santos Cunha)</t>
        </is>
      </c>
      <c r="D1636" s="114" t="n">
        <v>1</v>
      </c>
      <c r="E1636" s="115" t="n">
        <v>1184.86</v>
      </c>
      <c r="F1636" s="116">
        <f>IFERROR(D1636*E1636,0)</f>
        <v/>
      </c>
      <c r="G1636" s="113">
        <f>INDEX(SETORES!$B:$B,MATCH(A1636,SETORES!$A:$A,0))</f>
        <v/>
      </c>
      <c r="H1636" s="113" t="inlineStr">
        <is>
          <t>Junho/2026</t>
        </is>
      </c>
    </row>
    <row r="1637" ht="14.25" customHeight="1" s="75">
      <c r="A1637" s="90" t="inlineStr">
        <is>
          <t>NRC</t>
        </is>
      </c>
      <c r="B1637" s="90" t="inlineStr">
        <is>
          <t>Custo Fixo</t>
        </is>
      </c>
      <c r="C1637" s="90" t="inlineStr">
        <is>
          <t>Custo de gestão administrativa (rateado — Ayrton da Silva Lima)</t>
        </is>
      </c>
      <c r="D1637" s="117" t="n">
        <v>1</v>
      </c>
      <c r="E1637" s="118" t="n">
        <v>3064.6</v>
      </c>
      <c r="F1637" s="96">
        <f>IFERROR(D1637*E1637,0)</f>
        <v/>
      </c>
      <c r="G1637" s="90">
        <f>INDEX(SETORES!$B:$B,MATCH(A1637,SETORES!$A:$A,0))</f>
        <v/>
      </c>
      <c r="H1637" s="90" t="inlineStr">
        <is>
          <t>Junho/2026</t>
        </is>
      </c>
    </row>
    <row r="1638" ht="14.25" customHeight="1" s="75">
      <c r="A1638" s="113" t="inlineStr">
        <is>
          <t>Cobrança</t>
        </is>
      </c>
      <c r="B1638" s="113" t="inlineStr">
        <is>
          <t>Custo Fixo</t>
        </is>
      </c>
      <c r="C1638" s="113" t="inlineStr">
        <is>
          <t>Custo de gestão administrativa (rateado — Ayrton da Silva Lima)</t>
        </is>
      </c>
      <c r="D1638" s="114" t="n">
        <v>1</v>
      </c>
      <c r="E1638" s="115" t="n">
        <v>766.15</v>
      </c>
      <c r="F1638" s="116">
        <f>IFERROR(D1638*E1638,0)</f>
        <v/>
      </c>
      <c r="G1638" s="113">
        <f>INDEX(SETORES!$B:$B,MATCH(A1638,SETORES!$A:$A,0))</f>
        <v/>
      </c>
      <c r="H1638" s="113" t="inlineStr">
        <is>
          <t>Junho/2026</t>
        </is>
      </c>
    </row>
    <row r="1639" ht="14.25" customHeight="1" s="75">
      <c r="A1639" s="90" t="inlineStr">
        <is>
          <t>Retenção</t>
        </is>
      </c>
      <c r="B1639" s="90" t="inlineStr">
        <is>
          <t>Custo Fixo</t>
        </is>
      </c>
      <c r="C1639" s="90" t="inlineStr">
        <is>
          <t>Custo de gestão administrativa (rateado — Ayrton da Silva Lima)</t>
        </is>
      </c>
      <c r="D1639" s="117" t="n">
        <v>1</v>
      </c>
      <c r="E1639" s="118" t="n">
        <v>975.1</v>
      </c>
      <c r="F1639" s="96">
        <f>IFERROR(D1639*E1639,0)</f>
        <v/>
      </c>
      <c r="G1639" s="90">
        <f>INDEX(SETORES!$B:$B,MATCH(A1639,SETORES!$A:$A,0))</f>
        <v/>
      </c>
      <c r="H1639" s="90" t="inlineStr">
        <is>
          <t>Junho/2026</t>
        </is>
      </c>
    </row>
    <row r="1640" ht="14.25" customHeight="1" s="75">
      <c r="A1640" s="113" t="inlineStr">
        <is>
          <t>Televendas</t>
        </is>
      </c>
      <c r="B1640" s="113" t="inlineStr">
        <is>
          <t>Custo Fixo</t>
        </is>
      </c>
      <c r="C1640" s="113" t="inlineStr">
        <is>
          <t>Custo de gestão administrativa (rateado — Ayrton da Silva Lima)</t>
        </is>
      </c>
      <c r="D1640" s="114" t="n">
        <v>1</v>
      </c>
      <c r="E1640" s="115" t="n">
        <v>696.5</v>
      </c>
      <c r="F1640" s="116">
        <f>IFERROR(D1640*E1640,0)</f>
        <v/>
      </c>
      <c r="G1640" s="113">
        <f>INDEX(SETORES!$B:$B,MATCH(A1640,SETORES!$A:$A,0))</f>
        <v/>
      </c>
      <c r="H1640" s="113" t="inlineStr">
        <is>
          <t>Junho/2026</t>
        </is>
      </c>
    </row>
    <row r="1641" ht="14.25" customHeight="1" s="75">
      <c r="A1641" s="90" t="inlineStr">
        <is>
          <t>Suporte da Central</t>
        </is>
      </c>
      <c r="B1641" s="90" t="inlineStr">
        <is>
          <t>Custo Fixo</t>
        </is>
      </c>
      <c r="C1641" s="90" t="inlineStr">
        <is>
          <t>Custo de gestão administrativa (rateado — Ayrton da Silva Lima)</t>
        </is>
      </c>
      <c r="D1641" s="117" t="n">
        <v>1</v>
      </c>
      <c r="E1641" s="118" t="n">
        <v>2228.8</v>
      </c>
      <c r="F1641" s="96">
        <f>IFERROR(D1641*E1641,0)</f>
        <v/>
      </c>
      <c r="G1641" s="90">
        <f>INDEX(SETORES!$B:$B,MATCH(A1641,SETORES!$A:$A,0))</f>
        <v/>
      </c>
      <c r="H1641" s="90" t="inlineStr">
        <is>
          <t>Junho/2026</t>
        </is>
      </c>
    </row>
    <row r="1642" ht="14.25" customHeight="1" s="75">
      <c r="A1642" s="113" t="inlineStr">
        <is>
          <t>Suporte Orbix</t>
        </is>
      </c>
      <c r="B1642" s="113" t="inlineStr">
        <is>
          <t>Custo Fixo</t>
        </is>
      </c>
      <c r="C1642" s="113" t="inlineStr">
        <is>
          <t>Custo de gestão administrativa (rateado — Ayrton da Silva Lima)</t>
        </is>
      </c>
      <c r="D1642" s="114" t="n">
        <v>1</v>
      </c>
      <c r="E1642" s="115" t="n">
        <v>557.2</v>
      </c>
      <c r="F1642" s="116">
        <f>IFERROR(D1642*E1642,0)</f>
        <v/>
      </c>
      <c r="G1642" s="113">
        <f>INDEX(SETORES!$B:$B,MATCH(A1642,SETORES!$A:$A,0))</f>
        <v/>
      </c>
      <c r="H1642" s="113" t="inlineStr">
        <is>
          <t>Junho/2026</t>
        </is>
      </c>
    </row>
    <row r="1643" ht="14.25" customHeight="1" s="75">
      <c r="A1643" s="90" t="inlineStr">
        <is>
          <t>Engenharia</t>
        </is>
      </c>
      <c r="B1643" s="90" t="inlineStr">
        <is>
          <t>Custo Fixo</t>
        </is>
      </c>
      <c r="C1643" s="90" t="inlineStr">
        <is>
          <t>Custo de gestão administrativa (rateado — Cryslaine Fonseca Rosal)</t>
        </is>
      </c>
      <c r="D1643" s="117" t="n">
        <v>1</v>
      </c>
      <c r="E1643" s="118" t="n">
        <v>1254.61</v>
      </c>
      <c r="F1643" s="96">
        <f>IFERROR(D1643*E1643,0)</f>
        <v/>
      </c>
      <c r="G1643" s="90">
        <f>INDEX(SETORES!$B:$B,MATCH(A1643,SETORES!$A:$A,0))</f>
        <v/>
      </c>
      <c r="H1643" s="90" t="inlineStr">
        <is>
          <t>Junho/2026</t>
        </is>
      </c>
    </row>
    <row r="1644" ht="14.25" customHeight="1" s="75">
      <c r="A1644" s="113" t="inlineStr">
        <is>
          <t>Obras</t>
        </is>
      </c>
      <c r="B1644" s="113" t="inlineStr">
        <is>
          <t>Custo Fixo</t>
        </is>
      </c>
      <c r="C1644" s="113" t="inlineStr">
        <is>
          <t>Custo de gestão administrativa (rateado — Cryslaine Fonseca Rosal)</t>
        </is>
      </c>
      <c r="D1644" s="114" t="n">
        <v>1</v>
      </c>
      <c r="E1644" s="115" t="n">
        <v>4301.51</v>
      </c>
      <c r="F1644" s="116">
        <f>IFERROR(D1644*E1644,0)</f>
        <v/>
      </c>
      <c r="G1644" s="113">
        <f>INDEX(SETORES!$B:$B,MATCH(A1644,SETORES!$A:$A,0))</f>
        <v/>
      </c>
      <c r="H1644" s="113" t="inlineStr">
        <is>
          <t>Junho/2026</t>
        </is>
      </c>
    </row>
    <row r="1645" ht="14.25" customHeight="1" s="75">
      <c r="A1645" s="90" t="inlineStr">
        <is>
          <t>Manutenção Predial</t>
        </is>
      </c>
      <c r="B1645" s="90" t="inlineStr">
        <is>
          <t>Custo Fixo</t>
        </is>
      </c>
      <c r="C1645" s="90" t="inlineStr">
        <is>
          <t>Custo de gestão administrativa (rateado — Cryslaine Fonseca Rosal)</t>
        </is>
      </c>
      <c r="D1645" s="117" t="n">
        <v>1</v>
      </c>
      <c r="E1645" s="118" t="n">
        <v>2150.76</v>
      </c>
      <c r="F1645" s="96">
        <f>IFERROR(D1645*E1645,0)</f>
        <v/>
      </c>
      <c r="G1645" s="90">
        <f>INDEX(SETORES!$B:$B,MATCH(A1645,SETORES!$A:$A,0))</f>
        <v/>
      </c>
      <c r="H1645" s="90" t="inlineStr">
        <is>
          <t>Junho/2026</t>
        </is>
      </c>
    </row>
    <row r="1646" ht="14.25" customHeight="1" s="75">
      <c r="A1646" s="113" t="inlineStr">
        <is>
          <t>Lançamento</t>
        </is>
      </c>
      <c r="B1646" s="113" t="inlineStr">
        <is>
          <t>Custo Fixo</t>
        </is>
      </c>
      <c r="C1646" s="113" t="inlineStr">
        <is>
          <t>Custo de gestão administrativa (rateado — Cryslaine Fonseca Rosal)</t>
        </is>
      </c>
      <c r="D1646" s="114" t="n">
        <v>1</v>
      </c>
      <c r="E1646" s="115" t="n">
        <v>3763.83</v>
      </c>
      <c r="F1646" s="116">
        <f>IFERROR(D1646*E1646,0)</f>
        <v/>
      </c>
      <c r="G1646" s="113">
        <f>INDEX(SETORES!$B:$B,MATCH(A1646,SETORES!$A:$A,0))</f>
        <v/>
      </c>
      <c r="H1646" s="113" t="inlineStr">
        <is>
          <t>Junho/2026</t>
        </is>
      </c>
    </row>
    <row r="1647" ht="14.25" customHeight="1" s="75">
      <c r="A1647" s="90" t="inlineStr">
        <is>
          <t>Fusão</t>
        </is>
      </c>
      <c r="B1647" s="90" t="inlineStr">
        <is>
          <t>Custo Fixo</t>
        </is>
      </c>
      <c r="C1647" s="90" t="inlineStr">
        <is>
          <t>Custo de gestão administrativa (rateado — Cryslaine Fonseca Rosal)</t>
        </is>
      </c>
      <c r="D1647" s="117" t="n">
        <v>1</v>
      </c>
      <c r="E1647" s="118" t="n">
        <v>1613.07</v>
      </c>
      <c r="F1647" s="96">
        <f>IFERROR(D1647*E1647,0)</f>
        <v/>
      </c>
      <c r="G1647" s="90">
        <f>INDEX(SETORES!$B:$B,MATCH(A1647,SETORES!$A:$A,0))</f>
        <v/>
      </c>
      <c r="H1647" s="90" t="inlineStr">
        <is>
          <t>Junho/2026</t>
        </is>
      </c>
    </row>
    <row r="1648" ht="14.25" customHeight="1" s="75">
      <c r="A1648" s="113" t="inlineStr">
        <is>
          <t>Serviços Gerais</t>
        </is>
      </c>
      <c r="B1648" s="113" t="inlineStr">
        <is>
          <t>Custo Fixo</t>
        </is>
      </c>
      <c r="C1648" s="113" t="inlineStr">
        <is>
          <t>Custo de gestão administrativa (rateado — Cryslaine Fonseca Rosal)</t>
        </is>
      </c>
      <c r="D1648" s="114" t="n">
        <v>1</v>
      </c>
      <c r="E1648" s="115" t="n">
        <v>1075.38</v>
      </c>
      <c r="F1648" s="116">
        <f>IFERROR(D1648*E1648,0)</f>
        <v/>
      </c>
      <c r="G1648" s="113">
        <f>INDEX(SETORES!$B:$B,MATCH(A1648,SETORES!$A:$A,0))</f>
        <v/>
      </c>
      <c r="H1648" s="113" t="inlineStr">
        <is>
          <t>Junho/2026</t>
        </is>
      </c>
    </row>
    <row r="1649" ht="14.25" customHeight="1" s="75">
      <c r="A1649" s="90" t="inlineStr">
        <is>
          <t>Lançamento</t>
        </is>
      </c>
      <c r="B1649" s="90" t="inlineStr">
        <is>
          <t>Custo Fixo</t>
        </is>
      </c>
      <c r="C1649" s="90" t="inlineStr">
        <is>
          <t>Custo de gestão administrativa (rateado — Josadark José do Nascimento)</t>
        </is>
      </c>
      <c r="D1649" s="117" t="n">
        <v>1</v>
      </c>
      <c r="E1649" s="118" t="n">
        <v>7833.47</v>
      </c>
      <c r="F1649" s="96">
        <f>IFERROR(D1649*E1649,0)</f>
        <v/>
      </c>
      <c r="G1649" s="90">
        <f>INDEX(SETORES!$B:$B,MATCH(A1649,SETORES!$A:$A,0))</f>
        <v/>
      </c>
      <c r="H1649" s="90" t="inlineStr">
        <is>
          <t>Junho/2026</t>
        </is>
      </c>
    </row>
    <row r="1650" ht="14.25" customHeight="1" s="75">
      <c r="A1650" s="113" t="inlineStr">
        <is>
          <t>Fusão</t>
        </is>
      </c>
      <c r="B1650" s="113" t="inlineStr">
        <is>
          <t>Custo Fixo</t>
        </is>
      </c>
      <c r="C1650" s="113" t="inlineStr">
        <is>
          <t>Custo de gestão administrativa (rateado — Josadark José do Nascimento)</t>
        </is>
      </c>
      <c r="D1650" s="114" t="n">
        <v>1</v>
      </c>
      <c r="E1650" s="115" t="n">
        <v>3357.2</v>
      </c>
      <c r="F1650" s="116">
        <f>IFERROR(D1650*E1650,0)</f>
        <v/>
      </c>
      <c r="G1650" s="113">
        <f>INDEX(SETORES!$B:$B,MATCH(A1650,SETORES!$A:$A,0))</f>
        <v/>
      </c>
      <c r="H1650" s="113" t="inlineStr">
        <is>
          <t>Junho/2026</t>
        </is>
      </c>
    </row>
    <row r="1651" ht="14.25" customHeight="1" s="75">
      <c r="A1651" s="90" t="inlineStr">
        <is>
          <t>Backoffice Comercial Varejo</t>
        </is>
      </c>
      <c r="B1651" s="90" t="inlineStr">
        <is>
          <t>Custo Fixo</t>
        </is>
      </c>
      <c r="C1651" s="90" t="inlineStr">
        <is>
          <t>Energia elétrica (rateio)</t>
        </is>
      </c>
      <c r="D1651" s="117" t="n">
        <v>1</v>
      </c>
      <c r="E1651" s="118" t="n">
        <v>17.5144</v>
      </c>
      <c r="F1651" s="96" t="n">
        <v>17.5144</v>
      </c>
      <c r="G1651" s="90" t="inlineStr">
        <is>
          <t>Clientes</t>
        </is>
      </c>
      <c r="H1651" s="90" t="inlineStr">
        <is>
          <t>Junho/2026</t>
        </is>
      </c>
    </row>
    <row r="1652" ht="14.25" customHeight="1" s="75">
      <c r="A1652" s="113" t="inlineStr">
        <is>
          <t>Backoffice Comercial Varejo</t>
        </is>
      </c>
      <c r="B1652" s="113" t="inlineStr">
        <is>
          <t>Custo Fixo</t>
        </is>
      </c>
      <c r="C1652" s="113" t="inlineStr">
        <is>
          <t>Água e esgoto (rateio)</t>
        </is>
      </c>
      <c r="D1652" s="114" t="n">
        <v>1</v>
      </c>
      <c r="E1652" s="115" t="n">
        <v>0.05</v>
      </c>
      <c r="F1652" s="116" t="n">
        <v>0.05</v>
      </c>
      <c r="G1652" s="113" t="inlineStr">
        <is>
          <t>Clientes</t>
        </is>
      </c>
      <c r="H1652" s="113" t="inlineStr">
        <is>
          <t>Junho/2026</t>
        </is>
      </c>
    </row>
    <row r="1653" ht="14.25" customHeight="1" s="75">
      <c r="A1653" s="90" t="inlineStr">
        <is>
          <t>Marketing</t>
        </is>
      </c>
      <c r="B1653" s="90" t="inlineStr">
        <is>
          <t>Custo Fixo</t>
        </is>
      </c>
      <c r="C1653" s="90" t="inlineStr">
        <is>
          <t>Energia elétrica (rateio)</t>
        </is>
      </c>
      <c r="D1653" s="117" t="n">
        <v>1</v>
      </c>
      <c r="E1653" s="118" t="n">
        <v>105.0866</v>
      </c>
      <c r="F1653" s="96" t="n">
        <v>105.0866</v>
      </c>
      <c r="G1653" s="90" t="inlineStr">
        <is>
          <t>Clientes</t>
        </is>
      </c>
      <c r="H1653" s="90" t="inlineStr">
        <is>
          <t>Junho/2026</t>
        </is>
      </c>
    </row>
    <row r="1654" ht="14.25" customHeight="1" s="75">
      <c r="A1654" s="113" t="inlineStr">
        <is>
          <t>Marketing</t>
        </is>
      </c>
      <c r="B1654" s="113" t="inlineStr">
        <is>
          <t>Custo Fixo</t>
        </is>
      </c>
      <c r="C1654" s="113" t="inlineStr">
        <is>
          <t>Água e esgoto (rateio)</t>
        </is>
      </c>
      <c r="D1654" s="114" t="n">
        <v>1</v>
      </c>
      <c r="E1654" s="115" t="n">
        <v>0.3</v>
      </c>
      <c r="F1654" s="116" t="n">
        <v>0.3</v>
      </c>
      <c r="G1654" s="113" t="inlineStr">
        <is>
          <t>Clientes</t>
        </is>
      </c>
      <c r="H1654" s="113" t="inlineStr">
        <is>
          <t>Junho/2026</t>
        </is>
      </c>
    </row>
    <row r="1655" ht="14.25" customHeight="1" s="75">
      <c r="A1655" s="90" t="inlineStr">
        <is>
          <t>Comercial Corporativo</t>
        </is>
      </c>
      <c r="B1655" s="90" t="inlineStr">
        <is>
          <t>Custo Fixo</t>
        </is>
      </c>
      <c r="C1655" s="90" t="inlineStr">
        <is>
          <t>Energia elétrica (rateio)</t>
        </is>
      </c>
      <c r="D1655" s="117" t="n">
        <v>1</v>
      </c>
      <c r="E1655" s="118" t="n">
        <v>96.32940000000001</v>
      </c>
      <c r="F1655" s="96" t="n">
        <v>96.32940000000001</v>
      </c>
      <c r="G1655" s="90" t="inlineStr">
        <is>
          <t>Clientes</t>
        </is>
      </c>
      <c r="H1655" s="90" t="inlineStr">
        <is>
          <t>Junho/2026</t>
        </is>
      </c>
    </row>
    <row r="1656" ht="14.25" customHeight="1" s="75">
      <c r="A1656" s="113" t="inlineStr">
        <is>
          <t>Comercial Corporativo</t>
        </is>
      </c>
      <c r="B1656" s="113" t="inlineStr">
        <is>
          <t>Custo Fixo</t>
        </is>
      </c>
      <c r="C1656" s="113" t="inlineStr">
        <is>
          <t>Água e esgoto (rateio)</t>
        </is>
      </c>
      <c r="D1656" s="114" t="n">
        <v>1</v>
      </c>
      <c r="E1656" s="115" t="n">
        <v>0.275</v>
      </c>
      <c r="F1656" s="116" t="n">
        <v>0.275</v>
      </c>
      <c r="G1656" s="113" t="inlineStr">
        <is>
          <t>Clientes</t>
        </is>
      </c>
      <c r="H1656" s="113" t="inlineStr">
        <is>
          <t>Junho/2026</t>
        </is>
      </c>
    </row>
    <row r="1657" ht="14.25" customHeight="1" s="75">
      <c r="A1657" s="90" t="inlineStr">
        <is>
          <t>TIC</t>
        </is>
      </c>
      <c r="B1657" s="90" t="inlineStr">
        <is>
          <t>Custo Fixo</t>
        </is>
      </c>
      <c r="C1657" s="90" t="inlineStr">
        <is>
          <t>Energia elétrica (rateio)</t>
        </is>
      </c>
      <c r="D1657" s="117" t="n">
        <v>1</v>
      </c>
      <c r="E1657" s="118" t="n">
        <v>43.7861</v>
      </c>
      <c r="F1657" s="96" t="n">
        <v>43.7861</v>
      </c>
      <c r="G1657" s="90" t="inlineStr">
        <is>
          <t>Clientes</t>
        </is>
      </c>
      <c r="H1657" s="90" t="inlineStr">
        <is>
          <t>Junho/2026</t>
        </is>
      </c>
    </row>
    <row r="1658" ht="14.25" customHeight="1" s="75">
      <c r="A1658" s="113" t="inlineStr">
        <is>
          <t>TIC</t>
        </is>
      </c>
      <c r="B1658" s="113" t="inlineStr">
        <is>
          <t>Custo Fixo</t>
        </is>
      </c>
      <c r="C1658" s="113" t="inlineStr">
        <is>
          <t>Água e esgoto (rateio)</t>
        </is>
      </c>
      <c r="D1658" s="114" t="n">
        <v>1</v>
      </c>
      <c r="E1658" s="115" t="n">
        <v>0.125</v>
      </c>
      <c r="F1658" s="116" t="n">
        <v>0.125</v>
      </c>
      <c r="G1658" s="113" t="inlineStr">
        <is>
          <t>Clientes</t>
        </is>
      </c>
      <c r="H1658" s="113" t="inlineStr">
        <is>
          <t>Junho/2026</t>
        </is>
      </c>
    </row>
    <row r="1659" ht="14.25" customHeight="1" s="75">
      <c r="A1659" s="90" t="inlineStr">
        <is>
          <t>Diretoria Adm</t>
        </is>
      </c>
      <c r="B1659" s="90" t="inlineStr">
        <is>
          <t>Custo Fixo</t>
        </is>
      </c>
      <c r="C1659" s="90" t="inlineStr">
        <is>
          <t>Energia elétrica (rateio)</t>
        </is>
      </c>
      <c r="D1659" s="117" t="n">
        <v>1</v>
      </c>
      <c r="E1659" s="118" t="n">
        <v>26.2716</v>
      </c>
      <c r="F1659" s="96" t="n">
        <v>26.2716</v>
      </c>
      <c r="G1659" s="90" t="inlineStr">
        <is>
          <t>Clientes</t>
        </is>
      </c>
      <c r="H1659" s="90" t="inlineStr">
        <is>
          <t>Junho/2026</t>
        </is>
      </c>
    </row>
    <row r="1660" ht="14.25" customHeight="1" s="75">
      <c r="A1660" s="113" t="inlineStr">
        <is>
          <t>Diretoria Adm</t>
        </is>
      </c>
      <c r="B1660" s="113" t="inlineStr">
        <is>
          <t>Custo Fixo</t>
        </is>
      </c>
      <c r="C1660" s="113" t="inlineStr">
        <is>
          <t>Água e esgoto (rateio)</t>
        </is>
      </c>
      <c r="D1660" s="114" t="n">
        <v>1</v>
      </c>
      <c r="E1660" s="115" t="n">
        <v>0.075</v>
      </c>
      <c r="F1660" s="116" t="n">
        <v>0.075</v>
      </c>
      <c r="G1660" s="113" t="inlineStr">
        <is>
          <t>Clientes</t>
        </is>
      </c>
      <c r="H1660" s="113" t="inlineStr">
        <is>
          <t>Junho/2026</t>
        </is>
      </c>
    </row>
    <row r="1661" ht="14.25" customHeight="1" s="75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Gympass</t>
        </is>
      </c>
      <c r="D1661" s="114" t="n">
        <v>2</v>
      </c>
      <c r="E1661" s="115" t="n">
        <v>9.85</v>
      </c>
      <c r="F1661" s="116">
        <f>IFERROR(D1661*E1661,0)</f>
        <v/>
      </c>
      <c r="G1661" s="113">
        <f>INDEX(SETORES!$B:$B,MATCH(A1661,SETORES!$A:$A,0))</f>
        <v/>
      </c>
      <c r="H1661" s="113" t="inlineStr">
        <is>
          <t>Junho/2026</t>
        </is>
      </c>
    </row>
    <row r="1662" ht="14.25" customHeight="1" s="75">
      <c r="A1662" s="90" t="inlineStr">
        <is>
          <t>Backoffice Comercial Varejo</t>
        </is>
      </c>
      <c r="B1662" s="90" t="inlineStr">
        <is>
          <t>Custo Fixo</t>
        </is>
      </c>
      <c r="C1662" s="90" t="inlineStr">
        <is>
          <t>Stargrid</t>
        </is>
      </c>
      <c r="D1662" s="117" t="n">
        <v>2</v>
      </c>
      <c r="E1662" s="118" t="n">
        <v>2.04</v>
      </c>
      <c r="F1662" s="96">
        <f>IFERROR(D1662*E1662,0)</f>
        <v/>
      </c>
      <c r="G1662" s="90">
        <f>INDEX(SETORES!$B:$B,MATCH(A1662,SETORES!$A:$A,0))</f>
        <v/>
      </c>
      <c r="H1662" s="90" t="inlineStr">
        <is>
          <t>Junho/2026</t>
        </is>
      </c>
    </row>
    <row r="1663" ht="14.25" customHeight="1" s="75">
      <c r="A1663" s="90" t="inlineStr">
        <is>
          <t>Backoffice Comercial Varejo</t>
        </is>
      </c>
      <c r="B1663" s="90" t="inlineStr">
        <is>
          <t>Custo Fixo</t>
        </is>
      </c>
      <c r="C1663" s="90" t="inlineStr">
        <is>
          <t>Chip móvel corporativo</t>
        </is>
      </c>
      <c r="D1663" s="117" t="n">
        <v>1</v>
      </c>
      <c r="E1663" s="118" t="n">
        <v>30</v>
      </c>
      <c r="F1663" s="96">
        <f>IFERROR(D1663*E1663,0)</f>
        <v/>
      </c>
      <c r="G1663" s="90">
        <f>INDEX(SETORES!$B:$B,MATCH(A1663,SETORES!$A:$A,0))</f>
        <v/>
      </c>
      <c r="H1663" s="90" t="inlineStr">
        <is>
          <t>Junho/2026</t>
        </is>
      </c>
    </row>
    <row r="1664" ht="14.25" customHeight="1" s="75">
      <c r="A1664" s="113" t="inlineStr">
        <is>
          <t>Serviços Gerais</t>
        </is>
      </c>
      <c r="B1664" s="113" t="inlineStr">
        <is>
          <t>Custo Fixo</t>
        </is>
      </c>
      <c r="C1664" s="113" t="inlineStr">
        <is>
          <t>Gympass</t>
        </is>
      </c>
      <c r="D1664" s="114" t="n">
        <v>6</v>
      </c>
      <c r="E1664" s="115" t="n">
        <v>9.85</v>
      </c>
      <c r="F1664" s="116">
        <f>IFERROR(D1664*E1664,0)</f>
        <v/>
      </c>
      <c r="G1664" s="113">
        <f>INDEX(SETORES!$B:$B,MATCH(A1664,SETORES!$A:$A,0))</f>
        <v/>
      </c>
      <c r="H1664" s="113" t="inlineStr">
        <is>
          <t>Junho/2026</t>
        </is>
      </c>
    </row>
    <row r="1665" ht="14.25" customHeight="1" s="75">
      <c r="A1665" s="90" t="inlineStr">
        <is>
          <t>Serviços Gerais</t>
        </is>
      </c>
      <c r="B1665" s="90" t="inlineStr">
        <is>
          <t>Custo Fixo</t>
        </is>
      </c>
      <c r="C1665" s="90" t="inlineStr">
        <is>
          <t>Stargrid</t>
        </is>
      </c>
      <c r="D1665" s="117" t="n">
        <v>6</v>
      </c>
      <c r="E1665" s="118" t="n">
        <v>2.04</v>
      </c>
      <c r="F1665" s="96">
        <f>IFERROR(D1665*E1665,0)</f>
        <v/>
      </c>
      <c r="G1665" s="90">
        <f>INDEX(SETORES!$B:$B,MATCH(A1665,SETORES!$A:$A,0))</f>
        <v/>
      </c>
      <c r="H1665" s="90" t="inlineStr">
        <is>
          <t>Junho/2026</t>
        </is>
      </c>
    </row>
    <row r="1666" ht="14.25" customHeight="1" s="75">
      <c r="A1666" s="113" t="inlineStr">
        <is>
          <t>Administrativo</t>
        </is>
      </c>
      <c r="B1666" s="113" t="inlineStr">
        <is>
          <t>Custo Fixo</t>
        </is>
      </c>
      <c r="C1666" s="113" t="inlineStr">
        <is>
          <t>Software Power BI Dynamics (f001796)</t>
        </is>
      </c>
      <c r="D1666" s="114" t="n">
        <v>1</v>
      </c>
      <c r="E1666" s="115" t="n">
        <v>1787.15</v>
      </c>
      <c r="F1666" s="116">
        <f>IFERROR(D1666*E1666,0)</f>
        <v/>
      </c>
      <c r="G1666" s="113">
        <f>INDEX(SETORES!$B:$B,MATCH(A1666,SETORES!$A:$A,0))</f>
        <v/>
      </c>
      <c r="H1666" s="113" t="inlineStr">
        <is>
          <t>Junho/2026</t>
        </is>
      </c>
    </row>
    <row r="1667" ht="14.25" customHeight="1" s="75">
      <c r="A1667" s="90" t="inlineStr">
        <is>
          <t>Televendas</t>
        </is>
      </c>
      <c r="B1667" s="90" t="inlineStr">
        <is>
          <t>Custo Fixo</t>
        </is>
      </c>
      <c r="C1667" s="90" t="inlineStr">
        <is>
          <t>Software MATRIX (rateio equipe Relacionamento)</t>
        </is>
      </c>
      <c r="D1667" s="117" t="n">
        <v>1</v>
      </c>
      <c r="E1667" s="118" t="n">
        <v>719.456231</v>
      </c>
      <c r="F1667" s="96">
        <f>IFERROR(D1667*E1667,0)</f>
        <v/>
      </c>
      <c r="G1667" s="90">
        <f>INDEX(SETORES!$B:$B,MATCH(A1667,SETORES!$A:$A,0))</f>
        <v/>
      </c>
      <c r="H1667" s="90" t="inlineStr">
        <is>
          <t>Junho/2026</t>
        </is>
      </c>
    </row>
    <row r="1668" ht="14.25" customHeight="1" s="75">
      <c r="A1668" s="90" t="inlineStr">
        <is>
          <t>Cobrança</t>
        </is>
      </c>
      <c r="B1668" s="90" t="inlineStr">
        <is>
          <t>Custo Fixo</t>
        </is>
      </c>
      <c r="C1668" s="90" t="inlineStr">
        <is>
          <t>Software Dlocal (trafego pago)</t>
        </is>
      </c>
      <c r="D1668" s="117" t="n">
        <v>1</v>
      </c>
      <c r="E1668" s="118" t="n">
        <v>1262.295078</v>
      </c>
      <c r="F1668" s="96">
        <f>IFERROR(D1668*E1668,0)</f>
        <v/>
      </c>
      <c r="G1668" s="90">
        <f>INDEX(SETORES!$B:$B,MATCH(A1668,SETORES!$A:$A,0))</f>
        <v/>
      </c>
      <c r="H1668" s="90" t="inlineStr">
        <is>
          <t>Junho/2026</t>
        </is>
      </c>
    </row>
    <row r="1669" ht="14.25" customHeight="1" s="75">
      <c r="A1669" s="113" t="inlineStr">
        <is>
          <t>NRC</t>
        </is>
      </c>
      <c r="B1669" s="113" t="inlineStr">
        <is>
          <t>Custo Fixo</t>
        </is>
      </c>
      <c r="C1669" s="113" t="inlineStr">
        <is>
          <t>Software Dlocal (trafego pago)</t>
        </is>
      </c>
      <c r="D1669" s="114" t="n">
        <v>1</v>
      </c>
      <c r="E1669" s="115" t="n">
        <v>5049.180312</v>
      </c>
      <c r="F1669" s="116">
        <f>IFERROR(D1669*E1669,0)</f>
        <v/>
      </c>
      <c r="G1669" s="113">
        <f>INDEX(SETORES!$B:$B,MATCH(A1669,SETORES!$A:$A,0))</f>
        <v/>
      </c>
      <c r="H1669" s="113" t="inlineStr">
        <is>
          <t>Junho/2026</t>
        </is>
      </c>
    </row>
    <row r="1670" ht="14.25" customHeight="1" s="75">
      <c r="A1670" s="90" t="inlineStr">
        <is>
          <t>Retenção</t>
        </is>
      </c>
      <c r="B1670" s="90" t="inlineStr">
        <is>
          <t>Custo Fixo</t>
        </is>
      </c>
      <c r="C1670" s="90" t="inlineStr">
        <is>
          <t>Software Dlocal (trafego pago)</t>
        </is>
      </c>
      <c r="D1670" s="117" t="n">
        <v>1</v>
      </c>
      <c r="E1670" s="118" t="n">
        <v>1606.557372</v>
      </c>
      <c r="F1670" s="96">
        <f>IFERROR(D1670*E1670,0)</f>
        <v/>
      </c>
      <c r="G1670" s="90">
        <f>INDEX(SETORES!$B:$B,MATCH(A1670,SETORES!$A:$A,0))</f>
        <v/>
      </c>
      <c r="H1670" s="90" t="inlineStr">
        <is>
          <t>Junho/2026</t>
        </is>
      </c>
    </row>
    <row r="1671" ht="14.25" customHeight="1" s="75">
      <c r="A1671" s="113" t="inlineStr">
        <is>
          <t>Suporte Orbix</t>
        </is>
      </c>
      <c r="B1671" s="113" t="inlineStr">
        <is>
          <t>Custo Fixo</t>
        </is>
      </c>
      <c r="C1671" s="113" t="inlineStr">
        <is>
          <t>Software Dlocal (trafego pago)</t>
        </is>
      </c>
      <c r="D1671" s="114" t="n">
        <v>1</v>
      </c>
      <c r="E1671" s="115" t="n">
        <v>918.032784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t="14.25" customHeight="1" s="75">
      <c r="A1672" s="90" t="inlineStr">
        <is>
          <t>Suporte da Central</t>
        </is>
      </c>
      <c r="B1672" s="90" t="inlineStr">
        <is>
          <t>Custo Fixo</t>
        </is>
      </c>
      <c r="C1672" s="90" t="inlineStr">
        <is>
          <t>Software Dlocal (trafego pago)</t>
        </is>
      </c>
      <c r="D1672" s="117" t="n">
        <v>1</v>
      </c>
      <c r="E1672" s="118" t="n">
        <v>3672.131136</v>
      </c>
      <c r="F1672" s="96">
        <f>IFERROR(D1672*E1672,0)</f>
        <v/>
      </c>
      <c r="G1672" s="90">
        <f>INDEX(SETORES!$B:$B,MATCH(A1672,SETORES!$A:$A,0))</f>
        <v/>
      </c>
      <c r="H1672" s="90" t="inlineStr">
        <is>
          <t>Junho/2026</t>
        </is>
      </c>
    </row>
    <row r="1673" ht="14.25" customHeight="1" s="75">
      <c r="A1673" s="113" t="inlineStr">
        <is>
          <t>Televendas</t>
        </is>
      </c>
      <c r="B1673" s="113" t="inlineStr">
        <is>
          <t>Custo Fixo</t>
        </is>
      </c>
      <c r="C1673" s="113" t="inlineStr">
        <is>
          <t>Software Dlocal (trafego pago)</t>
        </is>
      </c>
      <c r="D1673" s="114" t="n">
        <v>1</v>
      </c>
      <c r="E1673" s="115" t="n">
        <v>1491.803274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Junho/2026</t>
        </is>
      </c>
    </row>
    <row r="1674" ht="14.25" customHeight="1" s="75">
      <c r="A1674" s="90" t="inlineStr">
        <is>
          <t>Cobrança</t>
        </is>
      </c>
      <c r="B1674" s="90" t="inlineStr">
        <is>
          <t>Custo Fixo</t>
        </is>
      </c>
      <c r="C1674" s="90" t="inlineStr">
        <is>
          <t>Software Lorensi marketing (f000987)</t>
        </is>
      </c>
      <c r="D1674" s="117" t="n">
        <v>1</v>
      </c>
      <c r="E1674" s="118" t="n">
        <v>499.778686</v>
      </c>
      <c r="F1674" s="96">
        <f>IFERROR(D1674*E1674,0)</f>
        <v/>
      </c>
      <c r="G1674" s="90">
        <f>INDEX(SETORES!$B:$B,MATCH(A1674,SETORES!$A:$A,0))</f>
        <v/>
      </c>
      <c r="H1674" s="90" t="inlineStr">
        <is>
          <t>Junho/2026</t>
        </is>
      </c>
    </row>
    <row r="1675" ht="14.25" customHeight="1" s="75">
      <c r="A1675" s="113" t="inlineStr">
        <is>
          <t>NRC</t>
        </is>
      </c>
      <c r="B1675" s="113" t="inlineStr">
        <is>
          <t>Custo Fixo</t>
        </is>
      </c>
      <c r="C1675" s="113" t="inlineStr">
        <is>
          <t>Software Lorensi marketing (f000987)</t>
        </is>
      </c>
      <c r="D1675" s="114" t="n">
        <v>1</v>
      </c>
      <c r="E1675" s="115" t="n">
        <v>1999.114744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Junho/2026</t>
        </is>
      </c>
    </row>
    <row r="1676" ht="14.25" customHeight="1" s="75">
      <c r="A1676" s="90" t="inlineStr">
        <is>
          <t>Retenção</t>
        </is>
      </c>
      <c r="B1676" s="90" t="inlineStr">
        <is>
          <t>Custo Fixo</t>
        </is>
      </c>
      <c r="C1676" s="90" t="inlineStr">
        <is>
          <t>Software Lorensi marketing (f000987)</t>
        </is>
      </c>
      <c r="D1676" s="117" t="n">
        <v>1</v>
      </c>
      <c r="E1676" s="118" t="n">
        <v>636.081964</v>
      </c>
      <c r="F1676" s="96">
        <f>IFERROR(D1676*E1676,0)</f>
        <v/>
      </c>
      <c r="G1676" s="90">
        <f>INDEX(SETORES!$B:$B,MATCH(A1676,SETORES!$A:$A,0))</f>
        <v/>
      </c>
      <c r="H1676" s="90" t="inlineStr">
        <is>
          <t>Junho/2026</t>
        </is>
      </c>
    </row>
    <row r="1677" ht="14.25" customHeight="1" s="75">
      <c r="A1677" s="113" t="inlineStr">
        <is>
          <t>Suporte Orbix</t>
        </is>
      </c>
      <c r="B1677" s="113" t="inlineStr">
        <is>
          <t>Custo Fixo</t>
        </is>
      </c>
      <c r="C1677" s="113" t="inlineStr">
        <is>
          <t>Software Lorensi marketing (f000987)</t>
        </is>
      </c>
      <c r="D1677" s="114" t="n">
        <v>1</v>
      </c>
      <c r="E1677" s="115" t="n">
        <v>363.475408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Junho/2026</t>
        </is>
      </c>
    </row>
    <row r="1678" ht="14.25" customHeight="1" s="75">
      <c r="A1678" s="90" t="inlineStr">
        <is>
          <t>Suporte da Central</t>
        </is>
      </c>
      <c r="B1678" s="90" t="inlineStr">
        <is>
          <t>Custo Fixo</t>
        </is>
      </c>
      <c r="C1678" s="90" t="inlineStr">
        <is>
          <t>Software Lorensi marketing (f000987)</t>
        </is>
      </c>
      <c r="D1678" s="117" t="n">
        <v>1</v>
      </c>
      <c r="E1678" s="118" t="n">
        <v>1453.901632</v>
      </c>
      <c r="F1678" s="96">
        <f>IFERROR(D1678*E1678,0)</f>
        <v/>
      </c>
      <c r="G1678" s="90">
        <f>INDEX(SETORES!$B:$B,MATCH(A1678,SETORES!$A:$A,0))</f>
        <v/>
      </c>
      <c r="H1678" s="90" t="inlineStr">
        <is>
          <t>Junho/2026</t>
        </is>
      </c>
    </row>
    <row r="1679" ht="14.25" customHeight="1" s="75">
      <c r="A1679" s="113" t="inlineStr">
        <is>
          <t>Televendas</t>
        </is>
      </c>
      <c r="B1679" s="113" t="inlineStr">
        <is>
          <t>Custo Fixo</t>
        </is>
      </c>
      <c r="C1679" s="113" t="inlineStr">
        <is>
          <t>Software Lorensi marketing (f000987)</t>
        </is>
      </c>
      <c r="D1679" s="114" t="n">
        <v>1</v>
      </c>
      <c r="E1679" s="115" t="n">
        <v>590.6475380000001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Junho/2026</t>
        </is>
      </c>
    </row>
    <row r="1680" ht="14.25" customHeight="1" s="75">
      <c r="A1680" s="113" t="inlineStr">
        <is>
          <t>Cozinha</t>
        </is>
      </c>
      <c r="B1680" s="113" t="inlineStr">
        <is>
          <t>Custo Fixo</t>
        </is>
      </c>
      <c r="C1680" s="113" t="inlineStr">
        <is>
          <t>Custo de gestão administrativa (rateado — Cryslaine Fonseca Rosal)</t>
        </is>
      </c>
      <c r="D1680" s="114" t="n">
        <v>1</v>
      </c>
      <c r="E1680" s="115" t="n">
        <v>1254.61</v>
      </c>
      <c r="F1680" s="116">
        <f>IFERROR(D1680*E1680,0)</f>
        <v/>
      </c>
      <c r="G1680" s="113" t="inlineStr">
        <is>
          <t>Funcionários</t>
        </is>
      </c>
      <c r="H1680" s="113" t="inlineStr">
        <is>
          <t>Junho/2026</t>
        </is>
      </c>
    </row>
    <row r="1681" ht="14.25" customHeight="1" s="75">
      <c r="A1681" s="113" t="inlineStr">
        <is>
          <t>Cozinha</t>
        </is>
      </c>
      <c r="B1681" s="113" t="inlineStr">
        <is>
          <t>Custo Fixo</t>
        </is>
      </c>
      <c r="C1681" s="113" t="inlineStr">
        <is>
          <t>Gympass</t>
        </is>
      </c>
      <c r="D1681" s="114" t="n">
        <v>7</v>
      </c>
      <c r="E1681" s="115" t="n">
        <v>9.85</v>
      </c>
      <c r="F1681" s="116">
        <f>IFERROR(D1681*E1681,0)</f>
        <v/>
      </c>
      <c r="G1681" s="113" t="inlineStr">
        <is>
          <t>Funcionários</t>
        </is>
      </c>
      <c r="H1681" s="113" t="inlineStr">
        <is>
          <t>Junho/2026</t>
        </is>
      </c>
    </row>
    <row r="1682" ht="14.25" customHeight="1" s="75">
      <c r="A1682" s="90" t="inlineStr">
        <is>
          <t>Cozinha</t>
        </is>
      </c>
      <c r="B1682" s="90" t="inlineStr">
        <is>
          <t>Custo Fixo</t>
        </is>
      </c>
      <c r="C1682" s="90" t="inlineStr">
        <is>
          <t>Stargrid</t>
        </is>
      </c>
      <c r="D1682" s="117" t="n">
        <v>7</v>
      </c>
      <c r="E1682" s="118" t="n">
        <v>2.04</v>
      </c>
      <c r="F1682" s="96">
        <f>IFERROR(D1682*E1682,0)</f>
        <v/>
      </c>
      <c r="G1682" s="90" t="inlineStr">
        <is>
          <t>Funcionários</t>
        </is>
      </c>
      <c r="H1682" s="90" t="inlineStr">
        <is>
          <t>Junho/2026</t>
        </is>
      </c>
    </row>
    <row r="1683" ht="14.25" customHeight="1" s="75">
      <c r="A1683" s="90" t="inlineStr">
        <is>
          <t>Backoffice Comercial Varejo</t>
        </is>
      </c>
      <c r="B1683" s="90" t="inlineStr">
        <is>
          <t>Custo Fixo</t>
        </is>
      </c>
      <c r="C1683" s="90" t="inlineStr">
        <is>
          <t>Folha de pagamento (salários)</t>
        </is>
      </c>
      <c r="D1683" s="117" t="n">
        <v>1</v>
      </c>
      <c r="E1683" s="118" t="n">
        <v>6292.45</v>
      </c>
      <c r="F1683" s="96">
        <f>IFERROR(E1683,0)</f>
        <v/>
      </c>
      <c r="G1683" s="90">
        <f>INDEX(SETORES!$B:$B,MATCH(A1683,SETORES!$A:$A,0))</f>
        <v/>
      </c>
      <c r="H1683" s="90" t="inlineStr">
        <is>
          <t>Julho/2026</t>
        </is>
      </c>
    </row>
    <row r="1684" ht="14.25" customHeight="1" s="75">
      <c r="A1684" s="113" t="inlineStr">
        <is>
          <t>Serviços Gerais</t>
        </is>
      </c>
      <c r="B1684" s="113" t="inlineStr">
        <is>
          <t>Custo Fixo</t>
        </is>
      </c>
      <c r="C1684" s="113" t="inlineStr">
        <is>
          <t>Folha de pagamento (salários)</t>
        </is>
      </c>
      <c r="D1684" s="114" t="n">
        <v>1</v>
      </c>
      <c r="E1684" s="115" t="n">
        <v>27856.57</v>
      </c>
      <c r="F1684" s="116">
        <f>IFERROR(E1684,0)</f>
        <v/>
      </c>
      <c r="G1684" s="113">
        <f>INDEX(SETORES!$B:$B,MATCH(A1684,SETORES!$A:$A,0))</f>
        <v/>
      </c>
      <c r="H1684" s="113" t="inlineStr">
        <is>
          <t>Julho/2026</t>
        </is>
      </c>
    </row>
    <row r="1685" ht="14.25" customHeight="1" s="75">
      <c r="A1685" s="90" t="inlineStr">
        <is>
          <t>Gestão de Atendimento</t>
        </is>
      </c>
      <c r="B1685" s="90" t="inlineStr">
        <is>
          <t>Custo Fixo</t>
        </is>
      </c>
      <c r="C1685" s="90" t="inlineStr">
        <is>
          <t>Custo de gestão administrativa (rateado — Renata Thaysa dos Santos Cunha)</t>
        </is>
      </c>
      <c r="D1685" s="117" t="n">
        <v>1</v>
      </c>
      <c r="E1685" s="118" t="n">
        <v>3259.19</v>
      </c>
      <c r="F1685" s="96">
        <f>IFERROR(D1685*E1685,0)</f>
        <v/>
      </c>
      <c r="G1685" s="90">
        <f>INDEX(SETORES!$B:$B,MATCH(A1685,SETORES!$A:$A,0))</f>
        <v/>
      </c>
      <c r="H1685" s="90" t="inlineStr">
        <is>
          <t>Julho/2026</t>
        </is>
      </c>
    </row>
    <row r="1686" ht="14.25" customHeight="1" s="75">
      <c r="A1686" s="113" t="inlineStr">
        <is>
          <t>CAC</t>
        </is>
      </c>
      <c r="B1686" s="113" t="inlineStr">
        <is>
          <t>Custo Fixo</t>
        </is>
      </c>
      <c r="C1686" s="113" t="inlineStr">
        <is>
          <t>Custo de gestão administrativa (rateado — Renata Thaysa dos Santos Cunha)</t>
        </is>
      </c>
      <c r="D1686" s="114" t="n">
        <v>1</v>
      </c>
      <c r="E1686" s="115" t="n">
        <v>1629.6</v>
      </c>
      <c r="F1686" s="116">
        <f>IFERROR(D1686*E1686,0)</f>
        <v/>
      </c>
      <c r="G1686" s="113">
        <f>INDEX(SETORES!$B:$B,MATCH(A1686,SETORES!$A:$A,0))</f>
        <v/>
      </c>
      <c r="H1686" s="113" t="inlineStr">
        <is>
          <t>Julho/2026</t>
        </is>
      </c>
    </row>
    <row r="1687" ht="14.25" customHeight="1" s="75">
      <c r="A1687" s="90" t="inlineStr">
        <is>
          <t>Backoffice Comercial Varejo</t>
        </is>
      </c>
      <c r="B1687" s="90" t="inlineStr">
        <is>
          <t>Custo Fixo</t>
        </is>
      </c>
      <c r="C1687" s="90" t="inlineStr">
        <is>
          <t>Custo de gestão administrativa (rateado — Renata Thaysa dos Santos Cunha)</t>
        </is>
      </c>
      <c r="D1687" s="117" t="n">
        <v>1</v>
      </c>
      <c r="E1687" s="118" t="n">
        <v>1086.4</v>
      </c>
      <c r="F1687" s="96">
        <f>IFERROR(D1687*E1687,0)</f>
        <v/>
      </c>
      <c r="G1687" s="90">
        <f>INDEX(SETORES!$B:$B,MATCH(A1687,SETORES!$A:$A,0))</f>
        <v/>
      </c>
      <c r="H1687" s="90" t="inlineStr">
        <is>
          <t>Julho/2026</t>
        </is>
      </c>
    </row>
    <row r="1688" ht="14.25" customHeight="1" s="75">
      <c r="A1688" s="113" t="inlineStr">
        <is>
          <t>NRC</t>
        </is>
      </c>
      <c r="B1688" s="113" t="inlineStr">
        <is>
          <t>Custo Fixo</t>
        </is>
      </c>
      <c r="C1688" s="113" t="inlineStr">
        <is>
          <t>Custo de gestão administrativa (rateado — Ayrton da Silva Lima)</t>
        </is>
      </c>
      <c r="D1688" s="114" t="n">
        <v>1</v>
      </c>
      <c r="E1688" s="115" t="n">
        <v>3208.87</v>
      </c>
      <c r="F1688" s="116">
        <f>IFERROR(D1688*E1688,0)</f>
        <v/>
      </c>
      <c r="G1688" s="113">
        <f>INDEX(SETORES!$B:$B,MATCH(A1688,SETORES!$A:$A,0))</f>
        <v/>
      </c>
      <c r="H1688" s="113" t="inlineStr">
        <is>
          <t>Julho/2026</t>
        </is>
      </c>
    </row>
    <row r="1689" ht="14.25" customHeight="1" s="75">
      <c r="A1689" s="90" t="inlineStr">
        <is>
          <t>Cobrança</t>
        </is>
      </c>
      <c r="B1689" s="90" t="inlineStr">
        <is>
          <t>Custo Fixo</t>
        </is>
      </c>
      <c r="C1689" s="90" t="inlineStr">
        <is>
          <t>Custo de gestão administrativa (rateado — Ayrton da Silva Lima)</t>
        </is>
      </c>
      <c r="D1689" s="117" t="n">
        <v>1</v>
      </c>
      <c r="E1689" s="118" t="n">
        <v>970.12</v>
      </c>
      <c r="F1689" s="96">
        <f>IFERROR(D1689*E1689,0)</f>
        <v/>
      </c>
      <c r="G1689" s="90">
        <f>INDEX(SETORES!$B:$B,MATCH(A1689,SETORES!$A:$A,0))</f>
        <v/>
      </c>
      <c r="H1689" s="90" t="inlineStr">
        <is>
          <t>Julho/2026</t>
        </is>
      </c>
    </row>
    <row r="1690" ht="14.25" customHeight="1" s="75">
      <c r="A1690" s="113" t="inlineStr">
        <is>
          <t>Retenção</t>
        </is>
      </c>
      <c r="B1690" s="113" t="inlineStr">
        <is>
          <t>Custo Fixo</t>
        </is>
      </c>
      <c r="C1690" s="113" t="inlineStr">
        <is>
          <t>Custo de gestão administrativa (rateado — Ayrton da Silva Lima)</t>
        </is>
      </c>
      <c r="D1690" s="114" t="n">
        <v>1</v>
      </c>
      <c r="E1690" s="115" t="n">
        <v>895.5</v>
      </c>
      <c r="F1690" s="116">
        <f>IFERROR(D1690*E1690,0)</f>
        <v/>
      </c>
      <c r="G1690" s="113">
        <f>INDEX(SETORES!$B:$B,MATCH(A1690,SETORES!$A:$A,0))</f>
        <v/>
      </c>
      <c r="H1690" s="113" t="inlineStr">
        <is>
          <t>Julho/2026</t>
        </is>
      </c>
    </row>
    <row r="1691" ht="14.25" customHeight="1" s="75">
      <c r="A1691" s="90" t="inlineStr">
        <is>
          <t>Televendas</t>
        </is>
      </c>
      <c r="B1691" s="90" t="inlineStr">
        <is>
          <t>Custo Fixo</t>
        </is>
      </c>
      <c r="C1691" s="90" t="inlineStr">
        <is>
          <t>Custo de gestão administrativa (rateado — Ayrton da Silva Lima)</t>
        </is>
      </c>
      <c r="D1691" s="117" t="n">
        <v>1</v>
      </c>
      <c r="E1691" s="118" t="n">
        <v>746.25</v>
      </c>
      <c r="F1691" s="96">
        <f>IFERROR(D1691*E1691,0)</f>
        <v/>
      </c>
      <c r="G1691" s="90">
        <f>INDEX(SETORES!$B:$B,MATCH(A1691,SETORES!$A:$A,0))</f>
        <v/>
      </c>
      <c r="H1691" s="90" t="inlineStr">
        <is>
          <t>Julho/2026</t>
        </is>
      </c>
    </row>
    <row r="1692" ht="14.25" customHeight="1" s="75">
      <c r="A1692" s="113" t="inlineStr">
        <is>
          <t>Suporte da Central</t>
        </is>
      </c>
      <c r="B1692" s="113" t="inlineStr">
        <is>
          <t>Custo Fixo</t>
        </is>
      </c>
      <c r="C1692" s="113" t="inlineStr">
        <is>
          <t>Custo de gestão administrativa (rateado — Ayrton da Silva Lima)</t>
        </is>
      </c>
      <c r="D1692" s="114" t="n">
        <v>1</v>
      </c>
      <c r="E1692" s="115" t="n">
        <v>2462.62</v>
      </c>
      <c r="F1692" s="116">
        <f>IFERROR(D1692*E1692,0)</f>
        <v/>
      </c>
      <c r="G1692" s="113">
        <f>INDEX(SETORES!$B:$B,MATCH(A1692,SETORES!$A:$A,0))</f>
        <v/>
      </c>
      <c r="H1692" s="113" t="inlineStr">
        <is>
          <t>Julho/2026</t>
        </is>
      </c>
    </row>
    <row r="1693" ht="14.25" customHeight="1" s="75">
      <c r="A1693" s="90" t="inlineStr">
        <is>
          <t>Suporte Orbix</t>
        </is>
      </c>
      <c r="B1693" s="90" t="inlineStr">
        <is>
          <t>Custo Fixo</t>
        </is>
      </c>
      <c r="C1693" s="90" t="inlineStr">
        <is>
          <t>Custo de gestão administrativa (rateado — Ayrton da Silva Lima)</t>
        </is>
      </c>
      <c r="D1693" s="117" t="n">
        <v>1</v>
      </c>
      <c r="E1693" s="118" t="n">
        <v>597</v>
      </c>
      <c r="F1693" s="96">
        <f>IFERROR(D1693*E1693,0)</f>
        <v/>
      </c>
      <c r="G1693" s="90">
        <f>INDEX(SETORES!$B:$B,MATCH(A1693,SETORES!$A:$A,0))</f>
        <v/>
      </c>
      <c r="H1693" s="90" t="inlineStr">
        <is>
          <t>Julho/2026</t>
        </is>
      </c>
    </row>
    <row r="1694" ht="14.25" customHeight="1" s="75">
      <c r="A1694" s="113" t="inlineStr">
        <is>
          <t>Engenharia</t>
        </is>
      </c>
      <c r="B1694" s="113" t="inlineStr">
        <is>
          <t>Custo Fixo</t>
        </is>
      </c>
      <c r="C1694" s="113" t="inlineStr">
        <is>
          <t>Custo de gestão administrativa (rateado — Cryslaine Fonseca Rosal)</t>
        </is>
      </c>
      <c r="D1694" s="114" t="n">
        <v>1</v>
      </c>
      <c r="E1694" s="115" t="n">
        <v>1771.7</v>
      </c>
      <c r="F1694" s="116">
        <f>IFERROR(D1694*E1694,0)</f>
        <v/>
      </c>
      <c r="G1694" s="113">
        <f>INDEX(SETORES!$B:$B,MATCH(A1694,SETORES!$A:$A,0))</f>
        <v/>
      </c>
      <c r="H1694" s="113" t="inlineStr">
        <is>
          <t>Julho/2026</t>
        </is>
      </c>
    </row>
    <row r="1695" ht="14.25" customHeight="1" s="75">
      <c r="A1695" s="90" t="inlineStr">
        <is>
          <t>Obras</t>
        </is>
      </c>
      <c r="B1695" s="90" t="inlineStr">
        <is>
          <t>Custo Fixo</t>
        </is>
      </c>
      <c r="C1695" s="90" t="inlineStr">
        <is>
          <t>Custo de gestão administrativa (rateado — Cryslaine Fonseca Rosal)</t>
        </is>
      </c>
      <c r="D1695" s="117" t="n">
        <v>1</v>
      </c>
      <c r="E1695" s="118" t="n">
        <v>4074.9</v>
      </c>
      <c r="F1695" s="96">
        <f>IFERROR(D1695*E1695,0)</f>
        <v/>
      </c>
      <c r="G1695" s="90">
        <f>INDEX(SETORES!$B:$B,MATCH(A1695,SETORES!$A:$A,0))</f>
        <v/>
      </c>
      <c r="H1695" s="90" t="inlineStr">
        <is>
          <t>Julho/2026</t>
        </is>
      </c>
    </row>
    <row r="1696" ht="14.25" customHeight="1" s="75">
      <c r="A1696" s="113" t="inlineStr">
        <is>
          <t>Manutenção Predial</t>
        </is>
      </c>
      <c r="B1696" s="113" t="inlineStr">
        <is>
          <t>Custo Fixo</t>
        </is>
      </c>
      <c r="C1696" s="113" t="inlineStr">
        <is>
          <t>Custo de gestão administrativa (rateado — Cryslaine Fonseca Rosal)</t>
        </is>
      </c>
      <c r="D1696" s="114" t="n">
        <v>1</v>
      </c>
      <c r="E1696" s="115" t="n">
        <v>2303.21</v>
      </c>
      <c r="F1696" s="116">
        <f>IFERROR(D1696*E1696,0)</f>
        <v/>
      </c>
      <c r="G1696" s="113">
        <f>INDEX(SETORES!$B:$B,MATCH(A1696,SETORES!$A:$A,0))</f>
        <v/>
      </c>
      <c r="H1696" s="113" t="inlineStr">
        <is>
          <t>Julho/2026</t>
        </is>
      </c>
    </row>
    <row r="1697" ht="14.25" customHeight="1" s="75">
      <c r="A1697" s="90" t="inlineStr">
        <is>
          <t>Lançamento</t>
        </is>
      </c>
      <c r="B1697" s="90" t="inlineStr">
        <is>
          <t>Custo Fixo</t>
        </is>
      </c>
      <c r="C1697" s="90" t="inlineStr">
        <is>
          <t>Custo de gestão administrativa (rateado — Cryslaine Fonseca Rosal)</t>
        </is>
      </c>
      <c r="D1697" s="117" t="n">
        <v>1</v>
      </c>
      <c r="E1697" s="118" t="n">
        <v>3897.73</v>
      </c>
      <c r="F1697" s="96">
        <f>IFERROR(D1697*E1697,0)</f>
        <v/>
      </c>
      <c r="G1697" s="90">
        <f>INDEX(SETORES!$B:$B,MATCH(A1697,SETORES!$A:$A,0))</f>
        <v/>
      </c>
      <c r="H1697" s="90" t="inlineStr">
        <is>
          <t>Julho/2026</t>
        </is>
      </c>
    </row>
    <row r="1698" ht="14.25" customHeight="1" s="75">
      <c r="A1698" s="113" t="inlineStr">
        <is>
          <t>Fusão</t>
        </is>
      </c>
      <c r="B1698" s="113" t="inlineStr">
        <is>
          <t>Custo Fixo</t>
        </is>
      </c>
      <c r="C1698" s="113" t="inlineStr">
        <is>
          <t>Custo de gestão administrativa (rateado — Cryslaine Fonseca Rosal)</t>
        </is>
      </c>
      <c r="D1698" s="114" t="n">
        <v>1</v>
      </c>
      <c r="E1698" s="115" t="n">
        <v>1417.36</v>
      </c>
      <c r="F1698" s="116">
        <f>IFERROR(D1698*E1698,0)</f>
        <v/>
      </c>
      <c r="G1698" s="113">
        <f>INDEX(SETORES!$B:$B,MATCH(A1698,SETORES!$A:$A,0))</f>
        <v/>
      </c>
      <c r="H1698" s="113" t="inlineStr">
        <is>
          <t>Julho/2026</t>
        </is>
      </c>
    </row>
    <row r="1699" ht="14.25" customHeight="1" s="75">
      <c r="A1699" s="90" t="inlineStr">
        <is>
          <t>Serviços Gerais</t>
        </is>
      </c>
      <c r="B1699" s="90" t="inlineStr">
        <is>
          <t>Custo Fixo</t>
        </is>
      </c>
      <c r="C1699" s="90" t="inlineStr">
        <is>
          <t>Custo de gestão administrativa (rateado — Cryslaine Fonseca Rosal)</t>
        </is>
      </c>
      <c r="D1699" s="117" t="n">
        <v>1</v>
      </c>
      <c r="E1699" s="118" t="n">
        <v>1063.02</v>
      </c>
      <c r="F1699" s="96">
        <f>IFERROR(D1699*E1699,0)</f>
        <v/>
      </c>
      <c r="G1699" s="90">
        <f>INDEX(SETORES!$B:$B,MATCH(A1699,SETORES!$A:$A,0))</f>
        <v/>
      </c>
      <c r="H1699" s="90" t="inlineStr">
        <is>
          <t>Julho/2026</t>
        </is>
      </c>
    </row>
    <row r="1700" ht="14.25" customHeight="1" s="75">
      <c r="A1700" s="90" t="inlineStr">
        <is>
          <t>Backoffice Comercial Varejo</t>
        </is>
      </c>
      <c r="B1700" s="90" t="inlineStr">
        <is>
          <t>Custo Fixo</t>
        </is>
      </c>
      <c r="C1700" s="90" t="inlineStr">
        <is>
          <t>Energia elétrica (rateio)</t>
        </is>
      </c>
      <c r="D1700" s="117" t="n">
        <v>1</v>
      </c>
      <c r="E1700" s="118" t="n">
        <v>16.546</v>
      </c>
      <c r="F1700" s="96" t="n">
        <v>16.546</v>
      </c>
      <c r="G1700" s="90" t="inlineStr">
        <is>
          <t>Clientes</t>
        </is>
      </c>
      <c r="H1700" s="90" t="inlineStr">
        <is>
          <t>Julho/2026</t>
        </is>
      </c>
    </row>
    <row r="1701" ht="14.25" customHeight="1" s="75">
      <c r="A1701" s="113" t="inlineStr">
        <is>
          <t>Backoffice Comercial Varejo</t>
        </is>
      </c>
      <c r="B1701" s="113" t="inlineStr">
        <is>
          <t>Custo Fixo</t>
        </is>
      </c>
      <c r="C1701" s="113" t="inlineStr">
        <is>
          <t>Água e esgoto (rateio)</t>
        </is>
      </c>
      <c r="D1701" s="114" t="n">
        <v>1</v>
      </c>
      <c r="E1701" s="115" t="n">
        <v>0.0485</v>
      </c>
      <c r="F1701" s="116" t="n">
        <v>0.0485</v>
      </c>
      <c r="G1701" s="113" t="inlineStr">
        <is>
          <t>Clientes</t>
        </is>
      </c>
      <c r="H1701" s="113" t="inlineStr">
        <is>
          <t>Julho/2026</t>
        </is>
      </c>
    </row>
    <row r="1702" ht="14.25" customHeight="1" s="75">
      <c r="A1702" s="90" t="inlineStr">
        <is>
          <t>Marketing</t>
        </is>
      </c>
      <c r="B1702" s="90" t="inlineStr">
        <is>
          <t>Custo Fixo</t>
        </is>
      </c>
      <c r="C1702" s="90" t="inlineStr">
        <is>
          <t>Energia elétrica (rateio)</t>
        </is>
      </c>
      <c r="D1702" s="117" t="n">
        <v>1</v>
      </c>
      <c r="E1702" s="118" t="n">
        <v>99.276</v>
      </c>
      <c r="F1702" s="96" t="n">
        <v>99.276</v>
      </c>
      <c r="G1702" s="90" t="inlineStr">
        <is>
          <t>Clientes</t>
        </is>
      </c>
      <c r="H1702" s="90" t="inlineStr">
        <is>
          <t>Julho/2026</t>
        </is>
      </c>
    </row>
    <row r="1703" ht="14.25" customHeight="1" s="75">
      <c r="A1703" s="113" t="inlineStr">
        <is>
          <t>Marketing</t>
        </is>
      </c>
      <c r="B1703" s="113" t="inlineStr">
        <is>
          <t>Custo Fixo</t>
        </is>
      </c>
      <c r="C1703" s="113" t="inlineStr">
        <is>
          <t>Água e esgoto (rateio)</t>
        </is>
      </c>
      <c r="D1703" s="114" t="n">
        <v>1</v>
      </c>
      <c r="E1703" s="115" t="n">
        <v>0.291</v>
      </c>
      <c r="F1703" s="116" t="n">
        <v>0.291</v>
      </c>
      <c r="G1703" s="113" t="inlineStr">
        <is>
          <t>Clientes</t>
        </is>
      </c>
      <c r="H1703" s="113" t="inlineStr">
        <is>
          <t>Julho/2026</t>
        </is>
      </c>
    </row>
    <row r="1704" ht="14.25" customHeight="1" s="75">
      <c r="A1704" s="90" t="inlineStr">
        <is>
          <t>Comercial Corporativo</t>
        </is>
      </c>
      <c r="B1704" s="90" t="inlineStr">
        <is>
          <t>Custo Fixo</t>
        </is>
      </c>
      <c r="C1704" s="90" t="inlineStr">
        <is>
          <t>Energia elétrica (rateio)</t>
        </is>
      </c>
      <c r="D1704" s="117" t="n">
        <v>1</v>
      </c>
      <c r="E1704" s="118" t="n">
        <v>91.003</v>
      </c>
      <c r="F1704" s="96" t="n">
        <v>91.003</v>
      </c>
      <c r="G1704" s="90" t="inlineStr">
        <is>
          <t>Clientes</t>
        </is>
      </c>
      <c r="H1704" s="90" t="inlineStr">
        <is>
          <t>Julho/2026</t>
        </is>
      </c>
    </row>
    <row r="1705" ht="14.25" customHeight="1" s="75">
      <c r="A1705" s="113" t="inlineStr">
        <is>
          <t>Comercial Corporativo</t>
        </is>
      </c>
      <c r="B1705" s="113" t="inlineStr">
        <is>
          <t>Custo Fixo</t>
        </is>
      </c>
      <c r="C1705" s="113" t="inlineStr">
        <is>
          <t>Água e esgoto (rateio)</t>
        </is>
      </c>
      <c r="D1705" s="114" t="n">
        <v>1</v>
      </c>
      <c r="E1705" s="115" t="n">
        <v>0.2667</v>
      </c>
      <c r="F1705" s="116" t="n">
        <v>0.2667</v>
      </c>
      <c r="G1705" s="113" t="inlineStr">
        <is>
          <t>Clientes</t>
        </is>
      </c>
      <c r="H1705" s="113" t="inlineStr">
        <is>
          <t>Julho/2026</t>
        </is>
      </c>
    </row>
    <row r="1706" ht="14.25" customHeight="1" s="75">
      <c r="A1706" s="90" t="inlineStr">
        <is>
          <t>TIC</t>
        </is>
      </c>
      <c r="B1706" s="90" t="inlineStr">
        <is>
          <t>Custo Fixo</t>
        </is>
      </c>
      <c r="C1706" s="90" t="inlineStr">
        <is>
          <t>Energia elétrica (rateio)</t>
        </is>
      </c>
      <c r="D1706" s="117" t="n">
        <v>1</v>
      </c>
      <c r="E1706" s="118" t="n">
        <v>57.911</v>
      </c>
      <c r="F1706" s="96" t="n">
        <v>57.911</v>
      </c>
      <c r="G1706" s="90" t="inlineStr">
        <is>
          <t>Clientes</t>
        </is>
      </c>
      <c r="H1706" s="90" t="inlineStr">
        <is>
          <t>Julho/2026</t>
        </is>
      </c>
    </row>
    <row r="1707" ht="14.25" customHeight="1" s="75">
      <c r="A1707" s="113" t="inlineStr">
        <is>
          <t>TIC</t>
        </is>
      </c>
      <c r="B1707" s="113" t="inlineStr">
        <is>
          <t>Custo Fixo</t>
        </is>
      </c>
      <c r="C1707" s="113" t="inlineStr">
        <is>
          <t>Água e esgoto (rateio)</t>
        </is>
      </c>
      <c r="D1707" s="114" t="n">
        <v>1</v>
      </c>
      <c r="E1707" s="115" t="n">
        <v>0.1697</v>
      </c>
      <c r="F1707" s="116" t="n">
        <v>0.1697</v>
      </c>
      <c r="G1707" s="113" t="inlineStr">
        <is>
          <t>Clientes</t>
        </is>
      </c>
      <c r="H1707" s="113" t="inlineStr">
        <is>
          <t>Julho/2026</t>
        </is>
      </c>
    </row>
    <row r="1708" ht="14.25" customHeight="1" s="75">
      <c r="A1708" s="90" t="inlineStr">
        <is>
          <t>Diretoria Adm</t>
        </is>
      </c>
      <c r="B1708" s="90" t="inlineStr">
        <is>
          <t>Custo Fixo</t>
        </is>
      </c>
      <c r="C1708" s="90" t="inlineStr">
        <is>
          <t>Energia elétrica (rateio)</t>
        </is>
      </c>
      <c r="D1708" s="117" t="n">
        <v>1</v>
      </c>
      <c r="E1708" s="118" t="n">
        <v>24.819</v>
      </c>
      <c r="F1708" s="96" t="n">
        <v>24.819</v>
      </c>
      <c r="G1708" s="90" t="inlineStr">
        <is>
          <t>Clientes</t>
        </is>
      </c>
      <c r="H1708" s="90" t="inlineStr">
        <is>
          <t>Julho/2026</t>
        </is>
      </c>
    </row>
    <row r="1709" ht="14.25" customHeight="1" s="75">
      <c r="A1709" s="113" t="inlineStr">
        <is>
          <t>Diretoria Adm</t>
        </is>
      </c>
      <c r="B1709" s="113" t="inlineStr">
        <is>
          <t>Custo Fixo</t>
        </is>
      </c>
      <c r="C1709" s="113" t="inlineStr">
        <is>
          <t>Água e esgoto (rateio)</t>
        </is>
      </c>
      <c r="D1709" s="114" t="n">
        <v>1</v>
      </c>
      <c r="E1709" s="115" t="n">
        <v>0.0727</v>
      </c>
      <c r="F1709" s="116" t="n">
        <v>0.0727</v>
      </c>
      <c r="G1709" s="113" t="inlineStr">
        <is>
          <t>Clientes</t>
        </is>
      </c>
      <c r="H1709" s="113" t="inlineStr">
        <is>
          <t>Julho/2026</t>
        </is>
      </c>
    </row>
    <row r="1710" ht="14.25" customHeight="1" s="75">
      <c r="A1710" s="90" t="inlineStr">
        <is>
          <t>Backoffice Comercial Varejo</t>
        </is>
      </c>
      <c r="B1710" s="90" t="inlineStr">
        <is>
          <t>Custo Fixo</t>
        </is>
      </c>
      <c r="C1710" s="90" t="inlineStr">
        <is>
          <t>Gympass</t>
        </is>
      </c>
      <c r="D1710" s="117" t="n">
        <v>2</v>
      </c>
      <c r="E1710" s="118" t="n">
        <v>9.92</v>
      </c>
      <c r="F1710" s="96">
        <f>IFERROR(D1710*E1710,0)</f>
        <v/>
      </c>
      <c r="G1710" s="90">
        <f>INDEX(SETORES!$B:$B,MATCH(A1710,SETORES!$A:$A,0))</f>
        <v/>
      </c>
      <c r="H1710" s="90" t="inlineStr">
        <is>
          <t>Julho/2026</t>
        </is>
      </c>
    </row>
    <row r="1711" ht="14.25" customHeight="1" s="75">
      <c r="A1711" s="113" t="inlineStr">
        <is>
          <t>Backoffice Comercial Varejo</t>
        </is>
      </c>
      <c r="B1711" s="113" t="inlineStr">
        <is>
          <t>Custo Fixo</t>
        </is>
      </c>
      <c r="C1711" s="113" t="inlineStr">
        <is>
          <t>Stargrid</t>
        </is>
      </c>
      <c r="D1711" s="114" t="n">
        <v>2</v>
      </c>
      <c r="E1711" s="115" t="n">
        <v>2.05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t="14.25" customHeight="1" s="75">
      <c r="A1712" s="113" t="inlineStr">
        <is>
          <t>Backoffice Comercial Varejo</t>
        </is>
      </c>
      <c r="B1712" s="113" t="inlineStr">
        <is>
          <t>Custo Fixo</t>
        </is>
      </c>
      <c r="C1712" s="113" t="inlineStr">
        <is>
          <t>Despesas com RH</t>
        </is>
      </c>
      <c r="D1712" s="114" t="n">
        <v>2</v>
      </c>
      <c r="E1712" s="115" t="n">
        <v>29.74</v>
      </c>
      <c r="F1712" s="116">
        <f>IFERROR(D1712*E1712,0)</f>
        <v/>
      </c>
      <c r="G1712" s="113">
        <f>INDEX(SETORES!$B:$B,MATCH(A1712,SETORES!$A:$A,0))</f>
        <v/>
      </c>
      <c r="H1712" s="113" t="inlineStr">
        <is>
          <t>Julho/2026</t>
        </is>
      </c>
    </row>
    <row r="1713" ht="14.25" customHeight="1" s="75">
      <c r="A1713" s="113" t="inlineStr">
        <is>
          <t>Backoffice Comercial Varejo</t>
        </is>
      </c>
      <c r="B1713" s="113" t="inlineStr">
        <is>
          <t>Custo Fixo</t>
        </is>
      </c>
      <c r="C1713" s="113" t="inlineStr">
        <is>
          <t>Despesas com DP</t>
        </is>
      </c>
      <c r="D1713" s="114" t="n">
        <v>2</v>
      </c>
      <c r="E1713" s="115" t="n">
        <v>43.54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Julho/2026</t>
        </is>
      </c>
    </row>
    <row r="1714" ht="14.25" customHeight="1" s="75">
      <c r="A1714" s="113" t="inlineStr">
        <is>
          <t>Backoffice Comercial Varejo</t>
        </is>
      </c>
      <c r="B1714" s="113" t="inlineStr">
        <is>
          <t>Custo Fixo</t>
        </is>
      </c>
      <c r="C1714" s="113" t="inlineStr">
        <is>
          <t>Despesas com SST</t>
        </is>
      </c>
      <c r="D1714" s="114" t="n">
        <v>2</v>
      </c>
      <c r="E1714" s="115" t="n">
        <v>47.66</v>
      </c>
      <c r="F1714" s="116">
        <f>IFERROR(D1714*E1714,0)</f>
        <v/>
      </c>
      <c r="G1714" s="113">
        <f>INDEX(SETORES!$B:$B,MATCH(A1714,SETORES!$A:$A,0))</f>
        <v/>
      </c>
      <c r="H1714" s="113" t="inlineStr">
        <is>
          <t>Julho/2026</t>
        </is>
      </c>
    </row>
    <row r="1715" ht="14.25" customHeight="1" s="75">
      <c r="A1715" s="90" t="inlineStr">
        <is>
          <t>Backoffice Comercial Varejo</t>
        </is>
      </c>
      <c r="B1715" s="90" t="inlineStr">
        <is>
          <t>Custo Fixo</t>
        </is>
      </c>
      <c r="C1715" s="90" t="inlineStr">
        <is>
          <t>Licença de e-mail corporativo</t>
        </is>
      </c>
      <c r="D1715" s="117" t="n">
        <v>2</v>
      </c>
      <c r="E1715" s="118" t="n">
        <v>50</v>
      </c>
      <c r="F1715" s="96">
        <f>IFERROR(D1715*E1715,0)</f>
        <v/>
      </c>
      <c r="G1715" s="90">
        <f>INDEX(SETORES!$B:$B,MATCH(A1715,SETORES!$A:$A,0))</f>
        <v/>
      </c>
      <c r="H1715" s="90" t="inlineStr">
        <is>
          <t>Julho/2026</t>
        </is>
      </c>
    </row>
    <row r="1716" ht="14.25" customHeight="1" s="75">
      <c r="A1716" s="113" t="inlineStr">
        <is>
          <t>Backoffice Comercial Varejo</t>
        </is>
      </c>
      <c r="B1716" s="113" t="inlineStr">
        <is>
          <t>Custo Fixo</t>
        </is>
      </c>
      <c r="C1716" s="113" t="inlineStr">
        <is>
          <t>Chip móvel corporativo</t>
        </is>
      </c>
      <c r="D1716" s="114" t="n">
        <v>1</v>
      </c>
      <c r="E1716" s="115" t="n">
        <v>30</v>
      </c>
      <c r="F1716" s="116">
        <f>IFERROR(D1716*E1716,0)</f>
        <v/>
      </c>
      <c r="G1716" s="113">
        <f>INDEX(SETORES!$B:$B,MATCH(A1716,SETORES!$A:$A,0))</f>
        <v/>
      </c>
      <c r="H1716" s="113" t="inlineStr">
        <is>
          <t>Julho/2026</t>
        </is>
      </c>
    </row>
    <row r="1717" ht="14.25" customHeight="1" s="75">
      <c r="A1717" s="90" t="inlineStr">
        <is>
          <t>Serviços Gerais</t>
        </is>
      </c>
      <c r="B1717" s="90" t="inlineStr">
        <is>
          <t>Custo Fixo</t>
        </is>
      </c>
      <c r="C1717" s="90" t="inlineStr">
        <is>
          <t>Gympass</t>
        </is>
      </c>
      <c r="D1717" s="117" t="n">
        <v>6</v>
      </c>
      <c r="E1717" s="118" t="n">
        <v>9.92</v>
      </c>
      <c r="F1717" s="96">
        <f>IFERROR(D1717*E1717,0)</f>
        <v/>
      </c>
      <c r="G1717" s="90">
        <f>INDEX(SETORES!$B:$B,MATCH(A1717,SETORES!$A:$A,0))</f>
        <v/>
      </c>
      <c r="H1717" s="90" t="inlineStr">
        <is>
          <t>Julho/2026</t>
        </is>
      </c>
    </row>
    <row r="1718" ht="14.25" customHeight="1" s="75">
      <c r="A1718" s="113" t="inlineStr">
        <is>
          <t>Serviços Gerais</t>
        </is>
      </c>
      <c r="B1718" s="113" t="inlineStr">
        <is>
          <t>Custo Fixo</t>
        </is>
      </c>
      <c r="C1718" s="113" t="inlineStr">
        <is>
          <t>Stargrid</t>
        </is>
      </c>
      <c r="D1718" s="114" t="n">
        <v>6</v>
      </c>
      <c r="E1718" s="115" t="n">
        <v>2.05</v>
      </c>
      <c r="F1718" s="116">
        <f>IFERROR(D1718*E1718,0)</f>
        <v/>
      </c>
      <c r="G1718" s="113">
        <f>INDEX(SETORES!$B:$B,MATCH(A1718,SETORES!$A:$A,0))</f>
        <v/>
      </c>
      <c r="H1718" s="113" t="inlineStr">
        <is>
          <t>Julho/2026</t>
        </is>
      </c>
    </row>
    <row r="1719" ht="14.25" customHeight="1" s="75">
      <c r="A1719" s="113" t="inlineStr">
        <is>
          <t>Serviços Gerais</t>
        </is>
      </c>
      <c r="B1719" s="113" t="inlineStr">
        <is>
          <t>Custo Fixo</t>
        </is>
      </c>
      <c r="C1719" s="113" t="inlineStr">
        <is>
          <t>Despesas com RH</t>
        </is>
      </c>
      <c r="D1719" s="114" t="n">
        <v>6</v>
      </c>
      <c r="E1719" s="115" t="n">
        <v>29.74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Julho/2026</t>
        </is>
      </c>
    </row>
    <row r="1720" ht="14.25" customHeight="1" s="75">
      <c r="A1720" s="113" t="inlineStr">
        <is>
          <t>Serviços Gerais</t>
        </is>
      </c>
      <c r="B1720" s="113" t="inlineStr">
        <is>
          <t>Custo Fixo</t>
        </is>
      </c>
      <c r="C1720" s="113" t="inlineStr">
        <is>
          <t>Despesas com DP</t>
        </is>
      </c>
      <c r="D1720" s="114" t="n">
        <v>6</v>
      </c>
      <c r="E1720" s="115" t="n">
        <v>43.54</v>
      </c>
      <c r="F1720" s="116">
        <f>IFERROR(D1720*E1720,0)</f>
        <v/>
      </c>
      <c r="G1720" s="113">
        <f>INDEX(SETORES!$B:$B,MATCH(A1720,SETORES!$A:$A,0))</f>
        <v/>
      </c>
      <c r="H1720" s="113" t="inlineStr">
        <is>
          <t>Julho/2026</t>
        </is>
      </c>
    </row>
    <row r="1721" ht="14.25" customHeight="1" s="75">
      <c r="A1721" s="113" t="inlineStr">
        <is>
          <t>Serviços Gerais</t>
        </is>
      </c>
      <c r="B1721" s="113" t="inlineStr">
        <is>
          <t>Custo Fixo</t>
        </is>
      </c>
      <c r="C1721" s="113" t="inlineStr">
        <is>
          <t>Despesas com SST</t>
        </is>
      </c>
      <c r="D1721" s="114" t="n">
        <v>6</v>
      </c>
      <c r="E1721" s="115" t="n">
        <v>47.66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Julho/2026</t>
        </is>
      </c>
    </row>
    <row r="1722" ht="14.25" customHeight="1" s="75">
      <c r="A1722" s="90" t="inlineStr">
        <is>
          <t>Compras</t>
        </is>
      </c>
      <c r="B1722" s="90" t="inlineStr">
        <is>
          <t>Custo Variável</t>
        </is>
      </c>
      <c r="C1722" s="90" t="inlineStr">
        <is>
          <t>Fardamento novo</t>
        </is>
      </c>
      <c r="D1722" s="117" t="n">
        <v>2</v>
      </c>
      <c r="E1722" s="118" t="n">
        <v>45</v>
      </c>
      <c r="F1722" s="96">
        <f>IFERROR(D1722*E1722,0)</f>
        <v/>
      </c>
      <c r="G1722" s="90">
        <f>INDEX(SETORES!$B:$B,MATCH(A1722,SETORES!$A:$A,0))</f>
        <v/>
      </c>
      <c r="H1722" s="90" t="inlineStr">
        <is>
          <t>Julho/2026</t>
        </is>
      </c>
    </row>
    <row r="1723" ht="14.25" customHeight="1" s="75">
      <c r="A1723" s="113" t="inlineStr">
        <is>
          <t>Fique Móvel</t>
        </is>
      </c>
      <c r="B1723" s="113" t="inlineStr">
        <is>
          <t>Custo Variável</t>
        </is>
      </c>
      <c r="C1723" s="113" t="inlineStr">
        <is>
          <t>Fardamento novo</t>
        </is>
      </c>
      <c r="D1723" s="114" t="n">
        <v>2</v>
      </c>
      <c r="E1723" s="115" t="n">
        <v>45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Julho/2026</t>
        </is>
      </c>
    </row>
    <row r="1724" ht="14.25" customHeight="1" s="75">
      <c r="A1724" s="90" t="inlineStr">
        <is>
          <t>Manutenção Predial</t>
        </is>
      </c>
      <c r="B1724" s="90" t="inlineStr">
        <is>
          <t>Custo Variável</t>
        </is>
      </c>
      <c r="C1724" s="90" t="inlineStr">
        <is>
          <t>Fardamento novo</t>
        </is>
      </c>
      <c r="D1724" s="117" t="n">
        <v>3</v>
      </c>
      <c r="E1724" s="118" t="n">
        <v>30</v>
      </c>
      <c r="F1724" s="96">
        <f>IFERROR(D1724*E1724,0)</f>
        <v/>
      </c>
      <c r="G1724" s="90">
        <f>INDEX(SETORES!$B:$B,MATCH(A1724,SETORES!$A:$A,0))</f>
        <v/>
      </c>
      <c r="H1724" s="90" t="inlineStr">
        <is>
          <t>Julho/2026</t>
        </is>
      </c>
    </row>
    <row r="1725" ht="14.25" customHeight="1" s="75">
      <c r="A1725" s="113" t="inlineStr">
        <is>
          <t>Manutenção Predial</t>
        </is>
      </c>
      <c r="B1725" s="113" t="inlineStr">
        <is>
          <t>Custo Variável</t>
        </is>
      </c>
      <c r="C1725" s="113" t="inlineStr">
        <is>
          <t>Fardamento substituição</t>
        </is>
      </c>
      <c r="D1725" s="114" t="n">
        <v>1</v>
      </c>
      <c r="E1725" s="115" t="n">
        <v>45</v>
      </c>
      <c r="F1725" s="116">
        <f>IFERROR(D1725*E1725,0)</f>
        <v/>
      </c>
      <c r="G1725" s="113">
        <f>INDEX(SETORES!$B:$B,MATCH(A1725,SETORES!$A:$A,0))</f>
        <v/>
      </c>
      <c r="H1725" s="113" t="inlineStr">
        <is>
          <t>Julho/2026</t>
        </is>
      </c>
    </row>
    <row r="1726" ht="14.25" customHeight="1" s="75">
      <c r="A1726" s="90" t="inlineStr">
        <is>
          <t>Marketing</t>
        </is>
      </c>
      <c r="B1726" s="90" t="inlineStr">
        <is>
          <t>Custo Variável</t>
        </is>
      </c>
      <c r="C1726" s="90" t="inlineStr">
        <is>
          <t>Fardamento novo</t>
        </is>
      </c>
      <c r="D1726" s="117" t="n">
        <v>2</v>
      </c>
      <c r="E1726" s="118" t="n">
        <v>45</v>
      </c>
      <c r="F1726" s="96">
        <f>IFERROR(D1726*E1726,0)</f>
        <v/>
      </c>
      <c r="G1726" s="90">
        <f>INDEX(SETORES!$B:$B,MATCH(A1726,SETORES!$A:$A,0))</f>
        <v/>
      </c>
      <c r="H1726" s="90" t="inlineStr">
        <is>
          <t>Julho/2026</t>
        </is>
      </c>
    </row>
    <row r="1727" ht="14.25" customHeight="1" s="75">
      <c r="A1727" s="113" t="inlineStr">
        <is>
          <t>Serviços Gerais</t>
        </is>
      </c>
      <c r="B1727" s="113" t="inlineStr">
        <is>
          <t>Custo Variável</t>
        </is>
      </c>
      <c r="C1727" s="113" t="inlineStr">
        <is>
          <t>Fardamento substituição</t>
        </is>
      </c>
      <c r="D1727" s="114" t="n">
        <v>4</v>
      </c>
      <c r="E1727" s="115" t="n">
        <v>121.25</v>
      </c>
      <c r="F1727" s="116">
        <f>IFERROR(D1727*E1727,0)</f>
        <v/>
      </c>
      <c r="G1727" s="113">
        <f>INDEX(SETORES!$B:$B,MATCH(A1727,SETORES!$A:$A,0))</f>
        <v/>
      </c>
      <c r="H1727" s="113" t="inlineStr">
        <is>
          <t>Julho/2026</t>
        </is>
      </c>
    </row>
    <row r="1728" ht="14.25" customHeight="1" s="75">
      <c r="A1728" s="90" t="inlineStr">
        <is>
          <t>Suporte da Central</t>
        </is>
      </c>
      <c r="B1728" s="90" t="inlineStr">
        <is>
          <t>Custo Variável</t>
        </is>
      </c>
      <c r="C1728" s="90" t="inlineStr">
        <is>
          <t>Fardamento novo</t>
        </is>
      </c>
      <c r="D1728" s="117" t="n">
        <v>2</v>
      </c>
      <c r="E1728" s="118" t="n">
        <v>45</v>
      </c>
      <c r="F1728" s="96">
        <f>IFERROR(D1728*E1728,0)</f>
        <v/>
      </c>
      <c r="G1728" s="90">
        <f>INDEX(SETORES!$B:$B,MATCH(A1728,SETORES!$A:$A,0))</f>
        <v/>
      </c>
      <c r="H1728" s="90" t="inlineStr">
        <is>
          <t>Julho/2026</t>
        </is>
      </c>
    </row>
    <row r="1729" ht="14.25" customHeight="1" s="75">
      <c r="A1729" s="113" t="inlineStr">
        <is>
          <t>Suporte Orbix</t>
        </is>
      </c>
      <c r="B1729" s="113" t="inlineStr">
        <is>
          <t>Custo Variável</t>
        </is>
      </c>
      <c r="C1729" s="113" t="inlineStr">
        <is>
          <t>Fardamento substituição</t>
        </is>
      </c>
      <c r="D1729" s="114" t="n">
        <v>1</v>
      </c>
      <c r="E1729" s="115" t="n">
        <v>68</v>
      </c>
      <c r="F1729" s="116">
        <f>IFERROR(D1729*E1729,0)</f>
        <v/>
      </c>
      <c r="G1729" s="113">
        <f>INDEX(SETORES!$B:$B,MATCH(A1729,SETORES!$A:$A,0))</f>
        <v/>
      </c>
      <c r="H1729" s="113" t="inlineStr">
        <is>
          <t>Julho/2026</t>
        </is>
      </c>
    </row>
    <row r="1730" ht="14.25" customHeight="1" s="75">
      <c r="A1730" s="90" t="inlineStr">
        <is>
          <t>Televendas</t>
        </is>
      </c>
      <c r="B1730" s="90" t="inlineStr">
        <is>
          <t>Custo Variável</t>
        </is>
      </c>
      <c r="C1730" s="90" t="inlineStr">
        <is>
          <t>Fardamento novo</t>
        </is>
      </c>
      <c r="D1730" s="117" t="n">
        <v>2</v>
      </c>
      <c r="E1730" s="118" t="n">
        <v>68</v>
      </c>
      <c r="F1730" s="96">
        <f>IFERROR(D1730*E1730,0)</f>
        <v/>
      </c>
      <c r="G1730" s="90">
        <f>INDEX(SETORES!$B:$B,MATCH(A1730,SETORES!$A:$A,0))</f>
        <v/>
      </c>
      <c r="H1730" s="90" t="inlineStr">
        <is>
          <t>Julho/2026</t>
        </is>
      </c>
    </row>
    <row r="1731" ht="14.25" customHeight="1" s="75">
      <c r="A1731" s="113" t="inlineStr">
        <is>
          <t>TIC</t>
        </is>
      </c>
      <c r="B1731" s="113" t="inlineStr">
        <is>
          <t>Custo Variável</t>
        </is>
      </c>
      <c r="C1731" s="113" t="inlineStr">
        <is>
          <t>Fardamento novo</t>
        </is>
      </c>
      <c r="D1731" s="114" t="n">
        <v>4</v>
      </c>
      <c r="E1731" s="115" t="n">
        <v>45</v>
      </c>
      <c r="F1731" s="116">
        <f>IFERROR(D1731*E1731,0)</f>
        <v/>
      </c>
      <c r="G1731" s="113">
        <f>INDEX(SETORES!$B:$B,MATCH(A1731,SETORES!$A:$A,0))</f>
        <v/>
      </c>
      <c r="H1731" s="113" t="inlineStr">
        <is>
          <t>Julho/2026</t>
        </is>
      </c>
    </row>
    <row r="1732" ht="14.25" customHeight="1" s="75">
      <c r="A1732" s="113" t="inlineStr">
        <is>
          <t>Televendas</t>
        </is>
      </c>
      <c r="B1732" s="113" t="inlineStr">
        <is>
          <t>Custo Fixo</t>
        </is>
      </c>
      <c r="C1732" s="113" t="inlineStr">
        <is>
          <t>Software MATRIX (rateio equipe Relacionamento)</t>
        </is>
      </c>
      <c r="D1732" s="114" t="n">
        <v>1</v>
      </c>
      <c r="E1732" s="115" t="n">
        <v>719.456231</v>
      </c>
      <c r="F1732" s="116">
        <f>IFERROR(D1732*E1732,0)</f>
        <v/>
      </c>
      <c r="G1732" s="113">
        <f>INDEX(SETORES!$B:$B,MATCH(A1732,SETORES!$A:$A,0))</f>
        <v/>
      </c>
      <c r="H1732" s="113" t="inlineStr">
        <is>
          <t>Julho/2026</t>
        </is>
      </c>
    </row>
    <row r="1733" ht="14.25" customHeight="1" s="75">
      <c r="A1733" s="90" t="inlineStr">
        <is>
          <t>Cozinha</t>
        </is>
      </c>
      <c r="B1733" s="90" t="inlineStr">
        <is>
          <t>Custo Fixo</t>
        </is>
      </c>
      <c r="C1733" s="90" t="inlineStr">
        <is>
          <t>Custo de gestão administrativa (rateado — Cryslaine Fonseca Rosal)</t>
        </is>
      </c>
      <c r="D1733" s="117" t="n">
        <v>1</v>
      </c>
      <c r="E1733" s="118" t="n">
        <v>885.85</v>
      </c>
      <c r="F1733" s="96">
        <f>IFERROR(D1733*E1733,0)</f>
        <v/>
      </c>
      <c r="G1733" s="90" t="inlineStr">
        <is>
          <t>Funcionários</t>
        </is>
      </c>
      <c r="H1733" s="90" t="inlineStr">
        <is>
          <t>Julho/2026</t>
        </is>
      </c>
    </row>
    <row r="1734" ht="14.25" customHeight="1" s="75">
      <c r="A1734" s="113" t="inlineStr">
        <is>
          <t>Cozinha</t>
        </is>
      </c>
      <c r="B1734" s="113" t="inlineStr">
        <is>
          <t>Custo Fixo</t>
        </is>
      </c>
      <c r="C1734" s="113" t="inlineStr">
        <is>
          <t>Gympass</t>
        </is>
      </c>
      <c r="D1734" s="114" t="n">
        <v>5</v>
      </c>
      <c r="E1734" s="115" t="n">
        <v>9.92</v>
      </c>
      <c r="F1734" s="116">
        <f>IFERROR(D1734*E1734,0)</f>
        <v/>
      </c>
      <c r="G1734" s="113" t="inlineStr">
        <is>
          <t>Funcionários</t>
        </is>
      </c>
      <c r="H1734" s="113" t="inlineStr">
        <is>
          <t>Julho/2026</t>
        </is>
      </c>
    </row>
    <row r="1735" ht="14.25" customHeight="1" s="75">
      <c r="A1735" s="90" t="inlineStr">
        <is>
          <t>Cozinha</t>
        </is>
      </c>
      <c r="B1735" s="90" t="inlineStr">
        <is>
          <t>Custo Fixo</t>
        </is>
      </c>
      <c r="C1735" s="90" t="inlineStr">
        <is>
          <t>Stargrid</t>
        </is>
      </c>
      <c r="D1735" s="117" t="n">
        <v>5</v>
      </c>
      <c r="E1735" s="118" t="n">
        <v>2.05</v>
      </c>
      <c r="F1735" s="96">
        <f>IFERROR(D1735*E1735,0)</f>
        <v/>
      </c>
      <c r="G1735" s="90" t="inlineStr">
        <is>
          <t>Funcionários</t>
        </is>
      </c>
      <c r="H1735" s="90" t="inlineStr">
        <is>
          <t>Julho/2026</t>
        </is>
      </c>
    </row>
    <row r="1736" ht="14.25" customHeight="1" s="75">
      <c r="A1736" s="90" t="inlineStr">
        <is>
          <t>Cozinha</t>
        </is>
      </c>
      <c r="B1736" s="90" t="inlineStr">
        <is>
          <t>Custo Fixo</t>
        </is>
      </c>
      <c r="C1736" s="90" t="inlineStr">
        <is>
          <t>Despesas com RH</t>
        </is>
      </c>
      <c r="D1736" s="117" t="n">
        <v>5</v>
      </c>
      <c r="E1736" s="118" t="n">
        <v>29.74</v>
      </c>
      <c r="F1736" s="96">
        <f>IFERROR(D1736*E1736,0)</f>
        <v/>
      </c>
      <c r="G1736" s="90" t="inlineStr">
        <is>
          <t>Funcionários</t>
        </is>
      </c>
      <c r="H1736" s="90" t="inlineStr">
        <is>
          <t>Julho/2026</t>
        </is>
      </c>
    </row>
    <row r="1737" ht="14.25" customHeight="1" s="75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t="14.25" customHeight="1" s="75">
      <c r="A1738" s="90" t="inlineStr">
        <is>
          <t>Cozinha</t>
        </is>
      </c>
      <c r="B1738" s="90" t="inlineStr">
        <is>
          <t>Custo Fixo</t>
        </is>
      </c>
      <c r="C1738" s="90" t="inlineStr">
        <is>
          <t>Despesas com SST</t>
        </is>
      </c>
      <c r="D1738" s="117" t="n">
        <v>5</v>
      </c>
      <c r="E1738" s="118" t="n">
        <v>47.66</v>
      </c>
      <c r="F1738" s="96">
        <f>IFERROR(D1738*E1738,0)</f>
        <v/>
      </c>
      <c r="G1738" s="90" t="inlineStr">
        <is>
          <t>Funcionários</t>
        </is>
      </c>
      <c r="H1738" s="90" t="inlineStr">
        <is>
          <t>Julho/2026</t>
        </is>
      </c>
    </row>
    <row r="1739" ht="14.25" customHeight="1" s="75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t="14.25" customHeight="1" s="75">
      <c r="A1740" s="90" t="inlineStr">
        <is>
          <t>Cozinha</t>
        </is>
      </c>
      <c r="B1740" s="90" t="inlineStr">
        <is>
          <t>Custo Variável</t>
        </is>
      </c>
      <c r="C1740" s="90" t="inlineStr">
        <is>
          <t>Material de limpeza (compras mensais para distribuição — Cozinha)</t>
        </is>
      </c>
      <c r="D1740" s="117" t="n">
        <v>1</v>
      </c>
      <c r="E1740" s="118" t="n">
        <v>1800.06</v>
      </c>
      <c r="F1740" s="96">
        <f>IFERROR(E1740,0)</f>
        <v/>
      </c>
      <c r="G1740" s="90" t="inlineStr">
        <is>
          <t>Funcionários</t>
        </is>
      </c>
      <c r="H1740" s="90" t="inlineStr">
        <is>
          <t>Julho/2026</t>
        </is>
      </c>
    </row>
    <row r="1741" ht="14.25" customHeight="1" s="75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t="14.25" customHeight="1" s="75">
      <c r="A1742" s="90" t="inlineStr">
        <is>
          <t>Cozinha</t>
        </is>
      </c>
      <c r="B1742" s="90" t="inlineStr">
        <is>
          <t>Custo Variável</t>
        </is>
      </c>
      <c r="C1742" s="90" t="inlineStr">
        <is>
          <t>Crédito — Refeições pagas pelos colaboradores (valor simbólico, Refeitório)</t>
        </is>
      </c>
      <c r="D1742" s="117" t="n">
        <v>1</v>
      </c>
      <c r="E1742" s="118" t="n">
        <v>-12600</v>
      </c>
      <c r="F1742" s="96">
        <f>IFERROR(E1742,0)</f>
        <v/>
      </c>
      <c r="G1742" s="90" t="inlineStr">
        <is>
          <t>Funcionários</t>
        </is>
      </c>
      <c r="H1742" s="90" t="inlineStr">
        <is>
          <t>Julho/2026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74" min="1" max="1"/>
    <col width="20" customWidth="1" style="74" min="2" max="2"/>
    <col width="17" customWidth="1" style="74" min="3" max="3"/>
    <col width="18" customWidth="1" style="74" min="4" max="5"/>
    <col width="13" customWidth="1" style="74" min="6" max="7"/>
  </cols>
  <sheetData>
    <row r="1" ht="25.5" customHeight="1" s="75">
      <c r="A1" s="76" t="inlineStr">
        <is>
          <t>RESUMO — REEMBOLSO POR EMPRESA</t>
        </is>
      </c>
    </row>
    <row r="3" ht="27.75" customHeight="1" s="75">
      <c r="A3" s="80" t="inlineStr">
        <is>
          <t>Empresa</t>
        </is>
      </c>
      <c r="B3" s="80" t="inlineStr">
        <is>
          <t>Total de Custo Rateado (R$)</t>
        </is>
      </c>
      <c r="C3" s="80" t="inlineStr">
        <is>
          <t>Total de Royalty (R$)</t>
        </is>
      </c>
      <c r="D3" s="80" t="inlineStr">
        <is>
          <t>Custos Comerciais Diretos (R$)</t>
        </is>
      </c>
      <c r="E3" s="80" t="inlineStr">
        <is>
          <t>Total Geral a Cobrar (R$)</t>
        </is>
      </c>
      <c r="F3" s="80" t="inlineStr">
        <is>
          <t>% do Total Geral (custo)</t>
        </is>
      </c>
      <c r="G3" s="74" t="inlineStr">
        <is>
          <t>Mês</t>
        </is>
      </c>
    </row>
    <row r="4" ht="15" customHeight="1" s="75">
      <c r="A4" s="105" t="inlineStr">
        <is>
          <t>Empresa Licenciada DX2</t>
        </is>
      </c>
      <c r="B4" s="107">
        <f>SUMIFS(PARÂMETROS!$F:$F,PARÂMETROS!$C:$C,A4,PARÂMETROS!$J:$J,G4)</f>
        <v/>
      </c>
      <c r="C4" s="107">
        <f>SUMIFS(PARÂMETROS!$H:$H,PARÂMETROS!$C:$C,A4,PARÂMETROS!$J:$J,G4)</f>
        <v/>
      </c>
      <c r="D4" s="107">
        <f>SUMIFS('COMERCIAL VAREJO'!$H:$H,'COMERCIAL VAREJO'!$B:$B,A4,'COMERCIAL VAREJO'!$A:$A,G4,'COMERCIAL VAREJO'!$C:$C,"&lt;&gt;")</f>
        <v/>
      </c>
      <c r="E4" s="107">
        <f>B4+C4+D4</f>
        <v/>
      </c>
      <c r="F4" s="105">
        <f>IFERROR(B4/B$12,0)</f>
        <v/>
      </c>
      <c r="G4" s="119" t="inlineStr">
        <is>
          <t>Junho/2026</t>
        </is>
      </c>
    </row>
    <row r="5" ht="15" customHeight="1" s="75">
      <c r="A5" s="90" t="inlineStr">
        <is>
          <t>Empresa Licenciada H&amp;A</t>
        </is>
      </c>
      <c r="B5" s="96">
        <f>SUMIFS(PARÂMETROS!$F:$F,PARÂMETROS!$C:$C,A5,PARÂMETROS!$J:$J,G5)</f>
        <v/>
      </c>
      <c r="C5" s="96">
        <f>SUMIFS(PARÂMETROS!$H:$H,PARÂMETROS!$C:$C,A5,PARÂMETROS!$J:$J,G5)</f>
        <v/>
      </c>
      <c r="D5" s="96">
        <f>SUMIFS('COMERCIAL VAREJO'!$H:$H,'COMERCIAL VAREJO'!$B:$B,A5,'COMERCIAL VAREJO'!$A:$A,G5,'COMERCIAL VAREJO'!$C:$C,"&lt;&gt;")</f>
        <v/>
      </c>
      <c r="E5" s="96">
        <f>B5+C5+D5</f>
        <v/>
      </c>
      <c r="F5" s="90">
        <f>IFERROR(B5/B$12,0)</f>
        <v/>
      </c>
      <c r="G5" s="120" t="inlineStr">
        <is>
          <t>Junho/2026</t>
        </is>
      </c>
    </row>
    <row r="6" ht="15" customHeight="1" s="75">
      <c r="A6" s="105" t="inlineStr">
        <is>
          <t>Empresa Licenciada SOLON ARAUJO</t>
        </is>
      </c>
      <c r="B6" s="107">
        <f>SUMIFS(PARÂMETROS!$F:$F,PARÂMETROS!$C:$C,A6,PARÂMETROS!$J:$J,G6)</f>
        <v/>
      </c>
      <c r="C6" s="107">
        <f>SUMIFS(PARÂMETROS!$H:$H,PARÂMETROS!$C:$C,A6,PARÂMETROS!$J:$J,G6)</f>
        <v/>
      </c>
      <c r="D6" s="107">
        <f>SUMIFS('COMERCIAL VAREJO'!$H:$H,'COMERCIAL VAREJO'!$B:$B,A6,'COMERCIAL VAREJO'!$A:$A,G6,'COMERCIAL VAREJO'!$C:$C,"&lt;&gt;")</f>
        <v/>
      </c>
      <c r="E6" s="107">
        <f>B6+C6+D6</f>
        <v/>
      </c>
      <c r="F6" s="105">
        <f>IFERROR(B6/B$12,0)</f>
        <v/>
      </c>
      <c r="G6" s="119" t="inlineStr">
        <is>
          <t>Junho/2026</t>
        </is>
      </c>
    </row>
    <row r="7" ht="15" customHeight="1" s="75">
      <c r="A7" s="90" t="inlineStr">
        <is>
          <t>Empresa Licenciada SOARES E LINS</t>
        </is>
      </c>
      <c r="B7" s="96">
        <f>SUMIFS(PARÂMETROS!$F:$F,PARÂMETROS!$C:$C,A7,PARÂMETROS!$J:$J,G7)</f>
        <v/>
      </c>
      <c r="C7" s="96">
        <f>SUMIFS(PARÂMETROS!$H:$H,PARÂMETROS!$C:$C,A7,PARÂMETROS!$J:$J,G7)</f>
        <v/>
      </c>
      <c r="D7" s="96">
        <f>SUMIFS('COMERCIAL VAREJO'!$H:$H,'COMERCIAL VAREJO'!$B:$B,A7,'COMERCIAL VAREJO'!$A:$A,G7,'COMERCIAL VAREJO'!$C:$C,"&lt;&gt;")</f>
        <v/>
      </c>
      <c r="E7" s="96">
        <f>B7+C7+D7</f>
        <v/>
      </c>
      <c r="F7" s="90">
        <f>IFERROR(B7/B$12,0)</f>
        <v/>
      </c>
      <c r="G7" s="120" t="inlineStr">
        <is>
          <t>Junho/2026</t>
        </is>
      </c>
    </row>
    <row r="8" ht="15" customHeight="1" s="75">
      <c r="A8" s="105" t="inlineStr">
        <is>
          <t>Empresa Licenciada SOARES E SILVA</t>
        </is>
      </c>
      <c r="B8" s="107">
        <f>SUMIFS(PARÂMETROS!$F:$F,PARÂMETROS!$C:$C,A8,PARÂMETROS!$J:$J,G8)</f>
        <v/>
      </c>
      <c r="C8" s="107">
        <f>SUMIFS(PARÂMETROS!$H:$H,PARÂMETROS!$C:$C,A8,PARÂMETROS!$J:$J,G8)</f>
        <v/>
      </c>
      <c r="D8" s="107">
        <f>SUMIFS('COMERCIAL VAREJO'!$H:$H,'COMERCIAL VAREJO'!$B:$B,A8,'COMERCIAL VAREJO'!$A:$A,G8,'COMERCIAL VAREJO'!$C:$C,"&lt;&gt;")</f>
        <v/>
      </c>
      <c r="E8" s="107">
        <f>B8+C8+D8</f>
        <v/>
      </c>
      <c r="F8" s="105">
        <f>IFERROR(B8/B$12,0)</f>
        <v/>
      </c>
      <c r="G8" s="119" t="inlineStr">
        <is>
          <t>Junho/2026</t>
        </is>
      </c>
    </row>
    <row r="9" ht="15" customHeight="1" s="75">
      <c r="A9" s="90" t="inlineStr">
        <is>
          <t>Empresa Licenciada SOUZA E SILVA</t>
        </is>
      </c>
      <c r="B9" s="96">
        <f>SUMIFS(PARÂMETROS!$F:$F,PARÂMETROS!$C:$C,A9,PARÂMETROS!$J:$J,G9)</f>
        <v/>
      </c>
      <c r="C9" s="96">
        <f>SUMIFS(PARÂMETROS!$H:$H,PARÂMETROS!$C:$C,A9,PARÂMETROS!$J:$J,G9)</f>
        <v/>
      </c>
      <c r="D9" s="96">
        <f>SUMIFS('COMERCIAL VAREJO'!$H:$H,'COMERCIAL VAREJO'!$B:$B,A9,'COMERCIAL VAREJO'!$A:$A,G9,'COMERCIAL VAREJO'!$C:$C,"&lt;&gt;")</f>
        <v/>
      </c>
      <c r="E9" s="96">
        <f>B9+C9+D9</f>
        <v/>
      </c>
      <c r="F9" s="90">
        <f>IFERROR(B9/B$12,0)</f>
        <v/>
      </c>
      <c r="G9" s="120" t="inlineStr">
        <is>
          <t>Junho/2026</t>
        </is>
      </c>
    </row>
    <row r="10" ht="15" customHeight="1" s="75">
      <c r="A10" s="105" t="inlineStr">
        <is>
          <t>Empresa Licenciada VOICENET</t>
        </is>
      </c>
      <c r="B10" s="107">
        <f>SUMIFS(PARÂMETROS!$F:$F,PARÂMETROS!$C:$C,A10,PARÂMETROS!$J:$J,G10)</f>
        <v/>
      </c>
      <c r="C10" s="107">
        <f>SUMIFS(PARÂMETROS!$H:$H,PARÂMETROS!$C:$C,A10,PARÂMETROS!$J:$J,G10)</f>
        <v/>
      </c>
      <c r="D10" s="107">
        <f>SUMIFS('COMERCIAL VAREJO'!$H:$H,'COMERCIAL VAREJO'!$B:$B,A10,'COMERCIAL VAREJO'!$A:$A,G10,'COMERCIAL VAREJO'!$C:$C,"&lt;&gt;")</f>
        <v/>
      </c>
      <c r="E10" s="107">
        <f>B10+C10+D10</f>
        <v/>
      </c>
      <c r="F10" s="105">
        <f>IFERROR(B10/B$12,0)</f>
        <v/>
      </c>
      <c r="G10" s="119" t="inlineStr">
        <is>
          <t>Junho/2026</t>
        </is>
      </c>
    </row>
    <row r="11" ht="15" customHeight="1" s="75">
      <c r="A11" s="90" t="inlineStr">
        <is>
          <t>DTEL (uso próprio)</t>
        </is>
      </c>
      <c r="B11" s="96">
        <f>SUMIFS(PARÂMETROS!$F:$F,PARÂMETROS!$C:$C,A11,PARÂMETROS!$J:$J,G11)</f>
        <v/>
      </c>
      <c r="C11" s="96">
        <f>SUMIFS(PARÂMETROS!$H:$H,PARÂMETROS!$C:$C,A11,PARÂMETROS!$J:$J,G11)</f>
        <v/>
      </c>
      <c r="D11" s="96">
        <f>SUMIFS('COMERCIAL VAREJO'!$H:$H,'COMERCIAL VAREJO'!$B:$B,A11,'COMERCIAL VAREJO'!$A:$A,G11,'COMERCIAL VAREJO'!$C:$C,"&lt;&gt;")</f>
        <v/>
      </c>
      <c r="E11" s="96">
        <f>B11+C11+D11</f>
        <v/>
      </c>
      <c r="F11" s="90">
        <f>IFERROR(B11/B$12,0)</f>
        <v/>
      </c>
      <c r="G11" s="120" t="inlineStr">
        <is>
          <t>Junho/2026</t>
        </is>
      </c>
    </row>
    <row r="12" ht="15" customHeight="1" s="75">
      <c r="A12" s="121" t="inlineStr">
        <is>
          <t>TOTAL GERAL — Junho/2026</t>
        </is>
      </c>
      <c r="B12" s="122">
        <f>SUM(B4:B11)</f>
        <v/>
      </c>
      <c r="C12" s="122">
        <f>SUM(C4:C11)</f>
        <v/>
      </c>
      <c r="D12" s="122">
        <f>SUM(D4:D11)</f>
        <v/>
      </c>
      <c r="E12" s="122">
        <f>SUM(E4:E11)</f>
        <v/>
      </c>
      <c r="F12" s="121" t="n"/>
      <c r="G12" s="93" t="n"/>
    </row>
    <row r="14" ht="15" customHeight="1" s="75">
      <c r="A14" s="105" t="inlineStr">
        <is>
          <t>Empresa Licenciada DX2</t>
        </is>
      </c>
      <c r="B14" s="107">
        <f>SUMIFS(PARÂMETROS!$F:$F,PARÂMETROS!$C:$C,A14,PARÂMETROS!$J:$J,G14)</f>
        <v/>
      </c>
      <c r="C14" s="107">
        <f>SUMIFS(PARÂMETROS!$H:$H,PARÂMETROS!$C:$C,A14,PARÂMETROS!$J:$J,G14)</f>
        <v/>
      </c>
      <c r="D14" s="107">
        <f>SUMIFS('COMERCIAL VAREJO'!$H:$H,'COMERCIAL VAREJO'!$B:$B,A14,'COMERCIAL VAREJO'!$A:$A,G14,'COMERCIAL VAREJO'!$C:$C,"&lt;&gt;")</f>
        <v/>
      </c>
      <c r="E14" s="107">
        <f>B14+C14+D14</f>
        <v/>
      </c>
      <c r="F14" s="105">
        <f>IFERROR(B14/B$22,0)</f>
        <v/>
      </c>
      <c r="G14" s="119" t="inlineStr">
        <is>
          <t>Maio/2026</t>
        </is>
      </c>
    </row>
    <row r="15" ht="15" customHeight="1" s="75">
      <c r="A15" s="90" t="inlineStr">
        <is>
          <t>Empresa Licenciada H&amp;A</t>
        </is>
      </c>
      <c r="B15" s="96">
        <f>SUMIFS(PARÂMETROS!$F:$F,PARÂMETROS!$C:$C,A15,PARÂMETROS!$J:$J,G15)</f>
        <v/>
      </c>
      <c r="C15" s="96">
        <f>SUMIFS(PARÂMETROS!$H:$H,PARÂMETROS!$C:$C,A15,PARÂMETROS!$J:$J,G15)</f>
        <v/>
      </c>
      <c r="D15" s="96">
        <f>SUMIFS('COMERCIAL VAREJO'!$H:$H,'COMERCIAL VAREJO'!$B:$B,A15,'COMERCIAL VAREJO'!$A:$A,G15,'COMERCIAL VAREJO'!$C:$C,"&lt;&gt;")</f>
        <v/>
      </c>
      <c r="E15" s="96">
        <f>B15+C15+D15</f>
        <v/>
      </c>
      <c r="F15" s="90">
        <f>IFERROR(B15/B$22,0)</f>
        <v/>
      </c>
      <c r="G15" s="120" t="inlineStr">
        <is>
          <t>Maio/2026</t>
        </is>
      </c>
    </row>
    <row r="16" ht="15" customHeight="1" s="75">
      <c r="A16" s="105" t="inlineStr">
        <is>
          <t>Empresa Licenciada SOLON ARAUJO</t>
        </is>
      </c>
      <c r="B16" s="107">
        <f>SUMIFS(PARÂMETROS!$F:$F,PARÂMETROS!$C:$C,A16,PARÂMETROS!$J:$J,G16)</f>
        <v/>
      </c>
      <c r="C16" s="107">
        <f>SUMIFS(PARÂMETROS!$H:$H,PARÂMETROS!$C:$C,A16,PARÂMETROS!$J:$J,G16)</f>
        <v/>
      </c>
      <c r="D16" s="107">
        <f>SUMIFS('COMERCIAL VAREJO'!$H:$H,'COMERCIAL VAREJO'!$B:$B,A16,'COMERCIAL VAREJO'!$A:$A,G16,'COMERCIAL VAREJO'!$C:$C,"&lt;&gt;")</f>
        <v/>
      </c>
      <c r="E16" s="107">
        <f>B16+C16+D16</f>
        <v/>
      </c>
      <c r="F16" s="105">
        <f>IFERROR(B16/B$22,0)</f>
        <v/>
      </c>
      <c r="G16" s="119" t="inlineStr">
        <is>
          <t>Maio/2026</t>
        </is>
      </c>
    </row>
    <row r="17" ht="15" customHeight="1" s="75">
      <c r="A17" s="90" t="inlineStr">
        <is>
          <t>Empresa Licenciada SOARES E LINS</t>
        </is>
      </c>
      <c r="B17" s="96">
        <f>SUMIFS(PARÂMETROS!$F:$F,PARÂMETROS!$C:$C,A17,PARÂMETROS!$J:$J,G17)</f>
        <v/>
      </c>
      <c r="C17" s="96">
        <f>SUMIFS(PARÂMETROS!$H:$H,PARÂMETROS!$C:$C,A17,PARÂMETROS!$J:$J,G17)</f>
        <v/>
      </c>
      <c r="D17" s="96">
        <f>SUMIFS('COMERCIAL VAREJO'!$H:$H,'COMERCIAL VAREJO'!$B:$B,A17,'COMERCIAL VAREJO'!$A:$A,G17,'COMERCIAL VAREJO'!$C:$C,"&lt;&gt;")</f>
        <v/>
      </c>
      <c r="E17" s="96">
        <f>B17+C17+D17</f>
        <v/>
      </c>
      <c r="F17" s="90">
        <f>IFERROR(B17/B$22,0)</f>
        <v/>
      </c>
      <c r="G17" s="120" t="inlineStr">
        <is>
          <t>Maio/2026</t>
        </is>
      </c>
    </row>
    <row r="18" ht="15" customHeight="1" s="75">
      <c r="A18" s="105" t="inlineStr">
        <is>
          <t>Empresa Licenciada SOARES E SILVA</t>
        </is>
      </c>
      <c r="B18" s="107">
        <f>SUMIFS(PARÂMETROS!$F:$F,PARÂMETROS!$C:$C,A18,PARÂMETROS!$J:$J,G18)</f>
        <v/>
      </c>
      <c r="C18" s="107">
        <f>SUMIFS(PARÂMETROS!$H:$H,PARÂMETROS!$C:$C,A18,PARÂMETROS!$J:$J,G18)</f>
        <v/>
      </c>
      <c r="D18" s="107">
        <f>SUMIFS('COMERCIAL VAREJO'!$H:$H,'COMERCIAL VAREJO'!$B:$B,A18,'COMERCIAL VAREJO'!$A:$A,G18,'COMERCIAL VAREJO'!$C:$C,"&lt;&gt;")</f>
        <v/>
      </c>
      <c r="E18" s="107">
        <f>B18+C18+D18</f>
        <v/>
      </c>
      <c r="F18" s="105">
        <f>IFERROR(B18/B$22,0)</f>
        <v/>
      </c>
      <c r="G18" s="119" t="inlineStr">
        <is>
          <t>Maio/2026</t>
        </is>
      </c>
    </row>
    <row r="19" ht="15" customHeight="1" s="75">
      <c r="A19" s="90" t="inlineStr">
        <is>
          <t>Empresa Licenciada SOUZA E SILVA</t>
        </is>
      </c>
      <c r="B19" s="96">
        <f>SUMIFS(PARÂMETROS!$F:$F,PARÂMETROS!$C:$C,A19,PARÂMETROS!$J:$J,G19)</f>
        <v/>
      </c>
      <c r="C19" s="96">
        <f>SUMIFS(PARÂMETROS!$H:$H,PARÂMETROS!$C:$C,A19,PARÂMETROS!$J:$J,G19)</f>
        <v/>
      </c>
      <c r="D19" s="96">
        <f>SUMIFS('COMERCIAL VAREJO'!$H:$H,'COMERCIAL VAREJO'!$B:$B,A19,'COMERCIAL VAREJO'!$A:$A,G19,'COMERCIAL VAREJO'!$C:$C,"&lt;&gt;")</f>
        <v/>
      </c>
      <c r="E19" s="96">
        <f>B19+C19+D19</f>
        <v/>
      </c>
      <c r="F19" s="90">
        <f>IFERROR(B19/B$22,0)</f>
        <v/>
      </c>
      <c r="G19" s="120" t="inlineStr">
        <is>
          <t>Maio/2026</t>
        </is>
      </c>
    </row>
    <row r="20" ht="15" customHeight="1" s="75">
      <c r="A20" s="105" t="inlineStr">
        <is>
          <t>Empresa Licenciada VOICENET</t>
        </is>
      </c>
      <c r="B20" s="107">
        <f>SUMIFS(PARÂMETROS!$F:$F,PARÂMETROS!$C:$C,A20,PARÂMETROS!$J:$J,G20)</f>
        <v/>
      </c>
      <c r="C20" s="107">
        <f>SUMIFS(PARÂMETROS!$H:$H,PARÂMETROS!$C:$C,A20,PARÂMETROS!$J:$J,G20)</f>
        <v/>
      </c>
      <c r="D20" s="107">
        <f>SUMIFS('COMERCIAL VAREJO'!$H:$H,'COMERCIAL VAREJO'!$B:$B,A20,'COMERCIAL VAREJO'!$A:$A,G20,'COMERCIAL VAREJO'!$C:$C,"&lt;&gt;")</f>
        <v/>
      </c>
      <c r="E20" s="107">
        <f>B20+C20+D20</f>
        <v/>
      </c>
      <c r="F20" s="105">
        <f>IFERROR(B20/B$22,0)</f>
        <v/>
      </c>
      <c r="G20" s="119" t="inlineStr">
        <is>
          <t>Maio/2026</t>
        </is>
      </c>
    </row>
    <row r="21" ht="15" customHeight="1" s="75">
      <c r="A21" s="90" t="inlineStr">
        <is>
          <t>DTEL (uso próprio)</t>
        </is>
      </c>
      <c r="B21" s="96">
        <f>SUMIFS(PARÂMETROS!$F:$F,PARÂMETROS!$C:$C,A21,PARÂMETROS!$J:$J,G21)</f>
        <v/>
      </c>
      <c r="C21" s="96">
        <f>SUMIFS(PARÂMETROS!$H:$H,PARÂMETROS!$C:$C,A21,PARÂMETROS!$J:$J,G21)</f>
        <v/>
      </c>
      <c r="D21" s="96">
        <f>SUMIFS('COMERCIAL VAREJO'!$H:$H,'COMERCIAL VAREJO'!$B:$B,A21,'COMERCIAL VAREJO'!$A:$A,G21,'COMERCIAL VAREJO'!$C:$C,"&lt;&gt;")</f>
        <v/>
      </c>
      <c r="E21" s="96">
        <f>B21+C21+D21</f>
        <v/>
      </c>
      <c r="F21" s="90">
        <f>IFERROR(B21/B$22,0)</f>
        <v/>
      </c>
      <c r="G21" s="120" t="inlineStr">
        <is>
          <t>Maio/2026</t>
        </is>
      </c>
    </row>
    <row r="22" ht="15" customHeight="1" s="75">
      <c r="A22" s="121" t="inlineStr">
        <is>
          <t>TOTAL GERAL — Maio/2026</t>
        </is>
      </c>
      <c r="B22" s="122">
        <f>SUM(B14:B21)</f>
        <v/>
      </c>
      <c r="C22" s="122">
        <f>SUM(C14:C21)</f>
        <v/>
      </c>
      <c r="D22" s="122">
        <f>SUM(D14:D21)</f>
        <v/>
      </c>
      <c r="E22" s="122">
        <f>SUM(E14:E21)</f>
        <v/>
      </c>
      <c r="F22" s="121" t="n"/>
      <c r="G22" s="93" t="n"/>
    </row>
    <row r="24" ht="15" customHeight="1" s="75">
      <c r="A24" s="105" t="inlineStr">
        <is>
          <t>Empresa Licenciada DX2</t>
        </is>
      </c>
      <c r="B24" s="107">
        <f>SUMIFS(PARÂMETROS!$F:$F,PARÂMETROS!$C:$C,A24,PARÂMETROS!$J:$J,G24)</f>
        <v/>
      </c>
      <c r="C24" s="107">
        <f>SUMIFS(PARÂMETROS!$H:$H,PARÂMETROS!$C:$C,A24,PARÂMETROS!$J:$J,G24)</f>
        <v/>
      </c>
      <c r="D24" s="107">
        <f>SUMIFS('COMERCIAL VAREJO'!$H:$H,'COMERCIAL VAREJO'!$B:$B,A24,'COMERCIAL VAREJO'!$A:$A,G24,'COMERCIAL VAREJO'!$C:$C,"&lt;&gt;")</f>
        <v/>
      </c>
      <c r="E24" s="107">
        <f>B24+C24+D24</f>
        <v/>
      </c>
      <c r="F24" s="105">
        <f>IFERROR(B24/B$32,0)</f>
        <v/>
      </c>
      <c r="G24" s="119" t="inlineStr">
        <is>
          <t>Julho/2026</t>
        </is>
      </c>
    </row>
    <row r="25" ht="15" customHeight="1" s="75">
      <c r="A25" s="90" t="inlineStr">
        <is>
          <t>Empresa Licenciada H&amp;A</t>
        </is>
      </c>
      <c r="B25" s="96">
        <f>SUMIFS(PARÂMETROS!$F:$F,PARÂMETROS!$C:$C,A25,PARÂMETROS!$J:$J,G25)</f>
        <v/>
      </c>
      <c r="C25" s="96">
        <f>SUMIFS(PARÂMETROS!$H:$H,PARÂMETROS!$C:$C,A25,PARÂMETROS!$J:$J,G25)</f>
        <v/>
      </c>
      <c r="D25" s="96">
        <f>SUMIFS('COMERCIAL VAREJO'!$H:$H,'COMERCIAL VAREJO'!$B:$B,A25,'COMERCIAL VAREJO'!$A:$A,G25,'COMERCIAL VAREJO'!$C:$C,"&lt;&gt;")</f>
        <v/>
      </c>
      <c r="E25" s="96">
        <f>B25+C25+D25</f>
        <v/>
      </c>
      <c r="F25" s="90">
        <f>IFERROR(B25/B$32,0)</f>
        <v/>
      </c>
      <c r="G25" s="120" t="inlineStr">
        <is>
          <t>Julho/2026</t>
        </is>
      </c>
    </row>
    <row r="26" ht="15" customHeight="1" s="75">
      <c r="A26" s="105" t="inlineStr">
        <is>
          <t>Empresa Licenciada SOLON ARAUJO</t>
        </is>
      </c>
      <c r="B26" s="107">
        <f>SUMIFS(PARÂMETROS!$F:$F,PARÂMETROS!$C:$C,A26,PARÂMETROS!$J:$J,G26)</f>
        <v/>
      </c>
      <c r="C26" s="107">
        <f>SUMIFS(PARÂMETROS!$H:$H,PARÂMETROS!$C:$C,A26,PARÂMETROS!$J:$J,G26)</f>
        <v/>
      </c>
      <c r="D26" s="107">
        <f>SUMIFS('COMERCIAL VAREJO'!$H:$H,'COMERCIAL VAREJO'!$B:$B,A26,'COMERCIAL VAREJO'!$A:$A,G26,'COMERCIAL VAREJO'!$C:$C,"&lt;&gt;")</f>
        <v/>
      </c>
      <c r="E26" s="107">
        <f>B26+C26+D26</f>
        <v/>
      </c>
      <c r="F26" s="105">
        <f>IFERROR(B26/B$32,0)</f>
        <v/>
      </c>
      <c r="G26" s="119" t="inlineStr">
        <is>
          <t>Julho/2026</t>
        </is>
      </c>
    </row>
    <row r="27" ht="15" customHeight="1" s="75">
      <c r="A27" s="90" t="inlineStr">
        <is>
          <t>Empresa Licenciada SOARES E LINS</t>
        </is>
      </c>
      <c r="B27" s="96">
        <f>SUMIFS(PARÂMETROS!$F:$F,PARÂMETROS!$C:$C,A27,PARÂMETROS!$J:$J,G27)</f>
        <v/>
      </c>
      <c r="C27" s="96">
        <f>SUMIFS(PARÂMETROS!$H:$H,PARÂMETROS!$C:$C,A27,PARÂMETROS!$J:$J,G27)</f>
        <v/>
      </c>
      <c r="D27" s="96">
        <f>SUMIFS('COMERCIAL VAREJO'!$H:$H,'COMERCIAL VAREJO'!$B:$B,A27,'COMERCIAL VAREJO'!$A:$A,G27,'COMERCIAL VAREJO'!$C:$C,"&lt;&gt;")</f>
        <v/>
      </c>
      <c r="E27" s="96">
        <f>B27+C27+D27</f>
        <v/>
      </c>
      <c r="F27" s="90">
        <f>IFERROR(B27/B$32,0)</f>
        <v/>
      </c>
      <c r="G27" s="120" t="inlineStr">
        <is>
          <t>Julho/2026</t>
        </is>
      </c>
    </row>
    <row r="28" ht="15" customHeight="1" s="75">
      <c r="A28" s="105" t="inlineStr">
        <is>
          <t>Empresa Licenciada SOARES E SILVA</t>
        </is>
      </c>
      <c r="B28" s="107">
        <f>SUMIFS(PARÂMETROS!$F:$F,PARÂMETROS!$C:$C,A28,PARÂMETROS!$J:$J,G28)</f>
        <v/>
      </c>
      <c r="C28" s="107">
        <f>SUMIFS(PARÂMETROS!$H:$H,PARÂMETROS!$C:$C,A28,PARÂMETROS!$J:$J,G28)</f>
        <v/>
      </c>
      <c r="D28" s="107">
        <f>SUMIFS('COMERCIAL VAREJO'!$H:$H,'COMERCIAL VAREJO'!$B:$B,A28,'COMERCIAL VAREJO'!$A:$A,G28,'COMERCIAL VAREJO'!$C:$C,"&lt;&gt;")</f>
        <v/>
      </c>
      <c r="E28" s="107">
        <f>B28+C28+D28</f>
        <v/>
      </c>
      <c r="F28" s="105">
        <f>IFERROR(B28/B$32,0)</f>
        <v/>
      </c>
      <c r="G28" s="119" t="inlineStr">
        <is>
          <t>Julho/2026</t>
        </is>
      </c>
    </row>
    <row r="29" ht="15" customHeight="1" s="75">
      <c r="A29" s="90" t="inlineStr">
        <is>
          <t>Empresa Licenciada SOUZA E SILVA</t>
        </is>
      </c>
      <c r="B29" s="96">
        <f>SUMIFS(PARÂMETROS!$F:$F,PARÂMETROS!$C:$C,A29,PARÂMETROS!$J:$J,G29)</f>
        <v/>
      </c>
      <c r="C29" s="96">
        <f>SUMIFS(PARÂMETROS!$H:$H,PARÂMETROS!$C:$C,A29,PARÂMETROS!$J:$J,G29)</f>
        <v/>
      </c>
      <c r="D29" s="96">
        <f>SUMIFS('COMERCIAL VAREJO'!$H:$H,'COMERCIAL VAREJO'!$B:$B,A29,'COMERCIAL VAREJO'!$A:$A,G29,'COMERCIAL VAREJO'!$C:$C,"&lt;&gt;")</f>
        <v/>
      </c>
      <c r="E29" s="96">
        <f>B29+C29+D29</f>
        <v/>
      </c>
      <c r="F29" s="90">
        <f>IFERROR(B29/B$32,0)</f>
        <v/>
      </c>
      <c r="G29" s="120" t="inlineStr">
        <is>
          <t>Julho/2026</t>
        </is>
      </c>
    </row>
    <row r="30" ht="15" customHeight="1" s="75">
      <c r="A30" s="105" t="inlineStr">
        <is>
          <t>Empresa Licenciada VOICENET</t>
        </is>
      </c>
      <c r="B30" s="107">
        <f>SUMIFS(PARÂMETROS!$F:$F,PARÂMETROS!$C:$C,A30,PARÂMETROS!$J:$J,G30)</f>
        <v/>
      </c>
      <c r="C30" s="107">
        <f>SUMIFS(PARÂMETROS!$H:$H,PARÂMETROS!$C:$C,A30,PARÂMETROS!$J:$J,G30)</f>
        <v/>
      </c>
      <c r="D30" s="107">
        <f>SUMIFS('COMERCIAL VAREJO'!$H:$H,'COMERCIAL VAREJO'!$B:$B,A30,'COMERCIAL VAREJO'!$A:$A,G30,'COMERCIAL VAREJO'!$C:$C,"&lt;&gt;")</f>
        <v/>
      </c>
      <c r="E30" s="107">
        <f>B30+C30+D30</f>
        <v/>
      </c>
      <c r="F30" s="105">
        <f>IFERROR(B30/B$32,0)</f>
        <v/>
      </c>
      <c r="G30" s="119" t="inlineStr">
        <is>
          <t>Julho/2026</t>
        </is>
      </c>
    </row>
    <row r="31" ht="15" customHeight="1" s="75">
      <c r="A31" s="90" t="inlineStr">
        <is>
          <t>DTEL (uso próprio)</t>
        </is>
      </c>
      <c r="B31" s="96">
        <f>SUMIFS(PARÂMETROS!$F:$F,PARÂMETROS!$C:$C,A31,PARÂMETROS!$J:$J,G31)</f>
        <v/>
      </c>
      <c r="C31" s="96">
        <f>SUMIFS(PARÂMETROS!$H:$H,PARÂMETROS!$C:$C,A31,PARÂMETROS!$J:$J,G31)</f>
        <v/>
      </c>
      <c r="D31" s="96">
        <f>SUMIFS('COMERCIAL VAREJO'!$H:$H,'COMERCIAL VAREJO'!$B:$B,A31,'COMERCIAL VAREJO'!$A:$A,G31,'COMERCIAL VAREJO'!$C:$C,"&lt;&gt;")</f>
        <v/>
      </c>
      <c r="E31" s="96">
        <f>B31+C31+D31</f>
        <v/>
      </c>
      <c r="F31" s="90">
        <f>IFERROR(B31/B$32,0)</f>
        <v/>
      </c>
      <c r="G31" s="120" t="inlineStr">
        <is>
          <t>Julho/2026</t>
        </is>
      </c>
    </row>
    <row r="32" ht="15" customHeight="1" s="75">
      <c r="A32" s="121" t="inlineStr">
        <is>
          <t>TOTAL GERAL — Julho/2026</t>
        </is>
      </c>
      <c r="B32" s="122">
        <f>SUM(B24:B31)</f>
        <v/>
      </c>
      <c r="C32" s="122">
        <f>SUM(C24:C31)</f>
        <v/>
      </c>
      <c r="D32" s="122">
        <f>SUM(D24:D31)</f>
        <v/>
      </c>
      <c r="E32" s="122">
        <f>SUM(E24:E31)</f>
        <v/>
      </c>
      <c r="F32" s="121" t="n"/>
      <c r="G32" s="93" t="n"/>
    </row>
    <row r="34" ht="14.25" customHeight="1" s="75">
      <c r="A34" s="74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74" min="1" max="1"/>
    <col width="33.21" customWidth="1" style="74" min="2" max="2"/>
    <col width="36.76" customWidth="1" style="74" min="3" max="3"/>
    <col width="39.33" customWidth="1" style="74" min="4" max="4"/>
    <col width="25.22" customWidth="1" style="74" min="5" max="5"/>
    <col width="11.77" customWidth="1" style="74" min="6" max="6"/>
    <col width="20" customWidth="1" style="74" min="7" max="11"/>
    <col width="12" customWidth="1" style="74" min="12" max="12"/>
    <col width="14" customWidth="1" style="74" min="13" max="13"/>
  </cols>
  <sheetData>
    <row r="1" ht="15" customHeight="1" s="75">
      <c r="A1" s="123" t="inlineStr">
        <is>
          <t>COMERCIAL VAREJO — CUSTOS DIRETOS POR COORDENADOR/EQUIPE (equipe de vendas externas)</t>
        </is>
      </c>
      <c r="J1" s="124" t="n"/>
      <c r="K1" s="124" t="n"/>
      <c r="L1" s="124" t="n"/>
      <c r="M1" s="124" t="n"/>
      <c r="N1" s="124" t="n"/>
      <c r="O1" s="124" t="n"/>
    </row>
    <row r="2" ht="60" customHeight="1" s="75">
      <c r="A2" s="125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4" t="n"/>
      <c r="K2" s="124" t="n"/>
      <c r="L2" s="124" t="n"/>
      <c r="M2" s="124" t="n"/>
      <c r="N2" s="124" t="n"/>
      <c r="O2" s="124" t="n"/>
    </row>
    <row r="3" ht="15" customHeight="1" s="75">
      <c r="A3" s="124" t="n"/>
      <c r="B3" s="124" t="n"/>
      <c r="C3" s="124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</row>
    <row r="4" ht="15" customHeight="1" s="75">
      <c r="A4" s="126" t="inlineStr">
        <is>
          <t>COMPOSIÇÃO DAS EQUIPES</t>
        </is>
      </c>
      <c r="J4" s="124" t="n"/>
      <c r="K4" s="124" t="n"/>
      <c r="L4" s="124" t="n"/>
      <c r="M4" s="124" t="n"/>
      <c r="N4" s="124" t="n"/>
      <c r="O4" s="124" t="n"/>
    </row>
    <row r="5" ht="15" customHeight="1" s="75">
      <c r="A5" s="127" t="inlineStr">
        <is>
          <t>Coordenador/Equipe</t>
        </is>
      </c>
      <c r="B5" s="127" t="inlineStr">
        <is>
          <t>Empresa</t>
        </is>
      </c>
      <c r="C5" s="127" t="inlineStr">
        <is>
          <t>Total Ativos</t>
        </is>
      </c>
      <c r="D5" s="127" t="inlineStr">
        <is>
          <t>Vendedores Fixos (PAP)</t>
        </is>
      </c>
      <c r="E5" s="127" t="inlineStr">
        <is>
          <t>Executivos</t>
        </is>
      </c>
      <c r="F5" s="127" t="inlineStr">
        <is>
          <t>Outros cargos</t>
        </is>
      </c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</row>
    <row r="6" ht="15" customHeight="1" s="75">
      <c r="A6" s="128" t="inlineStr">
        <is>
          <t>ELTHON MENEZES</t>
        </is>
      </c>
      <c r="B6" s="128" t="inlineStr">
        <is>
          <t>DTEL</t>
        </is>
      </c>
      <c r="C6" s="128" t="n">
        <v>39</v>
      </c>
      <c r="D6" s="128" t="n">
        <v>33</v>
      </c>
      <c r="E6" s="128" t="n">
        <v>2</v>
      </c>
      <c r="F6" s="128" t="inlineStr">
        <is>
          <t>MOTORISTA: 2, SUPERVISOR: 2</t>
        </is>
      </c>
      <c r="G6" s="124" t="n"/>
      <c r="H6" s="124" t="n"/>
      <c r="I6" s="124" t="n"/>
      <c r="J6" s="124" t="n"/>
      <c r="K6" s="124" t="n"/>
      <c r="L6" s="124" t="n"/>
      <c r="M6" s="124" t="n"/>
      <c r="N6" s="124" t="n"/>
      <c r="O6" s="124" t="n"/>
    </row>
    <row r="7" ht="15" customHeight="1" s="75">
      <c r="A7" s="128" t="inlineStr">
        <is>
          <t>GABRIEL LIMA</t>
        </is>
      </c>
      <c r="B7" s="128" t="inlineStr">
        <is>
          <t>DTEL</t>
        </is>
      </c>
      <c r="C7" s="128" t="n">
        <v>9</v>
      </c>
      <c r="D7" s="128" t="n">
        <v>9</v>
      </c>
      <c r="E7" s="128" t="n">
        <v>0</v>
      </c>
      <c r="F7" s="128" t="inlineStr">
        <is>
          <t>—</t>
        </is>
      </c>
      <c r="G7" s="124" t="n"/>
      <c r="H7" s="124" t="n"/>
      <c r="I7" s="124" t="n"/>
      <c r="J7" s="124" t="n"/>
      <c r="K7" s="124" t="n"/>
      <c r="L7" s="124" t="n"/>
      <c r="M7" s="124" t="n"/>
      <c r="N7" s="124" t="n"/>
      <c r="O7" s="124" t="n"/>
    </row>
    <row r="8" ht="15" customHeight="1" s="75">
      <c r="A8" s="128" t="inlineStr">
        <is>
          <t>LUCAS BONIFÁCIO</t>
        </is>
      </c>
      <c r="B8" s="128" t="inlineStr">
        <is>
          <t>DTEL</t>
        </is>
      </c>
      <c r="C8" s="128" t="n">
        <v>7</v>
      </c>
      <c r="D8" s="128" t="n">
        <v>6</v>
      </c>
      <c r="E8" s="128" t="n">
        <v>1</v>
      </c>
      <c r="F8" s="128" t="inlineStr">
        <is>
          <t>—</t>
        </is>
      </c>
      <c r="G8" s="124" t="n"/>
      <c r="H8" s="124" t="n"/>
      <c r="I8" s="124" t="n"/>
      <c r="J8" s="124" t="n"/>
      <c r="K8" s="124" t="n"/>
      <c r="L8" s="124" t="n"/>
      <c r="M8" s="124" t="n"/>
      <c r="N8" s="124" t="n"/>
      <c r="O8" s="124" t="n"/>
    </row>
    <row r="9" ht="15" customHeight="1" s="75">
      <c r="A9" s="128" t="inlineStr">
        <is>
          <t>MICHELANGELO</t>
        </is>
      </c>
      <c r="B9" s="128" t="inlineStr">
        <is>
          <t>DTEL</t>
        </is>
      </c>
      <c r="C9" s="128" t="n">
        <v>11</v>
      </c>
      <c r="D9" s="128" t="n">
        <v>8</v>
      </c>
      <c r="E9" s="128" t="n">
        <v>1</v>
      </c>
      <c r="F9" s="128" t="inlineStr">
        <is>
          <t>MOTORISTA: 1, SUPERVISOR: 1</t>
        </is>
      </c>
      <c r="G9" s="124" t="n"/>
      <c r="H9" s="124" t="n"/>
      <c r="I9" s="124" t="n"/>
      <c r="J9" s="124" t="n"/>
      <c r="K9" s="124" t="n"/>
      <c r="L9" s="124" t="n"/>
      <c r="M9" s="124" t="n"/>
      <c r="N9" s="124" t="n"/>
      <c r="O9" s="124" t="n"/>
    </row>
    <row r="10" ht="15" customHeight="1" s="75">
      <c r="A10" s="128" t="inlineStr">
        <is>
          <t>MICHELANGELO</t>
        </is>
      </c>
      <c r="B10" s="128" t="inlineStr">
        <is>
          <t>Voicenet</t>
        </is>
      </c>
      <c r="C10" s="128" t="n">
        <v>2</v>
      </c>
      <c r="D10" s="128" t="n">
        <v>1</v>
      </c>
      <c r="E10" s="128" t="n">
        <v>1</v>
      </c>
      <c r="F10" s="128" t="inlineStr">
        <is>
          <t>—</t>
        </is>
      </c>
      <c r="G10" s="124" t="n"/>
      <c r="H10" s="124" t="n"/>
      <c r="I10" s="124" t="n"/>
      <c r="J10" s="124" t="n"/>
      <c r="K10" s="124" t="n"/>
      <c r="L10" s="124" t="n"/>
      <c r="M10" s="124" t="n"/>
      <c r="N10" s="124" t="n"/>
      <c r="O10" s="124" t="n"/>
    </row>
    <row r="11" ht="15" customHeight="1" s="75">
      <c r="A11" s="128" t="inlineStr">
        <is>
          <t>TARCIZIO MEIRELES</t>
        </is>
      </c>
      <c r="B11" s="128" t="inlineStr">
        <is>
          <t>DTEL</t>
        </is>
      </c>
      <c r="C11" s="128" t="n">
        <v>18</v>
      </c>
      <c r="D11" s="128" t="n">
        <v>14</v>
      </c>
      <c r="E11" s="128" t="n">
        <v>2</v>
      </c>
      <c r="F11" s="128" t="inlineStr">
        <is>
          <t>MOTORISTA: 1, SUPERVISOR: 1</t>
        </is>
      </c>
      <c r="G11" s="124" t="n"/>
      <c r="H11" s="124" t="n"/>
      <c r="I11" s="124" t="n"/>
      <c r="J11" s="124" t="n"/>
      <c r="K11" s="124" t="n"/>
      <c r="L11" s="124" t="n"/>
      <c r="M11" s="124" t="n"/>
      <c r="N11" s="124" t="n"/>
      <c r="O11" s="124" t="n"/>
    </row>
    <row r="12" ht="15" customHeight="1" s="75">
      <c r="A12" s="128" t="inlineStr">
        <is>
          <t>TARCIZIO MEIRELES</t>
        </is>
      </c>
      <c r="B12" s="128" t="inlineStr">
        <is>
          <t>Solon Araújo</t>
        </is>
      </c>
      <c r="C12" s="128" t="n">
        <v>2</v>
      </c>
      <c r="D12" s="128" t="n">
        <v>1</v>
      </c>
      <c r="E12" s="128" t="n">
        <v>1</v>
      </c>
      <c r="F12" s="128" t="inlineStr">
        <is>
          <t>—</t>
        </is>
      </c>
      <c r="G12" s="124" t="n"/>
      <c r="H12" s="124" t="n"/>
      <c r="I12" s="124" t="n"/>
      <c r="J12" s="124" t="n"/>
      <c r="K12" s="124" t="n"/>
      <c r="L12" s="124" t="n"/>
      <c r="M12" s="124" t="n"/>
      <c r="N12" s="124" t="n"/>
      <c r="O12" s="124" t="n"/>
    </row>
    <row r="13" ht="15" customHeight="1" s="75">
      <c r="A13" s="128" t="inlineStr">
        <is>
          <t>TARCIZIO MEIRELES</t>
        </is>
      </c>
      <c r="B13" s="128" t="inlineStr">
        <is>
          <t>Souza e Silva</t>
        </is>
      </c>
      <c r="C13" s="128" t="n">
        <v>5</v>
      </c>
      <c r="D13" s="128" t="n">
        <v>5</v>
      </c>
      <c r="E13" s="128" t="n">
        <v>0</v>
      </c>
      <c r="F13" s="128" t="inlineStr">
        <is>
          <t>—</t>
        </is>
      </c>
      <c r="G13" s="124" t="n"/>
      <c r="H13" s="124" t="n"/>
      <c r="I13" s="124" t="n"/>
      <c r="J13" s="124" t="n"/>
      <c r="K13" s="124" t="n"/>
      <c r="L13" s="124" t="n"/>
      <c r="M13" s="124" t="n"/>
      <c r="N13" s="124" t="n"/>
      <c r="O13" s="124" t="n"/>
    </row>
    <row r="14" ht="15" customHeight="1" s="75">
      <c r="A14" s="128" t="inlineStr">
        <is>
          <t>TIAGO</t>
        </is>
      </c>
      <c r="B14" s="128" t="inlineStr">
        <is>
          <t>DX2</t>
        </is>
      </c>
      <c r="C14" s="128" t="n">
        <v>8</v>
      </c>
      <c r="D14" s="128" t="n">
        <v>7</v>
      </c>
      <c r="E14" s="128" t="n">
        <v>0</v>
      </c>
      <c r="F14" s="128" t="inlineStr">
        <is>
          <t>LÍDER: 1</t>
        </is>
      </c>
      <c r="G14" s="124" t="n"/>
      <c r="H14" s="124" t="n"/>
      <c r="I14" s="124" t="n"/>
      <c r="J14" s="124" t="n"/>
      <c r="K14" s="124" t="n"/>
      <c r="L14" s="124" t="n"/>
      <c r="M14" s="124" t="n"/>
      <c r="N14" s="124" t="n"/>
      <c r="O14" s="124" t="n"/>
    </row>
    <row r="15" ht="15" customHeight="1" s="75">
      <c r="A15" s="128" t="inlineStr">
        <is>
          <t>TIAGO</t>
        </is>
      </c>
      <c r="B15" s="128" t="inlineStr">
        <is>
          <t>H&amp;A</t>
        </is>
      </c>
      <c r="C15" s="128" t="n">
        <v>2</v>
      </c>
      <c r="D15" s="128" t="n">
        <v>1</v>
      </c>
      <c r="E15" s="128" t="n">
        <v>0</v>
      </c>
      <c r="F15" s="128" t="inlineStr">
        <is>
          <t>LÍDER: 1</t>
        </is>
      </c>
      <c r="G15" s="124" t="n"/>
      <c r="H15" s="124" t="n"/>
      <c r="I15" s="124" t="n"/>
      <c r="J15" s="124" t="n"/>
      <c r="K15" s="124" t="n"/>
      <c r="L15" s="124" t="n"/>
      <c r="M15" s="124" t="n"/>
      <c r="N15" s="124" t="n"/>
      <c r="O15" s="124" t="n"/>
    </row>
    <row r="16" ht="15" customHeight="1" s="75">
      <c r="A16" s="128" t="inlineStr">
        <is>
          <t>TIAGO</t>
        </is>
      </c>
      <c r="B16" s="128" t="inlineStr">
        <is>
          <t>Soares e Silva</t>
        </is>
      </c>
      <c r="C16" s="128" t="n">
        <v>11</v>
      </c>
      <c r="D16" s="128" t="n">
        <v>9</v>
      </c>
      <c r="E16" s="128" t="n">
        <v>1</v>
      </c>
      <c r="F16" s="128" t="inlineStr">
        <is>
          <t>SUPERVISOR: 1</t>
        </is>
      </c>
      <c r="G16" s="124" t="n"/>
      <c r="H16" s="124" t="n"/>
      <c r="I16" s="124" t="n"/>
      <c r="J16" s="124" t="n"/>
      <c r="K16" s="124" t="n"/>
      <c r="L16" s="124" t="n"/>
      <c r="M16" s="124" t="n"/>
      <c r="N16" s="124" t="n"/>
      <c r="O16" s="124" t="n"/>
    </row>
    <row r="17" ht="15" customHeight="1" s="75">
      <c r="A17" s="128" t="inlineStr">
        <is>
          <t>VITOR LINS</t>
        </is>
      </c>
      <c r="B17" s="128" t="inlineStr">
        <is>
          <t>Soares e Lins</t>
        </is>
      </c>
      <c r="C17" s="128" t="n">
        <v>1</v>
      </c>
      <c r="D17" s="128" t="n">
        <v>0</v>
      </c>
      <c r="E17" s="128" t="n">
        <v>0</v>
      </c>
      <c r="F17" s="128" t="inlineStr">
        <is>
          <t>LÍDER: 1</t>
        </is>
      </c>
      <c r="G17" s="124" t="n"/>
      <c r="H17" s="124" t="n"/>
      <c r="I17" s="124" t="n"/>
      <c r="J17" s="124" t="n"/>
      <c r="K17" s="124" t="n"/>
      <c r="L17" s="124" t="n"/>
      <c r="M17" s="124" t="n"/>
      <c r="N17" s="124" t="n"/>
      <c r="O17" s="124" t="n"/>
    </row>
    <row r="18" ht="15" customHeight="1" s="75">
      <c r="A18" s="124" t="n"/>
      <c r="B18" s="124" t="n"/>
      <c r="C18" s="124" t="n"/>
      <c r="D18" s="124" t="n"/>
      <c r="E18" s="124" t="n"/>
      <c r="F18" s="124" t="n"/>
      <c r="G18" s="124" t="n"/>
      <c r="H18" s="124" t="n"/>
      <c r="I18" s="124" t="n"/>
      <c r="J18" s="124" t="n"/>
      <c r="K18" s="124" t="n"/>
      <c r="L18" s="124" t="n"/>
      <c r="M18" s="124" t="n"/>
      <c r="N18" s="124" t="n"/>
      <c r="O18" s="124" t="n"/>
    </row>
    <row r="19" ht="15" customHeight="1" s="75">
      <c r="A19" s="126" t="inlineStr">
        <is>
          <t>CUSTOS DIRETOS — RATEADOS/REAIS POR COORDENADOR/EQUIPE</t>
        </is>
      </c>
      <c r="J19" s="124" t="n"/>
      <c r="K19" s="124" t="n"/>
      <c r="L19" s="124" t="n"/>
      <c r="M19" s="124" t="n"/>
      <c r="N19" s="124" t="n"/>
      <c r="O19" s="124" t="n"/>
    </row>
    <row r="20" ht="15" customHeight="1" s="75">
      <c r="A20" s="127" t="inlineStr">
        <is>
          <t>Mês</t>
        </is>
      </c>
      <c r="B20" s="127" t="inlineStr">
        <is>
          <t>Empresa</t>
        </is>
      </c>
      <c r="C20" s="127" t="inlineStr">
        <is>
          <t>Categoria</t>
        </is>
      </c>
      <c r="D20" s="127" t="inlineStr">
        <is>
          <t>Despesa</t>
        </is>
      </c>
      <c r="E20" s="127" t="inlineStr">
        <is>
          <t>Coordenador/Equipe</t>
        </is>
      </c>
      <c r="F20" s="127" t="inlineStr">
        <is>
          <t>Quantidade</t>
        </is>
      </c>
      <c r="G20" s="127" t="inlineStr">
        <is>
          <t>Valor Unitário (R$)</t>
        </is>
      </c>
      <c r="H20" s="127" t="inlineStr">
        <is>
          <t>Valor (R$)</t>
        </is>
      </c>
      <c r="I20" s="127" t="inlineStr">
        <is>
          <t>Origem</t>
        </is>
      </c>
      <c r="J20" s="124" t="n"/>
      <c r="K20" s="124" t="n"/>
      <c r="L20" s="124" t="n"/>
      <c r="M20" s="124" t="n"/>
      <c r="N20" s="124" t="n"/>
      <c r="O20" s="124" t="n"/>
    </row>
    <row r="21" ht="15" customHeight="1" s="75">
      <c r="A21" s="128" t="inlineStr">
        <is>
          <t>Junho/2026</t>
        </is>
      </c>
      <c r="B21" s="128" t="inlineStr">
        <is>
          <t>DTEL</t>
        </is>
      </c>
      <c r="C21" s="128" t="inlineStr">
        <is>
          <t>Pessoal</t>
        </is>
      </c>
      <c r="D21" s="128" t="inlineStr">
        <is>
          <t>Folha Trabalhista com impostos do mês</t>
        </is>
      </c>
      <c r="E21" s="128" t="inlineStr">
        <is>
          <t>ELTHON MENEZES</t>
        </is>
      </c>
      <c r="F21" s="128" t="n">
        <v>1</v>
      </c>
      <c r="G21" s="129" t="n">
        <v>59982.0585470518</v>
      </c>
      <c r="H21" s="129" t="n">
        <v>59982.0585470518</v>
      </c>
      <c r="I21" s="128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4" t="n"/>
      <c r="K21" s="124" t="n"/>
      <c r="L21" s="124" t="n"/>
      <c r="M21" s="124" t="n"/>
      <c r="N21" s="124" t="n"/>
      <c r="O21" s="124" t="n"/>
    </row>
    <row r="22" ht="15" customHeight="1" s="75">
      <c r="A22" s="128" t="inlineStr">
        <is>
          <t>Junho/2026</t>
        </is>
      </c>
      <c r="B22" s="128" t="inlineStr">
        <is>
          <t>DTEL</t>
        </is>
      </c>
      <c r="C22" s="128" t="inlineStr">
        <is>
          <t>Pessoal</t>
        </is>
      </c>
      <c r="D22" s="128" t="inlineStr">
        <is>
          <t>Vale Transporte</t>
        </is>
      </c>
      <c r="E22" s="128" t="inlineStr">
        <is>
          <t>ELTHON MENEZES</t>
        </is>
      </c>
      <c r="F22" s="128" t="n">
        <v>1</v>
      </c>
      <c r="G22" s="129" t="n">
        <v>1236.86</v>
      </c>
      <c r="H22" s="129" t="n">
        <v>1236.86</v>
      </c>
      <c r="I22" s="128" t="inlineStr">
        <is>
          <t>Estimado (fatia proporcional ao nº de colaboradores da equipe, sem taxa fixa por pessoa), fatia de 39 colaboradores da equipe</t>
        </is>
      </c>
      <c r="J22" s="124" t="n"/>
      <c r="K22" s="124" t="n"/>
      <c r="L22" s="124" t="n"/>
      <c r="M22" s="124" t="n"/>
      <c r="N22" s="124" t="n"/>
      <c r="O22" s="124" t="n"/>
    </row>
    <row r="23" ht="15" customHeight="1" s="75">
      <c r="A23" s="128" t="inlineStr">
        <is>
          <t>Junho/2026</t>
        </is>
      </c>
      <c r="B23" s="128" t="inlineStr">
        <is>
          <t>DTEL</t>
        </is>
      </c>
      <c r="C23" s="128" t="inlineStr">
        <is>
          <t>Pessoal</t>
        </is>
      </c>
      <c r="D23" s="128" t="inlineStr">
        <is>
          <t>Despesas com RH</t>
        </is>
      </c>
      <c r="E23" s="128" t="inlineStr">
        <is>
          <t>ELTHON MENEZES</t>
        </is>
      </c>
      <c r="F23" s="128" t="n">
        <v>39</v>
      </c>
      <c r="G23" s="129" t="n">
        <v>28.31</v>
      </c>
      <c r="H23" s="129" t="n">
        <v>1104.09</v>
      </c>
      <c r="I23" s="128" t="inlineStr">
        <is>
          <t>Real (taxa fixa por colaborador, confirmada em todas as empresas)</t>
        </is>
      </c>
      <c r="J23" s="124" t="n"/>
      <c r="K23" s="124" t="n"/>
      <c r="L23" s="124" t="n"/>
      <c r="M23" s="124" t="n"/>
      <c r="N23" s="124" t="n"/>
      <c r="O23" s="124" t="n"/>
    </row>
    <row r="24" ht="15" customHeight="1" s="75">
      <c r="A24" s="128" t="inlineStr">
        <is>
          <t>Junho/2026</t>
        </is>
      </c>
      <c r="B24" s="128" t="inlineStr">
        <is>
          <t>DTEL</t>
        </is>
      </c>
      <c r="C24" s="128" t="inlineStr">
        <is>
          <t>Pessoal</t>
        </is>
      </c>
      <c r="D24" s="128" t="inlineStr">
        <is>
          <t>Despesas com DP</t>
        </is>
      </c>
      <c r="E24" s="128" t="inlineStr">
        <is>
          <t>ELTHON MENEZES</t>
        </is>
      </c>
      <c r="F24" s="128" t="n">
        <v>39</v>
      </c>
      <c r="G24" s="129" t="n">
        <v>47.79</v>
      </c>
      <c r="H24" s="129" t="n">
        <v>1863.81</v>
      </c>
      <c r="I24" s="128" t="inlineStr">
        <is>
          <t>Real (taxa fixa por colaborador, confirmada em todas as empresas)</t>
        </is>
      </c>
      <c r="J24" s="124" t="n"/>
      <c r="K24" s="124" t="n"/>
      <c r="L24" s="124" t="n"/>
      <c r="M24" s="124" t="n"/>
      <c r="N24" s="124" t="n"/>
      <c r="O24" s="124" t="n"/>
    </row>
    <row r="25" ht="15" customHeight="1" s="75">
      <c r="A25" s="128" t="inlineStr">
        <is>
          <t>Junho/2026</t>
        </is>
      </c>
      <c r="B25" s="128" t="inlineStr">
        <is>
          <t>DTEL</t>
        </is>
      </c>
      <c r="C25" s="128" t="inlineStr">
        <is>
          <t>Segurança do Trabalho</t>
        </is>
      </c>
      <c r="D25" s="128" t="inlineStr">
        <is>
          <t>Despesas com SST</t>
        </is>
      </c>
      <c r="E25" s="128" t="inlineStr">
        <is>
          <t>ELTHON MENEZES</t>
        </is>
      </c>
      <c r="F25" s="128" t="n">
        <v>39</v>
      </c>
      <c r="G25" s="129" t="n">
        <v>64.54000000000001</v>
      </c>
      <c r="H25" s="129" t="n">
        <v>2517.06</v>
      </c>
      <c r="I25" s="128" t="inlineStr">
        <is>
          <t>Real (taxa fixa por colaborador, confirmada em todas as empresas)</t>
        </is>
      </c>
      <c r="J25" s="124" t="n"/>
      <c r="K25" s="124" t="n"/>
      <c r="L25" s="124" t="n"/>
      <c r="M25" s="124" t="n"/>
      <c r="N25" s="124" t="n"/>
      <c r="O25" s="124" t="n"/>
    </row>
    <row r="26" ht="15" customHeight="1" s="75">
      <c r="A26" s="128" t="inlineStr">
        <is>
          <t>Junho/2026</t>
        </is>
      </c>
      <c r="B26" s="128" t="inlineStr">
        <is>
          <t>DTEL</t>
        </is>
      </c>
      <c r="C26" s="128" t="inlineStr">
        <is>
          <t>Segurança do Trabalho</t>
        </is>
      </c>
      <c r="D26" s="128" t="inlineStr">
        <is>
          <t>Despesas SST exames</t>
        </is>
      </c>
      <c r="E26" s="128" t="inlineStr">
        <is>
          <t>ELTHON MENEZES</t>
        </is>
      </c>
      <c r="F26" s="128" t="n">
        <v>1</v>
      </c>
      <c r="G26" s="129" t="n">
        <v>142.07</v>
      </c>
      <c r="H26" s="129" t="n">
        <v>142.07</v>
      </c>
      <c r="I26" s="128" t="inlineStr">
        <is>
          <t>Estimado (fatia proporcional ao nº de colaboradores da equipe, sem taxa fixa por pessoa), fatia de 39 colaboradores da equipe</t>
        </is>
      </c>
      <c r="J26" s="124" t="n"/>
      <c r="K26" s="124" t="n"/>
      <c r="L26" s="124" t="n"/>
      <c r="M26" s="124" t="n"/>
      <c r="N26" s="124" t="n"/>
      <c r="O26" s="124" t="n"/>
    </row>
    <row r="27" ht="15" customHeight="1" s="75">
      <c r="A27" s="128" t="inlineStr">
        <is>
          <t>Junho/2026</t>
        </is>
      </c>
      <c r="B27" s="128" t="inlineStr">
        <is>
          <t>DTEL</t>
        </is>
      </c>
      <c r="C27" s="128" t="inlineStr">
        <is>
          <t>Benefícios</t>
        </is>
      </c>
      <c r="D27" s="128" t="inlineStr">
        <is>
          <t>Gympass</t>
        </is>
      </c>
      <c r="E27" s="128" t="inlineStr">
        <is>
          <t>ELTHON MENEZES</t>
        </is>
      </c>
      <c r="F27" s="128" t="n">
        <v>39</v>
      </c>
      <c r="G27" s="129" t="n">
        <v>10.05</v>
      </c>
      <c r="H27" s="129" t="n">
        <v>391.95</v>
      </c>
      <c r="I27" s="128" t="inlineStr">
        <is>
          <t>Real (taxa fixa por colaborador, confirmada em todas as empresas)</t>
        </is>
      </c>
      <c r="J27" s="124" t="n"/>
      <c r="K27" s="124" t="n"/>
      <c r="L27" s="124" t="n"/>
      <c r="M27" s="124" t="n"/>
      <c r="N27" s="124" t="n"/>
      <c r="O27" s="124" t="n"/>
    </row>
    <row r="28" ht="15" customHeight="1" s="75">
      <c r="A28" s="128" t="inlineStr">
        <is>
          <t>Junho/2026</t>
        </is>
      </c>
      <c r="B28" s="128" t="inlineStr">
        <is>
          <t>DTEL</t>
        </is>
      </c>
      <c r="C28" s="128" t="inlineStr">
        <is>
          <t>Benefícios</t>
        </is>
      </c>
      <c r="D28" s="128" t="inlineStr">
        <is>
          <t>Stargrid</t>
        </is>
      </c>
      <c r="E28" s="128" t="inlineStr">
        <is>
          <t>ELTHON MENEZES</t>
        </is>
      </c>
      <c r="F28" s="128" t="n">
        <v>39</v>
      </c>
      <c r="G28" s="129" t="n">
        <v>2.07</v>
      </c>
      <c r="H28" s="129" t="n">
        <v>80.73</v>
      </c>
      <c r="I28" s="128" t="inlineStr">
        <is>
          <t>Real (taxa fixa por colaborador, confirmada em todas as empresas)</t>
        </is>
      </c>
      <c r="J28" s="124" t="n"/>
      <c r="K28" s="124" t="n"/>
      <c r="L28" s="124" t="n"/>
      <c r="M28" s="124" t="n"/>
      <c r="N28" s="124" t="n"/>
      <c r="O28" s="124" t="n"/>
    </row>
    <row r="29" ht="15" customHeight="1" s="75">
      <c r="A29" s="128" t="inlineStr">
        <is>
          <t>Junho/2026</t>
        </is>
      </c>
      <c r="B29" s="128" t="inlineStr">
        <is>
          <t>DTEL</t>
        </is>
      </c>
      <c r="C29" s="128" t="inlineStr">
        <is>
          <t>Fardamento</t>
        </is>
      </c>
      <c r="D29" s="128" t="inlineStr">
        <is>
          <t>Novo Fardamento</t>
        </is>
      </c>
      <c r="E29" s="128" t="inlineStr">
        <is>
          <t>ELTHON MENEZES</t>
        </is>
      </c>
      <c r="F29" s="128" t="n">
        <v>1</v>
      </c>
      <c r="G29" s="129" t="n">
        <v>764.48</v>
      </c>
      <c r="H29" s="129" t="n">
        <v>764.48</v>
      </c>
      <c r="I29" s="128" t="inlineStr">
        <is>
          <t>Estimado (fatia proporcional ao nº de colaboradores da equipe, sem taxa fixa por pessoa), fatia de 39 colaboradores da equipe</t>
        </is>
      </c>
      <c r="J29" s="124" t="n"/>
      <c r="K29" s="124" t="n"/>
      <c r="L29" s="124" t="n"/>
      <c r="M29" s="124" t="n"/>
      <c r="N29" s="124" t="n"/>
      <c r="O29" s="124" t="n"/>
    </row>
    <row r="30" ht="15" customHeight="1" s="75">
      <c r="A30" s="128" t="inlineStr">
        <is>
          <t>Junho/2026</t>
        </is>
      </c>
      <c r="B30" s="128" t="inlineStr">
        <is>
          <t>DTEL</t>
        </is>
      </c>
      <c r="C30" s="128" t="inlineStr">
        <is>
          <t>Fardamento</t>
        </is>
      </c>
      <c r="D30" s="128" t="inlineStr">
        <is>
          <t>Substituição extra de Fardamento</t>
        </is>
      </c>
      <c r="E30" s="128" t="inlineStr">
        <is>
          <t>ELTHON MENEZES</t>
        </is>
      </c>
      <c r="F30" s="128" t="n">
        <v>1</v>
      </c>
      <c r="G30" s="129" t="n">
        <v>1150.7</v>
      </c>
      <c r="H30" s="129" t="n">
        <v>1150.7</v>
      </c>
      <c r="I30" s="128" t="inlineStr">
        <is>
          <t>Estimado (fatia proporcional ao nº de colaboradores da equipe, sem taxa fixa por pessoa), fatia de 39 colaboradores da equipe</t>
        </is>
      </c>
      <c r="J30" s="124" t="n"/>
      <c r="K30" s="124" t="n"/>
      <c r="L30" s="124" t="n"/>
      <c r="M30" s="124" t="n"/>
      <c r="N30" s="124" t="n"/>
      <c r="O30" s="124" t="n"/>
    </row>
    <row r="31" ht="15" customHeight="1" s="75">
      <c r="A31" s="128" t="inlineStr">
        <is>
          <t>Junho/2026</t>
        </is>
      </c>
      <c r="B31" s="128" t="inlineStr">
        <is>
          <t>DTEL</t>
        </is>
      </c>
      <c r="C31" s="128" t="inlineStr">
        <is>
          <t>Estrutura/Infra</t>
        </is>
      </c>
      <c r="D31" s="128" t="inlineStr">
        <is>
          <t>Linhas moveis (FIQUE MÓVEL)</t>
        </is>
      </c>
      <c r="E31" s="128" t="inlineStr">
        <is>
          <t>ELTHON MENEZES</t>
        </is>
      </c>
      <c r="F31" s="128" t="n">
        <v>42</v>
      </c>
      <c r="G31" s="129" t="n">
        <v>30</v>
      </c>
      <c r="H31" s="129">
        <f>F31*G31</f>
        <v/>
      </c>
      <c r="I31" s="128" t="inlineStr">
        <is>
          <t>Real (taxa fixa por colaborador, confirmada em todas as empresas)</t>
        </is>
      </c>
      <c r="J31" s="124" t="n"/>
      <c r="K31" s="124" t="n"/>
      <c r="L31" s="124" t="n"/>
      <c r="M31" s="124" t="n"/>
      <c r="N31" s="124" t="n"/>
      <c r="O31" s="124" t="n"/>
    </row>
    <row r="32" ht="15" customHeight="1" s="75">
      <c r="A32" s="128" t="inlineStr">
        <is>
          <t>Junho/2026</t>
        </is>
      </c>
      <c r="B32" s="128" t="inlineStr">
        <is>
          <t>DTEL</t>
        </is>
      </c>
      <c r="C32" s="128" t="inlineStr">
        <is>
          <t>Frota/Combustível</t>
        </is>
      </c>
      <c r="D32" s="128" t="inlineStr">
        <is>
          <t>Consumo de combustível</t>
        </is>
      </c>
      <c r="E32" s="128" t="inlineStr">
        <is>
          <t>ELTHON MENEZES</t>
        </is>
      </c>
      <c r="F32" s="128" t="n">
        <v>1</v>
      </c>
      <c r="G32" s="129" t="n">
        <v>370.8</v>
      </c>
      <c r="H32" s="129">
        <f>F32*G32</f>
        <v/>
      </c>
      <c r="I32" s="128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4" t="n"/>
      <c r="K32" s="124" t="n"/>
      <c r="L32" s="124" t="n"/>
      <c r="M32" s="124" t="n"/>
      <c r="N32" s="124" t="n"/>
      <c r="O32" s="124" t="n"/>
    </row>
    <row r="33" ht="15" customHeight="1" s="75">
      <c r="A33" s="128" t="inlineStr">
        <is>
          <t>Junho/2026</t>
        </is>
      </c>
      <c r="B33" s="128" t="inlineStr">
        <is>
          <t>DTEL</t>
        </is>
      </c>
      <c r="C33" s="128" t="inlineStr">
        <is>
          <t>Pessoal</t>
        </is>
      </c>
      <c r="D33" s="128" t="inlineStr">
        <is>
          <t>Folha Trabalhista com impostos do mês</t>
        </is>
      </c>
      <c r="E33" s="128" t="inlineStr">
        <is>
          <t>GABRIEL LIMA</t>
        </is>
      </c>
      <c r="F33" s="128" t="n">
        <v>1</v>
      </c>
      <c r="G33" s="129" t="n">
        <v>7035.95</v>
      </c>
      <c r="H33" s="129">
        <f>F33*G33</f>
        <v/>
      </c>
      <c r="I33" s="128" t="inlineStr">
        <is>
          <t>Real (cruzado por nome, 3/9 encontrados)</t>
        </is>
      </c>
      <c r="J33" s="124" t="n"/>
      <c r="K33" s="124" t="n"/>
      <c r="L33" s="124" t="n"/>
      <c r="M33" s="124" t="n"/>
      <c r="N33" s="124" t="n"/>
      <c r="O33" s="124" t="n"/>
    </row>
    <row r="34" ht="15" customHeight="1" s="75">
      <c r="A34" s="128" t="inlineStr">
        <is>
          <t>Junho/2026</t>
        </is>
      </c>
      <c r="B34" s="128" t="inlineStr">
        <is>
          <t>DTEL</t>
        </is>
      </c>
      <c r="C34" s="128" t="inlineStr">
        <is>
          <t>Pessoal</t>
        </is>
      </c>
      <c r="D34" s="128" t="inlineStr">
        <is>
          <t>Vale Transporte</t>
        </is>
      </c>
      <c r="E34" s="128" t="inlineStr">
        <is>
          <t>GABRIEL LIMA</t>
        </is>
      </c>
      <c r="F34" s="128" t="n">
        <v>1</v>
      </c>
      <c r="G34" s="129" t="n">
        <v>285.43</v>
      </c>
      <c r="H34" s="129" t="n">
        <v>285.43</v>
      </c>
      <c r="I34" s="128" t="inlineStr">
        <is>
          <t>Estimado (fatia proporcional ao nº de colaboradores da equipe, sem taxa fixa por pessoa), fatia de 9 colaboradores da equipe</t>
        </is>
      </c>
      <c r="J34" s="124" t="n"/>
      <c r="K34" s="124" t="n"/>
      <c r="L34" s="124" t="n"/>
      <c r="M34" s="124" t="n"/>
      <c r="N34" s="124" t="n"/>
      <c r="O34" s="124" t="n"/>
    </row>
    <row r="35" ht="15" customHeight="1" s="75">
      <c r="A35" s="128" t="inlineStr">
        <is>
          <t>Junho/2026</t>
        </is>
      </c>
      <c r="B35" s="128" t="inlineStr">
        <is>
          <t>DTEL</t>
        </is>
      </c>
      <c r="C35" s="128" t="inlineStr">
        <is>
          <t>Pessoal</t>
        </is>
      </c>
      <c r="D35" s="128" t="inlineStr">
        <is>
          <t>Despesas com RH</t>
        </is>
      </c>
      <c r="E35" s="128" t="inlineStr">
        <is>
          <t>GABRIEL LIMA</t>
        </is>
      </c>
      <c r="F35" s="128" t="n">
        <v>9</v>
      </c>
      <c r="G35" s="129" t="n">
        <v>28.31</v>
      </c>
      <c r="H35" s="129">
        <f>F35*G35</f>
        <v/>
      </c>
      <c r="I35" s="128" t="inlineStr">
        <is>
          <t>Real (taxa fixa por colaborador, confirmada em todas as empresas)</t>
        </is>
      </c>
      <c r="J35" s="124" t="n"/>
      <c r="K35" s="124" t="n"/>
      <c r="L35" s="124" t="n"/>
      <c r="M35" s="124" t="n"/>
      <c r="N35" s="124" t="n"/>
      <c r="O35" s="124" t="n"/>
    </row>
    <row r="36" ht="15" customHeight="1" s="75">
      <c r="A36" s="128" t="inlineStr">
        <is>
          <t>Junho/2026</t>
        </is>
      </c>
      <c r="B36" s="128" t="inlineStr">
        <is>
          <t>DTEL</t>
        </is>
      </c>
      <c r="C36" s="128" t="inlineStr">
        <is>
          <t>Pessoal</t>
        </is>
      </c>
      <c r="D36" s="128" t="inlineStr">
        <is>
          <t>Despesas com DP</t>
        </is>
      </c>
      <c r="E36" s="128" t="inlineStr">
        <is>
          <t>GABRIEL LIMA</t>
        </is>
      </c>
      <c r="F36" s="128" t="n">
        <v>9</v>
      </c>
      <c r="G36" s="129" t="n">
        <v>47.79</v>
      </c>
      <c r="H36" s="129">
        <f>F36*G36</f>
        <v/>
      </c>
      <c r="I36" s="128" t="inlineStr">
        <is>
          <t>Real (taxa fixa por colaborador, confirmada em todas as empresas)</t>
        </is>
      </c>
      <c r="J36" s="124" t="n"/>
      <c r="K36" s="124" t="n"/>
      <c r="L36" s="124" t="n"/>
      <c r="M36" s="124" t="n"/>
      <c r="N36" s="124" t="n"/>
      <c r="O36" s="124" t="n"/>
    </row>
    <row r="37" ht="15" customHeight="1" s="75">
      <c r="A37" s="128" t="inlineStr">
        <is>
          <t>Junho/2026</t>
        </is>
      </c>
      <c r="B37" s="128" t="inlineStr">
        <is>
          <t>DTEL</t>
        </is>
      </c>
      <c r="C37" s="128" t="inlineStr">
        <is>
          <t>Segurança do Trabalho</t>
        </is>
      </c>
      <c r="D37" s="128" t="inlineStr">
        <is>
          <t>Despesas com SST</t>
        </is>
      </c>
      <c r="E37" s="128" t="inlineStr">
        <is>
          <t>GABRIEL LIMA</t>
        </is>
      </c>
      <c r="F37" s="128" t="n">
        <v>9</v>
      </c>
      <c r="G37" s="129" t="n">
        <v>64.54000000000001</v>
      </c>
      <c r="H37" s="129">
        <f>F37*G37</f>
        <v/>
      </c>
      <c r="I37" s="128" t="inlineStr">
        <is>
          <t>Real (taxa fixa por colaborador, confirmada em todas as empresas)</t>
        </is>
      </c>
      <c r="J37" s="124" t="n"/>
      <c r="K37" s="124" t="n"/>
      <c r="L37" s="124" t="n"/>
      <c r="M37" s="124" t="n"/>
      <c r="N37" s="124" t="n"/>
      <c r="O37" s="124" t="n"/>
    </row>
    <row r="38" ht="15" customHeight="1" s="75">
      <c r="A38" s="128" t="inlineStr">
        <is>
          <t>Junho/2026</t>
        </is>
      </c>
      <c r="B38" s="128" t="inlineStr">
        <is>
          <t>DTEL</t>
        </is>
      </c>
      <c r="C38" s="128" t="inlineStr">
        <is>
          <t>Segurança do Trabalho</t>
        </is>
      </c>
      <c r="D38" s="128" t="inlineStr">
        <is>
          <t>Despesas SST exames</t>
        </is>
      </c>
      <c r="E38" s="128" t="inlineStr">
        <is>
          <t>GABRIEL LIMA</t>
        </is>
      </c>
      <c r="F38" s="128" t="n">
        <v>1</v>
      </c>
      <c r="G38" s="129" t="n">
        <v>32.79</v>
      </c>
      <c r="H38" s="129" t="n">
        <v>32.79</v>
      </c>
      <c r="I38" s="128" t="inlineStr">
        <is>
          <t>Estimado (fatia proporcional ao nº de colaboradores da equipe, sem taxa fixa por pessoa), fatia de 9 colaboradores da equipe</t>
        </is>
      </c>
      <c r="J38" s="124" t="n"/>
      <c r="K38" s="124" t="n"/>
      <c r="L38" s="124" t="n"/>
      <c r="M38" s="124" t="n"/>
      <c r="N38" s="124" t="n"/>
      <c r="O38" s="124" t="n"/>
    </row>
    <row r="39" ht="15" customHeight="1" s="75">
      <c r="A39" s="128" t="inlineStr">
        <is>
          <t>Junho/2026</t>
        </is>
      </c>
      <c r="B39" s="128" t="inlineStr">
        <is>
          <t>DTEL</t>
        </is>
      </c>
      <c r="C39" s="128" t="inlineStr">
        <is>
          <t>Benefícios</t>
        </is>
      </c>
      <c r="D39" s="128" t="inlineStr">
        <is>
          <t>Gympass</t>
        </is>
      </c>
      <c r="E39" s="128" t="inlineStr">
        <is>
          <t>GABRIEL LIMA</t>
        </is>
      </c>
      <c r="F39" s="128" t="n">
        <v>9</v>
      </c>
      <c r="G39" s="129" t="n">
        <v>10.05</v>
      </c>
      <c r="H39" s="129">
        <f>F39*G39</f>
        <v/>
      </c>
      <c r="I39" s="128" t="inlineStr">
        <is>
          <t>Real (taxa fixa por colaborador, confirmada em todas as empresas)</t>
        </is>
      </c>
      <c r="J39" s="124" t="n"/>
      <c r="K39" s="124" t="n"/>
      <c r="L39" s="124" t="n"/>
      <c r="M39" s="124" t="n"/>
      <c r="N39" s="124" t="n"/>
      <c r="O39" s="124" t="n"/>
    </row>
    <row r="40" ht="15" customHeight="1" s="75">
      <c r="A40" s="128" t="inlineStr">
        <is>
          <t>Junho/2026</t>
        </is>
      </c>
      <c r="B40" s="128" t="inlineStr">
        <is>
          <t>DTEL</t>
        </is>
      </c>
      <c r="C40" s="128" t="inlineStr">
        <is>
          <t>Benefícios</t>
        </is>
      </c>
      <c r="D40" s="128" t="inlineStr">
        <is>
          <t>Stargrid</t>
        </is>
      </c>
      <c r="E40" s="128" t="inlineStr">
        <is>
          <t>GABRIEL LIMA</t>
        </is>
      </c>
      <c r="F40" s="128" t="n">
        <v>9</v>
      </c>
      <c r="G40" s="129" t="n">
        <v>2.07</v>
      </c>
      <c r="H40" s="129">
        <f>F40*G40</f>
        <v/>
      </c>
      <c r="I40" s="128" t="inlineStr">
        <is>
          <t>Real (taxa fixa por colaborador, confirmada em todas as empresas)</t>
        </is>
      </c>
      <c r="J40" s="124" t="n"/>
      <c r="K40" s="124" t="n"/>
      <c r="L40" s="124" t="n"/>
      <c r="M40" s="124" t="n"/>
      <c r="N40" s="124" t="n"/>
      <c r="O40" s="124" t="n"/>
    </row>
    <row r="41" ht="15" customHeight="1" s="75">
      <c r="A41" s="128" t="inlineStr">
        <is>
          <t>Junho/2026</t>
        </is>
      </c>
      <c r="B41" s="128" t="inlineStr">
        <is>
          <t>DTEL</t>
        </is>
      </c>
      <c r="C41" s="128" t="inlineStr">
        <is>
          <t>Fardamento</t>
        </is>
      </c>
      <c r="D41" s="128" t="inlineStr">
        <is>
          <t>Novo Fardamento</t>
        </is>
      </c>
      <c r="E41" s="128" t="inlineStr">
        <is>
          <t>GABRIEL LIMA</t>
        </is>
      </c>
      <c r="F41" s="128" t="n">
        <v>1</v>
      </c>
      <c r="G41" s="129" t="n">
        <v>176.42</v>
      </c>
      <c r="H41" s="129" t="n">
        <v>176.42</v>
      </c>
      <c r="I41" s="128" t="inlineStr">
        <is>
          <t>Estimado (fatia proporcional ao nº de colaboradores da equipe, sem taxa fixa por pessoa), fatia de 9 colaboradores da equipe</t>
        </is>
      </c>
      <c r="J41" s="124" t="n"/>
      <c r="K41" s="124" t="n"/>
      <c r="L41" s="124" t="n"/>
      <c r="M41" s="124" t="n"/>
      <c r="N41" s="124" t="n"/>
      <c r="O41" s="124" t="n"/>
    </row>
    <row r="42" ht="15" customHeight="1" s="75">
      <c r="A42" s="128" t="inlineStr">
        <is>
          <t>Junho/2026</t>
        </is>
      </c>
      <c r="B42" s="128" t="inlineStr">
        <is>
          <t>DTEL</t>
        </is>
      </c>
      <c r="C42" s="128" t="inlineStr">
        <is>
          <t>Fardamento</t>
        </is>
      </c>
      <c r="D42" s="128" t="inlineStr">
        <is>
          <t>Substituição extra de Fardamento</t>
        </is>
      </c>
      <c r="E42" s="128" t="inlineStr">
        <is>
          <t>GABRIEL LIMA</t>
        </is>
      </c>
      <c r="F42" s="128" t="n">
        <v>1</v>
      </c>
      <c r="G42" s="129" t="n">
        <v>265.55</v>
      </c>
      <c r="H42" s="129" t="n">
        <v>265.55</v>
      </c>
      <c r="I42" s="128" t="inlineStr">
        <is>
          <t>Estimado (fatia proporcional ao nº de colaboradores da equipe, sem taxa fixa por pessoa), fatia de 9 colaboradores da equipe</t>
        </is>
      </c>
      <c r="J42" s="124" t="n"/>
      <c r="K42" s="124" t="n"/>
      <c r="L42" s="124" t="n"/>
      <c r="M42" s="124" t="n"/>
      <c r="N42" s="124" t="n"/>
      <c r="O42" s="124" t="n"/>
    </row>
    <row r="43" ht="15" customHeight="1" s="75">
      <c r="A43" s="128" t="inlineStr">
        <is>
          <t>Junho/2026</t>
        </is>
      </c>
      <c r="B43" s="128" t="inlineStr">
        <is>
          <t>DTEL</t>
        </is>
      </c>
      <c r="C43" s="128" t="inlineStr">
        <is>
          <t>Estrutura/Infra</t>
        </is>
      </c>
      <c r="D43" s="128" t="inlineStr">
        <is>
          <t>Linhas moveis (FIQUE MÓVEL)</t>
        </is>
      </c>
      <c r="E43" s="128" t="inlineStr">
        <is>
          <t>GABRIEL LIMA</t>
        </is>
      </c>
      <c r="F43" s="128" t="n">
        <v>9</v>
      </c>
      <c r="G43" s="129" t="n">
        <v>30</v>
      </c>
      <c r="H43" s="129">
        <f>F43*G43</f>
        <v/>
      </c>
      <c r="I43" s="128" t="inlineStr">
        <is>
          <t>Real (taxa fixa por colaborador, confirmada em todas as empresas)</t>
        </is>
      </c>
      <c r="J43" s="124" t="n"/>
      <c r="K43" s="124" t="n"/>
      <c r="L43" s="124" t="n"/>
      <c r="M43" s="124" t="n"/>
      <c r="N43" s="124" t="n"/>
      <c r="O43" s="124" t="n"/>
    </row>
    <row r="44" ht="15" customHeight="1" s="75">
      <c r="A44" s="128" t="inlineStr">
        <is>
          <t>Junho/2026</t>
        </is>
      </c>
      <c r="B44" s="128" t="inlineStr">
        <is>
          <t>DTEL</t>
        </is>
      </c>
      <c r="C44" s="128" t="inlineStr">
        <is>
          <t>Pessoal</t>
        </is>
      </c>
      <c r="D44" s="128" t="inlineStr">
        <is>
          <t>Folha Trabalhista com impostos do mês</t>
        </is>
      </c>
      <c r="E44" s="128" t="inlineStr">
        <is>
          <t>LUCAS BONIFÁCIO</t>
        </is>
      </c>
      <c r="F44" s="128" t="n">
        <v>1</v>
      </c>
      <c r="G44" s="129" t="n">
        <v>31149.92</v>
      </c>
      <c r="H44" s="129">
        <f>F44*G44</f>
        <v/>
      </c>
      <c r="I44" s="128" t="inlineStr">
        <is>
          <t>Real (cruzado por nome, 7/7 encontrados)</t>
        </is>
      </c>
      <c r="J44" s="124" t="n"/>
      <c r="K44" s="124" t="n"/>
      <c r="L44" s="124" t="n"/>
      <c r="M44" s="124" t="n"/>
      <c r="N44" s="124" t="n"/>
      <c r="O44" s="124" t="n"/>
    </row>
    <row r="45" ht="15" customHeight="1" s="75">
      <c r="A45" s="128" t="inlineStr">
        <is>
          <t>Junho/2026</t>
        </is>
      </c>
      <c r="B45" s="128" t="inlineStr">
        <is>
          <t>DTEL</t>
        </is>
      </c>
      <c r="C45" s="128" t="inlineStr">
        <is>
          <t>Pessoal</t>
        </is>
      </c>
      <c r="D45" s="128" t="inlineStr">
        <is>
          <t>Vale Transporte</t>
        </is>
      </c>
      <c r="E45" s="128" t="inlineStr">
        <is>
          <t>LUCAS BONIFÁCIO</t>
        </is>
      </c>
      <c r="F45" s="128" t="n">
        <v>1</v>
      </c>
      <c r="G45" s="129" t="n">
        <v>222</v>
      </c>
      <c r="H45" s="129" t="n">
        <v>222</v>
      </c>
      <c r="I45" s="128" t="inlineStr">
        <is>
          <t>Estimado (fatia proporcional ao nº de colaboradores da equipe, sem taxa fixa por pessoa), fatia de 7 colaboradores da equipe</t>
        </is>
      </c>
      <c r="J45" s="124" t="n"/>
      <c r="K45" s="124" t="n"/>
      <c r="L45" s="124" t="n"/>
      <c r="M45" s="124" t="n"/>
      <c r="N45" s="124" t="n"/>
      <c r="O45" s="124" t="n"/>
    </row>
    <row r="46" ht="15" customHeight="1" s="75">
      <c r="A46" s="128" t="inlineStr">
        <is>
          <t>Junho/2026</t>
        </is>
      </c>
      <c r="B46" s="128" t="inlineStr">
        <is>
          <t>DTEL</t>
        </is>
      </c>
      <c r="C46" s="128" t="inlineStr">
        <is>
          <t>Pessoal</t>
        </is>
      </c>
      <c r="D46" s="128" t="inlineStr">
        <is>
          <t>Despesas com RH</t>
        </is>
      </c>
      <c r="E46" s="128" t="inlineStr">
        <is>
          <t>LUCAS BONIFÁCIO</t>
        </is>
      </c>
      <c r="F46" s="128" t="n">
        <v>7</v>
      </c>
      <c r="G46" s="129" t="n">
        <v>28.31</v>
      </c>
      <c r="H46" s="129">
        <f>F46*G46</f>
        <v/>
      </c>
      <c r="I46" s="128" t="inlineStr">
        <is>
          <t>Real (taxa fixa por colaborador, confirmada em todas as empresas)</t>
        </is>
      </c>
      <c r="J46" s="124" t="n"/>
      <c r="K46" s="124" t="n"/>
      <c r="L46" s="124" t="n"/>
      <c r="M46" s="124" t="n"/>
      <c r="N46" s="124" t="n"/>
      <c r="O46" s="124" t="n"/>
    </row>
    <row r="47" ht="15" customHeight="1" s="75">
      <c r="A47" s="128" t="inlineStr">
        <is>
          <t>Junho/2026</t>
        </is>
      </c>
      <c r="B47" s="128" t="inlineStr">
        <is>
          <t>DTEL</t>
        </is>
      </c>
      <c r="C47" s="128" t="inlineStr">
        <is>
          <t>Pessoal</t>
        </is>
      </c>
      <c r="D47" s="128" t="inlineStr">
        <is>
          <t>Despesas com DP</t>
        </is>
      </c>
      <c r="E47" s="128" t="inlineStr">
        <is>
          <t>LUCAS BONIFÁCIO</t>
        </is>
      </c>
      <c r="F47" s="128" t="n">
        <v>7</v>
      </c>
      <c r="G47" s="129" t="n">
        <v>47.79</v>
      </c>
      <c r="H47" s="129">
        <f>F47*G47</f>
        <v/>
      </c>
      <c r="I47" s="128" t="inlineStr">
        <is>
          <t>Real (taxa fixa por colaborador, confirmada em todas as empresas)</t>
        </is>
      </c>
      <c r="J47" s="124" t="n"/>
      <c r="K47" s="124" t="n"/>
      <c r="L47" s="124" t="n"/>
      <c r="M47" s="124" t="n"/>
      <c r="N47" s="124" t="n"/>
      <c r="O47" s="124" t="n"/>
    </row>
    <row r="48" ht="15" customHeight="1" s="75">
      <c r="A48" s="128" t="inlineStr">
        <is>
          <t>Junho/2026</t>
        </is>
      </c>
      <c r="B48" s="128" t="inlineStr">
        <is>
          <t>DTEL</t>
        </is>
      </c>
      <c r="C48" s="128" t="inlineStr">
        <is>
          <t>Segurança do Trabalho</t>
        </is>
      </c>
      <c r="D48" s="128" t="inlineStr">
        <is>
          <t>Despesas com SST</t>
        </is>
      </c>
      <c r="E48" s="128" t="inlineStr">
        <is>
          <t>LUCAS BONIFÁCIO</t>
        </is>
      </c>
      <c r="F48" s="128" t="n">
        <v>7</v>
      </c>
      <c r="G48" s="129" t="n">
        <v>64.54000000000001</v>
      </c>
      <c r="H48" s="129">
        <f>F48*G48</f>
        <v/>
      </c>
      <c r="I48" s="128" t="inlineStr">
        <is>
          <t>Real (taxa fixa por colaborador, confirmada em todas as empresas)</t>
        </is>
      </c>
      <c r="J48" s="124" t="n"/>
      <c r="K48" s="124" t="n"/>
      <c r="L48" s="124" t="n"/>
      <c r="M48" s="124" t="n"/>
      <c r="N48" s="124" t="n"/>
      <c r="O48" s="124" t="n"/>
    </row>
    <row r="49" ht="15" customHeight="1" s="75">
      <c r="A49" s="128" t="inlineStr">
        <is>
          <t>Junho/2026</t>
        </is>
      </c>
      <c r="B49" s="128" t="inlineStr">
        <is>
          <t>DTEL</t>
        </is>
      </c>
      <c r="C49" s="128" t="inlineStr">
        <is>
          <t>Segurança do Trabalho</t>
        </is>
      </c>
      <c r="D49" s="128" t="inlineStr">
        <is>
          <t>Despesas SST exames</t>
        </is>
      </c>
      <c r="E49" s="128" t="inlineStr">
        <is>
          <t>LUCAS BONIFÁCIO</t>
        </is>
      </c>
      <c r="F49" s="128" t="n">
        <v>1</v>
      </c>
      <c r="G49" s="129" t="n">
        <v>25.5</v>
      </c>
      <c r="H49" s="129" t="n">
        <v>25.5</v>
      </c>
      <c r="I49" s="128" t="inlineStr">
        <is>
          <t>Estimado (fatia proporcional ao nº de colaboradores da equipe, sem taxa fixa por pessoa), fatia de 7 colaboradores da equipe</t>
        </is>
      </c>
      <c r="J49" s="124" t="n"/>
      <c r="K49" s="124" t="n"/>
      <c r="L49" s="124" t="n"/>
      <c r="M49" s="124" t="n"/>
      <c r="N49" s="124" t="n"/>
      <c r="O49" s="124" t="n"/>
    </row>
    <row r="50" ht="15" customHeight="1" s="75">
      <c r="A50" s="128" t="inlineStr">
        <is>
          <t>Junho/2026</t>
        </is>
      </c>
      <c r="B50" s="128" t="inlineStr">
        <is>
          <t>DTEL</t>
        </is>
      </c>
      <c r="C50" s="128" t="inlineStr">
        <is>
          <t>Benefícios</t>
        </is>
      </c>
      <c r="D50" s="128" t="inlineStr">
        <is>
          <t>Gympass</t>
        </is>
      </c>
      <c r="E50" s="128" t="inlineStr">
        <is>
          <t>LUCAS BONIFÁCIO</t>
        </is>
      </c>
      <c r="F50" s="128" t="n">
        <v>7</v>
      </c>
      <c r="G50" s="129" t="n">
        <v>10.05</v>
      </c>
      <c r="H50" s="129">
        <f>F50*G50</f>
        <v/>
      </c>
      <c r="I50" s="128" t="inlineStr">
        <is>
          <t>Real (taxa fixa por colaborador, confirmada em todas as empresas)</t>
        </is>
      </c>
      <c r="J50" s="124" t="n"/>
      <c r="K50" s="124" t="n"/>
      <c r="L50" s="124" t="n"/>
      <c r="M50" s="124" t="n"/>
      <c r="N50" s="124" t="n"/>
      <c r="O50" s="124" t="n"/>
    </row>
    <row r="51" ht="15" customHeight="1" s="75">
      <c r="A51" s="128" t="inlineStr">
        <is>
          <t>Junho/2026</t>
        </is>
      </c>
      <c r="B51" s="128" t="inlineStr">
        <is>
          <t>DTEL</t>
        </is>
      </c>
      <c r="C51" s="128" t="inlineStr">
        <is>
          <t>Benefícios</t>
        </is>
      </c>
      <c r="D51" s="128" t="inlineStr">
        <is>
          <t>Stargrid</t>
        </is>
      </c>
      <c r="E51" s="128" t="inlineStr">
        <is>
          <t>LUCAS BONIFÁCIO</t>
        </is>
      </c>
      <c r="F51" s="128" t="n">
        <v>7</v>
      </c>
      <c r="G51" s="129" t="n">
        <v>2.07</v>
      </c>
      <c r="H51" s="129">
        <f>F51*G51</f>
        <v/>
      </c>
      <c r="I51" s="128" t="inlineStr">
        <is>
          <t>Real (taxa fixa por colaborador, confirmada em todas as empresas)</t>
        </is>
      </c>
      <c r="J51" s="124" t="n"/>
      <c r="K51" s="124" t="n"/>
      <c r="L51" s="124" t="n"/>
      <c r="M51" s="124" t="n"/>
      <c r="N51" s="124" t="n"/>
      <c r="O51" s="124" t="n"/>
    </row>
    <row r="52" ht="15" customHeight="1" s="75">
      <c r="A52" s="128" t="inlineStr">
        <is>
          <t>Junho/2026</t>
        </is>
      </c>
      <c r="B52" s="128" t="inlineStr">
        <is>
          <t>DTEL</t>
        </is>
      </c>
      <c r="C52" s="128" t="inlineStr">
        <is>
          <t>Fardamento</t>
        </is>
      </c>
      <c r="D52" s="128" t="inlineStr">
        <is>
          <t>Novo Fardamento</t>
        </is>
      </c>
      <c r="E52" s="128" t="inlineStr">
        <is>
          <t>LUCAS BONIFÁCIO</t>
        </is>
      </c>
      <c r="F52" s="128" t="n">
        <v>1</v>
      </c>
      <c r="G52" s="129" t="n">
        <v>137.22</v>
      </c>
      <c r="H52" s="129" t="n">
        <v>137.22</v>
      </c>
      <c r="I52" s="128" t="inlineStr">
        <is>
          <t>Estimado (fatia proporcional ao nº de colaboradores da equipe, sem taxa fixa por pessoa), fatia de 7 colaboradores da equipe</t>
        </is>
      </c>
      <c r="J52" s="124" t="n"/>
      <c r="K52" s="124" t="n"/>
      <c r="L52" s="124" t="n"/>
      <c r="M52" s="124" t="n"/>
      <c r="N52" s="124" t="n"/>
      <c r="O52" s="124" t="n"/>
    </row>
    <row r="53" ht="15" customHeight="1" s="75">
      <c r="A53" s="128" t="inlineStr">
        <is>
          <t>Junho/2026</t>
        </is>
      </c>
      <c r="B53" s="128" t="inlineStr">
        <is>
          <t>DTEL</t>
        </is>
      </c>
      <c r="C53" s="128" t="inlineStr">
        <is>
          <t>Fardamento</t>
        </is>
      </c>
      <c r="D53" s="128" t="inlineStr">
        <is>
          <t>Substituição extra de Fardamento</t>
        </is>
      </c>
      <c r="E53" s="128" t="inlineStr">
        <is>
          <t>LUCAS BONIFÁCIO</t>
        </is>
      </c>
      <c r="F53" s="128" t="n">
        <v>1</v>
      </c>
      <c r="G53" s="129" t="n">
        <v>206.54</v>
      </c>
      <c r="H53" s="129" t="n">
        <v>206.54</v>
      </c>
      <c r="I53" s="128" t="inlineStr">
        <is>
          <t>Estimado (fatia proporcional ao nº de colaboradores da equipe, sem taxa fixa por pessoa), fatia de 7 colaboradores da equipe</t>
        </is>
      </c>
      <c r="J53" s="124" t="n"/>
      <c r="K53" s="124" t="n"/>
      <c r="L53" s="124" t="n"/>
      <c r="M53" s="124" t="n"/>
      <c r="N53" s="124" t="n"/>
      <c r="O53" s="124" t="n"/>
    </row>
    <row r="54" ht="15" customHeight="1" s="75">
      <c r="A54" s="128" t="inlineStr">
        <is>
          <t>Junho/2026</t>
        </is>
      </c>
      <c r="B54" s="128" t="inlineStr">
        <is>
          <t>DTEL</t>
        </is>
      </c>
      <c r="C54" s="128" t="inlineStr">
        <is>
          <t>Estrutura/Infra</t>
        </is>
      </c>
      <c r="D54" s="128" t="inlineStr">
        <is>
          <t>Linhas moveis (FIQUE MÓVEL)</t>
        </is>
      </c>
      <c r="E54" s="128" t="inlineStr">
        <is>
          <t>LUCAS BONIFÁCIO</t>
        </is>
      </c>
      <c r="F54" s="128" t="n">
        <v>7</v>
      </c>
      <c r="G54" s="129" t="n">
        <v>30</v>
      </c>
      <c r="H54" s="129">
        <f>F54*G54</f>
        <v/>
      </c>
      <c r="I54" s="128" t="inlineStr">
        <is>
          <t>Real (taxa fixa por colaborador, confirmada em todas as empresas)</t>
        </is>
      </c>
      <c r="J54" s="124" t="n"/>
      <c r="K54" s="124" t="n"/>
      <c r="L54" s="124" t="n"/>
      <c r="M54" s="124" t="n"/>
      <c r="N54" s="124" t="n"/>
      <c r="O54" s="124" t="n"/>
    </row>
    <row r="55" ht="15" customHeight="1" s="75">
      <c r="A55" s="128" t="inlineStr">
        <is>
          <t>Junho/2026</t>
        </is>
      </c>
      <c r="B55" s="128" t="inlineStr">
        <is>
          <t>DTEL</t>
        </is>
      </c>
      <c r="C55" s="128" t="inlineStr">
        <is>
          <t>Frota/Combustível</t>
        </is>
      </c>
      <c r="D55" s="128" t="inlineStr">
        <is>
          <t>Consumo de combustível</t>
        </is>
      </c>
      <c r="E55" s="128" t="inlineStr">
        <is>
          <t>LUCAS BONIFÁCIO</t>
        </is>
      </c>
      <c r="F55" s="128" t="n">
        <v>1</v>
      </c>
      <c r="G55" s="129" t="n">
        <v>1081.14</v>
      </c>
      <c r="H55" s="129">
        <f>F55*G55</f>
        <v/>
      </c>
      <c r="I55" s="128" t="inlineStr">
        <is>
          <t>Real (cruzado por nome, planilha de combustível)</t>
        </is>
      </c>
      <c r="J55" s="124" t="n"/>
      <c r="K55" s="124" t="n"/>
      <c r="L55" s="124" t="n"/>
      <c r="M55" s="124" t="n"/>
      <c r="N55" s="124" t="n"/>
      <c r="O55" s="124" t="n"/>
    </row>
    <row r="56" ht="15" customHeight="1" s="75">
      <c r="A56" s="128" t="inlineStr">
        <is>
          <t>Junho/2026</t>
        </is>
      </c>
      <c r="B56" s="128" t="inlineStr">
        <is>
          <t>DTEL</t>
        </is>
      </c>
      <c r="C56" s="128" t="inlineStr">
        <is>
          <t>Pessoal</t>
        </is>
      </c>
      <c r="D56" s="128" t="inlineStr">
        <is>
          <t>Folha Trabalhista com impostos do mês</t>
        </is>
      </c>
      <c r="E56" s="128" t="inlineStr">
        <is>
          <t>MICHELANGELO</t>
        </is>
      </c>
      <c r="F56" s="128" t="n">
        <v>1</v>
      </c>
      <c r="G56" s="129" t="n">
        <v>30187.4191733333</v>
      </c>
      <c r="H56" s="129">
        <f>F56*G56</f>
        <v/>
      </c>
      <c r="I56" s="128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4" t="n"/>
      <c r="K56" s="124" t="n"/>
      <c r="L56" s="124" t="n"/>
      <c r="M56" s="124" t="n"/>
      <c r="N56" s="124" t="n"/>
      <c r="O56" s="124" t="n"/>
    </row>
    <row r="57" ht="15" customHeight="1" s="75">
      <c r="A57" s="128" t="inlineStr">
        <is>
          <t>Junho/2026</t>
        </is>
      </c>
      <c r="B57" s="128" t="inlineStr">
        <is>
          <t>DTEL</t>
        </is>
      </c>
      <c r="C57" s="128" t="inlineStr">
        <is>
          <t>Pessoal</t>
        </is>
      </c>
      <c r="D57" s="128" t="inlineStr">
        <is>
          <t>Vale Transporte</t>
        </is>
      </c>
      <c r="E57" s="128" t="inlineStr">
        <is>
          <t>MICHELANGELO</t>
        </is>
      </c>
      <c r="F57" s="128" t="n">
        <v>1</v>
      </c>
      <c r="G57" s="129" t="n">
        <v>348.86</v>
      </c>
      <c r="H57" s="129" t="n">
        <v>348.86</v>
      </c>
      <c r="I57" s="128" t="inlineStr">
        <is>
          <t>Estimado (fatia proporcional ao nº de colaboradores da equipe, sem taxa fixa por pessoa), fatia de 11 colaboradores da equipe</t>
        </is>
      </c>
      <c r="J57" s="124" t="n"/>
      <c r="K57" s="124" t="n"/>
      <c r="L57" s="124" t="n"/>
      <c r="M57" s="124" t="n"/>
      <c r="N57" s="124" t="n"/>
      <c r="O57" s="124" t="n"/>
    </row>
    <row r="58" ht="15" customHeight="1" s="75">
      <c r="A58" s="128" t="inlineStr">
        <is>
          <t>Junho/2026</t>
        </is>
      </c>
      <c r="B58" s="128" t="inlineStr">
        <is>
          <t>DTEL</t>
        </is>
      </c>
      <c r="C58" s="128" t="inlineStr">
        <is>
          <t>Pessoal</t>
        </is>
      </c>
      <c r="D58" s="128" t="inlineStr">
        <is>
          <t>Despesas com RH</t>
        </is>
      </c>
      <c r="E58" s="128" t="inlineStr">
        <is>
          <t>MICHELANGELO</t>
        </is>
      </c>
      <c r="F58" s="128" t="n">
        <v>11</v>
      </c>
      <c r="G58" s="129" t="n">
        <v>28.31</v>
      </c>
      <c r="H58" s="129">
        <f>F58*G58</f>
        <v/>
      </c>
      <c r="I58" s="128" t="inlineStr">
        <is>
          <t>Real (taxa fixa por colaborador, confirmada em todas as empresas)</t>
        </is>
      </c>
      <c r="J58" s="124" t="n"/>
      <c r="K58" s="124" t="n"/>
      <c r="L58" s="124" t="n"/>
      <c r="M58" s="124" t="n"/>
      <c r="N58" s="124" t="n"/>
      <c r="O58" s="124" t="n"/>
    </row>
    <row r="59" ht="15" customHeight="1" s="75">
      <c r="A59" s="128" t="inlineStr">
        <is>
          <t>Junho/2026</t>
        </is>
      </c>
      <c r="B59" s="128" t="inlineStr">
        <is>
          <t>DTEL</t>
        </is>
      </c>
      <c r="C59" s="128" t="inlineStr">
        <is>
          <t>Pessoal</t>
        </is>
      </c>
      <c r="D59" s="128" t="inlineStr">
        <is>
          <t>Despesas com DP</t>
        </is>
      </c>
      <c r="E59" s="128" t="inlineStr">
        <is>
          <t>MICHELANGELO</t>
        </is>
      </c>
      <c r="F59" s="128" t="n">
        <v>11</v>
      </c>
      <c r="G59" s="129" t="n">
        <v>47.79</v>
      </c>
      <c r="H59" s="129">
        <f>F59*G59</f>
        <v/>
      </c>
      <c r="I59" s="128" t="inlineStr">
        <is>
          <t>Real (taxa fixa por colaborador, confirmada em todas as empresas)</t>
        </is>
      </c>
      <c r="J59" s="124" t="n"/>
      <c r="K59" s="124" t="n"/>
      <c r="L59" s="124" t="n"/>
      <c r="M59" s="124" t="n"/>
      <c r="N59" s="124" t="n"/>
      <c r="O59" s="124" t="n"/>
    </row>
    <row r="60" ht="15" customHeight="1" s="75">
      <c r="A60" s="128" t="inlineStr">
        <is>
          <t>Junho/2026</t>
        </is>
      </c>
      <c r="B60" s="128" t="inlineStr">
        <is>
          <t>DTEL</t>
        </is>
      </c>
      <c r="C60" s="128" t="inlineStr">
        <is>
          <t>Segurança do Trabalho</t>
        </is>
      </c>
      <c r="D60" s="128" t="inlineStr">
        <is>
          <t>Despesas com SST</t>
        </is>
      </c>
      <c r="E60" s="128" t="inlineStr">
        <is>
          <t>MICHELANGELO</t>
        </is>
      </c>
      <c r="F60" s="128" t="n">
        <v>11</v>
      </c>
      <c r="G60" s="129" t="n">
        <v>64.54000000000001</v>
      </c>
      <c r="H60" s="129">
        <f>F60*G60</f>
        <v/>
      </c>
      <c r="I60" s="128" t="inlineStr">
        <is>
          <t>Real (taxa fixa por colaborador, confirmada em todas as empresas)</t>
        </is>
      </c>
      <c r="J60" s="124" t="n"/>
      <c r="K60" s="124" t="n"/>
      <c r="L60" s="124" t="n"/>
      <c r="M60" s="124" t="n"/>
      <c r="N60" s="124" t="n"/>
      <c r="O60" s="124" t="n"/>
    </row>
    <row r="61" ht="15" customHeight="1" s="75">
      <c r="A61" s="128" t="inlineStr">
        <is>
          <t>Junho/2026</t>
        </is>
      </c>
      <c r="B61" s="128" t="inlineStr">
        <is>
          <t>DTEL</t>
        </is>
      </c>
      <c r="C61" s="128" t="inlineStr">
        <is>
          <t>Segurança do Trabalho</t>
        </is>
      </c>
      <c r="D61" s="128" t="inlineStr">
        <is>
          <t>Despesas SST exames</t>
        </is>
      </c>
      <c r="E61" s="128" t="inlineStr">
        <is>
          <t>MICHELANGELO</t>
        </is>
      </c>
      <c r="F61" s="128" t="n">
        <v>1</v>
      </c>
      <c r="G61" s="129" t="n">
        <v>40.07</v>
      </c>
      <c r="H61" s="129" t="n">
        <v>40.07</v>
      </c>
      <c r="I61" s="128" t="inlineStr">
        <is>
          <t>Estimado (fatia proporcional ao nº de colaboradores da equipe, sem taxa fixa por pessoa), fatia de 11 colaboradores da equipe</t>
        </is>
      </c>
      <c r="J61" s="124" t="n"/>
      <c r="K61" s="124" t="n"/>
      <c r="L61" s="124" t="n"/>
      <c r="M61" s="124" t="n"/>
      <c r="N61" s="124" t="n"/>
      <c r="O61" s="124" t="n"/>
    </row>
    <row r="62" ht="15" customHeight="1" s="75">
      <c r="A62" s="128" t="inlineStr">
        <is>
          <t>Junho/2026</t>
        </is>
      </c>
      <c r="B62" s="128" t="inlineStr">
        <is>
          <t>DTEL</t>
        </is>
      </c>
      <c r="C62" s="128" t="inlineStr">
        <is>
          <t>Benefícios</t>
        </is>
      </c>
      <c r="D62" s="128" t="inlineStr">
        <is>
          <t>Gympass</t>
        </is>
      </c>
      <c r="E62" s="128" t="inlineStr">
        <is>
          <t>MICHELANGELO</t>
        </is>
      </c>
      <c r="F62" s="128" t="n">
        <v>11</v>
      </c>
      <c r="G62" s="129" t="n">
        <v>10.05</v>
      </c>
      <c r="H62" s="129">
        <f>F62*G62</f>
        <v/>
      </c>
      <c r="I62" s="128" t="inlineStr">
        <is>
          <t>Real (taxa fixa por colaborador, confirmada em todas as empresas)</t>
        </is>
      </c>
      <c r="J62" s="124" t="n"/>
      <c r="K62" s="124" t="n"/>
      <c r="L62" s="124" t="n"/>
      <c r="M62" s="124" t="n"/>
      <c r="N62" s="124" t="n"/>
      <c r="O62" s="124" t="n"/>
    </row>
    <row r="63" ht="15" customHeight="1" s="75">
      <c r="A63" s="128" t="inlineStr">
        <is>
          <t>Junho/2026</t>
        </is>
      </c>
      <c r="B63" s="128" t="inlineStr">
        <is>
          <t>DTEL</t>
        </is>
      </c>
      <c r="C63" s="128" t="inlineStr">
        <is>
          <t>Benefícios</t>
        </is>
      </c>
      <c r="D63" s="128" t="inlineStr">
        <is>
          <t>Stargrid</t>
        </is>
      </c>
      <c r="E63" s="128" t="inlineStr">
        <is>
          <t>MICHELANGELO</t>
        </is>
      </c>
      <c r="F63" s="128" t="n">
        <v>11</v>
      </c>
      <c r="G63" s="129" t="n">
        <v>2.07</v>
      </c>
      <c r="H63" s="129">
        <f>F63*G63</f>
        <v/>
      </c>
      <c r="I63" s="128" t="inlineStr">
        <is>
          <t>Real (taxa fixa por colaborador, confirmada em todas as empresas)</t>
        </is>
      </c>
      <c r="J63" s="124" t="n"/>
      <c r="K63" s="124" t="n"/>
      <c r="L63" s="124" t="n"/>
      <c r="M63" s="124" t="n"/>
      <c r="N63" s="124" t="n"/>
      <c r="O63" s="124" t="n"/>
    </row>
    <row r="64" ht="15" customHeight="1" s="75">
      <c r="A64" s="128" t="inlineStr">
        <is>
          <t>Junho/2026</t>
        </is>
      </c>
      <c r="B64" s="128" t="inlineStr">
        <is>
          <t>DTEL</t>
        </is>
      </c>
      <c r="C64" s="128" t="inlineStr">
        <is>
          <t>Fardamento</t>
        </is>
      </c>
      <c r="D64" s="128" t="inlineStr">
        <is>
          <t>Novo Fardamento</t>
        </is>
      </c>
      <c r="E64" s="128" t="inlineStr">
        <is>
          <t>MICHELANGELO</t>
        </is>
      </c>
      <c r="F64" s="128" t="n">
        <v>1</v>
      </c>
      <c r="G64" s="129" t="n">
        <v>215.62</v>
      </c>
      <c r="H64" s="129" t="n">
        <v>215.62</v>
      </c>
      <c r="I64" s="128" t="inlineStr">
        <is>
          <t>Estimado (fatia proporcional ao nº de colaboradores da equipe, sem taxa fixa por pessoa), fatia de 11 colaboradores da equipe</t>
        </is>
      </c>
      <c r="J64" s="124" t="n"/>
      <c r="K64" s="124" t="n"/>
      <c r="L64" s="124" t="n"/>
      <c r="M64" s="124" t="n"/>
      <c r="N64" s="124" t="n"/>
      <c r="O64" s="124" t="n"/>
    </row>
    <row r="65" ht="15" customHeight="1" s="75">
      <c r="A65" s="128" t="inlineStr">
        <is>
          <t>Junho/2026</t>
        </is>
      </c>
      <c r="B65" s="128" t="inlineStr">
        <is>
          <t>DTEL</t>
        </is>
      </c>
      <c r="C65" s="128" t="inlineStr">
        <is>
          <t>Fardamento</t>
        </is>
      </c>
      <c r="D65" s="128" t="inlineStr">
        <is>
          <t>Substituição extra de Fardamento</t>
        </is>
      </c>
      <c r="E65" s="128" t="inlineStr">
        <is>
          <t>MICHELANGELO</t>
        </is>
      </c>
      <c r="F65" s="128" t="n">
        <v>1</v>
      </c>
      <c r="G65" s="129" t="n">
        <v>324.56</v>
      </c>
      <c r="H65" s="129" t="n">
        <v>324.56</v>
      </c>
      <c r="I65" s="128" t="inlineStr">
        <is>
          <t>Estimado (fatia proporcional ao nº de colaboradores da equipe, sem taxa fixa por pessoa), fatia de 11 colaboradores da equipe</t>
        </is>
      </c>
      <c r="J65" s="124" t="n"/>
      <c r="K65" s="124" t="n"/>
      <c r="L65" s="124" t="n"/>
      <c r="M65" s="124" t="n"/>
      <c r="N65" s="124" t="n"/>
      <c r="O65" s="124" t="n"/>
    </row>
    <row r="66" ht="15" customHeight="1" s="75">
      <c r="A66" s="128" t="inlineStr">
        <is>
          <t>Junho/2026</t>
        </is>
      </c>
      <c r="B66" s="128" t="inlineStr">
        <is>
          <t>DTEL</t>
        </is>
      </c>
      <c r="C66" s="128" t="inlineStr">
        <is>
          <t>Estrutura/Infra</t>
        </is>
      </c>
      <c r="D66" s="128" t="inlineStr">
        <is>
          <t>Linhas moveis (FIQUE MÓVEL)</t>
        </is>
      </c>
      <c r="E66" s="128" t="inlineStr">
        <is>
          <t>MICHELANGELO</t>
        </is>
      </c>
      <c r="F66" s="128" t="n">
        <v>11</v>
      </c>
      <c r="G66" s="129" t="n">
        <v>30</v>
      </c>
      <c r="H66" s="129">
        <f>F66*G66</f>
        <v/>
      </c>
      <c r="I66" s="128" t="inlineStr">
        <is>
          <t>Real (taxa fixa por colaborador, confirmada em todas as empresas)</t>
        </is>
      </c>
      <c r="J66" s="124" t="n"/>
      <c r="K66" s="124" t="n"/>
      <c r="L66" s="124" t="n"/>
      <c r="M66" s="124" t="n"/>
      <c r="N66" s="124" t="n"/>
      <c r="O66" s="124" t="n"/>
    </row>
    <row r="67" ht="15" customHeight="1" s="75">
      <c r="A67" s="128" t="inlineStr">
        <is>
          <t>Junho/2026</t>
        </is>
      </c>
      <c r="B67" s="128" t="inlineStr">
        <is>
          <t>DTEL</t>
        </is>
      </c>
      <c r="C67" s="128" t="inlineStr">
        <is>
          <t>Frota/Combustível</t>
        </is>
      </c>
      <c r="D67" s="128" t="inlineStr">
        <is>
          <t>Consumo de combustível</t>
        </is>
      </c>
      <c r="E67" s="128" t="inlineStr">
        <is>
          <t>MICHELANGELO</t>
        </is>
      </c>
      <c r="F67" s="128" t="n">
        <v>1</v>
      </c>
      <c r="G67" s="129" t="n">
        <v>0</v>
      </c>
      <c r="H67" s="129">
        <f>F67*G67</f>
        <v/>
      </c>
      <c r="I67" s="128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4" t="n"/>
      <c r="K67" s="124" t="n"/>
      <c r="L67" s="124" t="n"/>
      <c r="M67" s="124" t="n"/>
      <c r="N67" s="124" t="n"/>
      <c r="O67" s="124" t="n"/>
    </row>
    <row r="68" ht="15" customHeight="1" s="75">
      <c r="A68" s="128" t="inlineStr">
        <is>
          <t>Junho/2026</t>
        </is>
      </c>
      <c r="B68" s="128" t="inlineStr">
        <is>
          <t>Voicenet</t>
        </is>
      </c>
      <c r="C68" s="128" t="inlineStr">
        <is>
          <t>Pessoal</t>
        </is>
      </c>
      <c r="D68" s="128" t="inlineStr">
        <is>
          <t>Folha Trabalhista com impostos do mês</t>
        </is>
      </c>
      <c r="E68" s="128" t="inlineStr">
        <is>
          <t>MICHELANGELO</t>
        </is>
      </c>
      <c r="F68" s="128" t="n">
        <v>1</v>
      </c>
      <c r="G68" s="129" t="n">
        <v>2763.14</v>
      </c>
      <c r="H68" s="129">
        <f>F68*G68</f>
        <v/>
      </c>
      <c r="I68" s="128" t="inlineStr">
        <is>
          <t>Real (cruzado por nome, 1/2 encontrados)</t>
        </is>
      </c>
      <c r="J68" s="124" t="n"/>
      <c r="K68" s="124" t="n"/>
      <c r="L68" s="124" t="n"/>
      <c r="M68" s="124" t="n"/>
      <c r="N68" s="124" t="n"/>
      <c r="O68" s="124" t="n"/>
    </row>
    <row r="69" ht="15" customHeight="1" s="75">
      <c r="A69" s="128" t="inlineStr">
        <is>
          <t>Junho/2026</t>
        </is>
      </c>
      <c r="B69" s="128" t="inlineStr">
        <is>
          <t>Voicenet</t>
        </is>
      </c>
      <c r="C69" s="128" t="inlineStr">
        <is>
          <t>Pessoal</t>
        </is>
      </c>
      <c r="D69" s="128" t="inlineStr">
        <is>
          <t>Despesas com RH</t>
        </is>
      </c>
      <c r="E69" s="128" t="inlineStr">
        <is>
          <t>MICHELANGELO</t>
        </is>
      </c>
      <c r="F69" s="128" t="n">
        <v>2</v>
      </c>
      <c r="G69" s="129" t="n">
        <v>28.31</v>
      </c>
      <c r="H69" s="129">
        <f>F69*G69</f>
        <v/>
      </c>
      <c r="I69" s="128" t="inlineStr">
        <is>
          <t>Real (taxa fixa por colaborador, confirmada em todas as empresas)</t>
        </is>
      </c>
      <c r="J69" s="124" t="n"/>
      <c r="K69" s="124" t="n"/>
      <c r="L69" s="124" t="n"/>
      <c r="M69" s="124" t="n"/>
      <c r="N69" s="124" t="n"/>
      <c r="O69" s="124" t="n"/>
    </row>
    <row r="70" ht="15" customHeight="1" s="75">
      <c r="A70" s="128" t="inlineStr">
        <is>
          <t>Junho/2026</t>
        </is>
      </c>
      <c r="B70" s="128" t="inlineStr">
        <is>
          <t>Voicenet</t>
        </is>
      </c>
      <c r="C70" s="128" t="inlineStr">
        <is>
          <t>Pessoal</t>
        </is>
      </c>
      <c r="D70" s="128" t="inlineStr">
        <is>
          <t>Despesas com DP</t>
        </is>
      </c>
      <c r="E70" s="128" t="inlineStr">
        <is>
          <t>MICHELANGELO</t>
        </is>
      </c>
      <c r="F70" s="128" t="n">
        <v>2</v>
      </c>
      <c r="G70" s="129" t="n">
        <v>47.79</v>
      </c>
      <c r="H70" s="129">
        <f>F70*G70</f>
        <v/>
      </c>
      <c r="I70" s="128" t="inlineStr">
        <is>
          <t>Real (taxa fixa por colaborador, confirmada em todas as empresas)</t>
        </is>
      </c>
      <c r="J70" s="124" t="n"/>
      <c r="K70" s="124" t="n"/>
      <c r="L70" s="124" t="n"/>
      <c r="M70" s="124" t="n"/>
      <c r="N70" s="124" t="n"/>
      <c r="O70" s="124" t="n"/>
    </row>
    <row r="71" ht="15" customHeight="1" s="75">
      <c r="A71" s="128" t="inlineStr">
        <is>
          <t>Junho/2026</t>
        </is>
      </c>
      <c r="B71" s="128" t="inlineStr">
        <is>
          <t>Voicenet</t>
        </is>
      </c>
      <c r="C71" s="128" t="inlineStr">
        <is>
          <t>Segurança do Trabalho</t>
        </is>
      </c>
      <c r="D71" s="128" t="inlineStr">
        <is>
          <t>Despesas com SST</t>
        </is>
      </c>
      <c r="E71" s="128" t="inlineStr">
        <is>
          <t>MICHELANGELO</t>
        </is>
      </c>
      <c r="F71" s="128" t="n">
        <v>2</v>
      </c>
      <c r="G71" s="129" t="n">
        <v>64.54000000000001</v>
      </c>
      <c r="H71" s="129">
        <f>F71*G71</f>
        <v/>
      </c>
      <c r="I71" s="128" t="inlineStr">
        <is>
          <t>Real (taxa fixa por colaborador, confirmada em todas as empresas)</t>
        </is>
      </c>
      <c r="J71" s="124" t="n"/>
      <c r="K71" s="124" t="n"/>
      <c r="L71" s="124" t="n"/>
      <c r="M71" s="124" t="n"/>
      <c r="N71" s="124" t="n"/>
      <c r="O71" s="124" t="n"/>
    </row>
    <row r="72" ht="15" customHeight="1" s="75">
      <c r="A72" s="128" t="inlineStr">
        <is>
          <t>Junho/2026</t>
        </is>
      </c>
      <c r="B72" s="128" t="inlineStr">
        <is>
          <t>Voicenet</t>
        </is>
      </c>
      <c r="C72" s="128" t="inlineStr">
        <is>
          <t>Benefícios</t>
        </is>
      </c>
      <c r="D72" s="128" t="inlineStr">
        <is>
          <t>Gympass</t>
        </is>
      </c>
      <c r="E72" s="128" t="inlineStr">
        <is>
          <t>MICHELANGELO</t>
        </is>
      </c>
      <c r="F72" s="128" t="n">
        <v>2</v>
      </c>
      <c r="G72" s="129" t="n">
        <v>10.05</v>
      </c>
      <c r="H72" s="129">
        <f>F72*G72</f>
        <v/>
      </c>
      <c r="I72" s="128" t="inlineStr">
        <is>
          <t>Real (taxa fixa por colaborador, confirmada em todas as empresas)</t>
        </is>
      </c>
      <c r="J72" s="124" t="n"/>
      <c r="K72" s="124" t="n"/>
      <c r="L72" s="124" t="n"/>
      <c r="M72" s="124" t="n"/>
      <c r="N72" s="124" t="n"/>
      <c r="O72" s="124" t="n"/>
    </row>
    <row r="73" ht="15" customHeight="1" s="75">
      <c r="A73" s="128" t="inlineStr">
        <is>
          <t>Junho/2026</t>
        </is>
      </c>
      <c r="B73" s="128" t="inlineStr">
        <is>
          <t>Voicenet</t>
        </is>
      </c>
      <c r="C73" s="128" t="inlineStr">
        <is>
          <t>Benefícios</t>
        </is>
      </c>
      <c r="D73" s="128" t="inlineStr">
        <is>
          <t>Stargrid</t>
        </is>
      </c>
      <c r="E73" s="128" t="inlineStr">
        <is>
          <t>MICHELANGELO</t>
        </is>
      </c>
      <c r="F73" s="128" t="n">
        <v>2</v>
      </c>
      <c r="G73" s="129" t="n">
        <v>2.07</v>
      </c>
      <c r="H73" s="129">
        <f>F73*G73</f>
        <v/>
      </c>
      <c r="I73" s="128" t="inlineStr">
        <is>
          <t>Real (taxa fixa por colaborador, confirmada em todas as empresas)</t>
        </is>
      </c>
      <c r="J73" s="124" t="n"/>
      <c r="K73" s="124" t="n"/>
      <c r="L73" s="124" t="n"/>
      <c r="M73" s="124" t="n"/>
      <c r="N73" s="124" t="n"/>
      <c r="O73" s="124" t="n"/>
    </row>
    <row r="74" ht="15" customHeight="1" s="75">
      <c r="A74" s="128" t="inlineStr">
        <is>
          <t>Junho/2026</t>
        </is>
      </c>
      <c r="B74" s="128" t="inlineStr">
        <is>
          <t>Voicenet</t>
        </is>
      </c>
      <c r="C74" s="128" t="inlineStr">
        <is>
          <t>Estrutura/Infra</t>
        </is>
      </c>
      <c r="D74" s="128" t="inlineStr">
        <is>
          <t>Linhas moveis (FIQUE MÓVEL)</t>
        </is>
      </c>
      <c r="E74" s="128" t="inlineStr">
        <is>
          <t>MICHELANGELO</t>
        </is>
      </c>
      <c r="F74" s="128" t="n">
        <v>2</v>
      </c>
      <c r="G74" s="129" t="n">
        <v>30</v>
      </c>
      <c r="H74" s="129">
        <f>F74*G74</f>
        <v/>
      </c>
      <c r="I74" s="128" t="inlineStr">
        <is>
          <t>Real (taxa fixa por colaborador, confirmada em todas as empresas)</t>
        </is>
      </c>
      <c r="J74" s="124" t="n"/>
      <c r="K74" s="124" t="n"/>
      <c r="L74" s="124" t="n"/>
      <c r="M74" s="124" t="n"/>
      <c r="N74" s="124" t="n"/>
      <c r="O74" s="124" t="n"/>
    </row>
    <row r="75" ht="15" customHeight="1" s="75">
      <c r="A75" s="128" t="inlineStr">
        <is>
          <t>Junho/2026</t>
        </is>
      </c>
      <c r="B75" s="128" t="inlineStr">
        <is>
          <t>Voicenet</t>
        </is>
      </c>
      <c r="C75" s="128" t="inlineStr">
        <is>
          <t>Frota/Combustível</t>
        </is>
      </c>
      <c r="D75" s="128" t="inlineStr">
        <is>
          <t>Consumo de combustível</t>
        </is>
      </c>
      <c r="E75" s="128" t="inlineStr">
        <is>
          <t>MICHELANGELO</t>
        </is>
      </c>
      <c r="F75" s="128" t="n">
        <v>1</v>
      </c>
      <c r="G75" s="129" t="n">
        <v>696.8</v>
      </c>
      <c r="H75" s="129">
        <f>F75*G75</f>
        <v/>
      </c>
      <c r="I75" s="128" t="inlineStr">
        <is>
          <t>Real (cruzado por nome, planilha de combustível)</t>
        </is>
      </c>
      <c r="J75" s="124" t="n"/>
      <c r="K75" s="124" t="n"/>
      <c r="L75" s="124" t="n"/>
      <c r="M75" s="124" t="n"/>
      <c r="N75" s="124" t="n"/>
      <c r="O75" s="124" t="n"/>
    </row>
    <row r="76" ht="15" customHeight="1" s="75">
      <c r="A76" s="128" t="inlineStr">
        <is>
          <t>Junho/2026</t>
        </is>
      </c>
      <c r="B76" s="128" t="inlineStr">
        <is>
          <t>DTEL</t>
        </is>
      </c>
      <c r="C76" s="128" t="inlineStr">
        <is>
          <t>Pessoal</t>
        </is>
      </c>
      <c r="D76" s="128" t="inlineStr">
        <is>
          <t>Folha Trabalhista com impostos do mês</t>
        </is>
      </c>
      <c r="E76" s="128" t="inlineStr">
        <is>
          <t>TARCIZIO MEIRELES</t>
        </is>
      </c>
      <c r="F76" s="128" t="n">
        <v>1</v>
      </c>
      <c r="G76" s="129" t="n">
        <v>57354.9353136</v>
      </c>
      <c r="H76" s="129">
        <f>F76*G76</f>
        <v/>
      </c>
      <c r="I76" s="128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4" t="n"/>
      <c r="K76" s="124" t="n"/>
      <c r="L76" s="124" t="n"/>
      <c r="M76" s="124" t="n"/>
      <c r="N76" s="124" t="n"/>
      <c r="O76" s="124" t="n"/>
    </row>
    <row r="77" ht="15" customHeight="1" s="75">
      <c r="A77" s="128" t="inlineStr">
        <is>
          <t>Junho/2026</t>
        </is>
      </c>
      <c r="B77" s="128" t="inlineStr">
        <is>
          <t>DTEL</t>
        </is>
      </c>
      <c r="C77" s="128" t="inlineStr">
        <is>
          <t>Pessoal</t>
        </is>
      </c>
      <c r="D77" s="128" t="inlineStr">
        <is>
          <t>Vale Transporte</t>
        </is>
      </c>
      <c r="E77" s="128" t="inlineStr">
        <is>
          <t>TARCIZIO MEIRELES</t>
        </is>
      </c>
      <c r="F77" s="128" t="n">
        <v>1</v>
      </c>
      <c r="G77" s="129" t="n">
        <v>570.86</v>
      </c>
      <c r="H77" s="129" t="n">
        <v>570.86</v>
      </c>
      <c r="I77" s="128" t="inlineStr">
        <is>
          <t>Estimado (fatia proporcional ao nº de colaboradores da equipe, sem taxa fixa por pessoa), fatia de 18 colaboradores da equipe</t>
        </is>
      </c>
      <c r="J77" s="124" t="n"/>
      <c r="K77" s="124" t="n"/>
      <c r="L77" s="124" t="n"/>
      <c r="M77" s="124" t="n"/>
      <c r="N77" s="124" t="n"/>
      <c r="O77" s="124" t="n"/>
    </row>
    <row r="78" ht="15" customHeight="1" s="75">
      <c r="A78" s="128" t="inlineStr">
        <is>
          <t>Junho/2026</t>
        </is>
      </c>
      <c r="B78" s="128" t="inlineStr">
        <is>
          <t>DTEL</t>
        </is>
      </c>
      <c r="C78" s="128" t="inlineStr">
        <is>
          <t>Pessoal</t>
        </is>
      </c>
      <c r="D78" s="128" t="inlineStr">
        <is>
          <t>Despesas com RH</t>
        </is>
      </c>
      <c r="E78" s="128" t="inlineStr">
        <is>
          <t>TARCIZIO MEIRELES</t>
        </is>
      </c>
      <c r="F78" s="128" t="n">
        <v>18</v>
      </c>
      <c r="G78" s="129" t="n">
        <v>28.31</v>
      </c>
      <c r="H78" s="129">
        <f>F78*G78</f>
        <v/>
      </c>
      <c r="I78" s="128" t="inlineStr">
        <is>
          <t>Real (taxa fixa por colaborador, confirmada em todas as empresas)</t>
        </is>
      </c>
      <c r="J78" s="124" t="n"/>
      <c r="K78" s="124" t="n"/>
      <c r="L78" s="124" t="n"/>
      <c r="M78" s="124" t="n"/>
      <c r="N78" s="124" t="n"/>
      <c r="O78" s="124" t="n"/>
    </row>
    <row r="79" ht="15" customHeight="1" s="75">
      <c r="A79" s="128" t="inlineStr">
        <is>
          <t>Junho/2026</t>
        </is>
      </c>
      <c r="B79" s="128" t="inlineStr">
        <is>
          <t>DTEL</t>
        </is>
      </c>
      <c r="C79" s="128" t="inlineStr">
        <is>
          <t>Pessoal</t>
        </is>
      </c>
      <c r="D79" s="128" t="inlineStr">
        <is>
          <t>Despesas com DP</t>
        </is>
      </c>
      <c r="E79" s="128" t="inlineStr">
        <is>
          <t>TARCIZIO MEIRELES</t>
        </is>
      </c>
      <c r="F79" s="128" t="n">
        <v>18</v>
      </c>
      <c r="G79" s="129" t="n">
        <v>47.79</v>
      </c>
      <c r="H79" s="129">
        <f>F79*G79</f>
        <v/>
      </c>
      <c r="I79" s="128" t="inlineStr">
        <is>
          <t>Real (taxa fixa por colaborador, confirmada em todas as empresas)</t>
        </is>
      </c>
      <c r="J79" s="124" t="n"/>
      <c r="K79" s="124" t="n"/>
      <c r="L79" s="124" t="n"/>
      <c r="M79" s="124" t="n"/>
      <c r="N79" s="124" t="n"/>
      <c r="O79" s="124" t="n"/>
    </row>
    <row r="80" ht="15" customHeight="1" s="75">
      <c r="A80" s="128" t="inlineStr">
        <is>
          <t>Junho/2026</t>
        </is>
      </c>
      <c r="B80" s="128" t="inlineStr">
        <is>
          <t>DTEL</t>
        </is>
      </c>
      <c r="C80" s="128" t="inlineStr">
        <is>
          <t>Segurança do Trabalho</t>
        </is>
      </c>
      <c r="D80" s="128" t="inlineStr">
        <is>
          <t>Despesas com SST</t>
        </is>
      </c>
      <c r="E80" s="128" t="inlineStr">
        <is>
          <t>TARCIZIO MEIRELES</t>
        </is>
      </c>
      <c r="F80" s="128" t="n">
        <v>18</v>
      </c>
      <c r="G80" s="129" t="n">
        <v>64.54000000000001</v>
      </c>
      <c r="H80" s="129">
        <f>F80*G80</f>
        <v/>
      </c>
      <c r="I80" s="128" t="inlineStr">
        <is>
          <t>Real (taxa fixa por colaborador, confirmada em todas as empresas)</t>
        </is>
      </c>
      <c r="J80" s="124" t="n"/>
      <c r="K80" s="124" t="n"/>
      <c r="L80" s="124" t="n"/>
      <c r="M80" s="124" t="n"/>
      <c r="N80" s="124" t="n"/>
      <c r="O80" s="124" t="n"/>
    </row>
    <row r="81" ht="15" customHeight="1" s="75">
      <c r="A81" s="128" t="inlineStr">
        <is>
          <t>Junho/2026</t>
        </is>
      </c>
      <c r="B81" s="128" t="inlineStr">
        <is>
          <t>DTEL</t>
        </is>
      </c>
      <c r="C81" s="128" t="inlineStr">
        <is>
          <t>Segurança do Trabalho</t>
        </is>
      </c>
      <c r="D81" s="128" t="inlineStr">
        <is>
          <t>Despesas SST exames</t>
        </is>
      </c>
      <c r="E81" s="128" t="inlineStr">
        <is>
          <t>TARCIZIO MEIRELES</t>
        </is>
      </c>
      <c r="F81" s="128" t="n">
        <v>1</v>
      </c>
      <c r="G81" s="129" t="n">
        <v>65.56999999999999</v>
      </c>
      <c r="H81" s="129" t="n">
        <v>65.56999999999999</v>
      </c>
      <c r="I81" s="128" t="inlineStr">
        <is>
          <t>Estimado (fatia proporcional ao nº de colaboradores da equipe, sem taxa fixa por pessoa), fatia de 18 colaboradores da equipe</t>
        </is>
      </c>
      <c r="J81" s="124" t="n"/>
      <c r="K81" s="124" t="n"/>
      <c r="L81" s="124" t="n"/>
      <c r="M81" s="124" t="n"/>
      <c r="N81" s="124" t="n"/>
      <c r="O81" s="124" t="n"/>
    </row>
    <row r="82" ht="15" customHeight="1" s="75">
      <c r="A82" s="128" t="inlineStr">
        <is>
          <t>Junho/2026</t>
        </is>
      </c>
      <c r="B82" s="128" t="inlineStr">
        <is>
          <t>DTEL</t>
        </is>
      </c>
      <c r="C82" s="128" t="inlineStr">
        <is>
          <t>Benefícios</t>
        </is>
      </c>
      <c r="D82" s="128" t="inlineStr">
        <is>
          <t>Gympass</t>
        </is>
      </c>
      <c r="E82" s="128" t="inlineStr">
        <is>
          <t>TARCIZIO MEIRELES</t>
        </is>
      </c>
      <c r="F82" s="128" t="n">
        <v>18</v>
      </c>
      <c r="G82" s="129" t="n">
        <v>10.05</v>
      </c>
      <c r="H82" s="129">
        <f>F82*G82</f>
        <v/>
      </c>
      <c r="I82" s="128" t="inlineStr">
        <is>
          <t>Real (taxa fixa por colaborador, confirmada em todas as empresas)</t>
        </is>
      </c>
      <c r="J82" s="124" t="n"/>
      <c r="K82" s="124" t="n"/>
      <c r="L82" s="124" t="n"/>
      <c r="M82" s="124" t="n"/>
      <c r="N82" s="124" t="n"/>
      <c r="O82" s="124" t="n"/>
    </row>
    <row r="83" ht="15" customHeight="1" s="75">
      <c r="A83" s="128" t="inlineStr">
        <is>
          <t>Junho/2026</t>
        </is>
      </c>
      <c r="B83" s="128" t="inlineStr">
        <is>
          <t>DTEL</t>
        </is>
      </c>
      <c r="C83" s="128" t="inlineStr">
        <is>
          <t>Benefícios</t>
        </is>
      </c>
      <c r="D83" s="128" t="inlineStr">
        <is>
          <t>Stargrid</t>
        </is>
      </c>
      <c r="E83" s="128" t="inlineStr">
        <is>
          <t>TARCIZIO MEIRELES</t>
        </is>
      </c>
      <c r="F83" s="128" t="n">
        <v>18</v>
      </c>
      <c r="G83" s="129" t="n">
        <v>2.07</v>
      </c>
      <c r="H83" s="129">
        <f>F83*G83</f>
        <v/>
      </c>
      <c r="I83" s="128" t="inlineStr">
        <is>
          <t>Real (taxa fixa por colaborador, confirmada em todas as empresas)</t>
        </is>
      </c>
      <c r="J83" s="124" t="n"/>
      <c r="K83" s="124" t="n"/>
      <c r="L83" s="124" t="n"/>
      <c r="M83" s="124" t="n"/>
      <c r="N83" s="124" t="n"/>
      <c r="O83" s="124" t="n"/>
    </row>
    <row r="84" ht="15" customHeight="1" s="75">
      <c r="A84" s="128" t="inlineStr">
        <is>
          <t>Junho/2026</t>
        </is>
      </c>
      <c r="B84" s="128" t="inlineStr">
        <is>
          <t>DTEL</t>
        </is>
      </c>
      <c r="C84" s="128" t="inlineStr">
        <is>
          <t>Fardamento</t>
        </is>
      </c>
      <c r="D84" s="128" t="inlineStr">
        <is>
          <t>Novo Fardamento</t>
        </is>
      </c>
      <c r="E84" s="128" t="inlineStr">
        <is>
          <t>TARCIZIO MEIRELES</t>
        </is>
      </c>
      <c r="F84" s="128" t="n">
        <v>1</v>
      </c>
      <c r="G84" s="129" t="n">
        <v>352.84</v>
      </c>
      <c r="H84" s="129" t="n">
        <v>352.84</v>
      </c>
      <c r="I84" s="128" t="inlineStr">
        <is>
          <t>Estimado (fatia proporcional ao nº de colaboradores da equipe, sem taxa fixa por pessoa), fatia de 18 colaboradores da equipe</t>
        </is>
      </c>
      <c r="J84" s="124" t="n"/>
      <c r="K84" s="124" t="n"/>
      <c r="L84" s="124" t="n"/>
      <c r="M84" s="124" t="n"/>
      <c r="N84" s="124" t="n"/>
      <c r="O84" s="124" t="n"/>
    </row>
    <row r="85" ht="15" customHeight="1" s="75">
      <c r="A85" s="128" t="inlineStr">
        <is>
          <t>Junho/2026</t>
        </is>
      </c>
      <c r="B85" s="128" t="inlineStr">
        <is>
          <t>DTEL</t>
        </is>
      </c>
      <c r="C85" s="128" t="inlineStr">
        <is>
          <t>Fardamento</t>
        </is>
      </c>
      <c r="D85" s="128" t="inlineStr">
        <is>
          <t>Substituição extra de Fardamento</t>
        </is>
      </c>
      <c r="E85" s="128" t="inlineStr">
        <is>
          <t>TARCIZIO MEIRELES</t>
        </is>
      </c>
      <c r="F85" s="128" t="n">
        <v>1</v>
      </c>
      <c r="G85" s="129" t="n">
        <v>531.09</v>
      </c>
      <c r="H85" s="129" t="n">
        <v>531.09</v>
      </c>
      <c r="I85" s="128" t="inlineStr">
        <is>
          <t>Estimado (fatia proporcional ao nº de colaboradores da equipe, sem taxa fixa por pessoa), fatia de 18 colaboradores da equipe</t>
        </is>
      </c>
      <c r="J85" s="124" t="n"/>
      <c r="K85" s="124" t="n"/>
      <c r="L85" s="124" t="n"/>
      <c r="M85" s="124" t="n"/>
      <c r="N85" s="124" t="n"/>
      <c r="O85" s="124" t="n"/>
    </row>
    <row r="86" ht="15" customHeight="1" s="75">
      <c r="A86" s="128" t="inlineStr">
        <is>
          <t>Junho/2026</t>
        </is>
      </c>
      <c r="B86" s="128" t="inlineStr">
        <is>
          <t>DTEL</t>
        </is>
      </c>
      <c r="C86" s="128" t="inlineStr">
        <is>
          <t>Estrutura/Infra</t>
        </is>
      </c>
      <c r="D86" s="128" t="inlineStr">
        <is>
          <t>Linhas moveis (FIQUE MÓVEL)</t>
        </is>
      </c>
      <c r="E86" s="128" t="inlineStr">
        <is>
          <t>TARCIZIO MEIRELES</t>
        </is>
      </c>
      <c r="F86" s="128" t="n">
        <v>18</v>
      </c>
      <c r="G86" s="129" t="n">
        <v>30</v>
      </c>
      <c r="H86" s="129">
        <f>F86*G86</f>
        <v/>
      </c>
      <c r="I86" s="128" t="inlineStr">
        <is>
          <t>Real (taxa fixa por colaborador, confirmada em todas as empresas)</t>
        </is>
      </c>
      <c r="J86" s="124" t="n"/>
      <c r="K86" s="124" t="n"/>
      <c r="L86" s="124" t="n"/>
      <c r="M86" s="124" t="n"/>
      <c r="N86" s="124" t="n"/>
      <c r="O86" s="124" t="n"/>
    </row>
    <row r="87" ht="15" customHeight="1" s="75">
      <c r="A87" s="128" t="inlineStr">
        <is>
          <t>Junho/2026</t>
        </is>
      </c>
      <c r="B87" s="128" t="inlineStr">
        <is>
          <t>DTEL</t>
        </is>
      </c>
      <c r="C87" s="128" t="inlineStr">
        <is>
          <t>Frota/Combustível</t>
        </is>
      </c>
      <c r="D87" s="128" t="inlineStr">
        <is>
          <t>Consumo de combustível</t>
        </is>
      </c>
      <c r="E87" s="128" t="inlineStr">
        <is>
          <t>TARCIZIO MEIRELES</t>
        </is>
      </c>
      <c r="F87" s="128" t="n">
        <v>1</v>
      </c>
      <c r="G87" s="129" t="n">
        <v>2345.27</v>
      </c>
      <c r="H87" s="129">
        <f>F87*G87</f>
        <v/>
      </c>
      <c r="I87" s="128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4" t="n"/>
      <c r="K87" s="124" t="n"/>
      <c r="L87" s="124" t="n"/>
      <c r="M87" s="124" t="n"/>
      <c r="N87" s="124" t="n"/>
      <c r="O87" s="124" t="n"/>
    </row>
    <row r="88" ht="15" customHeight="1" s="75">
      <c r="A88" s="128" t="inlineStr">
        <is>
          <t>Junho/2026</t>
        </is>
      </c>
      <c r="B88" s="128" t="inlineStr">
        <is>
          <t>Solon Araújo</t>
        </is>
      </c>
      <c r="C88" s="128" t="inlineStr">
        <is>
          <t>Pessoal</t>
        </is>
      </c>
      <c r="D88" s="128" t="inlineStr">
        <is>
          <t>Folha Trabalhista com impostos do mês</t>
        </is>
      </c>
      <c r="E88" s="128" t="inlineStr">
        <is>
          <t>TARCIZIO MEIRELES</t>
        </is>
      </c>
      <c r="F88" s="128" t="n">
        <v>1</v>
      </c>
      <c r="G88" s="129" t="n">
        <v>2755.29</v>
      </c>
      <c r="H88" s="129">
        <f>F88*G88</f>
        <v/>
      </c>
      <c r="I88" s="128" t="inlineStr">
        <is>
          <t>Real (cruzado por nome, 1/2 encontrados)</t>
        </is>
      </c>
      <c r="J88" s="124" t="n"/>
      <c r="K88" s="124" t="n"/>
      <c r="L88" s="124" t="n"/>
      <c r="M88" s="124" t="n"/>
      <c r="N88" s="124" t="n"/>
      <c r="O88" s="124" t="n"/>
    </row>
    <row r="89" ht="15" customHeight="1" s="75">
      <c r="A89" s="128" t="inlineStr">
        <is>
          <t>Junho/2026</t>
        </is>
      </c>
      <c r="B89" s="128" t="inlineStr">
        <is>
          <t>Solon Araújo</t>
        </is>
      </c>
      <c r="C89" s="128" t="inlineStr">
        <is>
          <t>Pessoal</t>
        </is>
      </c>
      <c r="D89" s="128" t="inlineStr">
        <is>
          <t>Despesas com RH</t>
        </is>
      </c>
      <c r="E89" s="128" t="inlineStr">
        <is>
          <t>TARCIZIO MEIRELES</t>
        </is>
      </c>
      <c r="F89" s="128" t="n">
        <v>2</v>
      </c>
      <c r="G89" s="129" t="n">
        <v>28.31</v>
      </c>
      <c r="H89" s="129">
        <f>F89*G89</f>
        <v/>
      </c>
      <c r="I89" s="128" t="inlineStr">
        <is>
          <t>Real (taxa fixa por colaborador, confirmada em todas as empresas)</t>
        </is>
      </c>
      <c r="J89" s="124" t="n"/>
      <c r="K89" s="124" t="n"/>
      <c r="L89" s="124" t="n"/>
      <c r="M89" s="124" t="n"/>
      <c r="N89" s="124" t="n"/>
      <c r="O89" s="124" t="n"/>
    </row>
    <row r="90" ht="15" customHeight="1" s="75">
      <c r="A90" s="128" t="inlineStr">
        <is>
          <t>Junho/2026</t>
        </is>
      </c>
      <c r="B90" s="128" t="inlineStr">
        <is>
          <t>Solon Araújo</t>
        </is>
      </c>
      <c r="C90" s="128" t="inlineStr">
        <is>
          <t>Pessoal</t>
        </is>
      </c>
      <c r="D90" s="128" t="inlineStr">
        <is>
          <t>Despesas com DP</t>
        </is>
      </c>
      <c r="E90" s="128" t="inlineStr">
        <is>
          <t>TARCIZIO MEIRELES</t>
        </is>
      </c>
      <c r="F90" s="128" t="n">
        <v>2</v>
      </c>
      <c r="G90" s="129" t="n">
        <v>47.79</v>
      </c>
      <c r="H90" s="129">
        <f>F90*G90</f>
        <v/>
      </c>
      <c r="I90" s="128" t="inlineStr">
        <is>
          <t>Real (taxa fixa por colaborador, confirmada em todas as empresas)</t>
        </is>
      </c>
      <c r="J90" s="124" t="n"/>
      <c r="K90" s="124" t="n"/>
      <c r="L90" s="124" t="n"/>
      <c r="M90" s="124" t="n"/>
      <c r="N90" s="124" t="n"/>
      <c r="O90" s="124" t="n"/>
    </row>
    <row r="91" ht="15" customHeight="1" s="75">
      <c r="A91" s="128" t="inlineStr">
        <is>
          <t>Junho/2026</t>
        </is>
      </c>
      <c r="B91" s="128" t="inlineStr">
        <is>
          <t>Solon Araújo</t>
        </is>
      </c>
      <c r="C91" s="128" t="inlineStr">
        <is>
          <t>Segurança do Trabalho</t>
        </is>
      </c>
      <c r="D91" s="128" t="inlineStr">
        <is>
          <t>Despesas com SST</t>
        </is>
      </c>
      <c r="E91" s="128" t="inlineStr">
        <is>
          <t>TARCIZIO MEIRELES</t>
        </is>
      </c>
      <c r="F91" s="128" t="n">
        <v>2</v>
      </c>
      <c r="G91" s="129" t="n">
        <v>64.54000000000001</v>
      </c>
      <c r="H91" s="129">
        <f>F91*G91</f>
        <v/>
      </c>
      <c r="I91" s="128" t="inlineStr">
        <is>
          <t>Real (taxa fixa por colaborador, confirmada em todas as empresas)</t>
        </is>
      </c>
      <c r="J91" s="124" t="n"/>
      <c r="K91" s="124" t="n"/>
      <c r="L91" s="124" t="n"/>
      <c r="M91" s="124" t="n"/>
      <c r="N91" s="124" t="n"/>
      <c r="O91" s="124" t="n"/>
    </row>
    <row r="92" ht="15" customHeight="1" s="75">
      <c r="A92" s="128" t="inlineStr">
        <is>
          <t>Junho/2026</t>
        </is>
      </c>
      <c r="B92" s="128" t="inlineStr">
        <is>
          <t>Solon Araújo</t>
        </is>
      </c>
      <c r="C92" s="128" t="inlineStr">
        <is>
          <t>Benefícios</t>
        </is>
      </c>
      <c r="D92" s="128" t="inlineStr">
        <is>
          <t>Gympass</t>
        </is>
      </c>
      <c r="E92" s="128" t="inlineStr">
        <is>
          <t>TARCIZIO MEIRELES</t>
        </is>
      </c>
      <c r="F92" s="128" t="n">
        <v>2</v>
      </c>
      <c r="G92" s="129" t="n">
        <v>10.05</v>
      </c>
      <c r="H92" s="129">
        <f>F92*G92</f>
        <v/>
      </c>
      <c r="I92" s="128" t="inlineStr">
        <is>
          <t>Real (taxa fixa por colaborador, confirmada em todas as empresas)</t>
        </is>
      </c>
      <c r="J92" s="124" t="n"/>
      <c r="K92" s="124" t="n"/>
      <c r="L92" s="124" t="n"/>
      <c r="M92" s="124" t="n"/>
      <c r="N92" s="124" t="n"/>
      <c r="O92" s="124" t="n"/>
    </row>
    <row r="93" ht="15" customHeight="1" s="75">
      <c r="A93" s="128" t="inlineStr">
        <is>
          <t>Junho/2026</t>
        </is>
      </c>
      <c r="B93" s="128" t="inlineStr">
        <is>
          <t>Solon Araújo</t>
        </is>
      </c>
      <c r="C93" s="128" t="inlineStr">
        <is>
          <t>Benefícios</t>
        </is>
      </c>
      <c r="D93" s="128" t="inlineStr">
        <is>
          <t>Stargrid</t>
        </is>
      </c>
      <c r="E93" s="128" t="inlineStr">
        <is>
          <t>TARCIZIO MEIRELES</t>
        </is>
      </c>
      <c r="F93" s="128" t="n">
        <v>2</v>
      </c>
      <c r="G93" s="129" t="n">
        <v>2.07</v>
      </c>
      <c r="H93" s="129">
        <f>F93*G93</f>
        <v/>
      </c>
      <c r="I93" s="128" t="inlineStr">
        <is>
          <t>Real (taxa fixa por colaborador, confirmada em todas as empresas)</t>
        </is>
      </c>
      <c r="J93" s="124" t="n"/>
      <c r="K93" s="124" t="n"/>
      <c r="L93" s="124" t="n"/>
      <c r="M93" s="124" t="n"/>
      <c r="N93" s="124" t="n"/>
      <c r="O93" s="124" t="n"/>
    </row>
    <row r="94" ht="15" customHeight="1" s="75">
      <c r="A94" s="128" t="inlineStr">
        <is>
          <t>Junho/2026</t>
        </is>
      </c>
      <c r="B94" s="128" t="inlineStr">
        <is>
          <t>Solon Araújo</t>
        </is>
      </c>
      <c r="C94" s="128" t="inlineStr">
        <is>
          <t>Estrutura/Infra</t>
        </is>
      </c>
      <c r="D94" s="128" t="inlineStr">
        <is>
          <t>Linhas moveis (FIQUE MÓVEL)</t>
        </is>
      </c>
      <c r="E94" s="128" t="inlineStr">
        <is>
          <t>TARCIZIO MEIRELES</t>
        </is>
      </c>
      <c r="F94" s="128" t="n">
        <v>2</v>
      </c>
      <c r="G94" s="129" t="n">
        <v>30</v>
      </c>
      <c r="H94" s="129">
        <f>F94*G94</f>
        <v/>
      </c>
      <c r="I94" s="128" t="inlineStr">
        <is>
          <t>Real (taxa fixa por colaborador, confirmada em todas as empresas)</t>
        </is>
      </c>
      <c r="J94" s="124" t="n"/>
      <c r="K94" s="124" t="n"/>
      <c r="L94" s="124" t="n"/>
      <c r="M94" s="124" t="n"/>
      <c r="N94" s="124" t="n"/>
      <c r="O94" s="124" t="n"/>
    </row>
    <row r="95" ht="15" customHeight="1" s="75">
      <c r="A95" s="128" t="inlineStr">
        <is>
          <t>Junho/2026</t>
        </is>
      </c>
      <c r="B95" s="128" t="inlineStr">
        <is>
          <t>Solon Araújo</t>
        </is>
      </c>
      <c r="C95" s="128" t="inlineStr">
        <is>
          <t>Frota/Combustível</t>
        </is>
      </c>
      <c r="D95" s="128" t="inlineStr">
        <is>
          <t>Consumo de combustível</t>
        </is>
      </c>
      <c r="E95" s="128" t="inlineStr">
        <is>
          <t>TARCIZIO MEIRELES</t>
        </is>
      </c>
      <c r="F95" s="128" t="n">
        <v>1</v>
      </c>
      <c r="G95" s="129" t="n">
        <v>1447.18</v>
      </c>
      <c r="H95" s="129">
        <f>F95*G95</f>
        <v/>
      </c>
      <c r="I95" s="128" t="inlineStr">
        <is>
          <t>Real (cruzado por nome, planilha de combustível)</t>
        </is>
      </c>
      <c r="J95" s="124" t="n"/>
      <c r="K95" s="124" t="n"/>
      <c r="L95" s="124" t="n"/>
      <c r="M95" s="124" t="n"/>
      <c r="N95" s="124" t="n"/>
      <c r="O95" s="124" t="n"/>
    </row>
    <row r="96" ht="15" customHeight="1" s="75">
      <c r="A96" s="128" t="inlineStr">
        <is>
          <t>Junho/2026</t>
        </is>
      </c>
      <c r="B96" s="128" t="inlineStr">
        <is>
          <t>Souza e Silva</t>
        </is>
      </c>
      <c r="C96" s="128" t="inlineStr">
        <is>
          <t>Pessoal</t>
        </is>
      </c>
      <c r="D96" s="128" t="inlineStr">
        <is>
          <t>Folha Trabalhista com impostos do mês</t>
        </is>
      </c>
      <c r="E96" s="128" t="inlineStr">
        <is>
          <t>TARCIZIO MEIRELES</t>
        </is>
      </c>
      <c r="F96" s="128" t="n">
        <v>1</v>
      </c>
      <c r="G96" s="129" t="n">
        <v>11931.77</v>
      </c>
      <c r="H96" s="129">
        <f>F96*G96</f>
        <v/>
      </c>
      <c r="I96" s="128" t="inlineStr">
        <is>
          <t>Real (cruzado por nome, 5/5 encontrados)</t>
        </is>
      </c>
      <c r="J96" s="124" t="n"/>
      <c r="K96" s="124" t="n"/>
      <c r="L96" s="124" t="n"/>
      <c r="M96" s="124" t="n"/>
      <c r="N96" s="124" t="n"/>
      <c r="O96" s="124" t="n"/>
    </row>
    <row r="97" ht="15" customHeight="1" s="75">
      <c r="A97" s="128" t="inlineStr">
        <is>
          <t>Junho/2026</t>
        </is>
      </c>
      <c r="B97" s="128" t="inlineStr">
        <is>
          <t>Souza e Silva</t>
        </is>
      </c>
      <c r="C97" s="128" t="inlineStr">
        <is>
          <t>Pessoal</t>
        </is>
      </c>
      <c r="D97" s="128" t="inlineStr">
        <is>
          <t>Despesas com RH</t>
        </is>
      </c>
      <c r="E97" s="128" t="inlineStr">
        <is>
          <t>TARCIZIO MEIRELES</t>
        </is>
      </c>
      <c r="F97" s="128" t="n">
        <v>5</v>
      </c>
      <c r="G97" s="129" t="n">
        <v>28.31</v>
      </c>
      <c r="H97" s="129">
        <f>F97*G97</f>
        <v/>
      </c>
      <c r="I97" s="128" t="inlineStr">
        <is>
          <t>Real (taxa fixa por colaborador, confirmada em todas as empresas)</t>
        </is>
      </c>
      <c r="J97" s="124" t="n"/>
      <c r="K97" s="124" t="n"/>
      <c r="L97" s="124" t="n"/>
      <c r="M97" s="124" t="n"/>
      <c r="N97" s="124" t="n"/>
      <c r="O97" s="124" t="n"/>
    </row>
    <row r="98" ht="15" customHeight="1" s="75">
      <c r="A98" s="128" t="inlineStr">
        <is>
          <t>Junho/2026</t>
        </is>
      </c>
      <c r="B98" s="128" t="inlineStr">
        <is>
          <t>Souza e Silva</t>
        </is>
      </c>
      <c r="C98" s="128" t="inlineStr">
        <is>
          <t>Pessoal</t>
        </is>
      </c>
      <c r="D98" s="128" t="inlineStr">
        <is>
          <t>Despesas com DP</t>
        </is>
      </c>
      <c r="E98" s="128" t="inlineStr">
        <is>
          <t>TARCIZIO MEIRELES</t>
        </is>
      </c>
      <c r="F98" s="128" t="n">
        <v>5</v>
      </c>
      <c r="G98" s="129" t="n">
        <v>47.79</v>
      </c>
      <c r="H98" s="129">
        <f>F98*G98</f>
        <v/>
      </c>
      <c r="I98" s="128" t="inlineStr">
        <is>
          <t>Real (taxa fixa por colaborador, confirmada em todas as empresas)</t>
        </is>
      </c>
      <c r="J98" s="124" t="n"/>
      <c r="K98" s="124" t="n"/>
      <c r="L98" s="124" t="n"/>
      <c r="M98" s="124" t="n"/>
      <c r="N98" s="124" t="n"/>
      <c r="O98" s="124" t="n"/>
    </row>
    <row r="99" ht="15" customHeight="1" s="75">
      <c r="A99" s="128" t="inlineStr">
        <is>
          <t>Junho/2026</t>
        </is>
      </c>
      <c r="B99" s="128" t="inlineStr">
        <is>
          <t>Souza e Silva</t>
        </is>
      </c>
      <c r="C99" s="128" t="inlineStr">
        <is>
          <t>Segurança do Trabalho</t>
        </is>
      </c>
      <c r="D99" s="128" t="inlineStr">
        <is>
          <t>Despesas com SST</t>
        </is>
      </c>
      <c r="E99" s="128" t="inlineStr">
        <is>
          <t>TARCIZIO MEIRELES</t>
        </is>
      </c>
      <c r="F99" s="128" t="n">
        <v>5</v>
      </c>
      <c r="G99" s="129" t="n">
        <v>64.54000000000001</v>
      </c>
      <c r="H99" s="129">
        <f>F99*G99</f>
        <v/>
      </c>
      <c r="I99" s="128" t="inlineStr">
        <is>
          <t>Real (taxa fixa por colaborador, confirmada em todas as empresas)</t>
        </is>
      </c>
      <c r="J99" s="124" t="n"/>
      <c r="K99" s="124" t="n"/>
      <c r="L99" s="124" t="n"/>
      <c r="M99" s="124" t="n"/>
      <c r="N99" s="124" t="n"/>
      <c r="O99" s="124" t="n"/>
    </row>
    <row r="100" ht="15" customHeight="1" s="75">
      <c r="A100" s="128" t="inlineStr">
        <is>
          <t>Junho/2026</t>
        </is>
      </c>
      <c r="B100" s="128" t="inlineStr">
        <is>
          <t>Souza e Silva</t>
        </is>
      </c>
      <c r="C100" s="128" t="inlineStr">
        <is>
          <t>Benefícios</t>
        </is>
      </c>
      <c r="D100" s="128" t="inlineStr">
        <is>
          <t>Gympass</t>
        </is>
      </c>
      <c r="E100" s="128" t="inlineStr">
        <is>
          <t>TARCIZIO MEIRELES</t>
        </is>
      </c>
      <c r="F100" s="128" t="n">
        <v>5</v>
      </c>
      <c r="G100" s="129" t="n">
        <v>10.05</v>
      </c>
      <c r="H100" s="129">
        <f>F100*G100</f>
        <v/>
      </c>
      <c r="I100" s="128" t="inlineStr">
        <is>
          <t>Real (taxa fixa por colaborador, confirmada em todas as empresas)</t>
        </is>
      </c>
      <c r="J100" s="124" t="n"/>
      <c r="K100" s="124" t="n"/>
      <c r="L100" s="124" t="n"/>
      <c r="M100" s="124" t="n"/>
      <c r="N100" s="124" t="n"/>
      <c r="O100" s="124" t="n"/>
    </row>
    <row r="101" ht="15" customHeight="1" s="75">
      <c r="A101" s="128" t="inlineStr">
        <is>
          <t>Junho/2026</t>
        </is>
      </c>
      <c r="B101" s="128" t="inlineStr">
        <is>
          <t>Souza e Silva</t>
        </is>
      </c>
      <c r="C101" s="128" t="inlineStr">
        <is>
          <t>Benefícios</t>
        </is>
      </c>
      <c r="D101" s="128" t="inlineStr">
        <is>
          <t>Stargrid</t>
        </is>
      </c>
      <c r="E101" s="128" t="inlineStr">
        <is>
          <t>TARCIZIO MEIRELES</t>
        </is>
      </c>
      <c r="F101" s="128" t="n">
        <v>5</v>
      </c>
      <c r="G101" s="129" t="n">
        <v>2.07</v>
      </c>
      <c r="H101" s="129">
        <f>F101*G101</f>
        <v/>
      </c>
      <c r="I101" s="128" t="inlineStr">
        <is>
          <t>Real (taxa fixa por colaborador, confirmada em todas as empresas)</t>
        </is>
      </c>
      <c r="J101" s="124" t="n"/>
      <c r="K101" s="124" t="n"/>
      <c r="L101" s="124" t="n"/>
      <c r="M101" s="124" t="n"/>
      <c r="N101" s="124" t="n"/>
      <c r="O101" s="124" t="n"/>
    </row>
    <row r="102" ht="15" customHeight="1" s="75">
      <c r="A102" s="128" t="inlineStr">
        <is>
          <t>Junho/2026</t>
        </is>
      </c>
      <c r="B102" s="128" t="inlineStr">
        <is>
          <t>Souza e Silva</t>
        </is>
      </c>
      <c r="C102" s="128" t="inlineStr">
        <is>
          <t>Fardamento</t>
        </is>
      </c>
      <c r="D102" s="128" t="inlineStr">
        <is>
          <t>Substituição extra de Fardamento</t>
        </is>
      </c>
      <c r="E102" s="128" t="inlineStr">
        <is>
          <t>TARCIZIO MEIRELES</t>
        </is>
      </c>
      <c r="F102" s="128" t="n">
        <v>1</v>
      </c>
      <c r="G102" s="129" t="n">
        <v>111.44</v>
      </c>
      <c r="H102" s="129">
        <f>F102*G102</f>
        <v/>
      </c>
      <c r="I102" s="128" t="inlineStr">
        <is>
          <t>Estimado (fatia proporcional ao nº de colaboradores da equipe, sem taxa fixa por pessoa), fatia de 5 colaboradores da equipe</t>
        </is>
      </c>
      <c r="J102" s="124" t="n"/>
      <c r="K102" s="124" t="n"/>
      <c r="L102" s="124" t="n"/>
      <c r="M102" s="124" t="n"/>
      <c r="N102" s="124" t="n"/>
      <c r="O102" s="124" t="n"/>
    </row>
    <row r="103" ht="15" customHeight="1" s="75">
      <c r="A103" s="128" t="inlineStr">
        <is>
          <t>Junho/2026</t>
        </is>
      </c>
      <c r="B103" s="128" t="inlineStr">
        <is>
          <t>Souza e Silva</t>
        </is>
      </c>
      <c r="C103" s="128" t="inlineStr">
        <is>
          <t>Estrutura/Infra</t>
        </is>
      </c>
      <c r="D103" s="128" t="inlineStr">
        <is>
          <t>Linhas moveis (FIQUE MÓVEL)</t>
        </is>
      </c>
      <c r="E103" s="128" t="inlineStr">
        <is>
          <t>TARCIZIO MEIRELES</t>
        </is>
      </c>
      <c r="F103" s="128" t="n">
        <v>5</v>
      </c>
      <c r="G103" s="129" t="n">
        <v>30</v>
      </c>
      <c r="H103" s="129">
        <f>F103*G103</f>
        <v/>
      </c>
      <c r="I103" s="128" t="inlineStr">
        <is>
          <t>Real (taxa fixa por colaborador, confirmada em todas as empresas)</t>
        </is>
      </c>
      <c r="J103" s="124" t="n"/>
      <c r="K103" s="124" t="n"/>
      <c r="L103" s="124" t="n"/>
      <c r="M103" s="124" t="n"/>
      <c r="N103" s="124" t="n"/>
      <c r="O103" s="124" t="n"/>
    </row>
    <row r="104" ht="15" customHeight="1" s="75">
      <c r="A104" s="128" t="inlineStr">
        <is>
          <t>Junho/2026</t>
        </is>
      </c>
      <c r="B104" s="128" t="inlineStr">
        <is>
          <t>Souza e Silva</t>
        </is>
      </c>
      <c r="C104" s="128" t="inlineStr">
        <is>
          <t>Frota/Combustível</t>
        </is>
      </c>
      <c r="D104" s="128" t="inlineStr">
        <is>
          <t>Consumo de combustível</t>
        </is>
      </c>
      <c r="E104" s="128" t="inlineStr">
        <is>
          <t>TARCIZIO MEIRELES</t>
        </is>
      </c>
      <c r="F104" s="128" t="n">
        <v>1</v>
      </c>
      <c r="G104" s="129" t="n">
        <v>977.05</v>
      </c>
      <c r="H104" s="129">
        <f>F104*G104</f>
        <v/>
      </c>
      <c r="I104" s="128" t="inlineStr">
        <is>
          <t>Real (cruzado por nome, planilha de combustível)</t>
        </is>
      </c>
      <c r="J104" s="124" t="n"/>
      <c r="K104" s="124" t="n"/>
      <c r="L104" s="124" t="n"/>
      <c r="M104" s="124" t="n"/>
      <c r="N104" s="124" t="n"/>
      <c r="O104" s="124" t="n"/>
    </row>
    <row r="105" ht="15" customHeight="1" s="75">
      <c r="A105" s="128" t="inlineStr">
        <is>
          <t>Junho/2026</t>
        </is>
      </c>
      <c r="B105" s="128" t="inlineStr">
        <is>
          <t>DX2</t>
        </is>
      </c>
      <c r="C105" s="128" t="inlineStr">
        <is>
          <t>Pessoal</t>
        </is>
      </c>
      <c r="D105" s="128" t="inlineStr">
        <is>
          <t>Folha Trabalhista com impostos do mês</t>
        </is>
      </c>
      <c r="E105" s="128" t="inlineStr">
        <is>
          <t>TIAGO</t>
        </is>
      </c>
      <c r="F105" s="128" t="n">
        <v>1</v>
      </c>
      <c r="G105" s="129" t="n">
        <v>18416.45</v>
      </c>
      <c r="H105" s="129">
        <f>F105*G105</f>
        <v/>
      </c>
      <c r="I105" s="128" t="inlineStr">
        <is>
          <t>Real (cruzado por nome, 7/8 encontrados)</t>
        </is>
      </c>
      <c r="J105" s="124" t="n"/>
      <c r="K105" s="124" t="n"/>
      <c r="L105" s="124" t="n"/>
      <c r="M105" s="124" t="n"/>
      <c r="N105" s="124" t="n"/>
      <c r="O105" s="124" t="n"/>
    </row>
    <row r="106" ht="15" customHeight="1" s="75">
      <c r="A106" s="128" t="inlineStr">
        <is>
          <t>Junho/2026</t>
        </is>
      </c>
      <c r="B106" s="128" t="inlineStr">
        <is>
          <t>DX2</t>
        </is>
      </c>
      <c r="C106" s="128" t="inlineStr">
        <is>
          <t>Pessoal</t>
        </is>
      </c>
      <c r="D106" s="128" t="inlineStr">
        <is>
          <t>Despesas com RH</t>
        </is>
      </c>
      <c r="E106" s="128" t="inlineStr">
        <is>
          <t>TIAGO</t>
        </is>
      </c>
      <c r="F106" s="128" t="n">
        <v>8</v>
      </c>
      <c r="G106" s="129" t="n">
        <v>28.31</v>
      </c>
      <c r="H106" s="129">
        <f>F106*G106</f>
        <v/>
      </c>
      <c r="I106" s="128" t="inlineStr">
        <is>
          <t>Real (taxa fixa por colaborador, confirmada em todas as empresas)</t>
        </is>
      </c>
      <c r="J106" s="124" t="n"/>
      <c r="K106" s="124" t="n"/>
      <c r="L106" s="124" t="n"/>
      <c r="M106" s="124" t="n"/>
      <c r="N106" s="124" t="n"/>
      <c r="O106" s="124" t="n"/>
    </row>
    <row r="107" ht="15" customHeight="1" s="75">
      <c r="A107" s="128" t="inlineStr">
        <is>
          <t>Junho/2026</t>
        </is>
      </c>
      <c r="B107" s="128" t="inlineStr">
        <is>
          <t>DX2</t>
        </is>
      </c>
      <c r="C107" s="128" t="inlineStr">
        <is>
          <t>Pessoal</t>
        </is>
      </c>
      <c r="D107" s="128" t="inlineStr">
        <is>
          <t>Despesas com DP</t>
        </is>
      </c>
      <c r="E107" s="128" t="inlineStr">
        <is>
          <t>TIAGO</t>
        </is>
      </c>
      <c r="F107" s="128" t="n">
        <v>8</v>
      </c>
      <c r="G107" s="129" t="n">
        <v>47.79</v>
      </c>
      <c r="H107" s="129">
        <f>F107*G107</f>
        <v/>
      </c>
      <c r="I107" s="128" t="inlineStr">
        <is>
          <t>Real (taxa fixa por colaborador, confirmada em todas as empresas)</t>
        </is>
      </c>
      <c r="J107" s="124" t="n"/>
      <c r="K107" s="124" t="n"/>
      <c r="L107" s="124" t="n"/>
      <c r="M107" s="124" t="n"/>
      <c r="N107" s="124" t="n"/>
      <c r="O107" s="124" t="n"/>
    </row>
    <row r="108" ht="15" customHeight="1" s="75">
      <c r="A108" s="128" t="inlineStr">
        <is>
          <t>Junho/2026</t>
        </is>
      </c>
      <c r="B108" s="128" t="inlineStr">
        <is>
          <t>DX2</t>
        </is>
      </c>
      <c r="C108" s="128" t="inlineStr">
        <is>
          <t>Segurança do Trabalho</t>
        </is>
      </c>
      <c r="D108" s="128" t="inlineStr">
        <is>
          <t>Despesas com SST</t>
        </is>
      </c>
      <c r="E108" s="128" t="inlineStr">
        <is>
          <t>TIAGO</t>
        </is>
      </c>
      <c r="F108" s="128" t="n">
        <v>8</v>
      </c>
      <c r="G108" s="129" t="n">
        <v>64.54000000000001</v>
      </c>
      <c r="H108" s="129">
        <f>F108*G108</f>
        <v/>
      </c>
      <c r="I108" s="128" t="inlineStr">
        <is>
          <t>Real (taxa fixa por colaborador, confirmada em todas as empresas)</t>
        </is>
      </c>
      <c r="J108" s="124" t="n"/>
      <c r="K108" s="124" t="n"/>
      <c r="L108" s="124" t="n"/>
      <c r="M108" s="124" t="n"/>
      <c r="N108" s="124" t="n"/>
      <c r="O108" s="124" t="n"/>
    </row>
    <row r="109" ht="15" customHeight="1" s="75">
      <c r="A109" s="128" t="inlineStr">
        <is>
          <t>Junho/2026</t>
        </is>
      </c>
      <c r="B109" s="128" t="inlineStr">
        <is>
          <t>DX2</t>
        </is>
      </c>
      <c r="C109" s="128" t="inlineStr">
        <is>
          <t>Segurança do Trabalho</t>
        </is>
      </c>
      <c r="D109" s="128" t="inlineStr">
        <is>
          <t>Despesas SST exames</t>
        </is>
      </c>
      <c r="E109" s="128" t="inlineStr">
        <is>
          <t>TIAGO</t>
        </is>
      </c>
      <c r="F109" s="128" t="n">
        <v>1</v>
      </c>
      <c r="G109" s="129" t="n">
        <v>140</v>
      </c>
      <c r="H109" s="129">
        <f>F109*G109</f>
        <v/>
      </c>
      <c r="I109" s="128" t="inlineStr">
        <is>
          <t>Estimado (fatia proporcional ao nº de colaboradores da equipe, sem taxa fixa por pessoa), fatia de 8 colaboradores da equipe</t>
        </is>
      </c>
      <c r="J109" s="124" t="n"/>
      <c r="K109" s="124" t="n"/>
      <c r="L109" s="124" t="n"/>
      <c r="M109" s="124" t="n"/>
      <c r="N109" s="124" t="n"/>
      <c r="O109" s="124" t="n"/>
    </row>
    <row r="110" ht="15" customHeight="1" s="75">
      <c r="A110" s="128" t="inlineStr">
        <is>
          <t>Junho/2026</t>
        </is>
      </c>
      <c r="B110" s="128" t="inlineStr">
        <is>
          <t>DX2</t>
        </is>
      </c>
      <c r="C110" s="128" t="inlineStr">
        <is>
          <t>Benefícios</t>
        </is>
      </c>
      <c r="D110" s="128" t="inlineStr">
        <is>
          <t>Gympass</t>
        </is>
      </c>
      <c r="E110" s="128" t="inlineStr">
        <is>
          <t>TIAGO</t>
        </is>
      </c>
      <c r="F110" s="128" t="n">
        <v>8</v>
      </c>
      <c r="G110" s="129" t="n">
        <v>10.05</v>
      </c>
      <c r="H110" s="129">
        <f>F110*G110</f>
        <v/>
      </c>
      <c r="I110" s="128" t="inlineStr">
        <is>
          <t>Real (taxa fixa por colaborador, confirmada em todas as empresas)</t>
        </is>
      </c>
      <c r="J110" s="124" t="n"/>
      <c r="K110" s="124" t="n"/>
      <c r="L110" s="124" t="n"/>
      <c r="M110" s="124" t="n"/>
      <c r="N110" s="124" t="n"/>
      <c r="O110" s="124" t="n"/>
    </row>
    <row r="111" ht="15" customHeight="1" s="75">
      <c r="A111" s="128" t="inlineStr">
        <is>
          <t>Junho/2026</t>
        </is>
      </c>
      <c r="B111" s="128" t="inlineStr">
        <is>
          <t>DX2</t>
        </is>
      </c>
      <c r="C111" s="128" t="inlineStr">
        <is>
          <t>Benefícios</t>
        </is>
      </c>
      <c r="D111" s="128" t="inlineStr">
        <is>
          <t>Stargrid</t>
        </is>
      </c>
      <c r="E111" s="128" t="inlineStr">
        <is>
          <t>TIAGO</t>
        </is>
      </c>
      <c r="F111" s="128" t="n">
        <v>8</v>
      </c>
      <c r="G111" s="129" t="n">
        <v>2.07</v>
      </c>
      <c r="H111" s="129">
        <f>F111*G111</f>
        <v/>
      </c>
      <c r="I111" s="128" t="inlineStr">
        <is>
          <t>Real (taxa fixa por colaborador, confirmada em todas as empresas)</t>
        </is>
      </c>
      <c r="J111" s="124" t="n"/>
      <c r="K111" s="124" t="n"/>
      <c r="L111" s="124" t="n"/>
      <c r="M111" s="124" t="n"/>
      <c r="N111" s="124" t="n"/>
      <c r="O111" s="124" t="n"/>
    </row>
    <row r="112" ht="15" customHeight="1" s="75">
      <c r="A112" s="128" t="inlineStr">
        <is>
          <t>Junho/2026</t>
        </is>
      </c>
      <c r="B112" s="128" t="inlineStr">
        <is>
          <t>DX2</t>
        </is>
      </c>
      <c r="C112" s="128" t="inlineStr">
        <is>
          <t>Fardamento</t>
        </is>
      </c>
      <c r="D112" s="128" t="inlineStr">
        <is>
          <t>Novo Fardamento</t>
        </is>
      </c>
      <c r="E112" s="128" t="inlineStr">
        <is>
          <t>TIAGO</t>
        </is>
      </c>
      <c r="F112" s="128" t="n">
        <v>1</v>
      </c>
      <c r="G112" s="129" t="n">
        <v>798.12</v>
      </c>
      <c r="H112" s="129">
        <f>F112*G112</f>
        <v/>
      </c>
      <c r="I112" s="128" t="inlineStr">
        <is>
          <t>Estimado (fatia proporcional ao nº de colaboradores da equipe, sem taxa fixa por pessoa), fatia de 8 colaboradores da equipe</t>
        </is>
      </c>
      <c r="J112" s="124" t="n"/>
      <c r="K112" s="124" t="n"/>
      <c r="L112" s="124" t="n"/>
      <c r="M112" s="124" t="n"/>
      <c r="N112" s="124" t="n"/>
      <c r="O112" s="124" t="n"/>
    </row>
    <row r="113" ht="15" customHeight="1" s="75">
      <c r="A113" s="128" t="inlineStr">
        <is>
          <t>Junho/2026</t>
        </is>
      </c>
      <c r="B113" s="128" t="inlineStr">
        <is>
          <t>DX2</t>
        </is>
      </c>
      <c r="C113" s="128" t="inlineStr">
        <is>
          <t>Fardamento</t>
        </is>
      </c>
      <c r="D113" s="128" t="inlineStr">
        <is>
          <t>Substituição extra de Fardamento</t>
        </is>
      </c>
      <c r="E113" s="128" t="inlineStr">
        <is>
          <t>TIAGO</t>
        </is>
      </c>
      <c r="F113" s="128" t="n">
        <v>1</v>
      </c>
      <c r="G113" s="129" t="n">
        <v>222.88</v>
      </c>
      <c r="H113" s="129">
        <f>F113*G113</f>
        <v/>
      </c>
      <c r="I113" s="128" t="inlineStr">
        <is>
          <t>Estimado (fatia proporcional ao nº de colaboradores da equipe, sem taxa fixa por pessoa), fatia de 8 colaboradores da equipe</t>
        </is>
      </c>
      <c r="J113" s="124" t="n"/>
      <c r="K113" s="124" t="n"/>
      <c r="L113" s="124" t="n"/>
      <c r="M113" s="124" t="n"/>
      <c r="N113" s="124" t="n"/>
      <c r="O113" s="124" t="n"/>
    </row>
    <row r="114" ht="15" customHeight="1" s="75">
      <c r="A114" s="128" t="inlineStr">
        <is>
          <t>Junho/2026</t>
        </is>
      </c>
      <c r="B114" s="128" t="inlineStr">
        <is>
          <t>DX2</t>
        </is>
      </c>
      <c r="C114" s="128" t="inlineStr">
        <is>
          <t>Estrutura/Infra</t>
        </is>
      </c>
      <c r="D114" s="128" t="inlineStr">
        <is>
          <t>Linhas moveis (FIQUE MÓVEL)</t>
        </is>
      </c>
      <c r="E114" s="128" t="inlineStr">
        <is>
          <t>TIAGO</t>
        </is>
      </c>
      <c r="F114" s="128" t="n">
        <v>8</v>
      </c>
      <c r="G114" s="129" t="n">
        <v>30</v>
      </c>
      <c r="H114" s="129">
        <f>F114*G114</f>
        <v/>
      </c>
      <c r="I114" s="128" t="inlineStr">
        <is>
          <t>Real (taxa fixa por colaborador, confirmada em todas as empresas)</t>
        </is>
      </c>
      <c r="J114" s="124" t="n"/>
      <c r="K114" s="124" t="n"/>
      <c r="L114" s="124" t="n"/>
      <c r="M114" s="124" t="n"/>
      <c r="N114" s="124" t="n"/>
      <c r="O114" s="124" t="n"/>
    </row>
    <row r="115" ht="15" customHeight="1" s="75">
      <c r="A115" s="128" t="inlineStr">
        <is>
          <t>Junho/2026</t>
        </is>
      </c>
      <c r="B115" s="128" t="inlineStr">
        <is>
          <t>Soares e Silva</t>
        </is>
      </c>
      <c r="C115" s="128" t="inlineStr">
        <is>
          <t>Pessoal</t>
        </is>
      </c>
      <c r="D115" s="128" t="inlineStr">
        <is>
          <t>Folha Trabalhista com impostos do mês</t>
        </is>
      </c>
      <c r="E115" s="128" t="inlineStr">
        <is>
          <t>TIAGO</t>
        </is>
      </c>
      <c r="F115" s="128" t="n">
        <v>1</v>
      </c>
      <c r="G115" s="129" t="n">
        <v>17518.73</v>
      </c>
      <c r="H115" s="129">
        <f>F115*G115</f>
        <v/>
      </c>
      <c r="I115" s="128" t="inlineStr">
        <is>
          <t>Real (cruzado por nome, 5/11 encontrados)</t>
        </is>
      </c>
      <c r="J115" s="124" t="n"/>
      <c r="K115" s="124" t="n"/>
      <c r="L115" s="124" t="n"/>
      <c r="M115" s="124" t="n"/>
      <c r="N115" s="124" t="n"/>
      <c r="O115" s="124" t="n"/>
    </row>
    <row r="116" ht="15" customHeight="1" s="75">
      <c r="A116" s="128" t="inlineStr">
        <is>
          <t>Junho/2026</t>
        </is>
      </c>
      <c r="B116" s="128" t="inlineStr">
        <is>
          <t>Soares e Silva</t>
        </is>
      </c>
      <c r="C116" s="128" t="inlineStr">
        <is>
          <t>Pessoal</t>
        </is>
      </c>
      <c r="D116" s="128" t="inlineStr">
        <is>
          <t>Vale Transporte</t>
        </is>
      </c>
      <c r="E116" s="128" t="inlineStr">
        <is>
          <t>TIAGO</t>
        </is>
      </c>
      <c r="F116" s="128" t="n">
        <v>1</v>
      </c>
      <c r="G116" s="129" t="n">
        <v>2075</v>
      </c>
      <c r="H116" s="129">
        <f>F116*G116</f>
        <v/>
      </c>
      <c r="I116" s="128" t="inlineStr">
        <is>
          <t>Estimado (fatia proporcional ao nº de colaboradores da equipe, sem taxa fixa por pessoa), fatia de 11 colaboradores da equipe</t>
        </is>
      </c>
      <c r="J116" s="124" t="n"/>
      <c r="K116" s="124" t="n"/>
      <c r="L116" s="124" t="n"/>
      <c r="M116" s="124" t="n"/>
      <c r="N116" s="124" t="n"/>
      <c r="O116" s="124" t="n"/>
    </row>
    <row r="117" ht="15" customHeight="1" s="75">
      <c r="A117" s="128" t="inlineStr">
        <is>
          <t>Junho/2026</t>
        </is>
      </c>
      <c r="B117" s="128" t="inlineStr">
        <is>
          <t>Soares e Silva</t>
        </is>
      </c>
      <c r="C117" s="128" t="inlineStr">
        <is>
          <t>Pessoal</t>
        </is>
      </c>
      <c r="D117" s="128" t="inlineStr">
        <is>
          <t>Despesas com RH</t>
        </is>
      </c>
      <c r="E117" s="128" t="inlineStr">
        <is>
          <t>TIAGO</t>
        </is>
      </c>
      <c r="F117" s="128" t="n">
        <v>11</v>
      </c>
      <c r="G117" s="129" t="n">
        <v>28.31</v>
      </c>
      <c r="H117" s="129">
        <f>F117*G117</f>
        <v/>
      </c>
      <c r="I117" s="128" t="inlineStr">
        <is>
          <t>Real (taxa fixa por colaborador, confirmada em todas as empresas)</t>
        </is>
      </c>
      <c r="J117" s="124" t="n"/>
      <c r="K117" s="124" t="n"/>
      <c r="L117" s="124" t="n"/>
      <c r="M117" s="124" t="n"/>
      <c r="N117" s="124" t="n"/>
      <c r="O117" s="124" t="n"/>
    </row>
    <row r="118" ht="15" customHeight="1" s="75">
      <c r="A118" s="128" t="inlineStr">
        <is>
          <t>Junho/2026</t>
        </is>
      </c>
      <c r="B118" s="128" t="inlineStr">
        <is>
          <t>Soares e Silva</t>
        </is>
      </c>
      <c r="C118" s="128" t="inlineStr">
        <is>
          <t>Pessoal</t>
        </is>
      </c>
      <c r="D118" s="128" t="inlineStr">
        <is>
          <t>Despesas com DP</t>
        </is>
      </c>
      <c r="E118" s="128" t="inlineStr">
        <is>
          <t>TIAGO</t>
        </is>
      </c>
      <c r="F118" s="128" t="n">
        <v>11</v>
      </c>
      <c r="G118" s="129" t="n">
        <v>47.79</v>
      </c>
      <c r="H118" s="129">
        <f>F118*G118</f>
        <v/>
      </c>
      <c r="I118" s="128" t="inlineStr">
        <is>
          <t>Real (taxa fixa por colaborador, confirmada em todas as empresas)</t>
        </is>
      </c>
      <c r="J118" s="124" t="n"/>
      <c r="K118" s="124" t="n"/>
      <c r="L118" s="124" t="n"/>
      <c r="M118" s="124" t="n"/>
      <c r="N118" s="124" t="n"/>
      <c r="O118" s="124" t="n"/>
    </row>
    <row r="119" ht="15" customHeight="1" s="75">
      <c r="A119" s="128" t="inlineStr">
        <is>
          <t>Junho/2026</t>
        </is>
      </c>
      <c r="B119" s="128" t="inlineStr">
        <is>
          <t>Soares e Silva</t>
        </is>
      </c>
      <c r="C119" s="128" t="inlineStr">
        <is>
          <t>Segurança do Trabalho</t>
        </is>
      </c>
      <c r="D119" s="128" t="inlineStr">
        <is>
          <t>Despesas com SST</t>
        </is>
      </c>
      <c r="E119" s="128" t="inlineStr">
        <is>
          <t>TIAGO</t>
        </is>
      </c>
      <c r="F119" s="128" t="n">
        <v>11</v>
      </c>
      <c r="G119" s="129" t="n">
        <v>64.54000000000001</v>
      </c>
      <c r="H119" s="129">
        <f>F119*G119</f>
        <v/>
      </c>
      <c r="I119" s="128" t="inlineStr">
        <is>
          <t>Real (taxa fixa por colaborador, confirmada em todas as empresas)</t>
        </is>
      </c>
      <c r="J119" s="124" t="n"/>
      <c r="K119" s="124" t="n"/>
      <c r="L119" s="124" t="n"/>
      <c r="M119" s="124" t="n"/>
      <c r="N119" s="124" t="n"/>
      <c r="O119" s="124" t="n"/>
    </row>
    <row r="120" ht="15" customHeight="1" s="75">
      <c r="A120" s="128" t="inlineStr">
        <is>
          <t>Junho/2026</t>
        </is>
      </c>
      <c r="B120" s="128" t="inlineStr">
        <is>
          <t>Soares e Silva</t>
        </is>
      </c>
      <c r="C120" s="128" t="inlineStr">
        <is>
          <t>Segurança do Trabalho</t>
        </is>
      </c>
      <c r="D120" s="128" t="inlineStr">
        <is>
          <t>Despesas SST exames</t>
        </is>
      </c>
      <c r="E120" s="128" t="inlineStr">
        <is>
          <t>TIAGO</t>
        </is>
      </c>
      <c r="F120" s="128" t="n">
        <v>1</v>
      </c>
      <c r="G120" s="129" t="n">
        <v>140</v>
      </c>
      <c r="H120" s="129">
        <f>F120*G120</f>
        <v/>
      </c>
      <c r="I120" s="128" t="inlineStr">
        <is>
          <t>Estimado (fatia proporcional ao nº de colaboradores da equipe, sem taxa fixa por pessoa), fatia de 11 colaboradores da equipe</t>
        </is>
      </c>
      <c r="J120" s="124" t="n"/>
      <c r="K120" s="124" t="n"/>
      <c r="L120" s="124" t="n"/>
      <c r="M120" s="124" t="n"/>
      <c r="N120" s="124" t="n"/>
      <c r="O120" s="124" t="n"/>
    </row>
    <row r="121" ht="15" customHeight="1" s="75">
      <c r="A121" s="128" t="inlineStr">
        <is>
          <t>Junho/2026</t>
        </is>
      </c>
      <c r="B121" s="128" t="inlineStr">
        <is>
          <t>Soares e Silva</t>
        </is>
      </c>
      <c r="C121" s="128" t="inlineStr">
        <is>
          <t>Benefícios</t>
        </is>
      </c>
      <c r="D121" s="128" t="inlineStr">
        <is>
          <t>Gympass</t>
        </is>
      </c>
      <c r="E121" s="128" t="inlineStr">
        <is>
          <t>TIAGO</t>
        </is>
      </c>
      <c r="F121" s="128" t="n">
        <v>11</v>
      </c>
      <c r="G121" s="129" t="n">
        <v>10.05</v>
      </c>
      <c r="H121" s="129">
        <f>F121*G121</f>
        <v/>
      </c>
      <c r="I121" s="128" t="inlineStr">
        <is>
          <t>Real (taxa fixa por colaborador, confirmada em todas as empresas)</t>
        </is>
      </c>
      <c r="J121" s="124" t="n"/>
      <c r="K121" s="124" t="n"/>
      <c r="L121" s="124" t="n"/>
      <c r="M121" s="124" t="n"/>
      <c r="N121" s="124" t="n"/>
      <c r="O121" s="124" t="n"/>
    </row>
    <row r="122" ht="15" customHeight="1" s="75">
      <c r="A122" s="128" t="inlineStr">
        <is>
          <t>Junho/2026</t>
        </is>
      </c>
      <c r="B122" s="128" t="inlineStr">
        <is>
          <t>Soares e Silva</t>
        </is>
      </c>
      <c r="C122" s="128" t="inlineStr">
        <is>
          <t>Benefícios</t>
        </is>
      </c>
      <c r="D122" s="128" t="inlineStr">
        <is>
          <t>Stargrid</t>
        </is>
      </c>
      <c r="E122" s="128" t="inlineStr">
        <is>
          <t>TIAGO</t>
        </is>
      </c>
      <c r="F122" s="128" t="n">
        <v>11</v>
      </c>
      <c r="G122" s="129" t="n">
        <v>2.07</v>
      </c>
      <c r="H122" s="129">
        <f>F122*G122</f>
        <v/>
      </c>
      <c r="I122" s="128" t="inlineStr">
        <is>
          <t>Real (taxa fixa por colaborador, confirmada em todas as empresas)</t>
        </is>
      </c>
      <c r="J122" s="124" t="n"/>
      <c r="K122" s="124" t="n"/>
      <c r="L122" s="124" t="n"/>
      <c r="M122" s="124" t="n"/>
      <c r="N122" s="124" t="n"/>
      <c r="O122" s="124" t="n"/>
    </row>
    <row r="123" ht="15" customHeight="1" s="75">
      <c r="A123" s="128" t="inlineStr">
        <is>
          <t>Junho/2026</t>
        </is>
      </c>
      <c r="B123" s="128" t="inlineStr">
        <is>
          <t>Soares e Silva</t>
        </is>
      </c>
      <c r="C123" s="128" t="inlineStr">
        <is>
          <t>Estrutura/Infra</t>
        </is>
      </c>
      <c r="D123" s="128" t="inlineStr">
        <is>
          <t>Linhas moveis (FIQUE MÓVEL)</t>
        </is>
      </c>
      <c r="E123" s="128" t="inlineStr">
        <is>
          <t>TIAGO</t>
        </is>
      </c>
      <c r="F123" s="128" t="n">
        <v>11</v>
      </c>
      <c r="G123" s="129" t="n">
        <v>30</v>
      </c>
      <c r="H123" s="129">
        <f>F123*G123</f>
        <v/>
      </c>
      <c r="I123" s="128" t="inlineStr">
        <is>
          <t>Real (taxa fixa por colaborador, confirmada em todas as empresas)</t>
        </is>
      </c>
      <c r="J123" s="124" t="n"/>
      <c r="K123" s="124" t="n"/>
      <c r="L123" s="124" t="n"/>
      <c r="M123" s="124" t="n"/>
      <c r="N123" s="124" t="n"/>
      <c r="O123" s="124" t="n"/>
    </row>
    <row r="124" ht="15" customHeight="1" s="75">
      <c r="A124" s="128" t="inlineStr">
        <is>
          <t>Junho/2026</t>
        </is>
      </c>
      <c r="B124" s="128" t="inlineStr">
        <is>
          <t>Soares e Silva</t>
        </is>
      </c>
      <c r="C124" s="128" t="inlineStr">
        <is>
          <t>Frota/Combustível</t>
        </is>
      </c>
      <c r="D124" s="128" t="inlineStr">
        <is>
          <t>Consumo de combustível</t>
        </is>
      </c>
      <c r="E124" s="128" t="inlineStr">
        <is>
          <t>TIAGO</t>
        </is>
      </c>
      <c r="F124" s="128" t="n">
        <v>1</v>
      </c>
      <c r="G124" s="129" t="n">
        <v>2642.33</v>
      </c>
      <c r="H124" s="129">
        <f>F124*G124</f>
        <v/>
      </c>
      <c r="I124" s="128" t="inlineStr">
        <is>
          <t>Real (cruzado por nome, planilha de combustível)</t>
        </is>
      </c>
      <c r="J124" s="124" t="n"/>
      <c r="K124" s="124" t="n"/>
      <c r="L124" s="124" t="n"/>
      <c r="M124" s="124" t="n"/>
      <c r="N124" s="124" t="n"/>
      <c r="O124" s="124" t="n"/>
    </row>
    <row r="125" ht="15" customHeight="1" s="75">
      <c r="A125" s="128" t="inlineStr">
        <is>
          <t>Junho/2026</t>
        </is>
      </c>
      <c r="B125" s="128" t="inlineStr">
        <is>
          <t>Soares e Lins</t>
        </is>
      </c>
      <c r="C125" s="128" t="inlineStr">
        <is>
          <t>Pessoal</t>
        </is>
      </c>
      <c r="D125" s="128" t="inlineStr">
        <is>
          <t>Folha Trabalhista com impostos do mês</t>
        </is>
      </c>
      <c r="E125" s="128" t="inlineStr">
        <is>
          <t>VITOR LINS</t>
        </is>
      </c>
      <c r="F125" s="128" t="n">
        <v>1</v>
      </c>
      <c r="G125" s="129" t="n">
        <v>3520.86</v>
      </c>
      <c r="H125" s="129">
        <f>F125*G125</f>
        <v/>
      </c>
      <c r="I125" s="128" t="inlineStr">
        <is>
          <t>Real (cruzado por nome, 1/1 encontrados)</t>
        </is>
      </c>
      <c r="J125" s="124" t="n"/>
      <c r="K125" s="124" t="n"/>
      <c r="L125" s="124" t="n"/>
      <c r="M125" s="124" t="n"/>
      <c r="N125" s="124" t="n"/>
      <c r="O125" s="124" t="n"/>
    </row>
    <row r="126" ht="15" customHeight="1" s="75">
      <c r="A126" s="128" t="inlineStr">
        <is>
          <t>Junho/2026</t>
        </is>
      </c>
      <c r="B126" s="128" t="inlineStr">
        <is>
          <t>Soares e Lins</t>
        </is>
      </c>
      <c r="C126" s="128" t="inlineStr">
        <is>
          <t>Pessoal</t>
        </is>
      </c>
      <c r="D126" s="128" t="inlineStr">
        <is>
          <t>Despesas com RH</t>
        </is>
      </c>
      <c r="E126" s="128" t="inlineStr">
        <is>
          <t>VITOR LINS</t>
        </is>
      </c>
      <c r="F126" s="128" t="n">
        <v>1</v>
      </c>
      <c r="G126" s="129" t="n">
        <v>28.31</v>
      </c>
      <c r="H126" s="129">
        <f>F126*G126</f>
        <v/>
      </c>
      <c r="I126" s="128" t="inlineStr">
        <is>
          <t>Real (taxa fixa por colaborador, confirmada em todas as empresas)</t>
        </is>
      </c>
      <c r="J126" s="124" t="n"/>
      <c r="K126" s="124" t="n"/>
      <c r="L126" s="124" t="n"/>
      <c r="M126" s="124" t="n"/>
      <c r="N126" s="124" t="n"/>
      <c r="O126" s="124" t="n"/>
    </row>
    <row r="127" ht="15" customHeight="1" s="75">
      <c r="A127" s="128" t="inlineStr">
        <is>
          <t>Junho/2026</t>
        </is>
      </c>
      <c r="B127" s="128" t="inlineStr">
        <is>
          <t>Soares e Lins</t>
        </is>
      </c>
      <c r="C127" s="128" t="inlineStr">
        <is>
          <t>Pessoal</t>
        </is>
      </c>
      <c r="D127" s="128" t="inlineStr">
        <is>
          <t>Despesas com DP</t>
        </is>
      </c>
      <c r="E127" s="128" t="inlineStr">
        <is>
          <t>VITOR LINS</t>
        </is>
      </c>
      <c r="F127" s="128" t="n">
        <v>1</v>
      </c>
      <c r="G127" s="129" t="n">
        <v>47.79</v>
      </c>
      <c r="H127" s="129">
        <f>F127*G127</f>
        <v/>
      </c>
      <c r="I127" s="128" t="inlineStr">
        <is>
          <t>Real (taxa fixa por colaborador, confirmada em todas as empresas)</t>
        </is>
      </c>
      <c r="J127" s="124" t="n"/>
      <c r="K127" s="124" t="n"/>
      <c r="L127" s="124" t="n"/>
      <c r="M127" s="124" t="n"/>
      <c r="N127" s="124" t="n"/>
      <c r="O127" s="124" t="n"/>
    </row>
    <row r="128" ht="15" customHeight="1" s="75">
      <c r="A128" s="128" t="inlineStr">
        <is>
          <t>Junho/2026</t>
        </is>
      </c>
      <c r="B128" s="128" t="inlineStr">
        <is>
          <t>Soares e Lins</t>
        </is>
      </c>
      <c r="C128" s="128" t="inlineStr">
        <is>
          <t>Segurança do Trabalho</t>
        </is>
      </c>
      <c r="D128" s="128" t="inlineStr">
        <is>
          <t>Despesas com SST</t>
        </is>
      </c>
      <c r="E128" s="128" t="inlineStr">
        <is>
          <t>VITOR LINS</t>
        </is>
      </c>
      <c r="F128" s="128" t="n">
        <v>1</v>
      </c>
      <c r="G128" s="129" t="n">
        <v>64.54000000000001</v>
      </c>
      <c r="H128" s="129">
        <f>F128*G128</f>
        <v/>
      </c>
      <c r="I128" s="128" t="inlineStr">
        <is>
          <t>Real (taxa fixa por colaborador, confirmada em todas as empresas)</t>
        </is>
      </c>
      <c r="J128" s="124" t="n"/>
      <c r="K128" s="124" t="n"/>
      <c r="L128" s="124" t="n"/>
      <c r="M128" s="124" t="n"/>
      <c r="N128" s="124" t="n"/>
      <c r="O128" s="124" t="n"/>
    </row>
    <row r="129" ht="15" customHeight="1" s="75">
      <c r="A129" s="128" t="inlineStr">
        <is>
          <t>Junho/2026</t>
        </is>
      </c>
      <c r="B129" s="128" t="inlineStr">
        <is>
          <t>Soares e Lins</t>
        </is>
      </c>
      <c r="C129" s="128" t="inlineStr">
        <is>
          <t>Benefícios</t>
        </is>
      </c>
      <c r="D129" s="128" t="inlineStr">
        <is>
          <t>Gympass</t>
        </is>
      </c>
      <c r="E129" s="128" t="inlineStr">
        <is>
          <t>VITOR LINS</t>
        </is>
      </c>
      <c r="F129" s="128" t="n">
        <v>1</v>
      </c>
      <c r="G129" s="129" t="n">
        <v>10.05</v>
      </c>
      <c r="H129" s="129">
        <f>F129*G129</f>
        <v/>
      </c>
      <c r="I129" s="128" t="inlineStr">
        <is>
          <t>Real (taxa fixa por colaborador, confirmada em todas as empresas)</t>
        </is>
      </c>
      <c r="J129" s="124" t="n"/>
      <c r="K129" s="124" t="n"/>
      <c r="L129" s="124" t="n"/>
      <c r="M129" s="124" t="n"/>
      <c r="N129" s="124" t="n"/>
      <c r="O129" s="124" t="n"/>
    </row>
    <row r="130" ht="15" customHeight="1" s="75">
      <c r="A130" s="128" t="inlineStr">
        <is>
          <t>Junho/2026</t>
        </is>
      </c>
      <c r="B130" s="128" t="inlineStr">
        <is>
          <t>Soares e Lins</t>
        </is>
      </c>
      <c r="C130" s="128" t="inlineStr">
        <is>
          <t>Benefícios</t>
        </is>
      </c>
      <c r="D130" s="128" t="inlineStr">
        <is>
          <t>Stargrid</t>
        </is>
      </c>
      <c r="E130" s="128" t="inlineStr">
        <is>
          <t>VITOR LINS</t>
        </is>
      </c>
      <c r="F130" s="128" t="n">
        <v>1</v>
      </c>
      <c r="G130" s="129" t="n">
        <v>2.07</v>
      </c>
      <c r="H130" s="129">
        <f>F130*G130</f>
        <v/>
      </c>
      <c r="I130" s="128" t="inlineStr">
        <is>
          <t>Real (taxa fixa por colaborador, confirmada em todas as empresas)</t>
        </is>
      </c>
      <c r="J130" s="124" t="n"/>
      <c r="K130" s="124" t="n"/>
      <c r="L130" s="124" t="n"/>
      <c r="M130" s="124" t="n"/>
      <c r="N130" s="124" t="n"/>
      <c r="O130" s="124" t="n"/>
    </row>
    <row r="131" ht="15" customHeight="1" s="75">
      <c r="A131" s="128" t="inlineStr">
        <is>
          <t>Junho/2026</t>
        </is>
      </c>
      <c r="B131" s="128" t="inlineStr">
        <is>
          <t>Soares e Lins</t>
        </is>
      </c>
      <c r="C131" s="128" t="inlineStr">
        <is>
          <t>Estrutura/Infra</t>
        </is>
      </c>
      <c r="D131" s="128" t="inlineStr">
        <is>
          <t>Linhas moveis (FIQUE MÓVEL)</t>
        </is>
      </c>
      <c r="E131" s="128" t="inlineStr">
        <is>
          <t>VITOR LINS</t>
        </is>
      </c>
      <c r="F131" s="128" t="n">
        <v>1</v>
      </c>
      <c r="G131" s="129" t="n">
        <v>30</v>
      </c>
      <c r="H131" s="129">
        <f>F131*G131</f>
        <v/>
      </c>
      <c r="I131" s="128" t="inlineStr">
        <is>
          <t>Real (taxa fixa por colaborador, confirmada em todas as empresas)</t>
        </is>
      </c>
      <c r="J131" s="124" t="n"/>
      <c r="K131" s="124" t="n"/>
      <c r="L131" s="124" t="n"/>
      <c r="M131" s="124" t="n"/>
      <c r="N131" s="124" t="n"/>
      <c r="O131" s="124" t="n"/>
    </row>
    <row r="132" ht="15" customHeight="1" s="75">
      <c r="A132" s="128" t="inlineStr">
        <is>
          <t>Maio/2026</t>
        </is>
      </c>
      <c r="B132" s="128" t="inlineStr">
        <is>
          <t>DTEL</t>
        </is>
      </c>
      <c r="C132" s="128" t="inlineStr">
        <is>
          <t>Pessoal</t>
        </is>
      </c>
      <c r="D132" s="128" t="inlineStr">
        <is>
          <t>Folha Trabalhista com impostos do mês</t>
        </is>
      </c>
      <c r="E132" s="128" t="inlineStr">
        <is>
          <t>ELTHON MENEZES</t>
        </is>
      </c>
      <c r="F132" s="128" t="n">
        <v>1</v>
      </c>
      <c r="G132" s="129" t="n">
        <v>70601.08017777769</v>
      </c>
      <c r="H132" s="129" t="n">
        <v>70601.08017777769</v>
      </c>
      <c r="I132" s="128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4" t="n"/>
      <c r="K132" s="124" t="n"/>
      <c r="L132" s="124" t="n"/>
      <c r="M132" s="124" t="n"/>
      <c r="N132" s="124" t="n"/>
      <c r="O132" s="124" t="n"/>
    </row>
    <row r="133" ht="15" customHeight="1" s="75">
      <c r="A133" s="128" t="inlineStr">
        <is>
          <t>Maio/2026</t>
        </is>
      </c>
      <c r="B133" s="128" t="inlineStr">
        <is>
          <t>DTEL</t>
        </is>
      </c>
      <c r="C133" s="128" t="inlineStr">
        <is>
          <t>Pessoal</t>
        </is>
      </c>
      <c r="D133" s="128" t="inlineStr">
        <is>
          <t>Vale Transporte</t>
        </is>
      </c>
      <c r="E133" s="128" t="inlineStr">
        <is>
          <t>ELTHON MENEZES</t>
        </is>
      </c>
      <c r="F133" s="128" t="n">
        <v>1</v>
      </c>
      <c r="G133" s="129" t="n">
        <v>2724.43</v>
      </c>
      <c r="H133" s="129" t="n">
        <v>2724.43</v>
      </c>
      <c r="I133" s="128" t="inlineStr">
        <is>
          <t>Estimado (fatia proporcional ao nº de colaboradores da equipe, sem taxa fixa por pessoa), fatia de 39 colaboradores da equipe</t>
        </is>
      </c>
      <c r="J133" s="124" t="n"/>
      <c r="K133" s="124" t="n"/>
      <c r="L133" s="124" t="n"/>
      <c r="M133" s="124" t="n"/>
      <c r="N133" s="124" t="n"/>
      <c r="O133" s="124" t="n"/>
    </row>
    <row r="134" ht="15" customHeight="1" s="75">
      <c r="A134" s="128" t="inlineStr">
        <is>
          <t>Maio/2026</t>
        </is>
      </c>
      <c r="B134" s="128" t="inlineStr">
        <is>
          <t>DTEL</t>
        </is>
      </c>
      <c r="C134" s="128" t="inlineStr">
        <is>
          <t>Pessoal</t>
        </is>
      </c>
      <c r="D134" s="128" t="inlineStr">
        <is>
          <t>Despesas com RH</t>
        </is>
      </c>
      <c r="E134" s="128" t="inlineStr">
        <is>
          <t>ELTHON MENEZES</t>
        </is>
      </c>
      <c r="F134" s="128" t="n">
        <v>39</v>
      </c>
      <c r="G134" s="129" t="n">
        <v>28.31</v>
      </c>
      <c r="H134" s="129" t="n">
        <v>1104.09</v>
      </c>
      <c r="I134" s="128" t="inlineStr">
        <is>
          <t>Real (taxa fixa por colaborador, confirmada em todas as empresas)</t>
        </is>
      </c>
      <c r="J134" s="124" t="n"/>
      <c r="K134" s="124" t="n"/>
      <c r="L134" s="124" t="n"/>
      <c r="M134" s="124" t="n"/>
      <c r="N134" s="124" t="n"/>
      <c r="O134" s="124" t="n"/>
    </row>
    <row r="135" ht="15" customHeight="1" s="75">
      <c r="A135" s="128" t="inlineStr">
        <is>
          <t>Maio/2026</t>
        </is>
      </c>
      <c r="B135" s="128" t="inlineStr">
        <is>
          <t>DTEL</t>
        </is>
      </c>
      <c r="C135" s="128" t="inlineStr">
        <is>
          <t>Pessoal</t>
        </is>
      </c>
      <c r="D135" s="128" t="inlineStr">
        <is>
          <t>Despesas com DP</t>
        </is>
      </c>
      <c r="E135" s="128" t="inlineStr">
        <is>
          <t>ELTHON MENEZES</t>
        </is>
      </c>
      <c r="F135" s="128" t="n">
        <v>39</v>
      </c>
      <c r="G135" s="129" t="n">
        <v>47.79</v>
      </c>
      <c r="H135" s="129" t="n">
        <v>1863.81</v>
      </c>
      <c r="I135" s="128" t="inlineStr">
        <is>
          <t>Real (taxa fixa por colaborador, confirmada em todas as empresas)</t>
        </is>
      </c>
      <c r="J135" s="124" t="n"/>
      <c r="K135" s="124" t="n"/>
      <c r="L135" s="124" t="n"/>
      <c r="M135" s="124" t="n"/>
      <c r="N135" s="124" t="n"/>
      <c r="O135" s="124" t="n"/>
    </row>
    <row r="136" ht="15" customHeight="1" s="75">
      <c r="A136" s="128" t="inlineStr">
        <is>
          <t>Maio/2026</t>
        </is>
      </c>
      <c r="B136" s="128" t="inlineStr">
        <is>
          <t>DTEL</t>
        </is>
      </c>
      <c r="C136" s="128" t="inlineStr">
        <is>
          <t>Segurança do Trabalho</t>
        </is>
      </c>
      <c r="D136" s="128" t="inlineStr">
        <is>
          <t>Despesas SST exames</t>
        </is>
      </c>
      <c r="E136" s="128" t="inlineStr">
        <is>
          <t>ELTHON MENEZES</t>
        </is>
      </c>
      <c r="F136" s="128" t="n">
        <v>1</v>
      </c>
      <c r="G136" s="129" t="n">
        <v>373.29</v>
      </c>
      <c r="H136" s="129" t="n">
        <v>373.29</v>
      </c>
      <c r="I136" s="128" t="inlineStr">
        <is>
          <t>Estimado (fatia proporcional ao nº de colaboradores da equipe, sem taxa fixa por pessoa), fatia de 39 colaboradores da equipe</t>
        </is>
      </c>
      <c r="J136" s="124" t="n"/>
      <c r="K136" s="124" t="n"/>
      <c r="L136" s="124" t="n"/>
      <c r="M136" s="124" t="n"/>
      <c r="N136" s="124" t="n"/>
      <c r="O136" s="124" t="n"/>
    </row>
    <row r="137" ht="15" customHeight="1" s="75">
      <c r="A137" s="128" t="inlineStr">
        <is>
          <t>Maio/2026</t>
        </is>
      </c>
      <c r="B137" s="128" t="inlineStr">
        <is>
          <t>DTEL</t>
        </is>
      </c>
      <c r="C137" s="128" t="inlineStr">
        <is>
          <t>Segurança do Trabalho</t>
        </is>
      </c>
      <c r="D137" s="128" t="inlineStr">
        <is>
          <t>Despesas com SST</t>
        </is>
      </c>
      <c r="E137" s="128" t="inlineStr">
        <is>
          <t>ELTHON MENEZES</t>
        </is>
      </c>
      <c r="F137" s="128" t="n">
        <v>39</v>
      </c>
      <c r="G137" s="129" t="n">
        <v>64.56999999999999</v>
      </c>
      <c r="H137" s="129" t="n">
        <v>2518.23</v>
      </c>
      <c r="I137" s="128" t="inlineStr">
        <is>
          <t>Real (taxa fixa por colaborador, confirmada em todas as empresas)</t>
        </is>
      </c>
      <c r="J137" s="124" t="n"/>
      <c r="K137" s="124" t="n"/>
      <c r="L137" s="124" t="n"/>
      <c r="M137" s="124" t="n"/>
      <c r="N137" s="124" t="n"/>
      <c r="O137" s="124" t="n"/>
    </row>
    <row r="138" ht="15" customHeight="1" s="75">
      <c r="A138" s="128" t="inlineStr">
        <is>
          <t>Maio/2026</t>
        </is>
      </c>
      <c r="B138" s="128" t="inlineStr">
        <is>
          <t>DTEL</t>
        </is>
      </c>
      <c r="C138" s="128" t="inlineStr">
        <is>
          <t>Benefícios</t>
        </is>
      </c>
      <c r="D138" s="128" t="inlineStr">
        <is>
          <t>Gympass</t>
        </is>
      </c>
      <c r="E138" s="128" t="inlineStr">
        <is>
          <t>ELTHON MENEZES</t>
        </is>
      </c>
      <c r="F138" s="128" t="n">
        <v>39</v>
      </c>
      <c r="G138" s="129" t="n">
        <v>10.05</v>
      </c>
      <c r="H138" s="129" t="n">
        <v>391.95</v>
      </c>
      <c r="I138" s="128" t="inlineStr">
        <is>
          <t>Real (taxa fixa por colaborador, confirmada em todas as empresas)</t>
        </is>
      </c>
      <c r="J138" s="124" t="n"/>
      <c r="K138" s="124" t="n"/>
      <c r="L138" s="124" t="n"/>
      <c r="M138" s="124" t="n"/>
      <c r="N138" s="124" t="n"/>
      <c r="O138" s="124" t="n"/>
    </row>
    <row r="139" ht="15" customHeight="1" s="75">
      <c r="A139" s="128" t="inlineStr">
        <is>
          <t>Maio/2026</t>
        </is>
      </c>
      <c r="B139" s="128" t="inlineStr">
        <is>
          <t>DTEL</t>
        </is>
      </c>
      <c r="C139" s="128" t="inlineStr">
        <is>
          <t>Benefícios</t>
        </is>
      </c>
      <c r="D139" s="128" t="inlineStr">
        <is>
          <t>Stargrid</t>
        </is>
      </c>
      <c r="E139" s="128" t="inlineStr">
        <is>
          <t>ELTHON MENEZES</t>
        </is>
      </c>
      <c r="F139" s="128" t="n">
        <v>39</v>
      </c>
      <c r="G139" s="129" t="n">
        <v>2.07</v>
      </c>
      <c r="H139" s="129" t="n">
        <v>80.73</v>
      </c>
      <c r="I139" s="128" t="inlineStr">
        <is>
          <t>Real (taxa fixa por colaborador, confirmada em todas as empresas)</t>
        </is>
      </c>
      <c r="J139" s="124" t="n"/>
      <c r="K139" s="124" t="n"/>
      <c r="L139" s="124" t="n"/>
      <c r="M139" s="124" t="n"/>
      <c r="N139" s="124" t="n"/>
      <c r="O139" s="124" t="n"/>
    </row>
    <row r="140" ht="15" customHeight="1" s="75">
      <c r="A140" s="128" t="inlineStr">
        <is>
          <t>Maio/2026</t>
        </is>
      </c>
      <c r="B140" s="128" t="inlineStr">
        <is>
          <t>DTEL</t>
        </is>
      </c>
      <c r="C140" s="128" t="inlineStr">
        <is>
          <t>Fardamento</t>
        </is>
      </c>
      <c r="D140" s="128" t="inlineStr">
        <is>
          <t>Novo Fardamento</t>
        </is>
      </c>
      <c r="E140" s="128" t="inlineStr">
        <is>
          <t>ELTHON MENEZES</t>
        </is>
      </c>
      <c r="F140" s="128" t="n">
        <v>1</v>
      </c>
      <c r="G140" s="129" t="n">
        <v>71.78</v>
      </c>
      <c r="H140" s="129" t="n">
        <v>71.78</v>
      </c>
      <c r="I140" s="128" t="inlineStr">
        <is>
          <t>Estimado (fatia proporcional ao nº de colaboradores da equipe, sem taxa fixa por pessoa), fatia de 39 colaboradores da equipe</t>
        </is>
      </c>
      <c r="J140" s="124" t="n"/>
      <c r="K140" s="124" t="n"/>
      <c r="L140" s="124" t="n"/>
      <c r="M140" s="124" t="n"/>
      <c r="N140" s="124" t="n"/>
      <c r="O140" s="124" t="n"/>
    </row>
    <row r="141" ht="15" customHeight="1" s="75">
      <c r="A141" s="128" t="inlineStr">
        <is>
          <t>Maio/2026</t>
        </is>
      </c>
      <c r="B141" s="128" t="inlineStr">
        <is>
          <t>DTEL</t>
        </is>
      </c>
      <c r="C141" s="128" t="inlineStr">
        <is>
          <t>Fardamento</t>
        </is>
      </c>
      <c r="D141" s="128" t="inlineStr">
        <is>
          <t>Devolução de fardamento</t>
        </is>
      </c>
      <c r="E141" s="128" t="inlineStr">
        <is>
          <t>ELTHON MENEZES</t>
        </is>
      </c>
      <c r="F141" s="128" t="n">
        <v>1</v>
      </c>
      <c r="G141" s="129" t="n">
        <v>-105.55</v>
      </c>
      <c r="H141" s="129" t="n">
        <v>-105.55</v>
      </c>
      <c r="I141" s="128" t="inlineStr">
        <is>
          <t>Estimado (fatia proporcional ao nº de colaboradores da equipe, sem taxa fixa por pessoa), fatia de 39 colaboradores da equipe</t>
        </is>
      </c>
      <c r="J141" s="124" t="n"/>
      <c r="K141" s="124" t="n"/>
      <c r="L141" s="124" t="n"/>
      <c r="M141" s="124" t="n"/>
      <c r="N141" s="124" t="n"/>
      <c r="O141" s="124" t="n"/>
    </row>
    <row r="142" ht="15" customHeight="1" s="75">
      <c r="A142" s="128" t="inlineStr">
        <is>
          <t>Maio/2026</t>
        </is>
      </c>
      <c r="B142" s="128" t="inlineStr">
        <is>
          <t>DTEL</t>
        </is>
      </c>
      <c r="C142" s="128" t="inlineStr">
        <is>
          <t>Fardamento</t>
        </is>
      </c>
      <c r="D142" s="128" t="inlineStr">
        <is>
          <t>Substituição extra de Fardamento</t>
        </is>
      </c>
      <c r="E142" s="128" t="inlineStr">
        <is>
          <t>ELTHON MENEZES</t>
        </is>
      </c>
      <c r="F142" s="128" t="n">
        <v>1</v>
      </c>
      <c r="G142" s="129" t="n">
        <v>111.85</v>
      </c>
      <c r="H142" s="129" t="n">
        <v>111.85</v>
      </c>
      <c r="I142" s="128" t="inlineStr">
        <is>
          <t>Estimado (fatia proporcional ao nº de colaboradores da equipe, sem taxa fixa por pessoa), fatia de 39 colaboradores da equipe</t>
        </is>
      </c>
      <c r="J142" s="124" t="n"/>
      <c r="K142" s="124" t="n"/>
      <c r="L142" s="124" t="n"/>
      <c r="M142" s="124" t="n"/>
      <c r="N142" s="124" t="n"/>
      <c r="O142" s="124" t="n"/>
    </row>
    <row r="143" ht="15" customHeight="1" s="75">
      <c r="A143" s="128" t="inlineStr">
        <is>
          <t>Maio/2026</t>
        </is>
      </c>
      <c r="B143" s="128" t="inlineStr">
        <is>
          <t>DTEL</t>
        </is>
      </c>
      <c r="C143" s="128" t="inlineStr">
        <is>
          <t>Estrutura/Infra</t>
        </is>
      </c>
      <c r="D143" s="128" t="inlineStr">
        <is>
          <t>Linhas moveis (FIQUE MÓVEL)</t>
        </is>
      </c>
      <c r="E143" s="128" t="inlineStr">
        <is>
          <t>ELTHON MENEZES</t>
        </is>
      </c>
      <c r="F143" s="128" t="n">
        <v>42</v>
      </c>
      <c r="G143" s="129" t="n">
        <v>30</v>
      </c>
      <c r="H143" s="129">
        <f>F143*G143</f>
        <v/>
      </c>
      <c r="I143" s="128" t="inlineStr">
        <is>
          <t>Real (taxa fixa por colaborador, confirmada em todas as empresas)</t>
        </is>
      </c>
      <c r="J143" s="124" t="n"/>
      <c r="K143" s="124" t="n"/>
      <c r="L143" s="124" t="n"/>
      <c r="M143" s="124" t="n"/>
      <c r="N143" s="124" t="n"/>
      <c r="O143" s="124" t="n"/>
    </row>
    <row r="144" ht="15" customHeight="1" s="75">
      <c r="A144" s="128" t="inlineStr">
        <is>
          <t>Maio/2026</t>
        </is>
      </c>
      <c r="B144" s="128" t="inlineStr">
        <is>
          <t>DTEL</t>
        </is>
      </c>
      <c r="C144" s="128" t="inlineStr">
        <is>
          <t>TI</t>
        </is>
      </c>
      <c r="D144" s="128" t="inlineStr">
        <is>
          <t>E-mail do departamento (11 emails)</t>
        </is>
      </c>
      <c r="E144" s="128" t="inlineStr">
        <is>
          <t>ELTHON MENEZES</t>
        </is>
      </c>
      <c r="F144" s="128" t="n">
        <v>4</v>
      </c>
      <c r="G144" s="129" t="n">
        <v>50</v>
      </c>
      <c r="H144" s="129">
        <f>F144*G144</f>
        <v/>
      </c>
      <c r="I144" s="128" t="inlineStr">
        <is>
          <t>Real (taxa fixa de R$50,00 por conta, só executivo/supervisor/coordenador)</t>
        </is>
      </c>
      <c r="J144" s="124" t="n"/>
      <c r="K144" s="124" t="n"/>
      <c r="L144" s="124" t="n"/>
      <c r="M144" s="124" t="n"/>
      <c r="N144" s="124" t="n"/>
      <c r="O144" s="124" t="n"/>
    </row>
    <row r="145" ht="15" customHeight="1" s="75">
      <c r="A145" s="128" t="inlineStr">
        <is>
          <t>Maio/2026</t>
        </is>
      </c>
      <c r="B145" s="128" t="inlineStr">
        <is>
          <t>DTEL</t>
        </is>
      </c>
      <c r="C145" s="128" t="inlineStr">
        <is>
          <t>Frota/Combustível</t>
        </is>
      </c>
      <c r="D145" s="128" t="inlineStr">
        <is>
          <t>Consumo de combustível</t>
        </is>
      </c>
      <c r="E145" s="128" t="inlineStr">
        <is>
          <t>ELTHON MENEZES</t>
        </is>
      </c>
      <c r="F145" s="128" t="n">
        <v>1</v>
      </c>
      <c r="G145" s="129" t="n">
        <v>476.27</v>
      </c>
      <c r="H145" s="129">
        <f>F145*G145</f>
        <v/>
      </c>
      <c r="I145" s="128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4" t="n"/>
      <c r="K145" s="124" t="n"/>
      <c r="L145" s="124" t="n"/>
      <c r="M145" s="124" t="n"/>
      <c r="N145" s="124" t="n"/>
      <c r="O145" s="124" t="n"/>
    </row>
    <row r="146" ht="15" customHeight="1" s="75">
      <c r="A146" s="128" t="inlineStr">
        <is>
          <t>Maio/2026</t>
        </is>
      </c>
      <c r="B146" s="128" t="inlineStr">
        <is>
          <t>DTEL</t>
        </is>
      </c>
      <c r="C146" s="128" t="inlineStr">
        <is>
          <t>Pessoal</t>
        </is>
      </c>
      <c r="D146" s="128" t="inlineStr">
        <is>
          <t>Folha Trabalhista com impostos do mês</t>
        </is>
      </c>
      <c r="E146" s="128" t="inlineStr">
        <is>
          <t>GABRIEL LIMA</t>
        </is>
      </c>
      <c r="F146" s="128" t="n">
        <v>1</v>
      </c>
      <c r="G146" s="129" t="n">
        <v>5015.22</v>
      </c>
      <c r="H146" s="129">
        <f>F146*G146</f>
        <v/>
      </c>
      <c r="I146" s="128" t="inlineStr">
        <is>
          <t>Real (cruzado por nome, 3/9 encontrados)</t>
        </is>
      </c>
      <c r="J146" s="124" t="n"/>
      <c r="K146" s="124" t="n"/>
      <c r="L146" s="124" t="n"/>
      <c r="M146" s="124" t="n"/>
      <c r="N146" s="124" t="n"/>
      <c r="O146" s="124" t="n"/>
    </row>
    <row r="147" ht="15" customHeight="1" s="75">
      <c r="A147" s="128" t="inlineStr">
        <is>
          <t>Maio/2026</t>
        </is>
      </c>
      <c r="B147" s="128" t="inlineStr">
        <is>
          <t>DTEL</t>
        </is>
      </c>
      <c r="C147" s="128" t="inlineStr">
        <is>
          <t>Pessoal</t>
        </is>
      </c>
      <c r="D147" s="128" t="inlineStr">
        <is>
          <t>Vale Transporte</t>
        </is>
      </c>
      <c r="E147" s="128" t="inlineStr">
        <is>
          <t>GABRIEL LIMA</t>
        </is>
      </c>
      <c r="F147" s="128" t="n">
        <v>1</v>
      </c>
      <c r="G147" s="129" t="n">
        <v>628.71</v>
      </c>
      <c r="H147" s="129" t="n">
        <v>628.71</v>
      </c>
      <c r="I147" s="128" t="inlineStr">
        <is>
          <t>Estimado (fatia proporcional ao nº de colaboradores da equipe, sem taxa fixa por pessoa), fatia de 9 colaboradores da equipe</t>
        </is>
      </c>
      <c r="J147" s="124" t="n"/>
      <c r="K147" s="124" t="n"/>
      <c r="L147" s="124" t="n"/>
      <c r="M147" s="124" t="n"/>
      <c r="N147" s="124" t="n"/>
      <c r="O147" s="124" t="n"/>
    </row>
    <row r="148" ht="15" customHeight="1" s="75">
      <c r="A148" s="128" t="inlineStr">
        <is>
          <t>Maio/2026</t>
        </is>
      </c>
      <c r="B148" s="128" t="inlineStr">
        <is>
          <t>DTEL</t>
        </is>
      </c>
      <c r="C148" s="128" t="inlineStr">
        <is>
          <t>Pessoal</t>
        </is>
      </c>
      <c r="D148" s="128" t="inlineStr">
        <is>
          <t>Despesas com RH</t>
        </is>
      </c>
      <c r="E148" s="128" t="inlineStr">
        <is>
          <t>GABRIEL LIMA</t>
        </is>
      </c>
      <c r="F148" s="128" t="n">
        <v>9</v>
      </c>
      <c r="G148" s="129" t="n">
        <v>28.31</v>
      </c>
      <c r="H148" s="129">
        <f>F148*G148</f>
        <v/>
      </c>
      <c r="I148" s="128" t="inlineStr">
        <is>
          <t>Real (taxa fixa por colaborador, confirmada em todas as empresas)</t>
        </is>
      </c>
      <c r="J148" s="124" t="n"/>
      <c r="K148" s="124" t="n"/>
      <c r="L148" s="124" t="n"/>
      <c r="M148" s="124" t="n"/>
      <c r="N148" s="124" t="n"/>
      <c r="O148" s="124" t="n"/>
    </row>
    <row r="149" ht="15" customHeight="1" s="75">
      <c r="A149" s="128" t="inlineStr">
        <is>
          <t>Maio/2026</t>
        </is>
      </c>
      <c r="B149" s="128" t="inlineStr">
        <is>
          <t>DTEL</t>
        </is>
      </c>
      <c r="C149" s="128" t="inlineStr">
        <is>
          <t>Pessoal</t>
        </is>
      </c>
      <c r="D149" s="128" t="inlineStr">
        <is>
          <t>Despesas com DP</t>
        </is>
      </c>
      <c r="E149" s="128" t="inlineStr">
        <is>
          <t>GABRIEL LIMA</t>
        </is>
      </c>
      <c r="F149" s="128" t="n">
        <v>9</v>
      </c>
      <c r="G149" s="129" t="n">
        <v>47.79</v>
      </c>
      <c r="H149" s="129">
        <f>F149*G149</f>
        <v/>
      </c>
      <c r="I149" s="128" t="inlineStr">
        <is>
          <t>Real (taxa fixa por colaborador, confirmada em todas as empresas)</t>
        </is>
      </c>
      <c r="J149" s="124" t="n"/>
      <c r="K149" s="124" t="n"/>
      <c r="L149" s="124" t="n"/>
      <c r="M149" s="124" t="n"/>
      <c r="N149" s="124" t="n"/>
      <c r="O149" s="124" t="n"/>
    </row>
    <row r="150" ht="15" customHeight="1" s="75">
      <c r="A150" s="128" t="inlineStr">
        <is>
          <t>Maio/2026</t>
        </is>
      </c>
      <c r="B150" s="128" t="inlineStr">
        <is>
          <t>DTEL</t>
        </is>
      </c>
      <c r="C150" s="128" t="inlineStr">
        <is>
          <t>Segurança do Trabalho</t>
        </is>
      </c>
      <c r="D150" s="128" t="inlineStr">
        <is>
          <t>Despesas SST exames</t>
        </is>
      </c>
      <c r="E150" s="128" t="inlineStr">
        <is>
          <t>GABRIEL LIMA</t>
        </is>
      </c>
      <c r="F150" s="128" t="n">
        <v>1</v>
      </c>
      <c r="G150" s="129" t="n">
        <v>86.14</v>
      </c>
      <c r="H150" s="129" t="n">
        <v>86.14</v>
      </c>
      <c r="I150" s="128" t="inlineStr">
        <is>
          <t>Estimado (fatia proporcional ao nº de colaboradores da equipe, sem taxa fixa por pessoa), fatia de 9 colaboradores da equipe</t>
        </is>
      </c>
      <c r="J150" s="124" t="n"/>
      <c r="K150" s="124" t="n"/>
      <c r="L150" s="124" t="n"/>
      <c r="M150" s="124" t="n"/>
      <c r="N150" s="124" t="n"/>
      <c r="O150" s="124" t="n"/>
    </row>
    <row r="151" ht="15" customHeight="1" s="75">
      <c r="A151" s="128" t="inlineStr">
        <is>
          <t>Maio/2026</t>
        </is>
      </c>
      <c r="B151" s="128" t="inlineStr">
        <is>
          <t>DTEL</t>
        </is>
      </c>
      <c r="C151" s="128" t="inlineStr">
        <is>
          <t>Segurança do Trabalho</t>
        </is>
      </c>
      <c r="D151" s="128" t="inlineStr">
        <is>
          <t>Despesas com SST</t>
        </is>
      </c>
      <c r="E151" s="128" t="inlineStr">
        <is>
          <t>GABRIEL LIMA</t>
        </is>
      </c>
      <c r="F151" s="128" t="n">
        <v>9</v>
      </c>
      <c r="G151" s="129" t="n">
        <v>64.56999999999999</v>
      </c>
      <c r="H151" s="129">
        <f>F151*G151</f>
        <v/>
      </c>
      <c r="I151" s="128" t="inlineStr">
        <is>
          <t>Real (taxa fixa por colaborador, confirmada em todas as empresas)</t>
        </is>
      </c>
      <c r="J151" s="124" t="n"/>
      <c r="K151" s="124" t="n"/>
      <c r="L151" s="124" t="n"/>
      <c r="M151" s="124" t="n"/>
      <c r="N151" s="124" t="n"/>
      <c r="O151" s="124" t="n"/>
    </row>
    <row r="152" ht="15" customHeight="1" s="75">
      <c r="A152" s="128" t="inlineStr">
        <is>
          <t>Maio/2026</t>
        </is>
      </c>
      <c r="B152" s="128" t="inlineStr">
        <is>
          <t>DTEL</t>
        </is>
      </c>
      <c r="C152" s="128" t="inlineStr">
        <is>
          <t>Benefícios</t>
        </is>
      </c>
      <c r="D152" s="128" t="inlineStr">
        <is>
          <t>Gympass</t>
        </is>
      </c>
      <c r="E152" s="128" t="inlineStr">
        <is>
          <t>GABRIEL LIMA</t>
        </is>
      </c>
      <c r="F152" s="128" t="n">
        <v>9</v>
      </c>
      <c r="G152" s="129" t="n">
        <v>10.05</v>
      </c>
      <c r="H152" s="129">
        <f>F152*G152</f>
        <v/>
      </c>
      <c r="I152" s="128" t="inlineStr">
        <is>
          <t>Real (taxa fixa por colaborador, confirmada em todas as empresas)</t>
        </is>
      </c>
      <c r="J152" s="124" t="n"/>
      <c r="K152" s="124" t="n"/>
      <c r="L152" s="124" t="n"/>
      <c r="M152" s="124" t="n"/>
      <c r="N152" s="124" t="n"/>
      <c r="O152" s="124" t="n"/>
    </row>
    <row r="153" ht="15" customHeight="1" s="75">
      <c r="A153" s="128" t="inlineStr">
        <is>
          <t>Maio/2026</t>
        </is>
      </c>
      <c r="B153" s="128" t="inlineStr">
        <is>
          <t>DTEL</t>
        </is>
      </c>
      <c r="C153" s="128" t="inlineStr">
        <is>
          <t>Benefícios</t>
        </is>
      </c>
      <c r="D153" s="128" t="inlineStr">
        <is>
          <t>Stargrid</t>
        </is>
      </c>
      <c r="E153" s="128" t="inlineStr">
        <is>
          <t>GABRIEL LIMA</t>
        </is>
      </c>
      <c r="F153" s="128" t="n">
        <v>9</v>
      </c>
      <c r="G153" s="129" t="n">
        <v>2.07</v>
      </c>
      <c r="H153" s="129">
        <f>F153*G153</f>
        <v/>
      </c>
      <c r="I153" s="128" t="inlineStr">
        <is>
          <t>Real (taxa fixa por colaborador, confirmada em todas as empresas)</t>
        </is>
      </c>
      <c r="J153" s="124" t="n"/>
      <c r="K153" s="124" t="n"/>
      <c r="L153" s="124" t="n"/>
      <c r="M153" s="124" t="n"/>
      <c r="N153" s="124" t="n"/>
      <c r="O153" s="124" t="n"/>
    </row>
    <row r="154" ht="15" customHeight="1" s="75">
      <c r="A154" s="128" t="inlineStr">
        <is>
          <t>Maio/2026</t>
        </is>
      </c>
      <c r="B154" s="128" t="inlineStr">
        <is>
          <t>DTEL</t>
        </is>
      </c>
      <c r="C154" s="128" t="inlineStr">
        <is>
          <t>Fardamento</t>
        </is>
      </c>
      <c r="D154" s="128" t="inlineStr">
        <is>
          <t>Novo Fardamento</t>
        </is>
      </c>
      <c r="E154" s="128" t="inlineStr">
        <is>
          <t>GABRIEL LIMA</t>
        </is>
      </c>
      <c r="F154" s="128" t="n">
        <v>1</v>
      </c>
      <c r="G154" s="129" t="n">
        <v>16.56</v>
      </c>
      <c r="H154" s="129" t="n">
        <v>16.56</v>
      </c>
      <c r="I154" s="128" t="inlineStr">
        <is>
          <t>Estimado (fatia proporcional ao nº de colaboradores da equipe, sem taxa fixa por pessoa), fatia de 9 colaboradores da equipe</t>
        </is>
      </c>
      <c r="J154" s="124" t="n"/>
      <c r="K154" s="124" t="n"/>
      <c r="L154" s="124" t="n"/>
      <c r="M154" s="124" t="n"/>
      <c r="N154" s="124" t="n"/>
      <c r="O154" s="124" t="n"/>
    </row>
    <row r="155" ht="15" customHeight="1" s="75">
      <c r="A155" s="128" t="inlineStr">
        <is>
          <t>Maio/2026</t>
        </is>
      </c>
      <c r="B155" s="128" t="inlineStr">
        <is>
          <t>DTEL</t>
        </is>
      </c>
      <c r="C155" s="128" t="inlineStr">
        <is>
          <t>Fardamento</t>
        </is>
      </c>
      <c r="D155" s="128" t="inlineStr">
        <is>
          <t>Devolução de fardamento</t>
        </is>
      </c>
      <c r="E155" s="128" t="inlineStr">
        <is>
          <t>GABRIEL LIMA</t>
        </is>
      </c>
      <c r="F155" s="128" t="n">
        <v>1</v>
      </c>
      <c r="G155" s="129" t="n">
        <v>-24.36</v>
      </c>
      <c r="H155" s="129" t="n">
        <v>-24.36</v>
      </c>
      <c r="I155" s="128" t="inlineStr">
        <is>
          <t>Estimado (fatia proporcional ao nº de colaboradores da equipe, sem taxa fixa por pessoa), fatia de 9 colaboradores da equipe</t>
        </is>
      </c>
      <c r="J155" s="124" t="n"/>
      <c r="K155" s="124" t="n"/>
      <c r="L155" s="124" t="n"/>
      <c r="M155" s="124" t="n"/>
      <c r="N155" s="124" t="n"/>
      <c r="O155" s="124" t="n"/>
    </row>
    <row r="156" ht="15" customHeight="1" s="75">
      <c r="A156" s="128" t="inlineStr">
        <is>
          <t>Maio/2026</t>
        </is>
      </c>
      <c r="B156" s="128" t="inlineStr">
        <is>
          <t>DTEL</t>
        </is>
      </c>
      <c r="C156" s="128" t="inlineStr">
        <is>
          <t>Fardamento</t>
        </is>
      </c>
      <c r="D156" s="128" t="inlineStr">
        <is>
          <t>Substituição extra de Fardamento</t>
        </is>
      </c>
      <c r="E156" s="128" t="inlineStr">
        <is>
          <t>GABRIEL LIMA</t>
        </is>
      </c>
      <c r="F156" s="128" t="n">
        <v>1</v>
      </c>
      <c r="G156" s="129" t="n">
        <v>25.81</v>
      </c>
      <c r="H156" s="129" t="n">
        <v>25.81</v>
      </c>
      <c r="I156" s="128" t="inlineStr">
        <is>
          <t>Estimado (fatia proporcional ao nº de colaboradores da equipe, sem taxa fixa por pessoa), fatia de 9 colaboradores da equipe</t>
        </is>
      </c>
      <c r="J156" s="124" t="n"/>
      <c r="K156" s="124" t="n"/>
      <c r="L156" s="124" t="n"/>
      <c r="M156" s="124" t="n"/>
      <c r="N156" s="124" t="n"/>
      <c r="O156" s="124" t="n"/>
    </row>
    <row r="157" ht="15" customHeight="1" s="75">
      <c r="A157" s="128" t="inlineStr">
        <is>
          <t>Maio/2026</t>
        </is>
      </c>
      <c r="B157" s="128" t="inlineStr">
        <is>
          <t>DTEL</t>
        </is>
      </c>
      <c r="C157" s="128" t="inlineStr">
        <is>
          <t>Estrutura/Infra</t>
        </is>
      </c>
      <c r="D157" s="128" t="inlineStr">
        <is>
          <t>Linhas moveis (FIQUE MÓVEL)</t>
        </is>
      </c>
      <c r="E157" s="128" t="inlineStr">
        <is>
          <t>GABRIEL LIMA</t>
        </is>
      </c>
      <c r="F157" s="128" t="n">
        <v>9</v>
      </c>
      <c r="G157" s="129" t="n">
        <v>30</v>
      </c>
      <c r="H157" s="129">
        <f>F157*G157</f>
        <v/>
      </c>
      <c r="I157" s="128" t="inlineStr">
        <is>
          <t>Real (taxa fixa por colaborador, confirmada em todas as empresas)</t>
        </is>
      </c>
      <c r="J157" s="124" t="n"/>
      <c r="K157" s="124" t="n"/>
      <c r="L157" s="124" t="n"/>
      <c r="M157" s="124" t="n"/>
      <c r="N157" s="124" t="n"/>
      <c r="O157" s="124" t="n"/>
    </row>
    <row r="158" ht="15" customHeight="1" s="75">
      <c r="A158" s="128" t="inlineStr">
        <is>
          <t>Maio/2026</t>
        </is>
      </c>
      <c r="B158" s="128" t="inlineStr">
        <is>
          <t>DTEL</t>
        </is>
      </c>
      <c r="C158" s="128" t="inlineStr">
        <is>
          <t>Pessoal</t>
        </is>
      </c>
      <c r="D158" s="128" t="inlineStr">
        <is>
          <t>Folha Trabalhista com impostos do mês</t>
        </is>
      </c>
      <c r="E158" s="128" t="inlineStr">
        <is>
          <t>LUCAS BONIFÁCIO</t>
        </is>
      </c>
      <c r="F158" s="128" t="n">
        <v>1</v>
      </c>
      <c r="G158" s="129" t="n">
        <v>22457.37</v>
      </c>
      <c r="H158" s="129">
        <f>F158*G158</f>
        <v/>
      </c>
      <c r="I158" s="128" t="inlineStr">
        <is>
          <t>Real (cruzado por nome, 7/7 encontrados)</t>
        </is>
      </c>
      <c r="J158" s="124" t="n"/>
      <c r="K158" s="124" t="n"/>
      <c r="L158" s="124" t="n"/>
      <c r="M158" s="124" t="n"/>
      <c r="N158" s="124" t="n"/>
      <c r="O158" s="124" t="n"/>
    </row>
    <row r="159" ht="15" customHeight="1" s="75">
      <c r="A159" s="128" t="inlineStr">
        <is>
          <t>Maio/2026</t>
        </is>
      </c>
      <c r="B159" s="128" t="inlineStr">
        <is>
          <t>DTEL</t>
        </is>
      </c>
      <c r="C159" s="128" t="inlineStr">
        <is>
          <t>Pessoal</t>
        </is>
      </c>
      <c r="D159" s="128" t="inlineStr">
        <is>
          <t>Rescisões</t>
        </is>
      </c>
      <c r="E159" s="128" t="inlineStr">
        <is>
          <t>LUCAS BONIFÁCIO</t>
        </is>
      </c>
      <c r="F159" s="128" t="n">
        <v>1</v>
      </c>
      <c r="G159" s="129" t="n">
        <v>8440.129999999999</v>
      </c>
      <c r="H159" s="129">
        <f>F159*G159</f>
        <v/>
      </c>
      <c r="I159" s="128" t="inlineStr">
        <is>
          <t>Real (cruzado por nome, tabela de rescisões — lançado em Maio/2026, mesma defasagem de um mês usada nos outros custos do comercial)</t>
        </is>
      </c>
      <c r="J159" s="124" t="n"/>
      <c r="K159" s="124" t="n"/>
      <c r="L159" s="124" t="n"/>
      <c r="M159" s="124" t="n"/>
      <c r="N159" s="124" t="n"/>
      <c r="O159" s="124" t="n"/>
    </row>
    <row r="160" ht="15" customHeight="1" s="75">
      <c r="A160" s="128" t="inlineStr">
        <is>
          <t>Maio/2026</t>
        </is>
      </c>
      <c r="B160" s="128" t="inlineStr">
        <is>
          <t>DTEL</t>
        </is>
      </c>
      <c r="C160" s="128" t="inlineStr">
        <is>
          <t>Pessoal</t>
        </is>
      </c>
      <c r="D160" s="128" t="inlineStr">
        <is>
          <t>Vale Transporte</t>
        </is>
      </c>
      <c r="E160" s="128" t="inlineStr">
        <is>
          <t>LUCAS BONIFÁCIO</t>
        </is>
      </c>
      <c r="F160" s="128" t="n">
        <v>1</v>
      </c>
      <c r="G160" s="129" t="n">
        <v>489</v>
      </c>
      <c r="H160" s="129" t="n">
        <v>489</v>
      </c>
      <c r="I160" s="128" t="inlineStr">
        <is>
          <t>Estimado (fatia proporcional ao nº de colaboradores da equipe, sem taxa fixa por pessoa), fatia de 7 colaboradores da equipe</t>
        </is>
      </c>
      <c r="J160" s="124" t="n"/>
      <c r="K160" s="124" t="n"/>
      <c r="L160" s="124" t="n"/>
      <c r="M160" s="124" t="n"/>
      <c r="N160" s="124" t="n"/>
      <c r="O160" s="124" t="n"/>
    </row>
    <row r="161" ht="15" customHeight="1" s="75">
      <c r="A161" s="128" t="inlineStr">
        <is>
          <t>Maio/2026</t>
        </is>
      </c>
      <c r="B161" s="128" t="inlineStr">
        <is>
          <t>DTEL</t>
        </is>
      </c>
      <c r="C161" s="128" t="inlineStr">
        <is>
          <t>Pessoal</t>
        </is>
      </c>
      <c r="D161" s="128" t="inlineStr">
        <is>
          <t>Despesas com RH</t>
        </is>
      </c>
      <c r="E161" s="128" t="inlineStr">
        <is>
          <t>LUCAS BONIFÁCIO</t>
        </is>
      </c>
      <c r="F161" s="128" t="n">
        <v>7</v>
      </c>
      <c r="G161" s="129" t="n">
        <v>28.31</v>
      </c>
      <c r="H161" s="129">
        <f>F161*G161</f>
        <v/>
      </c>
      <c r="I161" s="128" t="inlineStr">
        <is>
          <t>Real (taxa fixa por colaborador, confirmada em todas as empresas)</t>
        </is>
      </c>
      <c r="J161" s="124" t="n"/>
      <c r="K161" s="124" t="n"/>
      <c r="L161" s="124" t="n"/>
      <c r="M161" s="124" t="n"/>
      <c r="N161" s="124" t="n"/>
      <c r="O161" s="124" t="n"/>
    </row>
    <row r="162" ht="15" customHeight="1" s="75">
      <c r="A162" s="128" t="inlineStr">
        <is>
          <t>Maio/2026</t>
        </is>
      </c>
      <c r="B162" s="128" t="inlineStr">
        <is>
          <t>DTEL</t>
        </is>
      </c>
      <c r="C162" s="128" t="inlineStr">
        <is>
          <t>Pessoal</t>
        </is>
      </c>
      <c r="D162" s="128" t="inlineStr">
        <is>
          <t>Despesas com DP</t>
        </is>
      </c>
      <c r="E162" s="128" t="inlineStr">
        <is>
          <t>LUCAS BONIFÁCIO</t>
        </is>
      </c>
      <c r="F162" s="128" t="n">
        <v>7</v>
      </c>
      <c r="G162" s="129" t="n">
        <v>47.79</v>
      </c>
      <c r="H162" s="129">
        <f>F162*G162</f>
        <v/>
      </c>
      <c r="I162" s="128" t="inlineStr">
        <is>
          <t>Real (taxa fixa por colaborador, confirmada em todas as empresas)</t>
        </is>
      </c>
      <c r="J162" s="124" t="n"/>
      <c r="K162" s="124" t="n"/>
      <c r="L162" s="124" t="n"/>
      <c r="M162" s="124" t="n"/>
      <c r="N162" s="124" t="n"/>
      <c r="O162" s="124" t="n"/>
    </row>
    <row r="163" ht="15" customHeight="1" s="75">
      <c r="A163" s="128" t="inlineStr">
        <is>
          <t>Maio/2026</t>
        </is>
      </c>
      <c r="B163" s="128" t="inlineStr">
        <is>
          <t>DTEL</t>
        </is>
      </c>
      <c r="C163" s="128" t="inlineStr">
        <is>
          <t>Segurança do Trabalho</t>
        </is>
      </c>
      <c r="D163" s="128" t="inlineStr">
        <is>
          <t>Despesas SST exames</t>
        </is>
      </c>
      <c r="E163" s="128" t="inlineStr">
        <is>
          <t>LUCAS BONIFÁCIO</t>
        </is>
      </c>
      <c r="F163" s="128" t="n">
        <v>1</v>
      </c>
      <c r="G163" s="129" t="n">
        <v>67</v>
      </c>
      <c r="H163" s="129" t="n">
        <v>67</v>
      </c>
      <c r="I163" s="128" t="inlineStr">
        <is>
          <t>Estimado (fatia proporcional ao nº de colaboradores da equipe, sem taxa fixa por pessoa), fatia de 7 colaboradores da equipe</t>
        </is>
      </c>
      <c r="J163" s="124" t="n"/>
      <c r="K163" s="124" t="n"/>
      <c r="L163" s="124" t="n"/>
      <c r="M163" s="124" t="n"/>
      <c r="N163" s="124" t="n"/>
      <c r="O163" s="124" t="n"/>
    </row>
    <row r="164" ht="15" customHeight="1" s="75">
      <c r="A164" s="128" t="inlineStr">
        <is>
          <t>Maio/2026</t>
        </is>
      </c>
      <c r="B164" s="128" t="inlineStr">
        <is>
          <t>DTEL</t>
        </is>
      </c>
      <c r="C164" s="128" t="inlineStr">
        <is>
          <t>Segurança do Trabalho</t>
        </is>
      </c>
      <c r="D164" s="128" t="inlineStr">
        <is>
          <t>Despesas com SST</t>
        </is>
      </c>
      <c r="E164" s="128" t="inlineStr">
        <is>
          <t>LUCAS BONIFÁCIO</t>
        </is>
      </c>
      <c r="F164" s="128" t="n">
        <v>7</v>
      </c>
      <c r="G164" s="129" t="n">
        <v>64.56999999999999</v>
      </c>
      <c r="H164" s="129">
        <f>F164*G164</f>
        <v/>
      </c>
      <c r="I164" s="128" t="inlineStr">
        <is>
          <t>Real (taxa fixa por colaborador, confirmada em todas as empresas)</t>
        </is>
      </c>
      <c r="J164" s="124" t="n"/>
      <c r="K164" s="124" t="n"/>
      <c r="L164" s="124" t="n"/>
      <c r="M164" s="124" t="n"/>
      <c r="N164" s="124" t="n"/>
      <c r="O164" s="124" t="n"/>
    </row>
    <row r="165" ht="15" customHeight="1" s="75">
      <c r="A165" s="128" t="inlineStr">
        <is>
          <t>Maio/2026</t>
        </is>
      </c>
      <c r="B165" s="128" t="inlineStr">
        <is>
          <t>DTEL</t>
        </is>
      </c>
      <c r="C165" s="128" t="inlineStr">
        <is>
          <t>Benefícios</t>
        </is>
      </c>
      <c r="D165" s="128" t="inlineStr">
        <is>
          <t>Gympass</t>
        </is>
      </c>
      <c r="E165" s="128" t="inlineStr">
        <is>
          <t>LUCAS BONIFÁCIO</t>
        </is>
      </c>
      <c r="F165" s="128" t="n">
        <v>7</v>
      </c>
      <c r="G165" s="129" t="n">
        <v>10.05</v>
      </c>
      <c r="H165" s="129">
        <f>F165*G165</f>
        <v/>
      </c>
      <c r="I165" s="128" t="inlineStr">
        <is>
          <t>Real (taxa fixa por colaborador, confirmada em todas as empresas)</t>
        </is>
      </c>
      <c r="J165" s="124" t="n"/>
      <c r="K165" s="124" t="n"/>
      <c r="L165" s="124" t="n"/>
      <c r="M165" s="124" t="n"/>
      <c r="N165" s="124" t="n"/>
      <c r="O165" s="124" t="n"/>
    </row>
    <row r="166" ht="15" customHeight="1" s="75">
      <c r="A166" s="128" t="inlineStr">
        <is>
          <t>Maio/2026</t>
        </is>
      </c>
      <c r="B166" s="128" t="inlineStr">
        <is>
          <t>DTEL</t>
        </is>
      </c>
      <c r="C166" s="128" t="inlineStr">
        <is>
          <t>Benefícios</t>
        </is>
      </c>
      <c r="D166" s="128" t="inlineStr">
        <is>
          <t>Stargrid</t>
        </is>
      </c>
      <c r="E166" s="128" t="inlineStr">
        <is>
          <t>LUCAS BONIFÁCIO</t>
        </is>
      </c>
      <c r="F166" s="128" t="n">
        <v>7</v>
      </c>
      <c r="G166" s="129" t="n">
        <v>2.07</v>
      </c>
      <c r="H166" s="129">
        <f>F166*G166</f>
        <v/>
      </c>
      <c r="I166" s="128" t="inlineStr">
        <is>
          <t>Real (taxa fixa por colaborador, confirmada em todas as empresas)</t>
        </is>
      </c>
      <c r="J166" s="124" t="n"/>
      <c r="K166" s="124" t="n"/>
      <c r="L166" s="124" t="n"/>
      <c r="M166" s="124" t="n"/>
      <c r="N166" s="124" t="n"/>
      <c r="O166" s="124" t="n"/>
    </row>
    <row r="167" ht="15" customHeight="1" s="75">
      <c r="A167" s="128" t="inlineStr">
        <is>
          <t>Maio/2026</t>
        </is>
      </c>
      <c r="B167" s="128" t="inlineStr">
        <is>
          <t>DTEL</t>
        </is>
      </c>
      <c r="C167" s="128" t="inlineStr">
        <is>
          <t>Fardamento</t>
        </is>
      </c>
      <c r="D167" s="128" t="inlineStr">
        <is>
          <t>Novo Fardamento</t>
        </is>
      </c>
      <c r="E167" s="128" t="inlineStr">
        <is>
          <t>LUCAS BONIFÁCIO</t>
        </is>
      </c>
      <c r="F167" s="128" t="n">
        <v>1</v>
      </c>
      <c r="G167" s="129" t="n">
        <v>12.88</v>
      </c>
      <c r="H167" s="129" t="n">
        <v>12.88</v>
      </c>
      <c r="I167" s="128" t="inlineStr">
        <is>
          <t>Estimado (fatia proporcional ao nº de colaboradores da equipe, sem taxa fixa por pessoa), fatia de 7 colaboradores da equipe</t>
        </is>
      </c>
      <c r="J167" s="124" t="n"/>
      <c r="K167" s="124" t="n"/>
      <c r="L167" s="124" t="n"/>
      <c r="M167" s="124" t="n"/>
      <c r="N167" s="124" t="n"/>
      <c r="O167" s="124" t="n"/>
    </row>
    <row r="168" ht="15" customHeight="1" s="75">
      <c r="A168" s="128" t="inlineStr">
        <is>
          <t>Maio/2026</t>
        </is>
      </c>
      <c r="B168" s="128" t="inlineStr">
        <is>
          <t>DTEL</t>
        </is>
      </c>
      <c r="C168" s="128" t="inlineStr">
        <is>
          <t>Fardamento</t>
        </is>
      </c>
      <c r="D168" s="128" t="inlineStr">
        <is>
          <t>Devolução de fardamento</t>
        </is>
      </c>
      <c r="E168" s="128" t="inlineStr">
        <is>
          <t>LUCAS BONIFÁCIO</t>
        </is>
      </c>
      <c r="F168" s="128" t="n">
        <v>1</v>
      </c>
      <c r="G168" s="129" t="n">
        <v>-18.95</v>
      </c>
      <c r="H168" s="129" t="n">
        <v>-18.95</v>
      </c>
      <c r="I168" s="128" t="inlineStr">
        <is>
          <t>Estimado (fatia proporcional ao nº de colaboradores da equipe, sem taxa fixa por pessoa), fatia de 7 colaboradores da equipe</t>
        </is>
      </c>
      <c r="J168" s="124" t="n"/>
      <c r="K168" s="124" t="n"/>
      <c r="L168" s="124" t="n"/>
      <c r="M168" s="124" t="n"/>
      <c r="N168" s="124" t="n"/>
      <c r="O168" s="124" t="n"/>
    </row>
    <row r="169" ht="15" customHeight="1" s="75">
      <c r="A169" s="128" t="inlineStr">
        <is>
          <t>Maio/2026</t>
        </is>
      </c>
      <c r="B169" s="128" t="inlineStr">
        <is>
          <t>DTEL</t>
        </is>
      </c>
      <c r="C169" s="128" t="inlineStr">
        <is>
          <t>Fardamento</t>
        </is>
      </c>
      <c r="D169" s="128" t="inlineStr">
        <is>
          <t>Substituição extra de Fardamento</t>
        </is>
      </c>
      <c r="E169" s="128" t="inlineStr">
        <is>
          <t>LUCAS BONIFÁCIO</t>
        </is>
      </c>
      <c r="F169" s="128" t="n">
        <v>1</v>
      </c>
      <c r="G169" s="129" t="n">
        <v>20.07</v>
      </c>
      <c r="H169" s="129" t="n">
        <v>20.07</v>
      </c>
      <c r="I169" s="128" t="inlineStr">
        <is>
          <t>Estimado (fatia proporcional ao nº de colaboradores da equipe, sem taxa fixa por pessoa), fatia de 7 colaboradores da equipe</t>
        </is>
      </c>
      <c r="J169" s="124" t="n"/>
      <c r="K169" s="124" t="n"/>
      <c r="L169" s="124" t="n"/>
      <c r="M169" s="124" t="n"/>
      <c r="N169" s="124" t="n"/>
      <c r="O169" s="124" t="n"/>
    </row>
    <row r="170" ht="15" customHeight="1" s="75">
      <c r="A170" s="128" t="inlineStr">
        <is>
          <t>Maio/2026</t>
        </is>
      </c>
      <c r="B170" s="128" t="inlineStr">
        <is>
          <t>DTEL</t>
        </is>
      </c>
      <c r="C170" s="128" t="inlineStr">
        <is>
          <t>Estrutura/Infra</t>
        </is>
      </c>
      <c r="D170" s="128" t="inlineStr">
        <is>
          <t>Linhas moveis (FIQUE MÓVEL)</t>
        </is>
      </c>
      <c r="E170" s="128" t="inlineStr">
        <is>
          <t>LUCAS BONIFÁCIO</t>
        </is>
      </c>
      <c r="F170" s="128" t="n">
        <v>7</v>
      </c>
      <c r="G170" s="129" t="n">
        <v>30</v>
      </c>
      <c r="H170" s="129">
        <f>F170*G170</f>
        <v/>
      </c>
      <c r="I170" s="128" t="inlineStr">
        <is>
          <t>Real (taxa fixa por colaborador, confirmada em todas as empresas)</t>
        </is>
      </c>
      <c r="J170" s="124" t="n"/>
      <c r="K170" s="124" t="n"/>
      <c r="L170" s="124" t="n"/>
      <c r="M170" s="124" t="n"/>
      <c r="N170" s="124" t="n"/>
      <c r="O170" s="124" t="n"/>
    </row>
    <row r="171" ht="15" customHeight="1" s="75">
      <c r="A171" s="128" t="inlineStr">
        <is>
          <t>Maio/2026</t>
        </is>
      </c>
      <c r="B171" s="128" t="inlineStr">
        <is>
          <t>DTEL</t>
        </is>
      </c>
      <c r="C171" s="128" t="inlineStr">
        <is>
          <t>TI</t>
        </is>
      </c>
      <c r="D171" s="128" t="inlineStr">
        <is>
          <t>E-mail do departamento (11 emails)</t>
        </is>
      </c>
      <c r="E171" s="128" t="inlineStr">
        <is>
          <t>LUCAS BONIFÁCIO</t>
        </is>
      </c>
      <c r="F171" s="128" t="n">
        <v>1</v>
      </c>
      <c r="G171" s="129" t="n">
        <v>50</v>
      </c>
      <c r="H171" s="129">
        <f>F171*G171</f>
        <v/>
      </c>
      <c r="I171" s="128" t="inlineStr">
        <is>
          <t>Real (taxa fixa de R$50,00 por conta, só executivo/supervisor/coordenador)</t>
        </is>
      </c>
      <c r="J171" s="124" t="n"/>
      <c r="K171" s="124" t="n"/>
      <c r="L171" s="124" t="n"/>
      <c r="M171" s="124" t="n"/>
      <c r="N171" s="124" t="n"/>
      <c r="O171" s="124" t="n"/>
    </row>
    <row r="172" ht="15" customHeight="1" s="75">
      <c r="A172" s="128" t="inlineStr">
        <is>
          <t>Maio/2026</t>
        </is>
      </c>
      <c r="B172" s="128" t="inlineStr">
        <is>
          <t>DTEL</t>
        </is>
      </c>
      <c r="C172" s="128" t="inlineStr">
        <is>
          <t>Frota/Combustível</t>
        </is>
      </c>
      <c r="D172" s="128" t="inlineStr">
        <is>
          <t>Consumo de combustível</t>
        </is>
      </c>
      <c r="E172" s="128" t="inlineStr">
        <is>
          <t>LUCAS BONIFÁCIO</t>
        </is>
      </c>
      <c r="F172" s="128" t="n">
        <v>1</v>
      </c>
      <c r="G172" s="129" t="n">
        <v>1265.26</v>
      </c>
      <c r="H172" s="129">
        <f>F172*G172</f>
        <v/>
      </c>
      <c r="I172" s="128" t="inlineStr">
        <is>
          <t>Real (cruzado por nome, planilha de combustível)</t>
        </is>
      </c>
      <c r="J172" s="124" t="n"/>
      <c r="K172" s="124" t="n"/>
      <c r="L172" s="124" t="n"/>
      <c r="M172" s="124" t="n"/>
      <c r="N172" s="124" t="n"/>
      <c r="O172" s="124" t="n"/>
    </row>
    <row r="173" ht="15" customHeight="1" s="75">
      <c r="A173" s="128" t="inlineStr">
        <is>
          <t>Maio/2026</t>
        </is>
      </c>
      <c r="B173" s="128" t="inlineStr">
        <is>
          <t>DTEL</t>
        </is>
      </c>
      <c r="C173" s="128" t="inlineStr">
        <is>
          <t>Pessoal</t>
        </is>
      </c>
      <c r="D173" s="128" t="inlineStr">
        <is>
          <t>Folha Trabalhista com impostos do mês</t>
        </is>
      </c>
      <c r="E173" s="128" t="inlineStr">
        <is>
          <t>MICHELANGELO</t>
        </is>
      </c>
      <c r="F173" s="128" t="n">
        <v>1</v>
      </c>
      <c r="G173" s="129" t="n">
        <v>23583.3694666667</v>
      </c>
      <c r="H173" s="129">
        <f>F173*G173</f>
        <v/>
      </c>
      <c r="I173" s="128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4" t="n"/>
      <c r="K173" s="124" t="n"/>
      <c r="L173" s="124" t="n"/>
      <c r="M173" s="124" t="n"/>
      <c r="N173" s="124" t="n"/>
      <c r="O173" s="124" t="n"/>
    </row>
    <row r="174" ht="15" customHeight="1" s="75">
      <c r="A174" s="128" t="inlineStr">
        <is>
          <t>Maio/2026</t>
        </is>
      </c>
      <c r="B174" s="128" t="inlineStr">
        <is>
          <t>DTEL</t>
        </is>
      </c>
      <c r="C174" s="128" t="inlineStr">
        <is>
          <t>Pessoal</t>
        </is>
      </c>
      <c r="D174" s="128" t="inlineStr">
        <is>
          <t>Vale Transporte</t>
        </is>
      </c>
      <c r="E174" s="128" t="inlineStr">
        <is>
          <t>MICHELANGELO</t>
        </is>
      </c>
      <c r="F174" s="128" t="n">
        <v>1</v>
      </c>
      <c r="G174" s="129" t="n">
        <v>768.4299999999999</v>
      </c>
      <c r="H174" s="129" t="n">
        <v>768.4299999999999</v>
      </c>
      <c r="I174" s="128" t="inlineStr">
        <is>
          <t>Estimado (fatia proporcional ao nº de colaboradores da equipe, sem taxa fixa por pessoa), fatia de 11 colaboradores da equipe</t>
        </is>
      </c>
      <c r="J174" s="124" t="n"/>
      <c r="K174" s="124" t="n"/>
      <c r="L174" s="124" t="n"/>
      <c r="M174" s="124" t="n"/>
      <c r="N174" s="124" t="n"/>
      <c r="O174" s="124" t="n"/>
    </row>
    <row r="175" ht="15" customHeight="1" s="75">
      <c r="A175" s="128" t="inlineStr">
        <is>
          <t>Maio/2026</t>
        </is>
      </c>
      <c r="B175" s="128" t="inlineStr">
        <is>
          <t>DTEL</t>
        </is>
      </c>
      <c r="C175" s="128" t="inlineStr">
        <is>
          <t>Pessoal</t>
        </is>
      </c>
      <c r="D175" s="128" t="inlineStr">
        <is>
          <t>Despesas com RH</t>
        </is>
      </c>
      <c r="E175" s="128" t="inlineStr">
        <is>
          <t>MICHELANGELO</t>
        </is>
      </c>
      <c r="F175" s="128" t="n">
        <v>11</v>
      </c>
      <c r="G175" s="129" t="n">
        <v>28.31</v>
      </c>
      <c r="H175" s="129">
        <f>F175*G175</f>
        <v/>
      </c>
      <c r="I175" s="128" t="inlineStr">
        <is>
          <t>Real (taxa fixa por colaborador, confirmada em todas as empresas)</t>
        </is>
      </c>
      <c r="J175" s="124" t="n"/>
      <c r="K175" s="124" t="n"/>
      <c r="L175" s="124" t="n"/>
      <c r="M175" s="124" t="n"/>
      <c r="N175" s="124" t="n"/>
      <c r="O175" s="124" t="n"/>
    </row>
    <row r="176" ht="15" customHeight="1" s="75">
      <c r="A176" s="128" t="inlineStr">
        <is>
          <t>Maio/2026</t>
        </is>
      </c>
      <c r="B176" s="128" t="inlineStr">
        <is>
          <t>DTEL</t>
        </is>
      </c>
      <c r="C176" s="128" t="inlineStr">
        <is>
          <t>Pessoal</t>
        </is>
      </c>
      <c r="D176" s="128" t="inlineStr">
        <is>
          <t>Despesas com DP</t>
        </is>
      </c>
      <c r="E176" s="128" t="inlineStr">
        <is>
          <t>MICHELANGELO</t>
        </is>
      </c>
      <c r="F176" s="128" t="n">
        <v>11</v>
      </c>
      <c r="G176" s="129" t="n">
        <v>47.79</v>
      </c>
      <c r="H176" s="129">
        <f>F176*G176</f>
        <v/>
      </c>
      <c r="I176" s="128" t="inlineStr">
        <is>
          <t>Real (taxa fixa por colaborador, confirmada em todas as empresas)</t>
        </is>
      </c>
      <c r="J176" s="124" t="n"/>
      <c r="K176" s="124" t="n"/>
      <c r="L176" s="124" t="n"/>
      <c r="M176" s="124" t="n"/>
      <c r="N176" s="124" t="n"/>
      <c r="O176" s="124" t="n"/>
    </row>
    <row r="177" ht="15" customHeight="1" s="75">
      <c r="A177" s="128" t="inlineStr">
        <is>
          <t>Maio/2026</t>
        </is>
      </c>
      <c r="B177" s="128" t="inlineStr">
        <is>
          <t>DTEL</t>
        </is>
      </c>
      <c r="C177" s="128" t="inlineStr">
        <is>
          <t>Segurança do Trabalho</t>
        </is>
      </c>
      <c r="D177" s="128" t="inlineStr">
        <is>
          <t>Despesas SST exames</t>
        </is>
      </c>
      <c r="E177" s="128" t="inlineStr">
        <is>
          <t>MICHELANGELO</t>
        </is>
      </c>
      <c r="F177" s="128" t="n">
        <v>1</v>
      </c>
      <c r="G177" s="129" t="n">
        <v>105.29</v>
      </c>
      <c r="H177" s="129" t="n">
        <v>105.29</v>
      </c>
      <c r="I177" s="128" t="inlineStr">
        <is>
          <t>Estimado (fatia proporcional ao nº de colaboradores da equipe, sem taxa fixa por pessoa), fatia de 11 colaboradores da equipe</t>
        </is>
      </c>
      <c r="J177" s="124" t="n"/>
      <c r="K177" s="124" t="n"/>
      <c r="L177" s="124" t="n"/>
      <c r="M177" s="124" t="n"/>
      <c r="N177" s="124" t="n"/>
      <c r="O177" s="124" t="n"/>
    </row>
    <row r="178" ht="15" customHeight="1" s="75">
      <c r="A178" s="128" t="inlineStr">
        <is>
          <t>Maio/2026</t>
        </is>
      </c>
      <c r="B178" s="128" t="inlineStr">
        <is>
          <t>DTEL</t>
        </is>
      </c>
      <c r="C178" s="128" t="inlineStr">
        <is>
          <t>Segurança do Trabalho</t>
        </is>
      </c>
      <c r="D178" s="128" t="inlineStr">
        <is>
          <t>Despesas com SST</t>
        </is>
      </c>
      <c r="E178" s="128" t="inlineStr">
        <is>
          <t>MICHELANGELO</t>
        </is>
      </c>
      <c r="F178" s="128" t="n">
        <v>11</v>
      </c>
      <c r="G178" s="129" t="n">
        <v>64.56999999999999</v>
      </c>
      <c r="H178" s="129">
        <f>F178*G178</f>
        <v/>
      </c>
      <c r="I178" s="128" t="inlineStr">
        <is>
          <t>Real (taxa fixa por colaborador, confirmada em todas as empresas)</t>
        </is>
      </c>
      <c r="J178" s="124" t="n"/>
      <c r="K178" s="124" t="n"/>
      <c r="L178" s="124" t="n"/>
      <c r="M178" s="124" t="n"/>
      <c r="N178" s="124" t="n"/>
      <c r="O178" s="124" t="n"/>
    </row>
    <row r="179" ht="15" customHeight="1" s="75">
      <c r="A179" s="128" t="inlineStr">
        <is>
          <t>Maio/2026</t>
        </is>
      </c>
      <c r="B179" s="128" t="inlineStr">
        <is>
          <t>DTEL</t>
        </is>
      </c>
      <c r="C179" s="128" t="inlineStr">
        <is>
          <t>Benefícios</t>
        </is>
      </c>
      <c r="D179" s="128" t="inlineStr">
        <is>
          <t>Gympass</t>
        </is>
      </c>
      <c r="E179" s="128" t="inlineStr">
        <is>
          <t>MICHELANGELO</t>
        </is>
      </c>
      <c r="F179" s="128" t="n">
        <v>11</v>
      </c>
      <c r="G179" s="129" t="n">
        <v>10.05</v>
      </c>
      <c r="H179" s="129">
        <f>F179*G179</f>
        <v/>
      </c>
      <c r="I179" s="128" t="inlineStr">
        <is>
          <t>Real (taxa fixa por colaborador, confirmada em todas as empresas)</t>
        </is>
      </c>
      <c r="J179" s="124" t="n"/>
      <c r="K179" s="124" t="n"/>
      <c r="L179" s="124" t="n"/>
      <c r="M179" s="124" t="n"/>
      <c r="N179" s="124" t="n"/>
      <c r="O179" s="124" t="n"/>
    </row>
    <row r="180" ht="15" customHeight="1" s="75">
      <c r="A180" s="128" t="inlineStr">
        <is>
          <t>Maio/2026</t>
        </is>
      </c>
      <c r="B180" s="128" t="inlineStr">
        <is>
          <t>DTEL</t>
        </is>
      </c>
      <c r="C180" s="128" t="inlineStr">
        <is>
          <t>Benefícios</t>
        </is>
      </c>
      <c r="D180" s="128" t="inlineStr">
        <is>
          <t>Stargrid</t>
        </is>
      </c>
      <c r="E180" s="128" t="inlineStr">
        <is>
          <t>MICHELANGELO</t>
        </is>
      </c>
      <c r="F180" s="128" t="n">
        <v>11</v>
      </c>
      <c r="G180" s="129" t="n">
        <v>2.07</v>
      </c>
      <c r="H180" s="129">
        <f>F180*G180</f>
        <v/>
      </c>
      <c r="I180" s="128" t="inlineStr">
        <is>
          <t>Real (taxa fixa por colaborador, confirmada em todas as empresas)</t>
        </is>
      </c>
      <c r="J180" s="124" t="n"/>
      <c r="K180" s="124" t="n"/>
      <c r="L180" s="124" t="n"/>
      <c r="M180" s="124" t="n"/>
      <c r="N180" s="124" t="n"/>
      <c r="O180" s="124" t="n"/>
    </row>
    <row r="181" ht="15" customHeight="1" s="75">
      <c r="A181" s="128" t="inlineStr">
        <is>
          <t>Maio/2026</t>
        </is>
      </c>
      <c r="B181" s="128" t="inlineStr">
        <is>
          <t>DTEL</t>
        </is>
      </c>
      <c r="C181" s="128" t="inlineStr">
        <is>
          <t>Fardamento</t>
        </is>
      </c>
      <c r="D181" s="128" t="inlineStr">
        <is>
          <t>Novo Fardamento</t>
        </is>
      </c>
      <c r="E181" s="128" t="inlineStr">
        <is>
          <t>MICHELANGELO</t>
        </is>
      </c>
      <c r="F181" s="128" t="n">
        <v>1</v>
      </c>
      <c r="G181" s="129" t="n">
        <v>20.25</v>
      </c>
      <c r="H181" s="129" t="n">
        <v>20.25</v>
      </c>
      <c r="I181" s="128" t="inlineStr">
        <is>
          <t>Estimado (fatia proporcional ao nº de colaboradores da equipe, sem taxa fixa por pessoa), fatia de 11 colaboradores da equipe</t>
        </is>
      </c>
      <c r="J181" s="124" t="n"/>
      <c r="K181" s="124" t="n"/>
      <c r="L181" s="124" t="n"/>
      <c r="M181" s="124" t="n"/>
      <c r="N181" s="124" t="n"/>
      <c r="O181" s="124" t="n"/>
    </row>
    <row r="182" ht="15" customHeight="1" s="75">
      <c r="A182" s="128" t="inlineStr">
        <is>
          <t>Maio/2026</t>
        </is>
      </c>
      <c r="B182" s="128" t="inlineStr">
        <is>
          <t>DTEL</t>
        </is>
      </c>
      <c r="C182" s="128" t="inlineStr">
        <is>
          <t>Fardamento</t>
        </is>
      </c>
      <c r="D182" s="128" t="inlineStr">
        <is>
          <t>Devolução de fardamento</t>
        </is>
      </c>
      <c r="E182" s="128" t="inlineStr">
        <is>
          <t>MICHELANGELO</t>
        </is>
      </c>
      <c r="F182" s="128" t="n">
        <v>1</v>
      </c>
      <c r="G182" s="129" t="n">
        <v>-29.77</v>
      </c>
      <c r="H182" s="129" t="n">
        <v>-29.77</v>
      </c>
      <c r="I182" s="128" t="inlineStr">
        <is>
          <t>Estimado (fatia proporcional ao nº de colaboradores da equipe, sem taxa fixa por pessoa), fatia de 11 colaboradores da equipe</t>
        </is>
      </c>
      <c r="J182" s="124" t="n"/>
      <c r="K182" s="124" t="n"/>
      <c r="L182" s="124" t="n"/>
      <c r="M182" s="124" t="n"/>
      <c r="N182" s="124" t="n"/>
      <c r="O182" s="124" t="n"/>
    </row>
    <row r="183" ht="15" customHeight="1" s="75">
      <c r="A183" s="128" t="inlineStr">
        <is>
          <t>Maio/2026</t>
        </is>
      </c>
      <c r="B183" s="128" t="inlineStr">
        <is>
          <t>DTEL</t>
        </is>
      </c>
      <c r="C183" s="128" t="inlineStr">
        <is>
          <t>Fardamento</t>
        </is>
      </c>
      <c r="D183" s="128" t="inlineStr">
        <is>
          <t>Substituição extra de Fardamento</t>
        </is>
      </c>
      <c r="E183" s="128" t="inlineStr">
        <is>
          <t>MICHELANGELO</t>
        </is>
      </c>
      <c r="F183" s="128" t="n">
        <v>1</v>
      </c>
      <c r="G183" s="129" t="n">
        <v>31.55</v>
      </c>
      <c r="H183" s="129" t="n">
        <v>31.55</v>
      </c>
      <c r="I183" s="128" t="inlineStr">
        <is>
          <t>Estimado (fatia proporcional ao nº de colaboradores da equipe, sem taxa fixa por pessoa), fatia de 11 colaboradores da equipe</t>
        </is>
      </c>
      <c r="J183" s="124" t="n"/>
      <c r="K183" s="124" t="n"/>
      <c r="L183" s="124" t="n"/>
      <c r="M183" s="124" t="n"/>
      <c r="N183" s="124" t="n"/>
      <c r="O183" s="124" t="n"/>
    </row>
    <row r="184" ht="15" customHeight="1" s="75">
      <c r="A184" s="128" t="inlineStr">
        <is>
          <t>Maio/2026</t>
        </is>
      </c>
      <c r="B184" s="128" t="inlineStr">
        <is>
          <t>DTEL</t>
        </is>
      </c>
      <c r="C184" s="128" t="inlineStr">
        <is>
          <t>Estrutura/Infra</t>
        </is>
      </c>
      <c r="D184" s="128" t="inlineStr">
        <is>
          <t>Linhas moveis (FIQUE MÓVEL)</t>
        </is>
      </c>
      <c r="E184" s="128" t="inlineStr">
        <is>
          <t>MICHELANGELO</t>
        </is>
      </c>
      <c r="F184" s="128" t="n">
        <v>11</v>
      </c>
      <c r="G184" s="129" t="n">
        <v>30</v>
      </c>
      <c r="H184" s="129">
        <f>F184*G184</f>
        <v/>
      </c>
      <c r="I184" s="128" t="inlineStr">
        <is>
          <t>Real (taxa fixa por colaborador, confirmada em todas as empresas)</t>
        </is>
      </c>
      <c r="J184" s="124" t="n"/>
      <c r="K184" s="124" t="n"/>
      <c r="L184" s="124" t="n"/>
      <c r="M184" s="124" t="n"/>
      <c r="N184" s="124" t="n"/>
      <c r="O184" s="124" t="n"/>
    </row>
    <row r="185" ht="15" customHeight="1" s="75">
      <c r="A185" s="128" t="inlineStr">
        <is>
          <t>Maio/2026</t>
        </is>
      </c>
      <c r="B185" s="128" t="inlineStr">
        <is>
          <t>DTEL</t>
        </is>
      </c>
      <c r="C185" s="128" t="inlineStr">
        <is>
          <t>TI</t>
        </is>
      </c>
      <c r="D185" s="128" t="inlineStr">
        <is>
          <t>E-mail do departamento (11 emails)</t>
        </is>
      </c>
      <c r="E185" s="128" t="inlineStr">
        <is>
          <t>MICHELANGELO</t>
        </is>
      </c>
      <c r="F185" s="128" t="n">
        <v>2</v>
      </c>
      <c r="G185" s="129" t="n">
        <v>50</v>
      </c>
      <c r="H185" s="129">
        <f>F185*G185</f>
        <v/>
      </c>
      <c r="I185" s="128" t="inlineStr">
        <is>
          <t>Real (taxa fixa de R$50,00 por conta, só executivo/supervisor/coordenador)</t>
        </is>
      </c>
      <c r="J185" s="124" t="n"/>
      <c r="K185" s="124" t="n"/>
      <c r="L185" s="124" t="n"/>
      <c r="M185" s="124" t="n"/>
      <c r="N185" s="124" t="n"/>
      <c r="O185" s="124" t="n"/>
    </row>
    <row r="186" ht="15" customHeight="1" s="75">
      <c r="A186" s="128" t="inlineStr">
        <is>
          <t>Maio/2026</t>
        </is>
      </c>
      <c r="B186" s="128" t="inlineStr">
        <is>
          <t>DTEL</t>
        </is>
      </c>
      <c r="C186" s="128" t="inlineStr">
        <is>
          <t>Frota/Combustível</t>
        </is>
      </c>
      <c r="D186" s="128" t="inlineStr">
        <is>
          <t>Consumo de combustível</t>
        </is>
      </c>
      <c r="E186" s="128" t="inlineStr">
        <is>
          <t>MICHELANGELO</t>
        </is>
      </c>
      <c r="F186" s="128" t="n">
        <v>1</v>
      </c>
      <c r="G186" s="129" t="n">
        <v>0</v>
      </c>
      <c r="H186" s="129">
        <f>F186*G186</f>
        <v/>
      </c>
      <c r="I186" s="128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4" t="n"/>
      <c r="K186" s="124" t="n"/>
      <c r="L186" s="124" t="n"/>
      <c r="M186" s="124" t="n"/>
      <c r="N186" s="124" t="n"/>
      <c r="O186" s="124" t="n"/>
    </row>
    <row r="187" ht="15" customHeight="1" s="75">
      <c r="A187" s="128" t="inlineStr">
        <is>
          <t>Maio/2026</t>
        </is>
      </c>
      <c r="B187" s="128" t="inlineStr">
        <is>
          <t>Voicenet</t>
        </is>
      </c>
      <c r="C187" s="128" t="inlineStr">
        <is>
          <t>Pessoal</t>
        </is>
      </c>
      <c r="D187" s="128" t="inlineStr">
        <is>
          <t>Folha Trabalhista com impostos do mês</t>
        </is>
      </c>
      <c r="E187" s="128" t="inlineStr">
        <is>
          <t>MICHELANGELO</t>
        </is>
      </c>
      <c r="F187" s="128" t="n">
        <v>1</v>
      </c>
      <c r="G187" s="129" t="n">
        <v>2735.78</v>
      </c>
      <c r="H187" s="129">
        <f>F187*G187</f>
        <v/>
      </c>
      <c r="I187" s="128" t="inlineStr">
        <is>
          <t>Real (cruzado por nome, 1/2 encontrados)</t>
        </is>
      </c>
      <c r="J187" s="124" t="n"/>
      <c r="K187" s="124" t="n"/>
      <c r="L187" s="124" t="n"/>
      <c r="M187" s="124" t="n"/>
      <c r="N187" s="124" t="n"/>
      <c r="O187" s="124" t="n"/>
    </row>
    <row r="188" ht="15" customHeight="1" s="75">
      <c r="A188" s="128" t="inlineStr">
        <is>
          <t>Maio/2026</t>
        </is>
      </c>
      <c r="B188" s="128" t="inlineStr">
        <is>
          <t>Voicenet</t>
        </is>
      </c>
      <c r="C188" s="128" t="inlineStr">
        <is>
          <t>Pessoal</t>
        </is>
      </c>
      <c r="D188" s="128" t="inlineStr">
        <is>
          <t>Rescisões</t>
        </is>
      </c>
      <c r="E188" s="128" t="inlineStr">
        <is>
          <t>MICHELANGELO</t>
        </is>
      </c>
      <c r="F188" s="128" t="n">
        <v>1</v>
      </c>
      <c r="G188" s="129" t="n">
        <v>24565.95</v>
      </c>
      <c r="H188" s="129">
        <f>F188*G188</f>
        <v/>
      </c>
      <c r="I188" s="128" t="inlineStr">
        <is>
          <t>Real (cruzado por nome, tabela de rescisões — lançado em Maio/2026, mesma defasagem de um mês usada nos outros custos do comercial)</t>
        </is>
      </c>
      <c r="J188" s="124" t="n"/>
      <c r="K188" s="124" t="n"/>
      <c r="L188" s="124" t="n"/>
      <c r="M188" s="124" t="n"/>
      <c r="N188" s="124" t="n"/>
      <c r="O188" s="124" t="n"/>
    </row>
    <row r="189" ht="15" customHeight="1" s="75">
      <c r="A189" s="128" t="inlineStr">
        <is>
          <t>Maio/2026</t>
        </is>
      </c>
      <c r="B189" s="128" t="inlineStr">
        <is>
          <t>Voicenet</t>
        </is>
      </c>
      <c r="C189" s="128" t="inlineStr">
        <is>
          <t>Pessoal</t>
        </is>
      </c>
      <c r="D189" s="128" t="inlineStr">
        <is>
          <t>Despesas com RH</t>
        </is>
      </c>
      <c r="E189" s="128" t="inlineStr">
        <is>
          <t>MICHELANGELO</t>
        </is>
      </c>
      <c r="F189" s="128" t="n">
        <v>2</v>
      </c>
      <c r="G189" s="129" t="n">
        <v>28.31</v>
      </c>
      <c r="H189" s="129">
        <f>F189*G189</f>
        <v/>
      </c>
      <c r="I189" s="128" t="inlineStr">
        <is>
          <t>Real (taxa fixa por colaborador, confirmada em todas as empresas)</t>
        </is>
      </c>
      <c r="J189" s="124" t="n"/>
      <c r="K189" s="124" t="n"/>
      <c r="L189" s="124" t="n"/>
      <c r="M189" s="124" t="n"/>
      <c r="N189" s="124" t="n"/>
      <c r="O189" s="124" t="n"/>
    </row>
    <row r="190" ht="15" customHeight="1" s="75">
      <c r="A190" s="128" t="inlineStr">
        <is>
          <t>Maio/2026</t>
        </is>
      </c>
      <c r="B190" s="128" t="inlineStr">
        <is>
          <t>Voicenet</t>
        </is>
      </c>
      <c r="C190" s="128" t="inlineStr">
        <is>
          <t>Pessoal</t>
        </is>
      </c>
      <c r="D190" s="128" t="inlineStr">
        <is>
          <t>Despesas com DP</t>
        </is>
      </c>
      <c r="E190" s="128" t="inlineStr">
        <is>
          <t>MICHELANGELO</t>
        </is>
      </c>
      <c r="F190" s="128" t="n">
        <v>2</v>
      </c>
      <c r="G190" s="129" t="n">
        <v>47.79</v>
      </c>
      <c r="H190" s="129">
        <f>F190*G190</f>
        <v/>
      </c>
      <c r="I190" s="128" t="inlineStr">
        <is>
          <t>Real (taxa fixa por colaborador, confirmada em todas as empresas)</t>
        </is>
      </c>
      <c r="J190" s="124" t="n"/>
      <c r="K190" s="124" t="n"/>
      <c r="L190" s="124" t="n"/>
      <c r="M190" s="124" t="n"/>
      <c r="N190" s="124" t="n"/>
      <c r="O190" s="124" t="n"/>
    </row>
    <row r="191" ht="15" customHeight="1" s="75">
      <c r="A191" s="128" t="inlineStr">
        <is>
          <t>Maio/2026</t>
        </is>
      </c>
      <c r="B191" s="128" t="inlineStr">
        <is>
          <t>Voicenet</t>
        </is>
      </c>
      <c r="C191" s="128" t="inlineStr">
        <is>
          <t>Segurança do Trabalho</t>
        </is>
      </c>
      <c r="D191" s="128" t="inlineStr">
        <is>
          <t>Despesas com SST</t>
        </is>
      </c>
      <c r="E191" s="128" t="inlineStr">
        <is>
          <t>MICHELANGELO</t>
        </is>
      </c>
      <c r="F191" s="128" t="n">
        <v>2</v>
      </c>
      <c r="G191" s="129" t="n">
        <v>64.56999999999999</v>
      </c>
      <c r="H191" s="129">
        <f>F191*G191</f>
        <v/>
      </c>
      <c r="I191" s="128" t="inlineStr">
        <is>
          <t>Real (taxa fixa por colaborador, confirmada em todas as empresas)</t>
        </is>
      </c>
      <c r="J191" s="124" t="n"/>
      <c r="K191" s="124" t="n"/>
      <c r="L191" s="124" t="n"/>
      <c r="M191" s="124" t="n"/>
      <c r="N191" s="124" t="n"/>
      <c r="O191" s="124" t="n"/>
    </row>
    <row r="192" ht="15" customHeight="1" s="75">
      <c r="A192" s="128" t="inlineStr">
        <is>
          <t>Maio/2026</t>
        </is>
      </c>
      <c r="B192" s="128" t="inlineStr">
        <is>
          <t>Voicenet</t>
        </is>
      </c>
      <c r="C192" s="128" t="inlineStr">
        <is>
          <t>Benefícios</t>
        </is>
      </c>
      <c r="D192" s="128" t="inlineStr">
        <is>
          <t>Gympass</t>
        </is>
      </c>
      <c r="E192" s="128" t="inlineStr">
        <is>
          <t>MICHELANGELO</t>
        </is>
      </c>
      <c r="F192" s="128" t="n">
        <v>2</v>
      </c>
      <c r="G192" s="129" t="n">
        <v>10.05</v>
      </c>
      <c r="H192" s="129">
        <f>F192*G192</f>
        <v/>
      </c>
      <c r="I192" s="128" t="inlineStr">
        <is>
          <t>Real (taxa fixa por colaborador, confirmada em todas as empresas)</t>
        </is>
      </c>
      <c r="J192" s="124" t="n"/>
      <c r="K192" s="124" t="n"/>
      <c r="L192" s="124" t="n"/>
      <c r="M192" s="124" t="n"/>
      <c r="N192" s="124" t="n"/>
      <c r="O192" s="124" t="n"/>
    </row>
    <row r="193" ht="15" customHeight="1" s="75">
      <c r="A193" s="128" t="inlineStr">
        <is>
          <t>Maio/2026</t>
        </is>
      </c>
      <c r="B193" s="128" t="inlineStr">
        <is>
          <t>Voicenet</t>
        </is>
      </c>
      <c r="C193" s="128" t="inlineStr">
        <is>
          <t>Benefícios</t>
        </is>
      </c>
      <c r="D193" s="128" t="inlineStr">
        <is>
          <t>Stargrid</t>
        </is>
      </c>
      <c r="E193" s="128" t="inlineStr">
        <is>
          <t>MICHELANGELO</t>
        </is>
      </c>
      <c r="F193" s="128" t="n">
        <v>2</v>
      </c>
      <c r="G193" s="129" t="n">
        <v>2.07</v>
      </c>
      <c r="H193" s="129">
        <f>F193*G193</f>
        <v/>
      </c>
      <c r="I193" s="128" t="inlineStr">
        <is>
          <t>Real (taxa fixa por colaborador, confirmada em todas as empresas)</t>
        </is>
      </c>
      <c r="J193" s="124" t="n"/>
      <c r="K193" s="124" t="n"/>
      <c r="L193" s="124" t="n"/>
      <c r="M193" s="124" t="n"/>
      <c r="N193" s="124" t="n"/>
      <c r="O193" s="124" t="n"/>
    </row>
    <row r="194" ht="15" customHeight="1" s="75">
      <c r="A194" s="128" t="inlineStr">
        <is>
          <t>Maio/2026</t>
        </is>
      </c>
      <c r="B194" s="128" t="inlineStr">
        <is>
          <t>Voicenet</t>
        </is>
      </c>
      <c r="C194" s="128" t="inlineStr">
        <is>
          <t>Fardamento</t>
        </is>
      </c>
      <c r="D194" s="128" t="inlineStr">
        <is>
          <t>Devolução fardamento</t>
        </is>
      </c>
      <c r="E194" s="128" t="inlineStr">
        <is>
          <t>MICHELANGELO</t>
        </is>
      </c>
      <c r="F194" s="128" t="n">
        <v>1</v>
      </c>
      <c r="G194" s="129" t="n">
        <v>-494.68</v>
      </c>
      <c r="H194" s="129">
        <f>F194*G194</f>
        <v/>
      </c>
      <c r="I194" s="128" t="inlineStr">
        <is>
          <t>Estimado (fatia proporcional ao nº de colaboradores da equipe, sem taxa fixa por pessoa), fatia de 2 colaboradores da equipe</t>
        </is>
      </c>
      <c r="J194" s="124" t="n"/>
      <c r="K194" s="124" t="n"/>
      <c r="L194" s="124" t="n"/>
      <c r="M194" s="124" t="n"/>
      <c r="N194" s="124" t="n"/>
      <c r="O194" s="124" t="n"/>
    </row>
    <row r="195" ht="15" customHeight="1" s="75">
      <c r="A195" s="128" t="inlineStr">
        <is>
          <t>Maio/2026</t>
        </is>
      </c>
      <c r="B195" s="128" t="inlineStr">
        <is>
          <t>Voicenet</t>
        </is>
      </c>
      <c r="C195" s="128" t="inlineStr">
        <is>
          <t>Estrutura/Infra</t>
        </is>
      </c>
      <c r="D195" s="128" t="inlineStr">
        <is>
          <t>Linhas moveis (FIQUE MÓVEL)</t>
        </is>
      </c>
      <c r="E195" s="128" t="inlineStr">
        <is>
          <t>MICHELANGELO</t>
        </is>
      </c>
      <c r="F195" s="128" t="n">
        <v>2</v>
      </c>
      <c r="G195" s="129" t="n">
        <v>30</v>
      </c>
      <c r="H195" s="129">
        <f>F195*G195</f>
        <v/>
      </c>
      <c r="I195" s="128" t="inlineStr">
        <is>
          <t>Real (taxa fixa por colaborador, confirmada em todas as empresas)</t>
        </is>
      </c>
      <c r="J195" s="124" t="n"/>
      <c r="K195" s="124" t="n"/>
      <c r="L195" s="124" t="n"/>
      <c r="M195" s="124" t="n"/>
      <c r="N195" s="124" t="n"/>
      <c r="O195" s="124" t="n"/>
    </row>
    <row r="196" ht="14.25" customHeight="1" s="75">
      <c r="A196" s="128" t="inlineStr">
        <is>
          <t>Maio/2026</t>
        </is>
      </c>
      <c r="B196" s="128" t="inlineStr">
        <is>
          <t>Voicenet</t>
        </is>
      </c>
      <c r="C196" s="128" t="inlineStr">
        <is>
          <t>TI</t>
        </is>
      </c>
      <c r="D196" s="128" t="inlineStr">
        <is>
          <t>E-mail do departamento (1)</t>
        </is>
      </c>
      <c r="E196" s="128" t="inlineStr">
        <is>
          <t>MICHELANGELO</t>
        </is>
      </c>
      <c r="F196" s="128" t="n">
        <v>1</v>
      </c>
      <c r="G196" s="129" t="n">
        <v>50</v>
      </c>
      <c r="H196" s="129">
        <f>F196*G196</f>
        <v/>
      </c>
      <c r="I196" s="128" t="inlineStr">
        <is>
          <t>Real (taxa fixa de R$50,00 por conta, só executivo/supervisor/coordenador)</t>
        </is>
      </c>
      <c r="J196" s="124" t="n"/>
      <c r="K196" s="124" t="n"/>
      <c r="L196" s="124" t="n"/>
      <c r="M196" s="124" t="n"/>
      <c r="N196" s="124" t="n"/>
      <c r="O196" s="124" t="n"/>
    </row>
    <row r="197" ht="14.25" customHeight="1" s="75">
      <c r="A197" s="128" t="inlineStr">
        <is>
          <t>Maio/2026</t>
        </is>
      </c>
      <c r="B197" s="128" t="inlineStr">
        <is>
          <t>Voicenet</t>
        </is>
      </c>
      <c r="C197" s="128" t="inlineStr">
        <is>
          <t>Frota/Combustível</t>
        </is>
      </c>
      <c r="D197" s="128" t="inlineStr">
        <is>
          <t>Consumo de combustível</t>
        </is>
      </c>
      <c r="E197" s="128" t="inlineStr">
        <is>
          <t>MICHELANGELO</t>
        </is>
      </c>
      <c r="F197" s="128" t="n">
        <v>1</v>
      </c>
      <c r="G197" s="129" t="n">
        <v>1287.4</v>
      </c>
      <c r="H197" s="129">
        <f>F197*G197</f>
        <v/>
      </c>
      <c r="I197" s="128" t="inlineStr">
        <is>
          <t>Real (cruzado por nome, planilha de combustível)</t>
        </is>
      </c>
      <c r="J197" s="124" t="n"/>
      <c r="K197" s="124" t="n"/>
      <c r="L197" s="124" t="n"/>
      <c r="M197" s="124" t="n"/>
      <c r="N197" s="124" t="n"/>
      <c r="O197" s="124" t="n"/>
    </row>
    <row r="198" ht="14.25" customHeight="1" s="75">
      <c r="A198" s="128" t="inlineStr">
        <is>
          <t>Maio/2026</t>
        </is>
      </c>
      <c r="B198" s="128" t="inlineStr">
        <is>
          <t>DTEL</t>
        </is>
      </c>
      <c r="C198" s="128" t="inlineStr">
        <is>
          <t>Pessoal</t>
        </is>
      </c>
      <c r="D198" s="128" t="inlineStr">
        <is>
          <t>Folha Trabalhista com impostos do mês</t>
        </is>
      </c>
      <c r="E198" s="128" t="inlineStr">
        <is>
          <t>TARCIZIO MEIRELES</t>
        </is>
      </c>
      <c r="F198" s="128" t="n">
        <v>1</v>
      </c>
      <c r="G198" s="129" t="n">
        <v>66963.9794666667</v>
      </c>
      <c r="H198" s="129">
        <f>F198*G198</f>
        <v/>
      </c>
      <c r="I198" s="128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4" t="n"/>
      <c r="K198" s="124" t="n"/>
      <c r="L198" s="124" t="n"/>
      <c r="M198" s="124" t="n"/>
      <c r="N198" s="124" t="n"/>
      <c r="O198" s="124" t="n"/>
    </row>
    <row r="199" ht="14.25" customHeight="1" s="75">
      <c r="A199" s="128" t="inlineStr">
        <is>
          <t>Maio/2026</t>
        </is>
      </c>
      <c r="B199" s="128" t="inlineStr">
        <is>
          <t>DTEL</t>
        </is>
      </c>
      <c r="C199" s="128" t="inlineStr">
        <is>
          <t>Pessoal</t>
        </is>
      </c>
      <c r="D199" s="128" t="inlineStr">
        <is>
          <t>Rescisões</t>
        </is>
      </c>
      <c r="E199" s="128" t="inlineStr">
        <is>
          <t>TARCIZIO MEIRELES</t>
        </is>
      </c>
      <c r="F199" s="128" t="n">
        <v>1</v>
      </c>
      <c r="G199" s="129" t="n">
        <v>1969.06</v>
      </c>
      <c r="H199" s="129">
        <f>F199*G199</f>
        <v/>
      </c>
      <c r="I199" s="128" t="inlineStr">
        <is>
          <t>Real (cruzado por nome, tabela de rescisões — lançado em Maio/2026, mesma defasagem de um mês usada nos outros custos do comercial)</t>
        </is>
      </c>
      <c r="J199" s="124" t="n"/>
      <c r="K199" s="124" t="n"/>
      <c r="L199" s="124" t="n"/>
      <c r="M199" s="124" t="n"/>
      <c r="N199" s="124" t="n"/>
      <c r="O199" s="124" t="n"/>
    </row>
    <row r="200" ht="15" customHeight="1" s="75">
      <c r="A200" s="128" t="inlineStr">
        <is>
          <t>Maio/2026</t>
        </is>
      </c>
      <c r="B200" s="128" t="inlineStr">
        <is>
          <t>DTEL</t>
        </is>
      </c>
      <c r="C200" s="128" t="inlineStr">
        <is>
          <t>Pessoal</t>
        </is>
      </c>
      <c r="D200" s="128" t="inlineStr">
        <is>
          <t>Vale Transporte</t>
        </is>
      </c>
      <c r="E200" s="128" t="inlineStr">
        <is>
          <t>TARCIZIO MEIRELES</t>
        </is>
      </c>
      <c r="F200" s="128" t="n">
        <v>1</v>
      </c>
      <c r="G200" s="129" t="n">
        <v>1257.43</v>
      </c>
      <c r="H200" s="129" t="n">
        <v>1257.43</v>
      </c>
      <c r="I200" s="128" t="inlineStr">
        <is>
          <t>Estimado (fatia proporcional ao nº de colaboradores da equipe, sem taxa fixa por pessoa), fatia de 18 colaboradores da equipe</t>
        </is>
      </c>
      <c r="J200" s="124" t="n"/>
      <c r="K200" s="124" t="n"/>
      <c r="L200" s="124" t="n"/>
      <c r="M200" s="124" t="n"/>
      <c r="N200" s="124" t="n"/>
      <c r="O200" s="124" t="n"/>
    </row>
    <row r="201" ht="15" customHeight="1" s="75">
      <c r="A201" s="128" t="inlineStr">
        <is>
          <t>Maio/2026</t>
        </is>
      </c>
      <c r="B201" s="128" t="inlineStr">
        <is>
          <t>DTEL</t>
        </is>
      </c>
      <c r="C201" s="128" t="inlineStr">
        <is>
          <t>Pessoal</t>
        </is>
      </c>
      <c r="D201" s="128" t="inlineStr">
        <is>
          <t>Despesas com RH</t>
        </is>
      </c>
      <c r="E201" s="128" t="inlineStr">
        <is>
          <t>TARCIZIO MEIRELES</t>
        </is>
      </c>
      <c r="F201" s="128" t="n">
        <v>18</v>
      </c>
      <c r="G201" s="129" t="n">
        <v>28.31</v>
      </c>
      <c r="H201" s="129">
        <f>F201*G201</f>
        <v/>
      </c>
      <c r="I201" s="128" t="inlineStr">
        <is>
          <t>Real (taxa fixa por colaborador, confirmada em todas as empresas)</t>
        </is>
      </c>
      <c r="J201" s="124" t="n"/>
      <c r="K201" s="124" t="n"/>
      <c r="L201" s="124" t="n"/>
      <c r="M201" s="124" t="n"/>
      <c r="N201" s="124" t="n"/>
      <c r="O201" s="124" t="n"/>
    </row>
    <row r="202" ht="14.25" customHeight="1" s="75">
      <c r="A202" s="128" t="inlineStr">
        <is>
          <t>Maio/2026</t>
        </is>
      </c>
      <c r="B202" s="128" t="inlineStr">
        <is>
          <t>DTEL</t>
        </is>
      </c>
      <c r="C202" s="128" t="inlineStr">
        <is>
          <t>Pessoal</t>
        </is>
      </c>
      <c r="D202" s="128" t="inlineStr">
        <is>
          <t>Despesas com DP</t>
        </is>
      </c>
      <c r="E202" s="128" t="inlineStr">
        <is>
          <t>TARCIZIO MEIRELES</t>
        </is>
      </c>
      <c r="F202" s="128" t="n">
        <v>18</v>
      </c>
      <c r="G202" s="129" t="n">
        <v>47.79</v>
      </c>
      <c r="H202" s="129">
        <f>F202*G202</f>
        <v/>
      </c>
      <c r="I202" s="128" t="inlineStr">
        <is>
          <t>Real (taxa fixa por colaborador, confirmada em todas as empresas)</t>
        </is>
      </c>
      <c r="J202" s="124" t="n"/>
      <c r="K202" s="124" t="n"/>
      <c r="L202" s="124" t="n"/>
      <c r="M202" s="124" t="n"/>
      <c r="N202" s="124" t="n"/>
      <c r="O202" s="124" t="n"/>
    </row>
    <row r="203" ht="14.25" customHeight="1" s="75">
      <c r="A203" s="128" t="inlineStr">
        <is>
          <t>Maio/2026</t>
        </is>
      </c>
      <c r="B203" s="128" t="inlineStr">
        <is>
          <t>DTEL</t>
        </is>
      </c>
      <c r="C203" s="128" t="inlineStr">
        <is>
          <t>Segurança do Trabalho</t>
        </is>
      </c>
      <c r="D203" s="128" t="inlineStr">
        <is>
          <t>Despesas SST exames</t>
        </is>
      </c>
      <c r="E203" s="128" t="inlineStr">
        <is>
          <t>TARCIZIO MEIRELES</t>
        </is>
      </c>
      <c r="F203" s="128" t="n">
        <v>1</v>
      </c>
      <c r="G203" s="129" t="n">
        <v>172.29</v>
      </c>
      <c r="H203" s="129" t="n">
        <v>172.29</v>
      </c>
      <c r="I203" s="128" t="inlineStr">
        <is>
          <t>Estimado (fatia proporcional ao nº de colaboradores da equipe, sem taxa fixa por pessoa), fatia de 18 colaboradores da equipe</t>
        </is>
      </c>
      <c r="J203" s="124" t="n"/>
      <c r="K203" s="124" t="n"/>
      <c r="L203" s="124" t="n"/>
      <c r="M203" s="124" t="n"/>
      <c r="N203" s="124" t="n"/>
      <c r="O203" s="124" t="n"/>
    </row>
    <row r="204" ht="14.25" customHeight="1" s="75">
      <c r="A204" s="128" t="inlineStr">
        <is>
          <t>Maio/2026</t>
        </is>
      </c>
      <c r="B204" s="128" t="inlineStr">
        <is>
          <t>DTEL</t>
        </is>
      </c>
      <c r="C204" s="128" t="inlineStr">
        <is>
          <t>Segurança do Trabalho</t>
        </is>
      </c>
      <c r="D204" s="128" t="inlineStr">
        <is>
          <t>Despesas com SST</t>
        </is>
      </c>
      <c r="E204" s="128" t="inlineStr">
        <is>
          <t>TARCIZIO MEIRELES</t>
        </is>
      </c>
      <c r="F204" s="128" t="n">
        <v>18</v>
      </c>
      <c r="G204" s="129" t="n">
        <v>64.56999999999999</v>
      </c>
      <c r="H204" s="129">
        <f>F204*G204</f>
        <v/>
      </c>
      <c r="I204" s="128" t="inlineStr">
        <is>
          <t>Real (taxa fixa por colaborador, confirmada em todas as empresas)</t>
        </is>
      </c>
      <c r="J204" s="124" t="n"/>
      <c r="K204" s="124" t="n"/>
      <c r="L204" s="124" t="n"/>
      <c r="M204" s="124" t="n"/>
      <c r="N204" s="124" t="n"/>
      <c r="O204" s="124" t="n"/>
    </row>
    <row r="205" ht="14.25" customHeight="1" s="75">
      <c r="A205" s="128" t="inlineStr">
        <is>
          <t>Maio/2026</t>
        </is>
      </c>
      <c r="B205" s="128" t="inlineStr">
        <is>
          <t>DTEL</t>
        </is>
      </c>
      <c r="C205" s="128" t="inlineStr">
        <is>
          <t>Benefícios</t>
        </is>
      </c>
      <c r="D205" s="128" t="inlineStr">
        <is>
          <t>Gympass</t>
        </is>
      </c>
      <c r="E205" s="128" t="inlineStr">
        <is>
          <t>TARCIZIO MEIRELES</t>
        </is>
      </c>
      <c r="F205" s="128" t="n">
        <v>18</v>
      </c>
      <c r="G205" s="129" t="n">
        <v>10.05</v>
      </c>
      <c r="H205" s="129">
        <f>F205*G205</f>
        <v/>
      </c>
      <c r="I205" s="128" t="inlineStr">
        <is>
          <t>Real (taxa fixa por colaborador, confirmada em todas as empresas)</t>
        </is>
      </c>
      <c r="J205" s="124" t="n"/>
      <c r="K205" s="124" t="n"/>
      <c r="L205" s="124" t="n"/>
      <c r="M205" s="124" t="n"/>
      <c r="N205" s="124" t="n"/>
      <c r="O205" s="124" t="n"/>
    </row>
    <row r="206" ht="14.25" customHeight="1" s="75">
      <c r="A206" s="128" t="inlineStr">
        <is>
          <t>Maio/2026</t>
        </is>
      </c>
      <c r="B206" s="128" t="inlineStr">
        <is>
          <t>DTEL</t>
        </is>
      </c>
      <c r="C206" s="128" t="inlineStr">
        <is>
          <t>Benefícios</t>
        </is>
      </c>
      <c r="D206" s="128" t="inlineStr">
        <is>
          <t>Stargrid</t>
        </is>
      </c>
      <c r="E206" s="128" t="inlineStr">
        <is>
          <t>TARCIZIO MEIRELES</t>
        </is>
      </c>
      <c r="F206" s="128" t="n">
        <v>18</v>
      </c>
      <c r="G206" s="129" t="n">
        <v>2.07</v>
      </c>
      <c r="H206" s="129">
        <f>F206*G206</f>
        <v/>
      </c>
      <c r="I206" s="128" t="inlineStr">
        <is>
          <t>Real (taxa fixa por colaborador, confirmada em todas as empresas)</t>
        </is>
      </c>
      <c r="J206" s="124" t="n"/>
      <c r="K206" s="124" t="n"/>
      <c r="L206" s="124" t="n"/>
      <c r="M206" s="124" t="n"/>
      <c r="N206" s="124" t="n"/>
      <c r="O206" s="124" t="n"/>
    </row>
    <row r="207" ht="14.25" customHeight="1" s="75">
      <c r="A207" s="128" t="inlineStr">
        <is>
          <t>Maio/2026</t>
        </is>
      </c>
      <c r="B207" s="128" t="inlineStr">
        <is>
          <t>DTEL</t>
        </is>
      </c>
      <c r="C207" s="128" t="inlineStr">
        <is>
          <t>Fardamento</t>
        </is>
      </c>
      <c r="D207" s="128" t="inlineStr">
        <is>
          <t>Novo Fardamento</t>
        </is>
      </c>
      <c r="E207" s="128" t="inlineStr">
        <is>
          <t>TARCIZIO MEIRELES</t>
        </is>
      </c>
      <c r="F207" s="128" t="n">
        <v>1</v>
      </c>
      <c r="G207" s="129" t="n">
        <v>33.13</v>
      </c>
      <c r="H207" s="129" t="n">
        <v>33.13</v>
      </c>
      <c r="I207" s="128" t="inlineStr">
        <is>
          <t>Estimado (fatia proporcional ao nº de colaboradores da equipe, sem taxa fixa por pessoa), fatia de 18 colaboradores da equipe</t>
        </is>
      </c>
      <c r="J207" s="124" t="n"/>
      <c r="K207" s="124" t="n"/>
      <c r="L207" s="124" t="n"/>
      <c r="M207" s="124" t="n"/>
      <c r="N207" s="124" t="n"/>
      <c r="O207" s="124" t="n"/>
    </row>
    <row r="208" ht="15" customHeight="1" s="75">
      <c r="A208" s="128" t="inlineStr">
        <is>
          <t>Maio/2026</t>
        </is>
      </c>
      <c r="B208" s="128" t="inlineStr">
        <is>
          <t>DTEL</t>
        </is>
      </c>
      <c r="C208" s="128" t="inlineStr">
        <is>
          <t>Fardamento</t>
        </is>
      </c>
      <c r="D208" s="128" t="inlineStr">
        <is>
          <t>Devolução de fardamento</t>
        </is>
      </c>
      <c r="E208" s="128" t="inlineStr">
        <is>
          <t>TARCIZIO MEIRELES</t>
        </is>
      </c>
      <c r="F208" s="128" t="n">
        <v>1</v>
      </c>
      <c r="G208" s="129" t="n">
        <v>-48.72</v>
      </c>
      <c r="H208" s="129" t="n">
        <v>-48.72</v>
      </c>
      <c r="I208" s="128" t="inlineStr">
        <is>
          <t>Estimado (fatia proporcional ao nº de colaboradores da equipe, sem taxa fixa por pessoa), fatia de 18 colaboradores da equipe</t>
        </is>
      </c>
      <c r="J208" s="124" t="n"/>
      <c r="K208" s="124" t="n"/>
      <c r="L208" s="124" t="n"/>
      <c r="M208" s="124" t="n"/>
      <c r="N208" s="124" t="n"/>
      <c r="O208" s="124" t="n"/>
    </row>
    <row r="209" ht="14.25" customHeight="1" s="75">
      <c r="A209" s="128" t="inlineStr">
        <is>
          <t>Maio/2026</t>
        </is>
      </c>
      <c r="B209" s="128" t="inlineStr">
        <is>
          <t>DTEL</t>
        </is>
      </c>
      <c r="C209" s="128" t="inlineStr">
        <is>
          <t>Fardamento</t>
        </is>
      </c>
      <c r="D209" s="128" t="inlineStr">
        <is>
          <t>Substituição extra de Fardamento</t>
        </is>
      </c>
      <c r="E209" s="128" t="inlineStr">
        <is>
          <t>TARCIZIO MEIRELES</t>
        </is>
      </c>
      <c r="F209" s="128" t="n">
        <v>1</v>
      </c>
      <c r="G209" s="129" t="n">
        <v>51.62</v>
      </c>
      <c r="H209" s="129" t="n">
        <v>51.62</v>
      </c>
      <c r="I209" s="128" t="inlineStr">
        <is>
          <t>Estimado (fatia proporcional ao nº de colaboradores da equipe, sem taxa fixa por pessoa), fatia de 18 colaboradores da equipe</t>
        </is>
      </c>
      <c r="J209" s="124" t="n"/>
      <c r="K209" s="124" t="n"/>
      <c r="L209" s="124" t="n"/>
      <c r="M209" s="124" t="n"/>
      <c r="N209" s="124" t="n"/>
      <c r="O209" s="124" t="n"/>
    </row>
    <row r="210" ht="14.25" customHeight="1" s="75">
      <c r="A210" s="128" t="inlineStr">
        <is>
          <t>Maio/2026</t>
        </is>
      </c>
      <c r="B210" s="128" t="inlineStr">
        <is>
          <t>DTEL</t>
        </is>
      </c>
      <c r="C210" s="128" t="inlineStr">
        <is>
          <t>Estrutura/Infra</t>
        </is>
      </c>
      <c r="D210" s="128" t="inlineStr">
        <is>
          <t>Linhas moveis (FIQUE MÓVEL)</t>
        </is>
      </c>
      <c r="E210" s="128" t="inlineStr">
        <is>
          <t>TARCIZIO MEIRELES</t>
        </is>
      </c>
      <c r="F210" s="128" t="n">
        <v>18</v>
      </c>
      <c r="G210" s="129" t="n">
        <v>30</v>
      </c>
      <c r="H210" s="129">
        <f>F210*G210</f>
        <v/>
      </c>
      <c r="I210" s="128" t="inlineStr">
        <is>
          <t>Real (taxa fixa por colaborador, confirmada em todas as empresas)</t>
        </is>
      </c>
      <c r="J210" s="124" t="n"/>
      <c r="K210" s="124" t="n"/>
      <c r="L210" s="124" t="n"/>
      <c r="M210" s="124" t="n"/>
      <c r="N210" s="124" t="n"/>
      <c r="O210" s="124" t="n"/>
    </row>
    <row r="211" ht="14.25" customHeight="1" s="75">
      <c r="A211" s="128" t="inlineStr">
        <is>
          <t>Maio/2026</t>
        </is>
      </c>
      <c r="B211" s="128" t="inlineStr">
        <is>
          <t>DTEL</t>
        </is>
      </c>
      <c r="C211" s="128" t="inlineStr">
        <is>
          <t>TI</t>
        </is>
      </c>
      <c r="D211" s="128" t="inlineStr">
        <is>
          <t>E-mail do departamento (11 emails)</t>
        </is>
      </c>
      <c r="E211" s="128" t="inlineStr">
        <is>
          <t>TARCIZIO MEIRELES</t>
        </is>
      </c>
      <c r="F211" s="128" t="n">
        <v>3</v>
      </c>
      <c r="G211" s="129" t="n">
        <v>50</v>
      </c>
      <c r="H211" s="129">
        <f>F211*G211</f>
        <v/>
      </c>
      <c r="I211" s="128" t="inlineStr">
        <is>
          <t>Real (taxa fixa de R$50,00 por conta, só executivo/supervisor/coordenador)</t>
        </is>
      </c>
      <c r="J211" s="124" t="n"/>
      <c r="K211" s="124" t="n"/>
      <c r="L211" s="124" t="n"/>
      <c r="M211" s="124" t="n"/>
      <c r="N211" s="124" t="n"/>
      <c r="O211" s="124" t="n"/>
    </row>
    <row r="212" ht="14.25" customHeight="1" s="75">
      <c r="A212" s="128" t="inlineStr">
        <is>
          <t>Maio/2026</t>
        </is>
      </c>
      <c r="B212" s="128" t="inlineStr">
        <is>
          <t>DTEL</t>
        </is>
      </c>
      <c r="C212" s="128" t="inlineStr">
        <is>
          <t>Frota/Combustível</t>
        </is>
      </c>
      <c r="D212" s="128" t="inlineStr">
        <is>
          <t>Consumo de combustível</t>
        </is>
      </c>
      <c r="E212" s="128" t="inlineStr">
        <is>
          <t>TARCIZIO MEIRELES</t>
        </is>
      </c>
      <c r="F212" s="128" t="n">
        <v>1</v>
      </c>
      <c r="G212" s="129" t="n">
        <v>1216.24</v>
      </c>
      <c r="H212" s="129">
        <f>F212*G212</f>
        <v/>
      </c>
      <c r="I212" s="128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4" t="n"/>
      <c r="K212" s="124" t="n"/>
      <c r="L212" s="124" t="n"/>
      <c r="M212" s="124" t="n"/>
      <c r="N212" s="124" t="n"/>
      <c r="O212" s="124" t="n"/>
    </row>
    <row r="213" ht="14.25" customHeight="1" s="75">
      <c r="A213" s="128" t="inlineStr">
        <is>
          <t>Maio/2026</t>
        </is>
      </c>
      <c r="B213" s="128" t="inlineStr">
        <is>
          <t>Solon Araújo</t>
        </is>
      </c>
      <c r="C213" s="128" t="inlineStr">
        <is>
          <t>Pessoal</t>
        </is>
      </c>
      <c r="D213" s="128" t="inlineStr">
        <is>
          <t>Folha Trabalhista com impostos do mês</t>
        </is>
      </c>
      <c r="E213" s="128" t="inlineStr">
        <is>
          <t>TARCIZIO MEIRELES</t>
        </is>
      </c>
      <c r="F213" s="128" t="n">
        <v>1</v>
      </c>
      <c r="G213" s="129" t="n">
        <v>1622.63</v>
      </c>
      <c r="H213" s="129">
        <f>F213*G213</f>
        <v/>
      </c>
      <c r="I213" s="128" t="inlineStr">
        <is>
          <t>Real (cruzado por nome, 1/2 encontrados)</t>
        </is>
      </c>
      <c r="J213" s="124" t="n"/>
      <c r="K213" s="124" t="n"/>
      <c r="L213" s="124" t="n"/>
      <c r="M213" s="124" t="n"/>
      <c r="N213" s="124" t="n"/>
      <c r="O213" s="124" t="n"/>
    </row>
    <row r="214" ht="14.25" customHeight="1" s="75">
      <c r="A214" s="128" t="inlineStr">
        <is>
          <t>Maio/2026</t>
        </is>
      </c>
      <c r="B214" s="128" t="inlineStr">
        <is>
          <t>Solon Araújo</t>
        </is>
      </c>
      <c r="C214" s="128" t="inlineStr">
        <is>
          <t>Pessoal</t>
        </is>
      </c>
      <c r="D214" s="128" t="inlineStr">
        <is>
          <t>Rescisões</t>
        </is>
      </c>
      <c r="E214" s="128" t="inlineStr">
        <is>
          <t>TARCIZIO MEIRELES</t>
        </is>
      </c>
      <c r="F214" s="128" t="n">
        <v>1</v>
      </c>
      <c r="G214" s="129" t="n">
        <v>2958.25</v>
      </c>
      <c r="H214" s="129">
        <f>F214*G214</f>
        <v/>
      </c>
      <c r="I214" s="128" t="inlineStr">
        <is>
          <t>Real (cruzado por nome, tabela de rescisões — lançado em Maio/2026, mesma defasagem de um mês usada nos outros custos do comercial)</t>
        </is>
      </c>
      <c r="J214" s="124" t="n"/>
      <c r="K214" s="124" t="n"/>
      <c r="L214" s="124" t="n"/>
      <c r="M214" s="124" t="n"/>
      <c r="N214" s="124" t="n"/>
      <c r="O214" s="124" t="n"/>
    </row>
    <row r="215" ht="14.25" customHeight="1" s="75">
      <c r="A215" s="128" t="inlineStr">
        <is>
          <t>Maio/2026</t>
        </is>
      </c>
      <c r="B215" s="128" t="inlineStr">
        <is>
          <t>Solon Araújo</t>
        </is>
      </c>
      <c r="C215" s="128" t="inlineStr">
        <is>
          <t>Pessoal</t>
        </is>
      </c>
      <c r="D215" s="128" t="inlineStr">
        <is>
          <t>Despesas com RH</t>
        </is>
      </c>
      <c r="E215" s="128" t="inlineStr">
        <is>
          <t>TARCIZIO MEIRELES</t>
        </is>
      </c>
      <c r="F215" s="128" t="n">
        <v>2</v>
      </c>
      <c r="G215" s="129" t="n">
        <v>28.31</v>
      </c>
      <c r="H215" s="129">
        <f>F215*G215</f>
        <v/>
      </c>
      <c r="I215" s="128" t="inlineStr">
        <is>
          <t>Real (taxa fixa por colaborador, confirmada em todas as empresas)</t>
        </is>
      </c>
      <c r="J215" s="124" t="n"/>
      <c r="K215" s="124" t="n"/>
      <c r="L215" s="124" t="n"/>
      <c r="M215" s="124" t="n"/>
      <c r="N215" s="124" t="n"/>
      <c r="O215" s="124" t="n"/>
    </row>
    <row r="216" ht="14.25" customHeight="1" s="75">
      <c r="A216" s="128" t="inlineStr">
        <is>
          <t>Maio/2026</t>
        </is>
      </c>
      <c r="B216" s="128" t="inlineStr">
        <is>
          <t>Solon Araújo</t>
        </is>
      </c>
      <c r="C216" s="128" t="inlineStr">
        <is>
          <t>Pessoal</t>
        </is>
      </c>
      <c r="D216" s="128" t="inlineStr">
        <is>
          <t>Despesas com DP</t>
        </is>
      </c>
      <c r="E216" s="128" t="inlineStr">
        <is>
          <t>TARCIZIO MEIRELES</t>
        </is>
      </c>
      <c r="F216" s="128" t="n">
        <v>2</v>
      </c>
      <c r="G216" s="129" t="n">
        <v>47.79</v>
      </c>
      <c r="H216" s="129">
        <f>F216*G216</f>
        <v/>
      </c>
      <c r="I216" s="128" t="inlineStr">
        <is>
          <t>Real (taxa fixa por colaborador, confirmada em todas as empresas)</t>
        </is>
      </c>
      <c r="J216" s="124" t="n"/>
      <c r="K216" s="124" t="n"/>
      <c r="L216" s="124" t="n"/>
      <c r="M216" s="124" t="n"/>
      <c r="N216" s="124" t="n"/>
      <c r="O216" s="124" t="n"/>
    </row>
    <row r="217" ht="14.25" customHeight="1" s="75">
      <c r="A217" s="128" t="inlineStr">
        <is>
          <t>Maio/2026</t>
        </is>
      </c>
      <c r="B217" s="128" t="inlineStr">
        <is>
          <t>Solon Araújo</t>
        </is>
      </c>
      <c r="C217" s="128" t="inlineStr">
        <is>
          <t>Segurança do Trabalho</t>
        </is>
      </c>
      <c r="D217" s="128" t="inlineStr">
        <is>
          <t>Despesas com SST</t>
        </is>
      </c>
      <c r="E217" s="128" t="inlineStr">
        <is>
          <t>TARCIZIO MEIRELES</t>
        </is>
      </c>
      <c r="F217" s="128" t="n">
        <v>2</v>
      </c>
      <c r="G217" s="129" t="n">
        <v>64.56999999999999</v>
      </c>
      <c r="H217" s="129">
        <f>F217*G217</f>
        <v/>
      </c>
      <c r="I217" s="128" t="inlineStr">
        <is>
          <t>Real (taxa fixa por colaborador, confirmada em todas as empresas)</t>
        </is>
      </c>
      <c r="J217" s="124" t="n"/>
      <c r="K217" s="124" t="n"/>
      <c r="L217" s="124" t="n"/>
      <c r="M217" s="124" t="n"/>
      <c r="N217" s="124" t="n"/>
      <c r="O217" s="124" t="n"/>
    </row>
    <row r="218" ht="14.25" customHeight="1" s="75">
      <c r="A218" s="128" t="inlineStr">
        <is>
          <t>Maio/2026</t>
        </is>
      </c>
      <c r="B218" s="128" t="inlineStr">
        <is>
          <t>Solon Araújo</t>
        </is>
      </c>
      <c r="C218" s="128" t="inlineStr">
        <is>
          <t>Benefícios</t>
        </is>
      </c>
      <c r="D218" s="128" t="inlineStr">
        <is>
          <t>Gympass</t>
        </is>
      </c>
      <c r="E218" s="128" t="inlineStr">
        <is>
          <t>TARCIZIO MEIRELES</t>
        </is>
      </c>
      <c r="F218" s="128" t="n">
        <v>2</v>
      </c>
      <c r="G218" s="129" t="n">
        <v>10.05</v>
      </c>
      <c r="H218" s="129">
        <f>F218*G218</f>
        <v/>
      </c>
      <c r="I218" s="128" t="inlineStr">
        <is>
          <t>Real (taxa fixa por colaborador, confirmada em todas as empresas)</t>
        </is>
      </c>
      <c r="J218" s="124" t="n"/>
      <c r="K218" s="124" t="n"/>
      <c r="L218" s="124" t="n"/>
      <c r="M218" s="124" t="n"/>
      <c r="N218" s="124" t="n"/>
      <c r="O218" s="124" t="n"/>
    </row>
    <row r="219" ht="14.25" customHeight="1" s="75">
      <c r="A219" s="128" t="inlineStr">
        <is>
          <t>Maio/2026</t>
        </is>
      </c>
      <c r="B219" s="128" t="inlineStr">
        <is>
          <t>Solon Araújo</t>
        </is>
      </c>
      <c r="C219" s="128" t="inlineStr">
        <is>
          <t>Benefícios</t>
        </is>
      </c>
      <c r="D219" s="128" t="inlineStr">
        <is>
          <t>Stargrid</t>
        </is>
      </c>
      <c r="E219" s="128" t="inlineStr">
        <is>
          <t>TARCIZIO MEIRELES</t>
        </is>
      </c>
      <c r="F219" s="128" t="n">
        <v>2</v>
      </c>
      <c r="G219" s="129" t="n">
        <v>2.07</v>
      </c>
      <c r="H219" s="129">
        <f>F219*G219</f>
        <v/>
      </c>
      <c r="I219" s="128" t="inlineStr">
        <is>
          <t>Real (taxa fixa por colaborador, confirmada em todas as empresas)</t>
        </is>
      </c>
      <c r="J219" s="124" t="n"/>
      <c r="K219" s="124" t="n"/>
      <c r="L219" s="124" t="n"/>
      <c r="M219" s="124" t="n"/>
      <c r="N219" s="124" t="n"/>
      <c r="O219" s="124" t="n"/>
    </row>
    <row r="220" ht="14.25" customHeight="1" s="75">
      <c r="A220" s="128" t="inlineStr">
        <is>
          <t>Maio/2026</t>
        </is>
      </c>
      <c r="B220" s="128" t="inlineStr">
        <is>
          <t>Solon Araújo</t>
        </is>
      </c>
      <c r="C220" s="128" t="inlineStr">
        <is>
          <t>Estrutura/Infra</t>
        </is>
      </c>
      <c r="D220" s="128" t="inlineStr">
        <is>
          <t>Linhas moveis (FIQUE MÓVEL)</t>
        </is>
      </c>
      <c r="E220" s="128" t="inlineStr">
        <is>
          <t>TARCIZIO MEIRELES</t>
        </is>
      </c>
      <c r="F220" s="128" t="n">
        <v>2</v>
      </c>
      <c r="G220" s="129" t="n">
        <v>30</v>
      </c>
      <c r="H220" s="129">
        <f>F220*G220</f>
        <v/>
      </c>
      <c r="I220" s="128" t="inlineStr">
        <is>
          <t>Real (taxa fixa por colaborador, confirmada em todas as empresas)</t>
        </is>
      </c>
      <c r="J220" s="124" t="n"/>
      <c r="K220" s="124" t="n"/>
      <c r="L220" s="124" t="n"/>
      <c r="M220" s="124" t="n"/>
      <c r="N220" s="124" t="n"/>
      <c r="O220" s="124" t="n"/>
    </row>
    <row r="221" ht="14.25" customHeight="1" s="75">
      <c r="A221" s="128" t="inlineStr">
        <is>
          <t>Maio/2026</t>
        </is>
      </c>
      <c r="B221" s="128" t="inlineStr">
        <is>
          <t>Solon Araújo</t>
        </is>
      </c>
      <c r="C221" s="128" t="inlineStr">
        <is>
          <t>Frota/Combustível</t>
        </is>
      </c>
      <c r="D221" s="128" t="inlineStr">
        <is>
          <t>Consumo de combustível</t>
        </is>
      </c>
      <c r="E221" s="128" t="inlineStr">
        <is>
          <t>TARCIZIO MEIRELES</t>
        </is>
      </c>
      <c r="F221" s="128" t="n">
        <v>1</v>
      </c>
      <c r="G221" s="129" t="n">
        <v>687.15</v>
      </c>
      <c r="H221" s="129">
        <f>F221*G221</f>
        <v/>
      </c>
      <c r="I221" s="128" t="inlineStr">
        <is>
          <t>Real (cruzado por nome, planilha de combustível)</t>
        </is>
      </c>
      <c r="J221" s="124" t="n"/>
      <c r="K221" s="124" t="n"/>
      <c r="L221" s="124" t="n"/>
      <c r="M221" s="124" t="n"/>
      <c r="N221" s="124" t="n"/>
      <c r="O221" s="124" t="n"/>
    </row>
    <row r="222" ht="14.25" customHeight="1" s="75">
      <c r="A222" s="128" t="inlineStr">
        <is>
          <t>Maio/2026</t>
        </is>
      </c>
      <c r="B222" s="128" t="inlineStr">
        <is>
          <t>Souza e Silva</t>
        </is>
      </c>
      <c r="C222" s="128" t="inlineStr">
        <is>
          <t>Pessoal</t>
        </is>
      </c>
      <c r="D222" s="128" t="inlineStr">
        <is>
          <t>Folha Trabalhista com impostos do mês</t>
        </is>
      </c>
      <c r="E222" s="128" t="inlineStr">
        <is>
          <t>TARCIZIO MEIRELES</t>
        </is>
      </c>
      <c r="F222" s="128" t="n">
        <v>1</v>
      </c>
      <c r="G222" s="129" t="n">
        <v>12198.75</v>
      </c>
      <c r="H222" s="129">
        <f>F222*G222</f>
        <v/>
      </c>
      <c r="I222" s="128" t="inlineStr">
        <is>
          <t>Real (cruzado por nome, 5/5 encontrados)</t>
        </is>
      </c>
      <c r="J222" s="124" t="n"/>
      <c r="K222" s="124" t="n"/>
      <c r="L222" s="124" t="n"/>
      <c r="M222" s="124" t="n"/>
      <c r="N222" s="124" t="n"/>
      <c r="O222" s="124" t="n"/>
    </row>
    <row r="223" ht="14.25" customHeight="1" s="75">
      <c r="A223" s="128" t="inlineStr">
        <is>
          <t>Maio/2026</t>
        </is>
      </c>
      <c r="B223" s="128" t="inlineStr">
        <is>
          <t>Souza e Silva</t>
        </is>
      </c>
      <c r="C223" s="128" t="inlineStr">
        <is>
          <t>Pessoal</t>
        </is>
      </c>
      <c r="D223" s="128" t="inlineStr">
        <is>
          <t>Despesas com RH</t>
        </is>
      </c>
      <c r="E223" s="128" t="inlineStr">
        <is>
          <t>TARCIZIO MEIRELES</t>
        </is>
      </c>
      <c r="F223" s="128" t="n">
        <v>5</v>
      </c>
      <c r="G223" s="129" t="n">
        <v>28.31</v>
      </c>
      <c r="H223" s="129">
        <f>F223*G223</f>
        <v/>
      </c>
      <c r="I223" s="128" t="inlineStr">
        <is>
          <t>Real (taxa fixa por colaborador, confirmada em todas as empresas)</t>
        </is>
      </c>
      <c r="J223" s="124" t="n"/>
      <c r="K223" s="124" t="n"/>
      <c r="L223" s="124" t="n"/>
      <c r="M223" s="124" t="n"/>
      <c r="N223" s="124" t="n"/>
      <c r="O223" s="124" t="n"/>
    </row>
    <row r="224" ht="14.25" customHeight="1" s="75">
      <c r="A224" s="128" t="inlineStr">
        <is>
          <t>Maio/2026</t>
        </is>
      </c>
      <c r="B224" s="128" t="inlineStr">
        <is>
          <t>Souza e Silva</t>
        </is>
      </c>
      <c r="C224" s="128" t="inlineStr">
        <is>
          <t>Pessoal</t>
        </is>
      </c>
      <c r="D224" s="128" t="inlineStr">
        <is>
          <t>Despesas com DP</t>
        </is>
      </c>
      <c r="E224" s="128" t="inlineStr">
        <is>
          <t>TARCIZIO MEIRELES</t>
        </is>
      </c>
      <c r="F224" s="128" t="n">
        <v>5</v>
      </c>
      <c r="G224" s="129" t="n">
        <v>47.79</v>
      </c>
      <c r="H224" s="129">
        <f>F224*G224</f>
        <v/>
      </c>
      <c r="I224" s="128" t="inlineStr">
        <is>
          <t>Real (taxa fixa por colaborador, confirmada em todas as empresas)</t>
        </is>
      </c>
      <c r="J224" s="124" t="n"/>
      <c r="K224" s="124" t="n"/>
      <c r="L224" s="124" t="n"/>
      <c r="M224" s="124" t="n"/>
      <c r="N224" s="124" t="n"/>
      <c r="O224" s="124" t="n"/>
    </row>
    <row r="225" ht="14.25" customHeight="1" s="75">
      <c r="A225" s="128" t="inlineStr">
        <is>
          <t>Maio/2026</t>
        </is>
      </c>
      <c r="B225" s="128" t="inlineStr">
        <is>
          <t>Souza e Silva</t>
        </is>
      </c>
      <c r="C225" s="128" t="inlineStr">
        <is>
          <t>Segurança do Trabalho</t>
        </is>
      </c>
      <c r="D225" s="128" t="inlineStr">
        <is>
          <t>Despesas com SST</t>
        </is>
      </c>
      <c r="E225" s="128" t="inlineStr">
        <is>
          <t>TARCIZIO MEIRELES</t>
        </is>
      </c>
      <c r="F225" s="128" t="n">
        <v>5</v>
      </c>
      <c r="G225" s="129" t="n">
        <v>64.56999999999999</v>
      </c>
      <c r="H225" s="129">
        <f>F225*G225</f>
        <v/>
      </c>
      <c r="I225" s="128" t="inlineStr">
        <is>
          <t>Real (taxa fixa por colaborador, confirmada em todas as empresas)</t>
        </is>
      </c>
      <c r="J225" s="124" t="n"/>
      <c r="K225" s="124" t="n"/>
      <c r="L225" s="124" t="n"/>
      <c r="M225" s="124" t="n"/>
      <c r="N225" s="124" t="n"/>
      <c r="O225" s="124" t="n"/>
    </row>
    <row r="226" ht="14.25" customHeight="1" s="75">
      <c r="A226" s="128" t="inlineStr">
        <is>
          <t>Maio/2026</t>
        </is>
      </c>
      <c r="B226" s="128" t="inlineStr">
        <is>
          <t>Souza e Silva</t>
        </is>
      </c>
      <c r="C226" s="128" t="inlineStr">
        <is>
          <t>Benefícios</t>
        </is>
      </c>
      <c r="D226" s="128" t="inlineStr">
        <is>
          <t>Gympass</t>
        </is>
      </c>
      <c r="E226" s="128" t="inlineStr">
        <is>
          <t>TARCIZIO MEIRELES</t>
        </is>
      </c>
      <c r="F226" s="128" t="n">
        <v>5</v>
      </c>
      <c r="G226" s="129" t="n">
        <v>10.05</v>
      </c>
      <c r="H226" s="129">
        <f>F226*G226</f>
        <v/>
      </c>
      <c r="I226" s="128" t="inlineStr">
        <is>
          <t>Real (taxa fixa por colaborador, confirmada em todas as empresas)</t>
        </is>
      </c>
      <c r="J226" s="124" t="n"/>
      <c r="K226" s="124" t="n"/>
      <c r="L226" s="124" t="n"/>
      <c r="M226" s="124" t="n"/>
      <c r="N226" s="124" t="n"/>
      <c r="O226" s="124" t="n"/>
    </row>
    <row r="227" ht="14.25" customHeight="1" s="75">
      <c r="A227" s="128" t="inlineStr">
        <is>
          <t>Maio/2026</t>
        </is>
      </c>
      <c r="B227" s="128" t="inlineStr">
        <is>
          <t>Souza e Silva</t>
        </is>
      </c>
      <c r="C227" s="128" t="inlineStr">
        <is>
          <t>Benefícios</t>
        </is>
      </c>
      <c r="D227" s="128" t="inlineStr">
        <is>
          <t>Stargrid</t>
        </is>
      </c>
      <c r="E227" s="128" t="inlineStr">
        <is>
          <t>TARCIZIO MEIRELES</t>
        </is>
      </c>
      <c r="F227" s="128" t="n">
        <v>5</v>
      </c>
      <c r="G227" s="129" t="n">
        <v>2.07</v>
      </c>
      <c r="H227" s="129">
        <f>F227*G227</f>
        <v/>
      </c>
      <c r="I227" s="128" t="inlineStr">
        <is>
          <t>Real (taxa fixa por colaborador, confirmada em todas as empresas)</t>
        </is>
      </c>
      <c r="J227" s="124" t="n"/>
      <c r="K227" s="124" t="n"/>
      <c r="L227" s="124" t="n"/>
      <c r="M227" s="124" t="n"/>
      <c r="N227" s="124" t="n"/>
      <c r="O227" s="124" t="n"/>
    </row>
    <row r="228" ht="14.25" customHeight="1" s="75">
      <c r="A228" s="128" t="inlineStr">
        <is>
          <t>Maio/2026</t>
        </is>
      </c>
      <c r="B228" s="128" t="inlineStr">
        <is>
          <t>Souza e Silva</t>
        </is>
      </c>
      <c r="C228" s="128" t="inlineStr">
        <is>
          <t>Estrutura/Infra</t>
        </is>
      </c>
      <c r="D228" s="128" t="inlineStr">
        <is>
          <t>Linhas moveis (FIQUE MÓVEL)</t>
        </is>
      </c>
      <c r="E228" s="128" t="inlineStr">
        <is>
          <t>TARCIZIO MEIRELES</t>
        </is>
      </c>
      <c r="F228" s="128" t="n">
        <v>5</v>
      </c>
      <c r="G228" s="129" t="n">
        <v>30</v>
      </c>
      <c r="H228" s="129">
        <f>F228*G228</f>
        <v/>
      </c>
      <c r="I228" s="128" t="inlineStr">
        <is>
          <t>Real (taxa fixa por colaborador, confirmada em todas as empresas)</t>
        </is>
      </c>
      <c r="J228" s="124" t="n"/>
      <c r="K228" s="124" t="n"/>
      <c r="L228" s="124" t="n"/>
      <c r="M228" s="124" t="n"/>
      <c r="N228" s="124" t="n"/>
      <c r="O228" s="124" t="n"/>
    </row>
    <row r="229" ht="14.25" customHeight="1" s="75">
      <c r="A229" s="128" t="inlineStr">
        <is>
          <t>Maio/2026</t>
        </is>
      </c>
      <c r="B229" s="128" t="inlineStr">
        <is>
          <t>Souza e Silva</t>
        </is>
      </c>
      <c r="C229" s="128" t="inlineStr">
        <is>
          <t>Frota/Combustível</t>
        </is>
      </c>
      <c r="D229" s="128" t="inlineStr">
        <is>
          <t>Consumo de combustível</t>
        </is>
      </c>
      <c r="E229" s="128" t="inlineStr">
        <is>
          <t>TARCIZIO MEIRELES</t>
        </is>
      </c>
      <c r="F229" s="128" t="n">
        <v>1</v>
      </c>
      <c r="G229" s="129" t="n">
        <v>1016.2</v>
      </c>
      <c r="H229" s="129">
        <f>F229*G229</f>
        <v/>
      </c>
      <c r="I229" s="128" t="inlineStr">
        <is>
          <t>Real (cruzado por nome, planilha de combustível)</t>
        </is>
      </c>
      <c r="J229" s="124" t="n"/>
      <c r="K229" s="124" t="n"/>
      <c r="L229" s="124" t="n"/>
      <c r="M229" s="124" t="n"/>
      <c r="N229" s="124" t="n"/>
      <c r="O229" s="124" t="n"/>
    </row>
    <row r="230" ht="14.25" customHeight="1" s="75">
      <c r="A230" s="128" t="inlineStr">
        <is>
          <t>Maio/2026</t>
        </is>
      </c>
      <c r="B230" s="128" t="inlineStr">
        <is>
          <t>DX2</t>
        </is>
      </c>
      <c r="C230" s="128" t="inlineStr">
        <is>
          <t>Pessoal</t>
        </is>
      </c>
      <c r="D230" s="128" t="inlineStr">
        <is>
          <t>Folha Trabalhista com impostos do mês</t>
        </is>
      </c>
      <c r="E230" s="128" t="inlineStr">
        <is>
          <t>TIAGO</t>
        </is>
      </c>
      <c r="F230" s="128" t="n">
        <v>1</v>
      </c>
      <c r="G230" s="129" t="n">
        <v>15180.54</v>
      </c>
      <c r="H230" s="129">
        <f>F230*G230</f>
        <v/>
      </c>
      <c r="I230" s="128" t="inlineStr">
        <is>
          <t>Real (cruzado por nome, 7/8 encontrados)</t>
        </is>
      </c>
      <c r="J230" s="124" t="n"/>
      <c r="K230" s="124" t="n"/>
      <c r="L230" s="124" t="n"/>
      <c r="M230" s="124" t="n"/>
      <c r="N230" s="124" t="n"/>
      <c r="O230" s="124" t="n"/>
    </row>
    <row r="231" ht="14.25" customHeight="1" s="75">
      <c r="A231" s="128" t="inlineStr">
        <is>
          <t>Maio/2026</t>
        </is>
      </c>
      <c r="B231" s="128" t="inlineStr">
        <is>
          <t>DX2</t>
        </is>
      </c>
      <c r="C231" s="128" t="inlineStr">
        <is>
          <t>Pessoal</t>
        </is>
      </c>
      <c r="D231" s="128" t="inlineStr">
        <is>
          <t>Despesas com RH</t>
        </is>
      </c>
      <c r="E231" s="128" t="inlineStr">
        <is>
          <t>TIAGO</t>
        </is>
      </c>
      <c r="F231" s="128" t="n">
        <v>8</v>
      </c>
      <c r="G231" s="129" t="n">
        <v>28.31</v>
      </c>
      <c r="H231" s="129">
        <f>F231*G231</f>
        <v/>
      </c>
      <c r="I231" s="128" t="inlineStr">
        <is>
          <t>Real (taxa fixa por colaborador, confirmada em todas as empresas)</t>
        </is>
      </c>
      <c r="J231" s="124" t="n"/>
      <c r="K231" s="124" t="n"/>
      <c r="L231" s="124" t="n"/>
      <c r="M231" s="124" t="n"/>
      <c r="N231" s="124" t="n"/>
      <c r="O231" s="124" t="n"/>
    </row>
    <row r="232" ht="14.25" customHeight="1" s="75">
      <c r="A232" s="128" t="inlineStr">
        <is>
          <t>Maio/2026</t>
        </is>
      </c>
      <c r="B232" s="128" t="inlineStr">
        <is>
          <t>DX2</t>
        </is>
      </c>
      <c r="C232" s="128" t="inlineStr">
        <is>
          <t>Pessoal</t>
        </is>
      </c>
      <c r="D232" s="128" t="inlineStr">
        <is>
          <t>Despesas com DP</t>
        </is>
      </c>
      <c r="E232" s="128" t="inlineStr">
        <is>
          <t>TIAGO</t>
        </is>
      </c>
      <c r="F232" s="128" t="n">
        <v>8</v>
      </c>
      <c r="G232" s="129" t="n">
        <v>47.79</v>
      </c>
      <c r="H232" s="129">
        <f>F232*G232</f>
        <v/>
      </c>
      <c r="I232" s="128" t="inlineStr">
        <is>
          <t>Real (taxa fixa por colaborador, confirmada em todas as empresas)</t>
        </is>
      </c>
      <c r="J232" s="124" t="n"/>
      <c r="K232" s="124" t="n"/>
      <c r="L232" s="124" t="n"/>
      <c r="M232" s="124" t="n"/>
      <c r="N232" s="124" t="n"/>
      <c r="O232" s="124" t="n"/>
    </row>
    <row r="233" ht="14.25" customHeight="1" s="75">
      <c r="A233" s="128" t="inlineStr">
        <is>
          <t>Maio/2026</t>
        </is>
      </c>
      <c r="B233" s="128" t="inlineStr">
        <is>
          <t>DX2</t>
        </is>
      </c>
      <c r="C233" s="128" t="inlineStr">
        <is>
          <t>Segurança do Trabalho</t>
        </is>
      </c>
      <c r="D233" s="128" t="inlineStr">
        <is>
          <t>Despesas com SST</t>
        </is>
      </c>
      <c r="E233" s="128" t="inlineStr">
        <is>
          <t>TIAGO</t>
        </is>
      </c>
      <c r="F233" s="128" t="n">
        <v>8</v>
      </c>
      <c r="G233" s="129" t="n">
        <v>64.56999999999999</v>
      </c>
      <c r="H233" s="129">
        <f>F233*G233</f>
        <v/>
      </c>
      <c r="I233" s="128" t="inlineStr">
        <is>
          <t>Real (taxa fixa por colaborador, confirmada em todas as empresas)</t>
        </is>
      </c>
      <c r="J233" s="124" t="n"/>
      <c r="K233" s="124" t="n"/>
      <c r="L233" s="124" t="n"/>
      <c r="M233" s="124" t="n"/>
      <c r="N233" s="124" t="n"/>
      <c r="O233" s="124" t="n"/>
    </row>
    <row r="234" ht="14.25" customHeight="1" s="75">
      <c r="A234" s="128" t="inlineStr">
        <is>
          <t>Maio/2026</t>
        </is>
      </c>
      <c r="B234" s="128" t="inlineStr">
        <is>
          <t>DX2</t>
        </is>
      </c>
      <c r="C234" s="128" t="inlineStr">
        <is>
          <t>Benefícios</t>
        </is>
      </c>
      <c r="D234" s="128" t="inlineStr">
        <is>
          <t>Gympass</t>
        </is>
      </c>
      <c r="E234" s="128" t="inlineStr">
        <is>
          <t>TIAGO</t>
        </is>
      </c>
      <c r="F234" s="128" t="n">
        <v>8</v>
      </c>
      <c r="G234" s="129" t="n">
        <v>10.05</v>
      </c>
      <c r="H234" s="129">
        <f>F234*G234</f>
        <v/>
      </c>
      <c r="I234" s="128" t="inlineStr">
        <is>
          <t>Real (taxa fixa por colaborador, confirmada em todas as empresas)</t>
        </is>
      </c>
      <c r="J234" s="124" t="n"/>
      <c r="K234" s="124" t="n"/>
      <c r="L234" s="124" t="n"/>
      <c r="M234" s="124" t="n"/>
      <c r="N234" s="124" t="n"/>
      <c r="O234" s="124" t="n"/>
    </row>
    <row r="235" ht="14.25" customHeight="1" s="75">
      <c r="A235" s="128" t="inlineStr">
        <is>
          <t>Maio/2026</t>
        </is>
      </c>
      <c r="B235" s="128" t="inlineStr">
        <is>
          <t>DX2</t>
        </is>
      </c>
      <c r="C235" s="128" t="inlineStr">
        <is>
          <t>Benefícios</t>
        </is>
      </c>
      <c r="D235" s="128" t="inlineStr">
        <is>
          <t>Stargrid</t>
        </is>
      </c>
      <c r="E235" s="128" t="inlineStr">
        <is>
          <t>TIAGO</t>
        </is>
      </c>
      <c r="F235" s="128" t="n">
        <v>8</v>
      </c>
      <c r="G235" s="129" t="n">
        <v>2.07</v>
      </c>
      <c r="H235" s="129">
        <f>F235*G235</f>
        <v/>
      </c>
      <c r="I235" s="128" t="inlineStr">
        <is>
          <t>Real (taxa fixa por colaborador, confirmada em todas as empresas)</t>
        </is>
      </c>
      <c r="J235" s="124" t="n"/>
      <c r="K235" s="124" t="n"/>
      <c r="L235" s="124" t="n"/>
      <c r="M235" s="124" t="n"/>
      <c r="N235" s="124" t="n"/>
      <c r="O235" s="124" t="n"/>
    </row>
    <row r="236" ht="14.25" customHeight="1" s="75">
      <c r="A236" s="128" t="inlineStr">
        <is>
          <t>Maio/2026</t>
        </is>
      </c>
      <c r="B236" s="128" t="inlineStr">
        <is>
          <t>DX2</t>
        </is>
      </c>
      <c r="C236" s="128" t="inlineStr">
        <is>
          <t>Fardamento</t>
        </is>
      </c>
      <c r="D236" s="128" t="inlineStr">
        <is>
          <t>Novo Fardamento</t>
        </is>
      </c>
      <c r="E236" s="128" t="inlineStr">
        <is>
          <t>TIAGO</t>
        </is>
      </c>
      <c r="F236" s="128" t="n">
        <v>1</v>
      </c>
      <c r="G236" s="129" t="n">
        <v>699.62</v>
      </c>
      <c r="H236" s="129">
        <f>F236*G236</f>
        <v/>
      </c>
      <c r="I236" s="128" t="inlineStr">
        <is>
          <t>Estimado (fatia proporcional ao nº de colaboradores da equipe, sem taxa fixa por pessoa), fatia de 8 colaboradores da equipe</t>
        </is>
      </c>
      <c r="J236" s="124" t="n"/>
      <c r="K236" s="124" t="n"/>
      <c r="L236" s="124" t="n"/>
      <c r="M236" s="124" t="n"/>
      <c r="N236" s="124" t="n"/>
      <c r="O236" s="124" t="n"/>
    </row>
    <row r="237" ht="14.25" customHeight="1" s="75">
      <c r="A237" s="128" t="inlineStr">
        <is>
          <t>Maio/2026</t>
        </is>
      </c>
      <c r="B237" s="128" t="inlineStr">
        <is>
          <t>DX2</t>
        </is>
      </c>
      <c r="C237" s="128" t="inlineStr">
        <is>
          <t>Fardamento</t>
        </is>
      </c>
      <c r="D237" s="128" t="inlineStr">
        <is>
          <t>Substituição extra de Fardamento</t>
        </is>
      </c>
      <c r="E237" s="128" t="inlineStr">
        <is>
          <t>TIAGO</t>
        </is>
      </c>
      <c r="F237" s="128" t="n">
        <v>1</v>
      </c>
      <c r="G237" s="129" t="n">
        <v>566.12</v>
      </c>
      <c r="H237" s="129">
        <f>F237*G237</f>
        <v/>
      </c>
      <c r="I237" s="128" t="inlineStr">
        <is>
          <t>Estimado (fatia proporcional ao nº de colaboradores da equipe, sem taxa fixa por pessoa), fatia de 8 colaboradores da equipe</t>
        </is>
      </c>
      <c r="J237" s="124" t="n"/>
      <c r="K237" s="124" t="n"/>
      <c r="L237" s="124" t="n"/>
      <c r="M237" s="124" t="n"/>
      <c r="N237" s="124" t="n"/>
      <c r="O237" s="124" t="n"/>
    </row>
    <row r="238" ht="14.25" customHeight="1" s="75">
      <c r="A238" s="128" t="inlineStr">
        <is>
          <t>Maio/2026</t>
        </is>
      </c>
      <c r="B238" s="128" t="inlineStr">
        <is>
          <t>DX2</t>
        </is>
      </c>
      <c r="C238" s="128" t="inlineStr">
        <is>
          <t>Estrutura/Infra</t>
        </is>
      </c>
      <c r="D238" s="128" t="inlineStr">
        <is>
          <t>Linhas moveis (FIQUE MÓVEL)</t>
        </is>
      </c>
      <c r="E238" s="128" t="inlineStr">
        <is>
          <t>TIAGO</t>
        </is>
      </c>
      <c r="F238" s="128" t="n">
        <v>8</v>
      </c>
      <c r="G238" s="129" t="n">
        <v>30</v>
      </c>
      <c r="H238" s="129">
        <f>F238*G238</f>
        <v/>
      </c>
      <c r="I238" s="128" t="inlineStr">
        <is>
          <t>Real (taxa fixa por colaborador, confirmada em todas as empresas)</t>
        </is>
      </c>
      <c r="J238" s="124" t="n"/>
      <c r="K238" s="124" t="n"/>
      <c r="L238" s="124" t="n"/>
      <c r="M238" s="124" t="n"/>
      <c r="N238" s="124" t="n"/>
      <c r="O238" s="124" t="n"/>
    </row>
    <row r="239" ht="14.25" customHeight="1" s="75">
      <c r="A239" s="128" t="inlineStr">
        <is>
          <t>Maio/2026</t>
        </is>
      </c>
      <c r="B239" s="128" t="inlineStr">
        <is>
          <t>Soares e Silva</t>
        </is>
      </c>
      <c r="C239" s="128" t="inlineStr">
        <is>
          <t>Pessoal</t>
        </is>
      </c>
      <c r="D239" s="128" t="inlineStr">
        <is>
          <t>Folha Trabalhista com impostos do mês</t>
        </is>
      </c>
      <c r="E239" s="128" t="inlineStr">
        <is>
          <t>TIAGO</t>
        </is>
      </c>
      <c r="F239" s="128" t="n">
        <v>1</v>
      </c>
      <c r="G239" s="129" t="n">
        <v>13708.49</v>
      </c>
      <c r="H239" s="129">
        <f>F239*G239</f>
        <v/>
      </c>
      <c r="I239" s="128" t="inlineStr">
        <is>
          <t>Real (cruzado por nome, 5/11 encontrados)</t>
        </is>
      </c>
      <c r="J239" s="124" t="n"/>
      <c r="K239" s="124" t="n"/>
      <c r="L239" s="124" t="n"/>
      <c r="M239" s="124" t="n"/>
      <c r="N239" s="124" t="n"/>
      <c r="O239" s="124" t="n"/>
    </row>
    <row r="240" ht="14.25" customHeight="1" s="75">
      <c r="A240" s="128" t="inlineStr">
        <is>
          <t>Maio/2026</t>
        </is>
      </c>
      <c r="B240" s="128" t="inlineStr">
        <is>
          <t>Soares e Silva</t>
        </is>
      </c>
      <c r="C240" s="128" t="inlineStr">
        <is>
          <t>Pessoal</t>
        </is>
      </c>
      <c r="D240" s="128" t="inlineStr">
        <is>
          <t>Rescisões</t>
        </is>
      </c>
      <c r="E240" s="128" t="inlineStr">
        <is>
          <t>TIAGO</t>
        </is>
      </c>
      <c r="F240" s="128" t="n">
        <v>1</v>
      </c>
      <c r="G240" s="129" t="n">
        <v>1234.31</v>
      </c>
      <c r="H240" s="129">
        <f>F240*G240</f>
        <v/>
      </c>
      <c r="I240" s="128" t="inlineStr">
        <is>
          <t>Real (cruzado por nome, tabela de rescisões — lançado em Maio/2026, mesma defasagem de um mês usada nos outros custos do comercial)</t>
        </is>
      </c>
      <c r="J240" s="124" t="n"/>
      <c r="K240" s="124" t="n"/>
      <c r="L240" s="124" t="n"/>
      <c r="M240" s="124" t="n"/>
      <c r="N240" s="124" t="n"/>
      <c r="O240" s="124" t="n"/>
    </row>
    <row r="241" ht="14.25" customHeight="1" s="75">
      <c r="A241" s="128" t="inlineStr">
        <is>
          <t>Maio/2026</t>
        </is>
      </c>
      <c r="B241" s="128" t="inlineStr">
        <is>
          <t>Soares e Silva</t>
        </is>
      </c>
      <c r="C241" s="128" t="inlineStr">
        <is>
          <t>Pessoal</t>
        </is>
      </c>
      <c r="D241" s="128" t="inlineStr">
        <is>
          <t>Vale Transporte</t>
        </is>
      </c>
      <c r="E241" s="128" t="inlineStr">
        <is>
          <t>TIAGO</t>
        </is>
      </c>
      <c r="F241" s="128" t="n">
        <v>1</v>
      </c>
      <c r="G241" s="129" t="n">
        <v>2775</v>
      </c>
      <c r="H241" s="129">
        <f>F241*G241</f>
        <v/>
      </c>
      <c r="I241" s="128" t="inlineStr">
        <is>
          <t>Estimado (fatia proporcional ao nº de colaboradores da equipe, sem taxa fixa por pessoa), fatia de 11 colaboradores da equipe</t>
        </is>
      </c>
      <c r="J241" s="124" t="n"/>
      <c r="K241" s="124" t="n"/>
      <c r="L241" s="124" t="n"/>
      <c r="M241" s="124" t="n"/>
      <c r="N241" s="124" t="n"/>
      <c r="O241" s="124" t="n"/>
    </row>
    <row r="242" ht="14.25" customHeight="1" s="75">
      <c r="A242" s="128" t="inlineStr">
        <is>
          <t>Maio/2026</t>
        </is>
      </c>
      <c r="B242" s="128" t="inlineStr">
        <is>
          <t>Soares e Silva</t>
        </is>
      </c>
      <c r="C242" s="128" t="inlineStr">
        <is>
          <t>Pessoal</t>
        </is>
      </c>
      <c r="D242" s="128" t="inlineStr">
        <is>
          <t>Despesas com RH</t>
        </is>
      </c>
      <c r="E242" s="128" t="inlineStr">
        <is>
          <t>TIAGO</t>
        </is>
      </c>
      <c r="F242" s="128" t="n">
        <v>11</v>
      </c>
      <c r="G242" s="129" t="n">
        <v>28.31</v>
      </c>
      <c r="H242" s="129">
        <f>F242*G242</f>
        <v/>
      </c>
      <c r="I242" s="128" t="inlineStr">
        <is>
          <t>Real (taxa fixa por colaborador, confirmada em todas as empresas)</t>
        </is>
      </c>
      <c r="J242" s="124" t="n"/>
      <c r="K242" s="124" t="n"/>
      <c r="L242" s="124" t="n"/>
      <c r="M242" s="124" t="n"/>
      <c r="N242" s="124" t="n"/>
      <c r="O242" s="124" t="n"/>
    </row>
    <row r="243" ht="14.25" customHeight="1" s="75">
      <c r="A243" s="128" t="inlineStr">
        <is>
          <t>Maio/2026</t>
        </is>
      </c>
      <c r="B243" s="128" t="inlineStr">
        <is>
          <t>Soares e Silva</t>
        </is>
      </c>
      <c r="C243" s="128" t="inlineStr">
        <is>
          <t>Pessoal</t>
        </is>
      </c>
      <c r="D243" s="128" t="inlineStr">
        <is>
          <t>Despesas com DP</t>
        </is>
      </c>
      <c r="E243" s="128" t="inlineStr">
        <is>
          <t>TIAGO</t>
        </is>
      </c>
      <c r="F243" s="128" t="n">
        <v>11</v>
      </c>
      <c r="G243" s="129" t="n">
        <v>47.79</v>
      </c>
      <c r="H243" s="129">
        <f>F243*G243</f>
        <v/>
      </c>
      <c r="I243" s="128" t="inlineStr">
        <is>
          <t>Real (taxa fixa por colaborador, confirmada em todas as empresas)</t>
        </is>
      </c>
      <c r="J243" s="124" t="n"/>
      <c r="K243" s="124" t="n"/>
      <c r="L243" s="124" t="n"/>
      <c r="M243" s="124" t="n"/>
      <c r="N243" s="124" t="n"/>
      <c r="O243" s="124" t="n"/>
    </row>
    <row r="244" ht="14.25" customHeight="1" s="75">
      <c r="A244" s="128" t="inlineStr">
        <is>
          <t>Maio/2026</t>
        </is>
      </c>
      <c r="B244" s="128" t="inlineStr">
        <is>
          <t>Soares e Silva</t>
        </is>
      </c>
      <c r="C244" s="128" t="inlineStr">
        <is>
          <t>Segurança do Trabalho</t>
        </is>
      </c>
      <c r="D244" s="128" t="inlineStr">
        <is>
          <t>Despesas com SST</t>
        </is>
      </c>
      <c r="E244" s="128" t="inlineStr">
        <is>
          <t>TIAGO</t>
        </is>
      </c>
      <c r="F244" s="128" t="n">
        <v>11</v>
      </c>
      <c r="G244" s="129" t="n">
        <v>64.56999999999999</v>
      </c>
      <c r="H244" s="129">
        <f>F244*G244</f>
        <v/>
      </c>
      <c r="I244" s="128" t="inlineStr">
        <is>
          <t>Real (taxa fixa por colaborador, confirmada em todas as empresas)</t>
        </is>
      </c>
      <c r="J244" s="124" t="n"/>
      <c r="K244" s="124" t="n"/>
      <c r="L244" s="124" t="n"/>
      <c r="M244" s="124" t="n"/>
      <c r="N244" s="124" t="n"/>
      <c r="O244" s="124" t="n"/>
    </row>
    <row r="245" ht="14.25" customHeight="1" s="75">
      <c r="A245" s="128" t="inlineStr">
        <is>
          <t>Maio/2026</t>
        </is>
      </c>
      <c r="B245" s="128" t="inlineStr">
        <is>
          <t>Soares e Silva</t>
        </is>
      </c>
      <c r="C245" s="128" t="inlineStr">
        <is>
          <t>Benefícios</t>
        </is>
      </c>
      <c r="D245" s="128" t="inlineStr">
        <is>
          <t>Gympass</t>
        </is>
      </c>
      <c r="E245" s="128" t="inlineStr">
        <is>
          <t>TIAGO</t>
        </is>
      </c>
      <c r="F245" s="128" t="n">
        <v>11</v>
      </c>
      <c r="G245" s="129" t="n">
        <v>10.05</v>
      </c>
      <c r="H245" s="129">
        <f>F245*G245</f>
        <v/>
      </c>
      <c r="I245" s="128" t="inlineStr">
        <is>
          <t>Real (taxa fixa por colaborador, confirmada em todas as empresas)</t>
        </is>
      </c>
      <c r="J245" s="124" t="n"/>
      <c r="K245" s="124" t="n"/>
      <c r="L245" s="124" t="n"/>
      <c r="M245" s="124" t="n"/>
      <c r="N245" s="124" t="n"/>
      <c r="O245" s="124" t="n"/>
    </row>
    <row r="246" ht="14.25" customHeight="1" s="75">
      <c r="A246" s="128" t="inlineStr">
        <is>
          <t>Maio/2026</t>
        </is>
      </c>
      <c r="B246" s="128" t="inlineStr">
        <is>
          <t>Soares e Silva</t>
        </is>
      </c>
      <c r="C246" s="128" t="inlineStr">
        <is>
          <t>Benefícios</t>
        </is>
      </c>
      <c r="D246" s="128" t="inlineStr">
        <is>
          <t>Stargrid</t>
        </is>
      </c>
      <c r="E246" s="128" t="inlineStr">
        <is>
          <t>TIAGO</t>
        </is>
      </c>
      <c r="F246" s="128" t="n">
        <v>11</v>
      </c>
      <c r="G246" s="129" t="n">
        <v>2.07</v>
      </c>
      <c r="H246" s="129">
        <f>F246*G246</f>
        <v/>
      </c>
      <c r="I246" s="128" t="inlineStr">
        <is>
          <t>Real (taxa fixa por colaborador, confirmada em todas as empresas)</t>
        </is>
      </c>
      <c r="J246" s="124" t="n"/>
      <c r="K246" s="124" t="n"/>
      <c r="L246" s="124" t="n"/>
      <c r="M246" s="124" t="n"/>
      <c r="N246" s="124" t="n"/>
      <c r="O246" s="124" t="n"/>
    </row>
    <row r="247" ht="14.25" customHeight="1" s="75">
      <c r="A247" s="128" t="inlineStr">
        <is>
          <t>Maio/2026</t>
        </is>
      </c>
      <c r="B247" s="128" t="inlineStr">
        <is>
          <t>Soares e Silva</t>
        </is>
      </c>
      <c r="C247" s="128" t="inlineStr">
        <is>
          <t>Fardamento</t>
        </is>
      </c>
      <c r="D247" s="128" t="inlineStr">
        <is>
          <t>Devolução fardamento</t>
        </is>
      </c>
      <c r="E247" s="128" t="inlineStr">
        <is>
          <t>TIAGO</t>
        </is>
      </c>
      <c r="F247" s="128" t="n">
        <v>1</v>
      </c>
      <c r="G247" s="129" t="n">
        <v>-247.34</v>
      </c>
      <c r="H247" s="129">
        <f>F247*G247</f>
        <v/>
      </c>
      <c r="I247" s="128" t="inlineStr">
        <is>
          <t>Estimado (fatia proporcional ao nº de colaboradores da equipe, sem taxa fixa por pessoa), fatia de 11 colaboradores da equipe</t>
        </is>
      </c>
      <c r="J247" s="124" t="n"/>
      <c r="K247" s="124" t="n"/>
      <c r="L247" s="124" t="n"/>
      <c r="M247" s="124" t="n"/>
      <c r="N247" s="124" t="n"/>
      <c r="O247" s="124" t="n"/>
    </row>
    <row r="248" ht="14.25" customHeight="1" s="75">
      <c r="A248" s="128" t="inlineStr">
        <is>
          <t>Maio/2026</t>
        </is>
      </c>
      <c r="B248" s="128" t="inlineStr">
        <is>
          <t>Soares e Silva</t>
        </is>
      </c>
      <c r="C248" s="128" t="inlineStr">
        <is>
          <t>Estrutura/Infra</t>
        </is>
      </c>
      <c r="D248" s="128" t="inlineStr">
        <is>
          <t>Linhas moveis (FIQUE MÓVEL)</t>
        </is>
      </c>
      <c r="E248" s="128" t="inlineStr">
        <is>
          <t>TIAGO</t>
        </is>
      </c>
      <c r="F248" s="128" t="n">
        <v>11</v>
      </c>
      <c r="G248" s="129" t="n">
        <v>30</v>
      </c>
      <c r="H248" s="129">
        <f>F248*G248</f>
        <v/>
      </c>
      <c r="I248" s="128" t="inlineStr">
        <is>
          <t>Real (taxa fixa por colaborador, confirmada em todas as empresas)</t>
        </is>
      </c>
      <c r="J248" s="124" t="n"/>
      <c r="K248" s="124" t="n"/>
      <c r="L248" s="124" t="n"/>
      <c r="M248" s="124" t="n"/>
      <c r="N248" s="124" t="n"/>
      <c r="O248" s="124" t="n"/>
    </row>
    <row r="249" ht="14.25" customHeight="1" s="75">
      <c r="A249" s="128" t="inlineStr">
        <is>
          <t>Maio/2026</t>
        </is>
      </c>
      <c r="B249" s="128" t="inlineStr">
        <is>
          <t>Soares e Silva</t>
        </is>
      </c>
      <c r="C249" s="128" t="inlineStr">
        <is>
          <t>TI</t>
        </is>
      </c>
      <c r="D249" s="128" t="inlineStr">
        <is>
          <t>E-mail do departamento (4 email)</t>
        </is>
      </c>
      <c r="E249" s="128" t="inlineStr">
        <is>
          <t>TIAGO</t>
        </is>
      </c>
      <c r="F249" s="128" t="n">
        <v>2</v>
      </c>
      <c r="G249" s="129" t="n">
        <v>50</v>
      </c>
      <c r="H249" s="129">
        <f>F249*G249</f>
        <v/>
      </c>
      <c r="I249" s="128" t="inlineStr">
        <is>
          <t>Real (taxa fixa de R$50,00 por conta, só executivo/supervisor/coordenador)</t>
        </is>
      </c>
      <c r="J249" s="124" t="n"/>
      <c r="K249" s="124" t="n"/>
      <c r="L249" s="124" t="n"/>
      <c r="M249" s="124" t="n"/>
      <c r="N249" s="124" t="n"/>
      <c r="O249" s="124" t="n"/>
    </row>
    <row r="250" ht="14.25" customHeight="1" s="75">
      <c r="A250" s="128" t="inlineStr">
        <is>
          <t>Maio/2026</t>
        </is>
      </c>
      <c r="B250" s="128" t="inlineStr">
        <is>
          <t>Soares e Silva</t>
        </is>
      </c>
      <c r="C250" s="128" t="inlineStr">
        <is>
          <t>Frota/Combustível</t>
        </is>
      </c>
      <c r="D250" s="128" t="inlineStr">
        <is>
          <t>Consumo de combustível</t>
        </is>
      </c>
      <c r="E250" s="128" t="inlineStr">
        <is>
          <t>TIAGO</t>
        </is>
      </c>
      <c r="F250" s="128" t="n">
        <v>1</v>
      </c>
      <c r="G250" s="129" t="n">
        <v>4192.85</v>
      </c>
      <c r="H250" s="129">
        <f>F250*G250</f>
        <v/>
      </c>
      <c r="I250" s="128" t="inlineStr">
        <is>
          <t>Real (cruzado por nome, planilha de combustível)</t>
        </is>
      </c>
      <c r="J250" s="124" t="n"/>
      <c r="K250" s="124" t="n"/>
      <c r="L250" s="124" t="n"/>
      <c r="M250" s="124" t="n"/>
      <c r="N250" s="124" t="n"/>
      <c r="O250" s="124" t="n"/>
    </row>
    <row r="251" ht="14.25" customHeight="1" s="75">
      <c r="A251" s="128" t="inlineStr">
        <is>
          <t>Maio/2026</t>
        </is>
      </c>
      <c r="B251" s="128" t="inlineStr">
        <is>
          <t>Soares e Lins</t>
        </is>
      </c>
      <c r="C251" s="128" t="inlineStr">
        <is>
          <t>Pessoal</t>
        </is>
      </c>
      <c r="D251" s="128" t="inlineStr">
        <is>
          <t>Folha Trabalhista com impostos do mês</t>
        </is>
      </c>
      <c r="E251" s="128" t="inlineStr">
        <is>
          <t>VITOR LINS</t>
        </is>
      </c>
      <c r="F251" s="128" t="n">
        <v>1</v>
      </c>
      <c r="G251" s="129" t="n">
        <v>3529.37</v>
      </c>
      <c r="H251" s="129">
        <f>F251*G251</f>
        <v/>
      </c>
      <c r="I251" s="128" t="inlineStr">
        <is>
          <t>Real (cruzado por nome, 1/1 encontrados)</t>
        </is>
      </c>
      <c r="J251" s="124" t="n"/>
      <c r="K251" s="124" t="n"/>
      <c r="L251" s="124" t="n"/>
      <c r="M251" s="124" t="n"/>
      <c r="N251" s="124" t="n"/>
      <c r="O251" s="124" t="n"/>
    </row>
    <row r="252" ht="14.25" customHeight="1" s="75">
      <c r="A252" s="128" t="inlineStr">
        <is>
          <t>Maio/2026</t>
        </is>
      </c>
      <c r="B252" s="128" t="inlineStr">
        <is>
          <t>Soares e Lins</t>
        </is>
      </c>
      <c r="C252" s="128" t="inlineStr">
        <is>
          <t>Pessoal</t>
        </is>
      </c>
      <c r="D252" s="128" t="inlineStr">
        <is>
          <t>Despesas com RH</t>
        </is>
      </c>
      <c r="E252" s="128" t="inlineStr">
        <is>
          <t>VITOR LINS</t>
        </is>
      </c>
      <c r="F252" s="128" t="n">
        <v>1</v>
      </c>
      <c r="G252" s="129" t="n">
        <v>28.31</v>
      </c>
      <c r="H252" s="129">
        <f>F252*G252</f>
        <v/>
      </c>
      <c r="I252" s="128" t="inlineStr">
        <is>
          <t>Real (taxa fixa por colaborador, confirmada em todas as empresas)</t>
        </is>
      </c>
      <c r="J252" s="124" t="n"/>
      <c r="K252" s="124" t="n"/>
      <c r="L252" s="124" t="n"/>
      <c r="M252" s="124" t="n"/>
      <c r="N252" s="124" t="n"/>
      <c r="O252" s="124" t="n"/>
    </row>
    <row r="253" ht="15" customHeight="1" s="75">
      <c r="A253" s="128" t="inlineStr">
        <is>
          <t>Maio/2026</t>
        </is>
      </c>
      <c r="B253" s="128" t="inlineStr">
        <is>
          <t>Soares e Lins</t>
        </is>
      </c>
      <c r="C253" s="128" t="inlineStr">
        <is>
          <t>Pessoal</t>
        </is>
      </c>
      <c r="D253" s="128" t="inlineStr">
        <is>
          <t>Despesas com DP</t>
        </is>
      </c>
      <c r="E253" s="128" t="inlineStr">
        <is>
          <t>VITOR LINS</t>
        </is>
      </c>
      <c r="F253" s="128" t="n">
        <v>1</v>
      </c>
      <c r="G253" s="129" t="n">
        <v>47.79</v>
      </c>
      <c r="H253" s="129">
        <f>F253*G253</f>
        <v/>
      </c>
      <c r="I253" s="128" t="inlineStr">
        <is>
          <t>Real (taxa fixa por colaborador, confirmada em todas as empresas)</t>
        </is>
      </c>
      <c r="J253" s="124" t="n"/>
      <c r="K253" s="124" t="n"/>
      <c r="L253" s="124" t="n"/>
      <c r="M253" s="124" t="n"/>
      <c r="N253" s="124" t="n"/>
      <c r="O253" s="124" t="n"/>
    </row>
    <row r="254" ht="15" customHeight="1" s="75">
      <c r="A254" s="128" t="inlineStr">
        <is>
          <t>Maio/2026</t>
        </is>
      </c>
      <c r="B254" s="128" t="inlineStr">
        <is>
          <t>Soares e Lins</t>
        </is>
      </c>
      <c r="C254" s="128" t="inlineStr">
        <is>
          <t>Segurança do Trabalho</t>
        </is>
      </c>
      <c r="D254" s="128" t="inlineStr">
        <is>
          <t>Despesas com SST</t>
        </is>
      </c>
      <c r="E254" s="128" t="inlineStr">
        <is>
          <t>VITOR LINS</t>
        </is>
      </c>
      <c r="F254" s="128" t="n">
        <v>1</v>
      </c>
      <c r="G254" s="129" t="n">
        <v>64.56999999999999</v>
      </c>
      <c r="H254" s="129">
        <f>F254*G254</f>
        <v/>
      </c>
      <c r="I254" s="128" t="inlineStr">
        <is>
          <t>Real (taxa fixa por colaborador, confirmada em todas as empresas)</t>
        </is>
      </c>
      <c r="J254" s="124" t="n"/>
      <c r="K254" s="124" t="n"/>
      <c r="L254" s="124" t="n"/>
      <c r="M254" s="124" t="n"/>
      <c r="N254" s="124" t="n"/>
      <c r="O254" s="124" t="n"/>
    </row>
    <row r="255" ht="14.25" customHeight="1" s="75">
      <c r="A255" s="128" t="inlineStr">
        <is>
          <t>Maio/2026</t>
        </is>
      </c>
      <c r="B255" s="128" t="inlineStr">
        <is>
          <t>Soares e Lins</t>
        </is>
      </c>
      <c r="C255" s="128" t="inlineStr">
        <is>
          <t>Benefícios</t>
        </is>
      </c>
      <c r="D255" s="128" t="inlineStr">
        <is>
          <t>Gympass</t>
        </is>
      </c>
      <c r="E255" s="128" t="inlineStr">
        <is>
          <t>VITOR LINS</t>
        </is>
      </c>
      <c r="F255" s="128" t="n">
        <v>1</v>
      </c>
      <c r="G255" s="129" t="n">
        <v>10.05</v>
      </c>
      <c r="H255" s="129">
        <f>F255*G255</f>
        <v/>
      </c>
      <c r="I255" s="128" t="inlineStr">
        <is>
          <t>Real (taxa fixa por colaborador, confirmada em todas as empresas)</t>
        </is>
      </c>
      <c r="J255" s="124" t="n"/>
      <c r="K255" s="124" t="n"/>
      <c r="L255" s="124" t="n"/>
      <c r="M255" s="124" t="n"/>
      <c r="N255" s="124" t="n"/>
      <c r="O255" s="124" t="n"/>
    </row>
    <row r="256" ht="14.25" customHeight="1" s="75">
      <c r="A256" s="128" t="inlineStr">
        <is>
          <t>Maio/2026</t>
        </is>
      </c>
      <c r="B256" s="128" t="inlineStr">
        <is>
          <t>Soares e Lins</t>
        </is>
      </c>
      <c r="C256" s="128" t="inlineStr">
        <is>
          <t>Benefícios</t>
        </is>
      </c>
      <c r="D256" s="128" t="inlineStr">
        <is>
          <t>Stargrid</t>
        </is>
      </c>
      <c r="E256" s="128" t="inlineStr">
        <is>
          <t>VITOR LINS</t>
        </is>
      </c>
      <c r="F256" s="128" t="n">
        <v>1</v>
      </c>
      <c r="G256" s="129" t="n">
        <v>2.07</v>
      </c>
      <c r="H256" s="129">
        <f>F256*G256</f>
        <v/>
      </c>
      <c r="I256" s="128" t="inlineStr">
        <is>
          <t>Real (taxa fixa por colaborador, confirmada em todas as empresas)</t>
        </is>
      </c>
      <c r="J256" s="124" t="n"/>
      <c r="K256" s="124" t="n"/>
      <c r="L256" s="124" t="n"/>
      <c r="M256" s="124" t="n"/>
      <c r="N256" s="124" t="n"/>
      <c r="O256" s="124" t="n"/>
    </row>
    <row r="257" ht="14.25" customHeight="1" s="75">
      <c r="A257" s="128" t="inlineStr">
        <is>
          <t>Maio/2026</t>
        </is>
      </c>
      <c r="B257" s="128" t="inlineStr">
        <is>
          <t>Soares e Lins</t>
        </is>
      </c>
      <c r="C257" s="128" t="inlineStr">
        <is>
          <t>Estrutura/Infra</t>
        </is>
      </c>
      <c r="D257" s="128" t="inlineStr">
        <is>
          <t>Linhas moveis (FIQUE MÓVEL)</t>
        </is>
      </c>
      <c r="E257" s="128" t="inlineStr">
        <is>
          <t>VITOR LINS</t>
        </is>
      </c>
      <c r="F257" s="128" t="n">
        <v>1</v>
      </c>
      <c r="G257" s="129" t="n">
        <v>30</v>
      </c>
      <c r="H257" s="129">
        <f>F257*G257</f>
        <v/>
      </c>
      <c r="I257" s="128" t="inlineStr">
        <is>
          <t>Real (taxa fixa por colaborador, confirmada em todas as empresas)</t>
        </is>
      </c>
      <c r="J257" s="124" t="n"/>
      <c r="K257" s="124" t="n"/>
      <c r="L257" s="124" t="n"/>
      <c r="M257" s="124" t="n"/>
      <c r="N257" s="124" t="n"/>
      <c r="O257" s="124" t="n"/>
    </row>
    <row r="258" ht="14.25" customHeight="1" s="75">
      <c r="A258" s="128" t="inlineStr">
        <is>
          <t>Julho/2026</t>
        </is>
      </c>
      <c r="B258" s="128" t="inlineStr">
        <is>
          <t>DTEL</t>
        </is>
      </c>
      <c r="C258" s="128" t="inlineStr">
        <is>
          <t>Pessoal</t>
        </is>
      </c>
      <c r="D258" s="128" t="inlineStr">
        <is>
          <t>Folha Trabalhista com impostos do mês</t>
        </is>
      </c>
      <c r="E258" s="128" t="inlineStr">
        <is>
          <t>ELTHON MENEZES</t>
        </is>
      </c>
      <c r="F258" s="128" t="n">
        <v>1</v>
      </c>
      <c r="G258" s="129" t="n">
        <v>81072.3365155553</v>
      </c>
      <c r="H258" s="129" t="n">
        <v>81072.3365155553</v>
      </c>
      <c r="I258" s="128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5">
      <c r="A259" s="128" t="inlineStr">
        <is>
          <t>Julho/2026</t>
        </is>
      </c>
      <c r="B259" s="128" t="inlineStr">
        <is>
          <t>DTEL</t>
        </is>
      </c>
      <c r="C259" s="128" t="inlineStr">
        <is>
          <t>Pessoal</t>
        </is>
      </c>
      <c r="D259" s="128" t="inlineStr">
        <is>
          <t>Vale Transporte</t>
        </is>
      </c>
      <c r="E259" s="128" t="inlineStr">
        <is>
          <t>ELTHON MENEZES</t>
        </is>
      </c>
      <c r="F259" s="128" t="n">
        <v>1</v>
      </c>
      <c r="G259" s="129" t="n">
        <v>3360.29</v>
      </c>
      <c r="H259" s="129" t="n">
        <v>3360.29</v>
      </c>
      <c r="I259" s="128" t="inlineStr">
        <is>
          <t>Estimado (fatia proporcional a folha real do coordenador), fatia de 47 colaboradores da equipe</t>
        </is>
      </c>
    </row>
    <row r="260" ht="14.25" customHeight="1" s="75">
      <c r="A260" s="128" t="inlineStr">
        <is>
          <t>Julho/2026</t>
        </is>
      </c>
      <c r="B260" s="128" t="inlineStr">
        <is>
          <t>DTEL</t>
        </is>
      </c>
      <c r="C260" s="128" t="inlineStr">
        <is>
          <t>Pessoal</t>
        </is>
      </c>
      <c r="D260" s="128" t="inlineStr">
        <is>
          <t>Despesas com RH</t>
        </is>
      </c>
      <c r="E260" s="128" t="inlineStr">
        <is>
          <t>ELTHON MENEZES</t>
        </is>
      </c>
      <c r="F260" s="128" t="n">
        <v>47</v>
      </c>
      <c r="G260" s="129" t="n">
        <v>26</v>
      </c>
      <c r="H260" s="129" t="n">
        <v>1222</v>
      </c>
      <c r="I260" s="128" t="inlineStr">
        <is>
          <t>Real (taxa fixa por colaborador, quantidade = equipe real VENDAS PAP)</t>
        </is>
      </c>
    </row>
    <row r="261" ht="14.25" customHeight="1" s="75">
      <c r="A261" s="128" t="inlineStr">
        <is>
          <t>Julho/2026</t>
        </is>
      </c>
      <c r="B261" s="128" t="inlineStr">
        <is>
          <t>DTEL</t>
        </is>
      </c>
      <c r="C261" s="128" t="inlineStr">
        <is>
          <t>Pessoal</t>
        </is>
      </c>
      <c r="D261" s="128" t="inlineStr">
        <is>
          <t>Despesas com DP</t>
        </is>
      </c>
      <c r="E261" s="128" t="inlineStr">
        <is>
          <t>ELTHON MENEZES</t>
        </is>
      </c>
      <c r="F261" s="128" t="n">
        <v>47</v>
      </c>
      <c r="G261" s="129" t="n">
        <v>42.77</v>
      </c>
      <c r="H261" s="129" t="n">
        <v>2010.19</v>
      </c>
      <c r="I261" s="128" t="inlineStr">
        <is>
          <t>Real (taxa fixa por colaborador, quantidade = equipe real VENDAS PAP)</t>
        </is>
      </c>
    </row>
    <row r="262" ht="14.25" customHeight="1" s="75">
      <c r="A262" s="128" t="inlineStr">
        <is>
          <t>Julho/2026</t>
        </is>
      </c>
      <c r="B262" s="128" t="inlineStr">
        <is>
          <t>DTEL</t>
        </is>
      </c>
      <c r="C262" s="128" t="inlineStr">
        <is>
          <t>Segurança do Trabalho</t>
        </is>
      </c>
      <c r="D262" s="128" t="inlineStr">
        <is>
          <t>Despesas com SST</t>
        </is>
      </c>
      <c r="E262" s="128" t="inlineStr">
        <is>
          <t>ELTHON MENEZES</t>
        </is>
      </c>
      <c r="F262" s="128" t="n">
        <v>47</v>
      </c>
      <c r="G262" s="129" t="n">
        <v>63.75</v>
      </c>
      <c r="H262" s="129" t="n">
        <v>2996.25</v>
      </c>
      <c r="I262" s="128" t="inlineStr">
        <is>
          <t>Real (taxa fixa por colaborador, quantidade = equipe real VENDAS PAP)</t>
        </is>
      </c>
    </row>
    <row r="263" ht="14.25" customHeight="1" s="75">
      <c r="A263" s="128" t="inlineStr">
        <is>
          <t>Julho/2026</t>
        </is>
      </c>
      <c r="B263" s="128" t="inlineStr">
        <is>
          <t>DTEL</t>
        </is>
      </c>
      <c r="C263" s="128" t="inlineStr">
        <is>
          <t>Segurança do Trabalho</t>
        </is>
      </c>
      <c r="D263" s="128" t="inlineStr">
        <is>
          <t>Despesas SST exames</t>
        </is>
      </c>
      <c r="E263" s="128" t="inlineStr">
        <is>
          <t>ELTHON MENEZES</t>
        </is>
      </c>
      <c r="F263" s="128" t="n">
        <v>1</v>
      </c>
      <c r="G263" s="129" t="n">
        <v>451.39</v>
      </c>
      <c r="H263" s="129" t="n">
        <v>451.39</v>
      </c>
      <c r="I263" s="128" t="inlineStr">
        <is>
          <t>Estimado (fatia proporcional a folha real do coordenador), fatia de 47 colaboradores da equipe</t>
        </is>
      </c>
    </row>
    <row r="264" ht="14.25" customHeight="1" s="75">
      <c r="A264" s="128" t="inlineStr">
        <is>
          <t>Julho/2026</t>
        </is>
      </c>
      <c r="B264" s="128" t="inlineStr">
        <is>
          <t>DTEL</t>
        </is>
      </c>
      <c r="C264" s="128" t="inlineStr">
        <is>
          <t>Fardamento</t>
        </is>
      </c>
      <c r="D264" s="128" t="inlineStr">
        <is>
          <t>Novo Fardamento</t>
        </is>
      </c>
      <c r="E264" s="128" t="inlineStr">
        <is>
          <t>ELTHON MENEZES</t>
        </is>
      </c>
      <c r="F264" s="128" t="n">
        <v>1</v>
      </c>
      <c r="G264" s="129" t="n">
        <v>865.91</v>
      </c>
      <c r="H264" s="129" t="n">
        <v>865.91</v>
      </c>
      <c r="I264" s="128" t="inlineStr">
        <is>
          <t>Estimado (fatia proporcional a folha real do coordenador), fatia de 47 colaboradores da equipe</t>
        </is>
      </c>
    </row>
    <row r="265" ht="14.25" customHeight="1" s="75">
      <c r="A265" s="128" t="inlineStr">
        <is>
          <t>Julho/2026</t>
        </is>
      </c>
      <c r="B265" s="128" t="inlineStr">
        <is>
          <t>DTEL</t>
        </is>
      </c>
      <c r="C265" s="128" t="inlineStr">
        <is>
          <t>Fardamento</t>
        </is>
      </c>
      <c r="D265" s="128" t="inlineStr">
        <is>
          <t>Substituição extra de Fardamento</t>
        </is>
      </c>
      <c r="E265" s="128" t="inlineStr">
        <is>
          <t>ELTHON MENEZES</t>
        </is>
      </c>
      <c r="F265" s="128" t="n">
        <v>1</v>
      </c>
      <c r="G265" s="129" t="n">
        <v>251.02</v>
      </c>
      <c r="H265" s="129" t="n">
        <v>251.02</v>
      </c>
      <c r="I265" s="128" t="inlineStr">
        <is>
          <t>Estimado (fatia proporcional a folha real do coordenador), fatia de 47 colaboradores da equipe</t>
        </is>
      </c>
    </row>
    <row r="266" ht="14.25" customHeight="1" s="75">
      <c r="A266" s="128" t="inlineStr">
        <is>
          <t>Julho/2026</t>
        </is>
      </c>
      <c r="B266" s="128" t="inlineStr">
        <is>
          <t>DTEL</t>
        </is>
      </c>
      <c r="C266" s="128" t="inlineStr">
        <is>
          <t>Estrutura/Infra</t>
        </is>
      </c>
      <c r="D266" s="128" t="inlineStr">
        <is>
          <t>Linhas moveis (FIQUE MÓVEL)</t>
        </is>
      </c>
      <c r="E266" s="128" t="inlineStr">
        <is>
          <t>ELTHON MENEZES</t>
        </is>
      </c>
      <c r="F266" s="128" t="n">
        <v>50</v>
      </c>
      <c r="G266" s="129" t="n">
        <v>30</v>
      </c>
      <c r="H266" s="129">
        <f>G266*F266</f>
        <v/>
      </c>
      <c r="I266" s="128" t="inlineStr">
        <is>
          <t>Real (taxa fixa por colaborador, quantidade = equipe real VENDAS PAP)</t>
        </is>
      </c>
    </row>
    <row r="267" ht="15" customHeight="1" s="75">
      <c r="A267" s="128" t="inlineStr">
        <is>
          <t>Julho/2026</t>
        </is>
      </c>
      <c r="B267" s="128" t="inlineStr">
        <is>
          <t>DTEL</t>
        </is>
      </c>
      <c r="C267" s="128" t="inlineStr">
        <is>
          <t>Benefícios</t>
        </is>
      </c>
      <c r="D267" s="128" t="inlineStr">
        <is>
          <t>Gympass</t>
        </is>
      </c>
      <c r="E267" s="128" t="inlineStr">
        <is>
          <t>ELTHON MENEZES</t>
        </is>
      </c>
      <c r="F267" s="128" t="n">
        <v>47</v>
      </c>
      <c r="G267" s="129" t="n">
        <v>9.85</v>
      </c>
      <c r="H267" s="129" t="n">
        <v>462.95</v>
      </c>
      <c r="I267" s="128" t="inlineStr">
        <is>
          <t>Real (taxa fixa por colaborador, quantidade = equipe real VENDAS PAP)</t>
        </is>
      </c>
    </row>
    <row r="268" ht="14.25" customHeight="1" s="75">
      <c r="A268" s="128" t="inlineStr">
        <is>
          <t>Julho/2026</t>
        </is>
      </c>
      <c r="B268" s="128" t="inlineStr">
        <is>
          <t>DTEL</t>
        </is>
      </c>
      <c r="C268" s="128" t="inlineStr">
        <is>
          <t>Benefícios</t>
        </is>
      </c>
      <c r="D268" s="128" t="inlineStr">
        <is>
          <t>Stargrid</t>
        </is>
      </c>
      <c r="E268" s="128" t="inlineStr">
        <is>
          <t>ELTHON MENEZES</t>
        </is>
      </c>
      <c r="F268" s="128" t="n">
        <v>47</v>
      </c>
      <c r="G268" s="129" t="n">
        <v>2.04</v>
      </c>
      <c r="H268" s="129" t="n">
        <v>95.88</v>
      </c>
      <c r="I268" s="128" t="inlineStr">
        <is>
          <t>Real (taxa fixa por colaborador, quantidade = equipe real VENDAS PAP)</t>
        </is>
      </c>
    </row>
    <row r="269" ht="14.25" customHeight="1" s="75">
      <c r="A269" s="128" t="inlineStr">
        <is>
          <t>Julho/2026</t>
        </is>
      </c>
      <c r="B269" s="128" t="inlineStr">
        <is>
          <t>DTEL</t>
        </is>
      </c>
      <c r="C269" s="128" t="inlineStr">
        <is>
          <t>Frota/Combustível</t>
        </is>
      </c>
      <c r="D269" s="128" t="inlineStr">
        <is>
          <t>Consumo de combustível</t>
        </is>
      </c>
      <c r="E269" s="128" t="inlineStr">
        <is>
          <t>ELTHON MENEZES</t>
        </is>
      </c>
      <c r="F269" s="128" t="n">
        <v>1</v>
      </c>
      <c r="G269" s="129" t="n">
        <v>2038.91</v>
      </c>
      <c r="H269" s="129">
        <f>G269*F269</f>
        <v/>
      </c>
      <c r="I269" s="128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5">
      <c r="A270" s="128" t="inlineStr">
        <is>
          <t>Julho/2026</t>
        </is>
      </c>
      <c r="B270" s="128" t="inlineStr">
        <is>
          <t>DTEL</t>
        </is>
      </c>
      <c r="C270" s="128" t="inlineStr">
        <is>
          <t>Pessoal</t>
        </is>
      </c>
      <c r="D270" s="128" t="inlineStr">
        <is>
          <t>Rescisões</t>
        </is>
      </c>
      <c r="E270" s="128" t="inlineStr">
        <is>
          <t>ELTHON MENEZES</t>
        </is>
      </c>
      <c r="F270" s="128" t="n">
        <v>1</v>
      </c>
      <c r="G270" s="129" t="n">
        <v>16815.54</v>
      </c>
      <c r="H270" s="129">
        <f>G270*F270</f>
        <v/>
      </c>
      <c r="I270" s="128" t="inlineStr">
        <is>
          <t>Real (cruzado por nome, planilha de rescisões, competência 07/2026)</t>
        </is>
      </c>
    </row>
    <row r="271" ht="14.25" customHeight="1" s="75">
      <c r="A271" s="128" t="inlineStr">
        <is>
          <t>Julho/2026</t>
        </is>
      </c>
      <c r="B271" s="128" t="inlineStr">
        <is>
          <t>DTEL</t>
        </is>
      </c>
      <c r="C271" s="128" t="inlineStr">
        <is>
          <t>Pessoal</t>
        </is>
      </c>
      <c r="D271" s="128" t="inlineStr">
        <is>
          <t>Folha Trabalhista com impostos do mês</t>
        </is>
      </c>
      <c r="E271" s="128" t="inlineStr">
        <is>
          <t>GABRIEL LIMA</t>
        </is>
      </c>
      <c r="F271" s="128" t="n">
        <v>1</v>
      </c>
      <c r="G271" s="129" t="n">
        <v>6270.1</v>
      </c>
      <c r="H271" s="129">
        <f>G271*F271</f>
        <v/>
      </c>
      <c r="I271" s="128" t="inlineStr">
        <is>
          <t>Real (cruzado por nome, equipe Gabriel Lima - VENDAS PAP, 5 colaboradores)</t>
        </is>
      </c>
    </row>
    <row r="272" ht="14.25" customHeight="1" s="75">
      <c r="A272" s="128" t="inlineStr">
        <is>
          <t>Julho/2026</t>
        </is>
      </c>
      <c r="B272" s="128" t="inlineStr">
        <is>
          <t>DTEL</t>
        </is>
      </c>
      <c r="C272" s="128" t="inlineStr">
        <is>
          <t>Pessoal</t>
        </is>
      </c>
      <c r="D272" s="128" t="inlineStr">
        <is>
          <t>Vale Transporte</t>
        </is>
      </c>
      <c r="E272" s="128" t="inlineStr">
        <is>
          <t>GABRIEL LIMA</t>
        </is>
      </c>
      <c r="F272" s="128" t="n">
        <v>1</v>
      </c>
      <c r="G272" s="129" t="n">
        <v>182.68</v>
      </c>
      <c r="H272" s="129">
        <f>G272*F272</f>
        <v/>
      </c>
      <c r="I272" s="128" t="inlineStr">
        <is>
          <t>Estimado (fatia proporcional a folha real do coordenador), fatia de 5 colaboradores da equipe</t>
        </is>
      </c>
    </row>
    <row r="273" ht="14.25" customHeight="1" s="75">
      <c r="A273" s="128" t="inlineStr">
        <is>
          <t>Julho/2026</t>
        </is>
      </c>
      <c r="B273" s="128" t="inlineStr">
        <is>
          <t>DTEL</t>
        </is>
      </c>
      <c r="C273" s="128" t="inlineStr">
        <is>
          <t>Pessoal</t>
        </is>
      </c>
      <c r="D273" s="128" t="inlineStr">
        <is>
          <t>Despesas com RH</t>
        </is>
      </c>
      <c r="E273" s="128" t="inlineStr">
        <is>
          <t>GABRIEL LIMA</t>
        </is>
      </c>
      <c r="F273" s="128" t="n">
        <v>5</v>
      </c>
      <c r="G273" s="129" t="n">
        <v>26</v>
      </c>
      <c r="H273" s="129">
        <f>G273*F273</f>
        <v/>
      </c>
      <c r="I273" s="128" t="inlineStr">
        <is>
          <t>Real (taxa fixa por colaborador, quantidade = equipe real VENDAS PAP)</t>
        </is>
      </c>
    </row>
    <row r="274" ht="14.25" customHeight="1" s="75">
      <c r="A274" s="128" t="inlineStr">
        <is>
          <t>Julho/2026</t>
        </is>
      </c>
      <c r="B274" s="128" t="inlineStr">
        <is>
          <t>DTEL</t>
        </is>
      </c>
      <c r="C274" s="128" t="inlineStr">
        <is>
          <t>Pessoal</t>
        </is>
      </c>
      <c r="D274" s="128" t="inlineStr">
        <is>
          <t>Despesas com DP</t>
        </is>
      </c>
      <c r="E274" s="128" t="inlineStr">
        <is>
          <t>GABRIEL LIMA</t>
        </is>
      </c>
      <c r="F274" s="128" t="n">
        <v>5</v>
      </c>
      <c r="G274" s="129" t="n">
        <v>42.77</v>
      </c>
      <c r="H274" s="129">
        <f>G274*F274</f>
        <v/>
      </c>
      <c r="I274" s="128" t="inlineStr">
        <is>
          <t>Real (taxa fixa por colaborador, quantidade = equipe real VENDAS PAP)</t>
        </is>
      </c>
    </row>
    <row r="275" ht="14.25" customHeight="1" s="75">
      <c r="A275" s="128" t="inlineStr">
        <is>
          <t>Julho/2026</t>
        </is>
      </c>
      <c r="B275" s="128" t="inlineStr">
        <is>
          <t>DTEL</t>
        </is>
      </c>
      <c r="C275" s="128" t="inlineStr">
        <is>
          <t>Segurança do Trabalho</t>
        </is>
      </c>
      <c r="D275" s="128" t="inlineStr">
        <is>
          <t>Despesas com SST</t>
        </is>
      </c>
      <c r="E275" s="128" t="inlineStr">
        <is>
          <t>GABRIEL LIMA</t>
        </is>
      </c>
      <c r="F275" s="128" t="n">
        <v>5</v>
      </c>
      <c r="G275" s="129" t="n">
        <v>63.75</v>
      </c>
      <c r="H275" s="129">
        <f>G275*F275</f>
        <v/>
      </c>
      <c r="I275" s="128" t="inlineStr">
        <is>
          <t>Real (taxa fixa por colaborador, quantidade = equipe real VENDAS PAP)</t>
        </is>
      </c>
    </row>
    <row r="276" ht="14.25" customHeight="1" s="75">
      <c r="A276" s="128" t="inlineStr">
        <is>
          <t>Julho/2026</t>
        </is>
      </c>
      <c r="B276" s="128" t="inlineStr">
        <is>
          <t>DTEL</t>
        </is>
      </c>
      <c r="C276" s="128" t="inlineStr">
        <is>
          <t>Segurança do Trabalho</t>
        </is>
      </c>
      <c r="D276" s="128" t="inlineStr">
        <is>
          <t>Despesas SST exames</t>
        </is>
      </c>
      <c r="E276" s="128" t="inlineStr">
        <is>
          <t>GABRIEL LIMA</t>
        </is>
      </c>
      <c r="F276" s="128" t="n">
        <v>1</v>
      </c>
      <c r="G276" s="129" t="n">
        <v>24.54</v>
      </c>
      <c r="H276" s="129">
        <f>G276*F276</f>
        <v/>
      </c>
      <c r="I276" s="128" t="inlineStr">
        <is>
          <t>Estimado (fatia proporcional a folha real do coordenador), fatia de 5 colaboradores da equipe</t>
        </is>
      </c>
    </row>
    <row r="277" ht="14.25" customHeight="1" s="75">
      <c r="A277" s="128" t="inlineStr">
        <is>
          <t>Julho/2026</t>
        </is>
      </c>
      <c r="B277" s="128" t="inlineStr">
        <is>
          <t>DTEL</t>
        </is>
      </c>
      <c r="C277" s="128" t="inlineStr">
        <is>
          <t>Fardamento</t>
        </is>
      </c>
      <c r="D277" s="128" t="inlineStr">
        <is>
          <t>Novo Fardamento</t>
        </is>
      </c>
      <c r="E277" s="128" t="inlineStr">
        <is>
          <t>GABRIEL LIMA</t>
        </is>
      </c>
      <c r="F277" s="128" t="n">
        <v>1</v>
      </c>
      <c r="G277" s="129" t="n">
        <v>47.07</v>
      </c>
      <c r="H277" s="129">
        <f>G277*F277</f>
        <v/>
      </c>
      <c r="I277" s="128" t="inlineStr">
        <is>
          <t>Estimado (fatia proporcional a folha real do coordenador), fatia de 5 colaboradores da equipe</t>
        </is>
      </c>
    </row>
    <row r="278" ht="15" customHeight="1" s="75">
      <c r="A278" s="128" t="inlineStr">
        <is>
          <t>Julho/2026</t>
        </is>
      </c>
      <c r="B278" s="128" t="inlineStr">
        <is>
          <t>DTEL</t>
        </is>
      </c>
      <c r="C278" s="128" t="inlineStr">
        <is>
          <t>Fardamento</t>
        </is>
      </c>
      <c r="D278" s="128" t="inlineStr">
        <is>
          <t>Substituição extra de Fardamento</t>
        </is>
      </c>
      <c r="E278" s="128" t="inlineStr">
        <is>
          <t>GABRIEL LIMA</t>
        </is>
      </c>
      <c r="F278" s="128" t="n">
        <v>1</v>
      </c>
      <c r="G278" s="129" t="n">
        <v>13.65</v>
      </c>
      <c r="H278" s="129">
        <f>G278*F278</f>
        <v/>
      </c>
      <c r="I278" s="128" t="inlineStr">
        <is>
          <t>Estimado (fatia proporcional a folha real do coordenador), fatia de 5 colaboradores da equipe</t>
        </is>
      </c>
    </row>
    <row r="279" ht="14.25" customHeight="1" s="75">
      <c r="A279" s="128" t="inlineStr">
        <is>
          <t>Julho/2026</t>
        </is>
      </c>
      <c r="B279" s="128" t="inlineStr">
        <is>
          <t>DTEL</t>
        </is>
      </c>
      <c r="C279" s="128" t="inlineStr">
        <is>
          <t>Estrutura/Infra</t>
        </is>
      </c>
      <c r="D279" s="128" t="inlineStr">
        <is>
          <t>Linhas moveis (FIQUE MÓVEL)</t>
        </is>
      </c>
      <c r="E279" s="128" t="inlineStr">
        <is>
          <t>GABRIEL LIMA</t>
        </is>
      </c>
      <c r="F279" s="128" t="n">
        <v>5</v>
      </c>
      <c r="G279" s="129" t="n">
        <v>30</v>
      </c>
      <c r="H279" s="129">
        <f>G279*F279</f>
        <v/>
      </c>
      <c r="I279" s="128" t="inlineStr">
        <is>
          <t>Real (taxa fixa por colaborador, quantidade = equipe real VENDAS PAP)</t>
        </is>
      </c>
    </row>
    <row r="280" ht="14.25" customHeight="1" s="75">
      <c r="A280" s="128" t="inlineStr">
        <is>
          <t>Julho/2026</t>
        </is>
      </c>
      <c r="B280" s="128" t="inlineStr">
        <is>
          <t>DTEL</t>
        </is>
      </c>
      <c r="C280" s="128" t="inlineStr">
        <is>
          <t>Benefícios</t>
        </is>
      </c>
      <c r="D280" s="128" t="inlineStr">
        <is>
          <t>Gympass</t>
        </is>
      </c>
      <c r="E280" s="128" t="inlineStr">
        <is>
          <t>GABRIEL LIMA</t>
        </is>
      </c>
      <c r="F280" s="128" t="n">
        <v>5</v>
      </c>
      <c r="G280" s="129" t="n">
        <v>9.85</v>
      </c>
      <c r="H280" s="129">
        <f>G280*F280</f>
        <v/>
      </c>
      <c r="I280" s="128" t="inlineStr">
        <is>
          <t>Real (taxa fixa por colaborador, quantidade = equipe real VENDAS PAP)</t>
        </is>
      </c>
    </row>
    <row r="281" ht="14.25" customHeight="1" s="75">
      <c r="A281" s="128" t="inlineStr">
        <is>
          <t>Julho/2026</t>
        </is>
      </c>
      <c r="B281" s="128" t="inlineStr">
        <is>
          <t>DTEL</t>
        </is>
      </c>
      <c r="C281" s="128" t="inlineStr">
        <is>
          <t>Benefícios</t>
        </is>
      </c>
      <c r="D281" s="128" t="inlineStr">
        <is>
          <t>Stargrid</t>
        </is>
      </c>
      <c r="E281" s="128" t="inlineStr">
        <is>
          <t>GABRIEL LIMA</t>
        </is>
      </c>
      <c r="F281" s="128" t="n">
        <v>5</v>
      </c>
      <c r="G281" s="129" t="n">
        <v>2.04</v>
      </c>
      <c r="H281" s="129">
        <f>G281*F281</f>
        <v/>
      </c>
      <c r="I281" s="128" t="inlineStr">
        <is>
          <t>Real (taxa fixa por colaborador, quantidade = equipe real VENDAS PAP)</t>
        </is>
      </c>
    </row>
    <row r="282" ht="14.25" customHeight="1" s="75">
      <c r="A282" s="128" t="inlineStr">
        <is>
          <t>Julho/2026</t>
        </is>
      </c>
      <c r="B282" s="128" t="inlineStr">
        <is>
          <t>DTEL</t>
        </is>
      </c>
      <c r="C282" s="128" t="inlineStr">
        <is>
          <t>Pessoal</t>
        </is>
      </c>
      <c r="D282" s="128" t="inlineStr">
        <is>
          <t>Folha Trabalhista com impostos do mês</t>
        </is>
      </c>
      <c r="E282" s="128" t="inlineStr">
        <is>
          <t>LUCAS BONIFÁCIO</t>
        </is>
      </c>
      <c r="F282" s="128" t="n">
        <v>1</v>
      </c>
      <c r="G282" s="129" t="n">
        <v>14541.12</v>
      </c>
      <c r="H282" s="129">
        <f>G282*F282</f>
        <v/>
      </c>
      <c r="I282" s="128" t="inlineStr">
        <is>
          <t>Real (cruzado por nome, equipe Lucas Bonifácio - VENDAS PAP, 6 colaboradores)</t>
        </is>
      </c>
    </row>
    <row r="283" ht="14.25" customHeight="1" s="75">
      <c r="A283" s="128" t="inlineStr">
        <is>
          <t>Julho/2026</t>
        </is>
      </c>
      <c r="B283" s="128" t="inlineStr">
        <is>
          <t>DTEL</t>
        </is>
      </c>
      <c r="C283" s="128" t="inlineStr">
        <is>
          <t>Pessoal</t>
        </is>
      </c>
      <c r="D283" s="128" t="inlineStr">
        <is>
          <t>Vale Transporte</t>
        </is>
      </c>
      <c r="E283" s="128" t="inlineStr">
        <is>
          <t>LUCAS BONIFÁCIO</t>
        </is>
      </c>
      <c r="F283" s="128" t="n">
        <v>1</v>
      </c>
      <c r="G283" s="129" t="n">
        <v>423.65</v>
      </c>
      <c r="H283" s="129">
        <f>G283*F283</f>
        <v/>
      </c>
      <c r="I283" s="128" t="inlineStr">
        <is>
          <t>Estimado (fatia proporcional a folha real do coordenador), fatia de 6 colaboradores da equipe</t>
        </is>
      </c>
    </row>
    <row r="284" ht="14.25" customHeight="1" s="75">
      <c r="A284" s="128" t="inlineStr">
        <is>
          <t>Julho/2026</t>
        </is>
      </c>
      <c r="B284" s="128" t="inlineStr">
        <is>
          <t>DTEL</t>
        </is>
      </c>
      <c r="C284" s="128" t="inlineStr">
        <is>
          <t>Pessoal</t>
        </is>
      </c>
      <c r="D284" s="128" t="inlineStr">
        <is>
          <t>Despesas com RH</t>
        </is>
      </c>
      <c r="E284" s="128" t="inlineStr">
        <is>
          <t>LUCAS BONIFÁCIO</t>
        </is>
      </c>
      <c r="F284" s="128" t="n">
        <v>6</v>
      </c>
      <c r="G284" s="129" t="n">
        <v>26</v>
      </c>
      <c r="H284" s="129">
        <f>G284*F284</f>
        <v/>
      </c>
      <c r="I284" s="128" t="inlineStr">
        <is>
          <t>Real (taxa fixa por colaborador, quantidade = equipe real VENDAS PAP)</t>
        </is>
      </c>
    </row>
    <row r="285" ht="14.25" customHeight="1" s="75">
      <c r="A285" s="128" t="inlineStr">
        <is>
          <t>Julho/2026</t>
        </is>
      </c>
      <c r="B285" s="128" t="inlineStr">
        <is>
          <t>DTEL</t>
        </is>
      </c>
      <c r="C285" s="128" t="inlineStr">
        <is>
          <t>Pessoal</t>
        </is>
      </c>
      <c r="D285" s="128" t="inlineStr">
        <is>
          <t>Despesas com DP</t>
        </is>
      </c>
      <c r="E285" s="128" t="inlineStr">
        <is>
          <t>LUCAS BONIFÁCIO</t>
        </is>
      </c>
      <c r="F285" s="128" t="n">
        <v>6</v>
      </c>
      <c r="G285" s="129" t="n">
        <v>42.77</v>
      </c>
      <c r="H285" s="129">
        <f>G285*F285</f>
        <v/>
      </c>
      <c r="I285" s="128" t="inlineStr">
        <is>
          <t>Real (taxa fixa por colaborador, quantidade = equipe real VENDAS PAP)</t>
        </is>
      </c>
    </row>
    <row r="286" ht="14.25" customHeight="1" s="75">
      <c r="A286" s="128" t="inlineStr">
        <is>
          <t>Julho/2026</t>
        </is>
      </c>
      <c r="B286" s="128" t="inlineStr">
        <is>
          <t>DTEL</t>
        </is>
      </c>
      <c r="C286" s="128" t="inlineStr">
        <is>
          <t>Segurança do Trabalho</t>
        </is>
      </c>
      <c r="D286" s="128" t="inlineStr">
        <is>
          <t>Despesas com SST</t>
        </is>
      </c>
      <c r="E286" s="128" t="inlineStr">
        <is>
          <t>LUCAS BONIFÁCIO</t>
        </is>
      </c>
      <c r="F286" s="128" t="n">
        <v>6</v>
      </c>
      <c r="G286" s="129" t="n">
        <v>63.75</v>
      </c>
      <c r="H286" s="129">
        <f>G286*F286</f>
        <v/>
      </c>
      <c r="I286" s="128" t="inlineStr">
        <is>
          <t>Real (taxa fixa por colaborador, quantidade = equipe real VENDAS PAP)</t>
        </is>
      </c>
    </row>
    <row r="287" ht="14.25" customHeight="1" s="75">
      <c r="A287" s="128" t="inlineStr">
        <is>
          <t>Julho/2026</t>
        </is>
      </c>
      <c r="B287" s="128" t="inlineStr">
        <is>
          <t>DTEL</t>
        </is>
      </c>
      <c r="C287" s="128" t="inlineStr">
        <is>
          <t>Segurança do Trabalho</t>
        </is>
      </c>
      <c r="D287" s="128" t="inlineStr">
        <is>
          <t>Despesas SST exames</t>
        </is>
      </c>
      <c r="E287" s="128" t="inlineStr">
        <is>
          <t>LUCAS BONIFÁCIO</t>
        </is>
      </c>
      <c r="F287" s="128" t="n">
        <v>1</v>
      </c>
      <c r="G287" s="129" t="n">
        <v>56.91</v>
      </c>
      <c r="H287" s="129">
        <f>G287*F287</f>
        <v/>
      </c>
      <c r="I287" s="128" t="inlineStr">
        <is>
          <t>Estimado (fatia proporcional a folha real do coordenador), fatia de 6 colaboradores da equipe</t>
        </is>
      </c>
    </row>
    <row r="288" ht="14.25" customHeight="1" s="75">
      <c r="A288" s="128" t="inlineStr">
        <is>
          <t>Julho/2026</t>
        </is>
      </c>
      <c r="B288" s="128" t="inlineStr">
        <is>
          <t>DTEL</t>
        </is>
      </c>
      <c r="C288" s="128" t="inlineStr">
        <is>
          <t>Fardamento</t>
        </is>
      </c>
      <c r="D288" s="128" t="inlineStr">
        <is>
          <t>Novo Fardamento</t>
        </is>
      </c>
      <c r="E288" s="128" t="inlineStr">
        <is>
          <t>LUCAS BONIFÁCIO</t>
        </is>
      </c>
      <c r="F288" s="128" t="n">
        <v>1</v>
      </c>
      <c r="G288" s="129" t="n">
        <v>109.17</v>
      </c>
      <c r="H288" s="129">
        <f>G288*F288</f>
        <v/>
      </c>
      <c r="I288" s="128" t="inlineStr">
        <is>
          <t>Estimado (fatia proporcional a folha real do coordenador), fatia de 6 colaboradores da equipe</t>
        </is>
      </c>
    </row>
    <row r="289" ht="14.25" customHeight="1" s="75">
      <c r="A289" s="128" t="inlineStr">
        <is>
          <t>Julho/2026</t>
        </is>
      </c>
      <c r="B289" s="128" t="inlineStr">
        <is>
          <t>DTEL</t>
        </is>
      </c>
      <c r="C289" s="128" t="inlineStr">
        <is>
          <t>Fardamento</t>
        </is>
      </c>
      <c r="D289" s="128" t="inlineStr">
        <is>
          <t>Substituição extra de Fardamento</t>
        </is>
      </c>
      <c r="E289" s="128" t="inlineStr">
        <is>
          <t>LUCAS BONIFÁCIO</t>
        </is>
      </c>
      <c r="F289" s="128" t="n">
        <v>1</v>
      </c>
      <c r="G289" s="129" t="n">
        <v>31.65</v>
      </c>
      <c r="H289" s="129">
        <f>G289*F289</f>
        <v/>
      </c>
      <c r="I289" s="128" t="inlineStr">
        <is>
          <t>Estimado (fatia proporcional a folha real do coordenador), fatia de 6 colaboradores da equipe</t>
        </is>
      </c>
    </row>
    <row r="290" ht="14.25" customHeight="1" s="75">
      <c r="A290" s="128" t="inlineStr">
        <is>
          <t>Julho/2026</t>
        </is>
      </c>
      <c r="B290" s="128" t="inlineStr">
        <is>
          <t>DTEL</t>
        </is>
      </c>
      <c r="C290" s="128" t="inlineStr">
        <is>
          <t>Estrutura/Infra</t>
        </is>
      </c>
      <c r="D290" s="128" t="inlineStr">
        <is>
          <t>Linhas moveis (FIQUE MÓVEL)</t>
        </is>
      </c>
      <c r="E290" s="128" t="inlineStr">
        <is>
          <t>LUCAS BONIFÁCIO</t>
        </is>
      </c>
      <c r="F290" s="128" t="n">
        <v>6</v>
      </c>
      <c r="G290" s="129" t="n">
        <v>30</v>
      </c>
      <c r="H290" s="129">
        <f>G290*F290</f>
        <v/>
      </c>
      <c r="I290" s="128" t="inlineStr">
        <is>
          <t>Real (taxa fixa por colaborador, quantidade = equipe real VENDAS PAP)</t>
        </is>
      </c>
    </row>
    <row r="291" ht="14.25" customHeight="1" s="75">
      <c r="A291" s="128" t="inlineStr">
        <is>
          <t>Julho/2026</t>
        </is>
      </c>
      <c r="B291" s="128" t="inlineStr">
        <is>
          <t>DTEL</t>
        </is>
      </c>
      <c r="C291" s="128" t="inlineStr">
        <is>
          <t>Benefícios</t>
        </is>
      </c>
      <c r="D291" s="128" t="inlineStr">
        <is>
          <t>Gympass</t>
        </is>
      </c>
      <c r="E291" s="128" t="inlineStr">
        <is>
          <t>LUCAS BONIFÁCIO</t>
        </is>
      </c>
      <c r="F291" s="128" t="n">
        <v>6</v>
      </c>
      <c r="G291" s="129" t="n">
        <v>9.85</v>
      </c>
      <c r="H291" s="129">
        <f>G291*F291</f>
        <v/>
      </c>
      <c r="I291" s="128" t="inlineStr">
        <is>
          <t>Real (taxa fixa por colaborador, quantidade = equipe real VENDAS PAP)</t>
        </is>
      </c>
    </row>
    <row r="292" ht="14.25" customHeight="1" s="75">
      <c r="A292" s="128" t="inlineStr">
        <is>
          <t>Julho/2026</t>
        </is>
      </c>
      <c r="B292" s="128" t="inlineStr">
        <is>
          <t>DTEL</t>
        </is>
      </c>
      <c r="C292" s="128" t="inlineStr">
        <is>
          <t>Benefícios</t>
        </is>
      </c>
      <c r="D292" s="128" t="inlineStr">
        <is>
          <t>Stargrid</t>
        </is>
      </c>
      <c r="E292" s="128" t="inlineStr">
        <is>
          <t>LUCAS BONIFÁCIO</t>
        </is>
      </c>
      <c r="F292" s="128" t="n">
        <v>6</v>
      </c>
      <c r="G292" s="129" t="n">
        <v>2.04</v>
      </c>
      <c r="H292" s="129">
        <f>G292*F292</f>
        <v/>
      </c>
      <c r="I292" s="128" t="inlineStr">
        <is>
          <t>Real (taxa fixa por colaborador, quantidade = equipe real VENDAS PAP)</t>
        </is>
      </c>
    </row>
    <row r="293" ht="14.25" customHeight="1" s="75">
      <c r="A293" s="128" t="inlineStr">
        <is>
          <t>Julho/2026</t>
        </is>
      </c>
      <c r="B293" s="128" t="inlineStr">
        <is>
          <t>DTEL</t>
        </is>
      </c>
      <c r="C293" s="128" t="inlineStr">
        <is>
          <t>Frota/Combustível</t>
        </is>
      </c>
      <c r="D293" s="128" t="inlineStr">
        <is>
          <t>Consumo de combustível</t>
        </is>
      </c>
      <c r="E293" s="128" t="inlineStr">
        <is>
          <t>LUCAS BONIFÁCIO</t>
        </is>
      </c>
      <c r="F293" s="128" t="n">
        <v>1</v>
      </c>
      <c r="G293" s="129" t="n">
        <v>799.48</v>
      </c>
      <c r="H293" s="129">
        <f>G293*F293</f>
        <v/>
      </c>
      <c r="I293" s="128" t="inlineStr">
        <is>
          <t>Real (cruzado por nome, planilha de combustível)</t>
        </is>
      </c>
    </row>
    <row r="294" ht="14.25" customHeight="1" s="75">
      <c r="A294" s="128" t="inlineStr">
        <is>
          <t>Julho/2026</t>
        </is>
      </c>
      <c r="B294" s="128" t="inlineStr">
        <is>
          <t>DTEL</t>
        </is>
      </c>
      <c r="C294" s="128" t="inlineStr">
        <is>
          <t>Pessoal</t>
        </is>
      </c>
      <c r="D294" s="128" t="inlineStr">
        <is>
          <t>Folha Trabalhista com impostos do mês</t>
        </is>
      </c>
      <c r="E294" s="128" t="inlineStr">
        <is>
          <t>MICHELANGELO</t>
        </is>
      </c>
      <c r="F294" s="128" t="n">
        <v>1</v>
      </c>
      <c r="G294" s="129" t="n">
        <v>17414.61856</v>
      </c>
      <c r="H294" s="129">
        <f>G294*F294</f>
        <v/>
      </c>
      <c r="I294" s="128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5">
      <c r="A295" s="128" t="inlineStr">
        <is>
          <t>Julho/2026</t>
        </is>
      </c>
      <c r="B295" s="128" t="inlineStr">
        <is>
          <t>DTEL</t>
        </is>
      </c>
      <c r="C295" s="128" t="inlineStr">
        <is>
          <t>Pessoal</t>
        </is>
      </c>
      <c r="D295" s="128" t="inlineStr">
        <is>
          <t>Vale Transporte</t>
        </is>
      </c>
      <c r="E295" s="128" t="inlineStr">
        <is>
          <t>MICHELANGELO</t>
        </is>
      </c>
      <c r="F295" s="128" t="n">
        <v>1</v>
      </c>
      <c r="G295" s="129" t="n">
        <v>693.66</v>
      </c>
      <c r="H295" s="129">
        <f>G295*F295</f>
        <v/>
      </c>
      <c r="I295" s="128" t="inlineStr">
        <is>
          <t>Estimado (fatia proporcional a folha real do coordenador), fatia de 11 colaboradores da equipe</t>
        </is>
      </c>
    </row>
    <row r="296" ht="14.25" customHeight="1" s="75">
      <c r="A296" s="128" t="inlineStr">
        <is>
          <t>Julho/2026</t>
        </is>
      </c>
      <c r="B296" s="128" t="inlineStr">
        <is>
          <t>DTEL</t>
        </is>
      </c>
      <c r="C296" s="128" t="inlineStr">
        <is>
          <t>Pessoal</t>
        </is>
      </c>
      <c r="D296" s="128" t="inlineStr">
        <is>
          <t>Despesas com RH</t>
        </is>
      </c>
      <c r="E296" s="128" t="inlineStr">
        <is>
          <t>MICHELANGELO</t>
        </is>
      </c>
      <c r="F296" s="128" t="n">
        <v>11</v>
      </c>
      <c r="G296" s="129" t="n">
        <v>26</v>
      </c>
      <c r="H296" s="129">
        <f>G296*F296</f>
        <v/>
      </c>
      <c r="I296" s="128" t="inlineStr">
        <is>
          <t>Real (taxa fixa por colaborador, quantidade = equipe real VENDAS PAP)</t>
        </is>
      </c>
    </row>
    <row r="297" ht="14.25" customHeight="1" s="75">
      <c r="A297" s="128" t="inlineStr">
        <is>
          <t>Julho/2026</t>
        </is>
      </c>
      <c r="B297" s="128" t="inlineStr">
        <is>
          <t>DTEL</t>
        </is>
      </c>
      <c r="C297" s="128" t="inlineStr">
        <is>
          <t>Pessoal</t>
        </is>
      </c>
      <c r="D297" s="128" t="inlineStr">
        <is>
          <t>Despesas com DP</t>
        </is>
      </c>
      <c r="E297" s="128" t="inlineStr">
        <is>
          <t>MICHELANGELO</t>
        </is>
      </c>
      <c r="F297" s="128" t="n">
        <v>11</v>
      </c>
      <c r="G297" s="129" t="n">
        <v>42.77</v>
      </c>
      <c r="H297" s="129">
        <f>G297*F297</f>
        <v/>
      </c>
      <c r="I297" s="128" t="inlineStr">
        <is>
          <t>Real (taxa fixa por colaborador, quantidade = equipe real VENDAS PAP)</t>
        </is>
      </c>
    </row>
    <row r="298" ht="14.25" customHeight="1" s="75">
      <c r="A298" s="128" t="inlineStr">
        <is>
          <t>Julho/2026</t>
        </is>
      </c>
      <c r="B298" s="128" t="inlineStr">
        <is>
          <t>DTEL</t>
        </is>
      </c>
      <c r="C298" s="128" t="inlineStr">
        <is>
          <t>Segurança do Trabalho</t>
        </is>
      </c>
      <c r="D298" s="128" t="inlineStr">
        <is>
          <t>Despesas com SST</t>
        </is>
      </c>
      <c r="E298" s="128" t="inlineStr">
        <is>
          <t>MICHELANGELO</t>
        </is>
      </c>
      <c r="F298" s="128" t="n">
        <v>11</v>
      </c>
      <c r="G298" s="129" t="n">
        <v>63.75</v>
      </c>
      <c r="H298" s="129">
        <f>G298*F298</f>
        <v/>
      </c>
      <c r="I298" s="128" t="inlineStr">
        <is>
          <t>Real (taxa fixa por colaborador, quantidade = equipe real VENDAS PAP)</t>
        </is>
      </c>
    </row>
    <row r="299" ht="14.25" customHeight="1" s="75">
      <c r="A299" s="128" t="inlineStr">
        <is>
          <t>Julho/2026</t>
        </is>
      </c>
      <c r="B299" s="128" t="inlineStr">
        <is>
          <t>DTEL</t>
        </is>
      </c>
      <c r="C299" s="128" t="inlineStr">
        <is>
          <t>Segurança do Trabalho</t>
        </is>
      </c>
      <c r="D299" s="128" t="inlineStr">
        <is>
          <t>Despesas SST exames</t>
        </is>
      </c>
      <c r="E299" s="128" t="inlineStr">
        <is>
          <t>MICHELANGELO</t>
        </is>
      </c>
      <c r="F299" s="128" t="n">
        <v>1</v>
      </c>
      <c r="G299" s="129" t="n">
        <v>93.18000000000001</v>
      </c>
      <c r="H299" s="129">
        <f>G299*F299</f>
        <v/>
      </c>
      <c r="I299" s="128" t="inlineStr">
        <is>
          <t>Estimado (fatia proporcional a folha real do coordenador), fatia de 11 colaboradores da equipe</t>
        </is>
      </c>
    </row>
    <row r="300" ht="14.25" customHeight="1" s="75">
      <c r="A300" s="128" t="inlineStr">
        <is>
          <t>Julho/2026</t>
        </is>
      </c>
      <c r="B300" s="128" t="inlineStr">
        <is>
          <t>DTEL</t>
        </is>
      </c>
      <c r="C300" s="128" t="inlineStr">
        <is>
          <t>Fardamento</t>
        </is>
      </c>
      <c r="D300" s="128" t="inlineStr">
        <is>
          <t>Novo Fardamento</t>
        </is>
      </c>
      <c r="E300" s="128" t="inlineStr">
        <is>
          <t>MICHELANGELO</t>
        </is>
      </c>
      <c r="F300" s="128" t="n">
        <v>1</v>
      </c>
      <c r="G300" s="129" t="n">
        <v>178.75</v>
      </c>
      <c r="H300" s="129">
        <f>G300*F300</f>
        <v/>
      </c>
      <c r="I300" s="128" t="inlineStr">
        <is>
          <t>Estimado (fatia proporcional a folha real do coordenador), fatia de 11 colaboradores da equipe</t>
        </is>
      </c>
    </row>
    <row r="301" ht="14.25" customHeight="1" s="75">
      <c r="A301" s="128" t="inlineStr">
        <is>
          <t>Julho/2026</t>
        </is>
      </c>
      <c r="B301" s="128" t="inlineStr">
        <is>
          <t>DTEL</t>
        </is>
      </c>
      <c r="C301" s="128" t="inlineStr">
        <is>
          <t>Fardamento</t>
        </is>
      </c>
      <c r="D301" s="128" t="inlineStr">
        <is>
          <t>Substituição extra de Fardamento</t>
        </is>
      </c>
      <c r="E301" s="128" t="inlineStr">
        <is>
          <t>MICHELANGELO</t>
        </is>
      </c>
      <c r="F301" s="128" t="n">
        <v>1</v>
      </c>
      <c r="G301" s="129" t="n">
        <v>51.82</v>
      </c>
      <c r="H301" s="129">
        <f>G301*F301</f>
        <v/>
      </c>
      <c r="I301" s="128" t="inlineStr">
        <is>
          <t>Estimado (fatia proporcional a folha real do coordenador), fatia de 11 colaboradores da equipe</t>
        </is>
      </c>
    </row>
    <row r="302" ht="14.25" customHeight="1" s="75">
      <c r="A302" s="128" t="inlineStr">
        <is>
          <t>Julho/2026</t>
        </is>
      </c>
      <c r="B302" s="128" t="inlineStr">
        <is>
          <t>DTEL</t>
        </is>
      </c>
      <c r="C302" s="128" t="inlineStr">
        <is>
          <t>Estrutura/Infra</t>
        </is>
      </c>
      <c r="D302" s="128" t="inlineStr">
        <is>
          <t>Linhas moveis (FIQUE MÓVEL)</t>
        </is>
      </c>
      <c r="E302" s="128" t="inlineStr">
        <is>
          <t>MICHELANGELO</t>
        </is>
      </c>
      <c r="F302" s="128" t="n">
        <v>11</v>
      </c>
      <c r="G302" s="129" t="n">
        <v>30</v>
      </c>
      <c r="H302" s="129">
        <f>G302*F302</f>
        <v/>
      </c>
      <c r="I302" s="128" t="inlineStr">
        <is>
          <t>Real (taxa fixa por colaborador, quantidade = equipe real VENDAS PAP)</t>
        </is>
      </c>
    </row>
    <row r="303" ht="14.25" customHeight="1" s="75">
      <c r="A303" s="128" t="inlineStr">
        <is>
          <t>Julho/2026</t>
        </is>
      </c>
      <c r="B303" s="128" t="inlineStr">
        <is>
          <t>DTEL</t>
        </is>
      </c>
      <c r="C303" s="128" t="inlineStr">
        <is>
          <t>Benefícios</t>
        </is>
      </c>
      <c r="D303" s="128" t="inlineStr">
        <is>
          <t>Gympass</t>
        </is>
      </c>
      <c r="E303" s="128" t="inlineStr">
        <is>
          <t>MICHELANGELO</t>
        </is>
      </c>
      <c r="F303" s="128" t="n">
        <v>11</v>
      </c>
      <c r="G303" s="129" t="n">
        <v>9.85</v>
      </c>
      <c r="H303" s="129">
        <f>G303*F303</f>
        <v/>
      </c>
      <c r="I303" s="128" t="inlineStr">
        <is>
          <t>Real (taxa fixa por colaborador, quantidade = equipe real VENDAS PAP)</t>
        </is>
      </c>
    </row>
    <row r="304" ht="14.25" customHeight="1" s="75">
      <c r="A304" s="128" t="inlineStr">
        <is>
          <t>Julho/2026</t>
        </is>
      </c>
      <c r="B304" s="128" t="inlineStr">
        <is>
          <t>DTEL</t>
        </is>
      </c>
      <c r="C304" s="128" t="inlineStr">
        <is>
          <t>Benefícios</t>
        </is>
      </c>
      <c r="D304" s="128" t="inlineStr">
        <is>
          <t>Stargrid</t>
        </is>
      </c>
      <c r="E304" s="128" t="inlineStr">
        <is>
          <t>MICHELANGELO</t>
        </is>
      </c>
      <c r="F304" s="128" t="n">
        <v>11</v>
      </c>
      <c r="G304" s="129" t="n">
        <v>2.04</v>
      </c>
      <c r="H304" s="129">
        <f>G304*F304</f>
        <v/>
      </c>
      <c r="I304" s="128" t="inlineStr">
        <is>
          <t>Real (taxa fixa por colaborador, quantidade = equipe real VENDAS PAP)</t>
        </is>
      </c>
    </row>
    <row r="305" ht="14.25" customHeight="1" s="75">
      <c r="A305" s="128" t="inlineStr">
        <is>
          <t>Julho/2026</t>
        </is>
      </c>
      <c r="B305" s="128" t="inlineStr">
        <is>
          <t>DTEL</t>
        </is>
      </c>
      <c r="C305" s="128" t="inlineStr">
        <is>
          <t>Pessoal</t>
        </is>
      </c>
      <c r="D305" s="128" t="inlineStr">
        <is>
          <t>Rescisões</t>
        </is>
      </c>
      <c r="E305" s="128" t="inlineStr">
        <is>
          <t>MICHELANGELO</t>
        </is>
      </c>
      <c r="F305" s="128" t="n">
        <v>1</v>
      </c>
      <c r="G305" s="129" t="n">
        <v>6816.97</v>
      </c>
      <c r="H305" s="129">
        <f>G305*F305</f>
        <v/>
      </c>
      <c r="I305" s="128" t="inlineStr">
        <is>
          <t>Real (cruzado por nome, planilha de rescisões, competência 07/2026)</t>
        </is>
      </c>
    </row>
    <row r="306" ht="14.25" customHeight="1" s="75">
      <c r="A306" s="128" t="inlineStr">
        <is>
          <t>Julho/2026</t>
        </is>
      </c>
      <c r="B306" s="128" t="inlineStr">
        <is>
          <t>DTEL</t>
        </is>
      </c>
      <c r="C306" s="128" t="inlineStr">
        <is>
          <t>Pessoal</t>
        </is>
      </c>
      <c r="D306" s="128" t="inlineStr">
        <is>
          <t>Folha Trabalhista com impostos do mês</t>
        </is>
      </c>
      <c r="E306" s="128" t="inlineStr">
        <is>
          <t>TARCIZIO MEIRELES</t>
        </is>
      </c>
      <c r="F306" s="128" t="n">
        <v>1</v>
      </c>
      <c r="G306" s="129" t="n">
        <v>34886.0380622222</v>
      </c>
      <c r="H306" s="129">
        <f>G306*F306</f>
        <v/>
      </c>
      <c r="I306" s="128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5">
      <c r="A307" s="128" t="inlineStr">
        <is>
          <t>Julho/2026</t>
        </is>
      </c>
      <c r="B307" s="74" t="inlineStr">
        <is>
          <t>DTEL</t>
        </is>
      </c>
      <c r="C307" s="74" t="inlineStr">
        <is>
          <t>Pessoal</t>
        </is>
      </c>
      <c r="D307" s="74" t="inlineStr">
        <is>
          <t>Vale Transporte</t>
        </is>
      </c>
      <c r="E307" s="74" t="inlineStr">
        <is>
          <t>TARCIZIO MEIRELES</t>
        </is>
      </c>
      <c r="F307" s="74" t="n">
        <v>1</v>
      </c>
      <c r="G307" s="74" t="n">
        <v>1152.22</v>
      </c>
      <c r="H307" s="129">
        <f>G307*F307</f>
        <v/>
      </c>
      <c r="I307" s="128" t="inlineStr">
        <is>
          <t>Estimado (fatia proporcional a folha real do coordenador), fatia de 17 colaboradores da equipe</t>
        </is>
      </c>
    </row>
    <row r="308" ht="14.25" customHeight="1" s="75">
      <c r="A308" s="128" t="inlineStr">
        <is>
          <t>Julho/2026</t>
        </is>
      </c>
      <c r="B308" s="128" t="inlineStr">
        <is>
          <t>DTEL</t>
        </is>
      </c>
      <c r="C308" s="128" t="inlineStr">
        <is>
          <t>Pessoal</t>
        </is>
      </c>
      <c r="D308" s="128" t="inlineStr">
        <is>
          <t>Despesas com RH</t>
        </is>
      </c>
      <c r="E308" s="128" t="inlineStr">
        <is>
          <t>TARCIZIO MEIRELES</t>
        </is>
      </c>
      <c r="F308" s="128" t="n">
        <v>17</v>
      </c>
      <c r="G308" s="129" t="n">
        <v>26</v>
      </c>
      <c r="H308" s="129">
        <f>G308*F308</f>
        <v/>
      </c>
      <c r="I308" s="128" t="inlineStr">
        <is>
          <t>Real (taxa fixa por colaborador, quantidade = equipe real VENDAS PAP)</t>
        </is>
      </c>
    </row>
    <row r="309" ht="14.25" customHeight="1" s="75">
      <c r="A309" s="128" t="inlineStr">
        <is>
          <t>Julho/2026</t>
        </is>
      </c>
      <c r="B309" s="74" t="inlineStr">
        <is>
          <t>DTEL</t>
        </is>
      </c>
      <c r="C309" s="74" t="inlineStr">
        <is>
          <t>Pessoal</t>
        </is>
      </c>
      <c r="D309" s="74" t="inlineStr">
        <is>
          <t>Despesas com DP</t>
        </is>
      </c>
      <c r="E309" s="74" t="inlineStr">
        <is>
          <t>TARCIZIO MEIRELES</t>
        </is>
      </c>
      <c r="F309" s="74" t="n">
        <v>17</v>
      </c>
      <c r="G309" s="74" t="n">
        <v>42.77</v>
      </c>
      <c r="H309" s="74">
        <f>G309*F309</f>
        <v/>
      </c>
      <c r="I309" s="74" t="inlineStr">
        <is>
          <t>Real (taxa fixa por colaborador, quantidade = equipe real VENDAS PAP)</t>
        </is>
      </c>
    </row>
    <row r="310" ht="14.25" customHeight="1" s="75">
      <c r="A310" s="128" t="inlineStr">
        <is>
          <t>Julho/2026</t>
        </is>
      </c>
      <c r="B310" s="128" t="inlineStr">
        <is>
          <t>DTEL</t>
        </is>
      </c>
      <c r="C310" s="128" t="inlineStr">
        <is>
          <t>Segurança do Trabalho</t>
        </is>
      </c>
      <c r="D310" s="128" t="inlineStr">
        <is>
          <t>Despesas com SST</t>
        </is>
      </c>
      <c r="E310" s="128" t="inlineStr">
        <is>
          <t>TARCIZIO MEIRELES</t>
        </is>
      </c>
      <c r="F310" s="128" t="n">
        <v>17</v>
      </c>
      <c r="G310" s="129" t="n">
        <v>63.75</v>
      </c>
      <c r="H310" s="129">
        <f>G310*F310</f>
        <v/>
      </c>
      <c r="I310" s="128" t="inlineStr">
        <is>
          <t>Real (taxa fixa por colaborador, quantidade = equipe real VENDAS PAP)</t>
        </is>
      </c>
    </row>
    <row r="311" ht="14.25" customHeight="1" s="75">
      <c r="A311" s="128" t="inlineStr">
        <is>
          <t>Julho/2026</t>
        </is>
      </c>
      <c r="B311" s="128" t="inlineStr">
        <is>
          <t>DTEL</t>
        </is>
      </c>
      <c r="C311" s="128" t="inlineStr">
        <is>
          <t>Segurança do Trabalho</t>
        </is>
      </c>
      <c r="D311" s="128" t="inlineStr">
        <is>
          <t>Despesas SST exames</t>
        </is>
      </c>
      <c r="E311" s="128" t="inlineStr">
        <is>
          <t>TARCIZIO MEIRELES</t>
        </is>
      </c>
      <c r="F311" s="128" t="n">
        <v>1</v>
      </c>
      <c r="G311" s="129" t="n">
        <v>154.78</v>
      </c>
      <c r="H311" s="129">
        <f>G311*F311</f>
        <v/>
      </c>
      <c r="I311" s="128" t="inlineStr">
        <is>
          <t>Estimado (fatia proporcional a folha real do coordenador), fatia de 17 colaboradores da equipe</t>
        </is>
      </c>
    </row>
    <row r="312" ht="14.25" customHeight="1" s="75">
      <c r="A312" s="128" t="inlineStr">
        <is>
          <t>Julho/2026</t>
        </is>
      </c>
      <c r="B312" s="128" t="inlineStr">
        <is>
          <t>DTEL</t>
        </is>
      </c>
      <c r="C312" s="128" t="inlineStr">
        <is>
          <t>Fardamento</t>
        </is>
      </c>
      <c r="D312" s="128" t="inlineStr">
        <is>
          <t>Novo Fardamento</t>
        </is>
      </c>
      <c r="E312" s="128" t="inlineStr">
        <is>
          <t>TARCIZIO MEIRELES</t>
        </is>
      </c>
      <c r="F312" s="128" t="n">
        <v>1</v>
      </c>
      <c r="G312" s="129" t="n">
        <v>296.91</v>
      </c>
      <c r="H312" s="129">
        <f>G312*F312</f>
        <v/>
      </c>
      <c r="I312" s="128" t="inlineStr">
        <is>
          <t>Estimado (fatia proporcional a folha real do coordenador), fatia de 17 colaboradores da equipe</t>
        </is>
      </c>
    </row>
    <row r="313" ht="14.25" customHeight="1" s="75">
      <c r="A313" s="128" t="inlineStr">
        <is>
          <t>Julho/2026</t>
        </is>
      </c>
      <c r="B313" s="128" t="inlineStr">
        <is>
          <t>DTEL</t>
        </is>
      </c>
      <c r="C313" s="128" t="inlineStr">
        <is>
          <t>Fardamento</t>
        </is>
      </c>
      <c r="D313" s="128" t="inlineStr">
        <is>
          <t>Substituição extra de Fardamento</t>
        </is>
      </c>
      <c r="E313" s="128" t="inlineStr">
        <is>
          <t>TARCIZIO MEIRELES</t>
        </is>
      </c>
      <c r="F313" s="128" t="n">
        <v>1</v>
      </c>
      <c r="G313" s="129" t="n">
        <v>86.06999999999999</v>
      </c>
      <c r="H313" s="129">
        <f>G313*F313</f>
        <v/>
      </c>
      <c r="I313" s="128" t="inlineStr">
        <is>
          <t>Estimado (fatia proporcional a folha real do coordenador), fatia de 17 colaboradores da equipe</t>
        </is>
      </c>
    </row>
    <row r="314" ht="14.25" customHeight="1" s="75">
      <c r="A314" s="128" t="inlineStr">
        <is>
          <t>Julho/2026</t>
        </is>
      </c>
      <c r="B314" s="128" t="inlineStr">
        <is>
          <t>DTEL</t>
        </is>
      </c>
      <c r="C314" s="128" t="inlineStr">
        <is>
          <t>Estrutura/Infra</t>
        </is>
      </c>
      <c r="D314" s="128" t="inlineStr">
        <is>
          <t>Linhas moveis (FIQUE MÓVEL)</t>
        </is>
      </c>
      <c r="E314" s="128" t="inlineStr">
        <is>
          <t>TARCIZIO MEIRELES</t>
        </is>
      </c>
      <c r="F314" s="128" t="n">
        <v>17</v>
      </c>
      <c r="G314" s="129" t="n">
        <v>30</v>
      </c>
      <c r="H314" s="129">
        <f>G314*F314</f>
        <v/>
      </c>
      <c r="I314" s="128" t="inlineStr">
        <is>
          <t>Real (taxa fixa por colaborador, quantidade = equipe real VENDAS PAP)</t>
        </is>
      </c>
    </row>
    <row r="315" ht="14.25" customHeight="1" s="75">
      <c r="A315" s="128" t="inlineStr">
        <is>
          <t>Julho/2026</t>
        </is>
      </c>
      <c r="B315" s="128" t="inlineStr">
        <is>
          <t>DTEL</t>
        </is>
      </c>
      <c r="C315" s="128" t="inlineStr">
        <is>
          <t>Benefícios</t>
        </is>
      </c>
      <c r="D315" s="128" t="inlineStr">
        <is>
          <t>Gympass</t>
        </is>
      </c>
      <c r="E315" s="128" t="inlineStr">
        <is>
          <t>TARCIZIO MEIRELES</t>
        </is>
      </c>
      <c r="F315" s="128" t="n">
        <v>17</v>
      </c>
      <c r="G315" s="129" t="n">
        <v>9.85</v>
      </c>
      <c r="H315" s="129">
        <f>G315*F315</f>
        <v/>
      </c>
      <c r="I315" s="128" t="inlineStr">
        <is>
          <t>Real (taxa fixa por colaborador, quantidade = equipe real VENDAS PAP)</t>
        </is>
      </c>
    </row>
    <row r="316" ht="14.25" customHeight="1" s="75">
      <c r="A316" s="128" t="inlineStr">
        <is>
          <t>Julho/2026</t>
        </is>
      </c>
      <c r="B316" s="128" t="inlineStr">
        <is>
          <t>DTEL</t>
        </is>
      </c>
      <c r="C316" s="128" t="inlineStr">
        <is>
          <t>Benefícios</t>
        </is>
      </c>
      <c r="D316" s="128" t="inlineStr">
        <is>
          <t>Stargrid</t>
        </is>
      </c>
      <c r="E316" s="128" t="inlineStr">
        <is>
          <t>TARCIZIO MEIRELES</t>
        </is>
      </c>
      <c r="F316" s="128" t="n">
        <v>17</v>
      </c>
      <c r="G316" s="129" t="n">
        <v>2.04</v>
      </c>
      <c r="H316" s="129">
        <f>G316*F316</f>
        <v/>
      </c>
      <c r="I316" s="128" t="inlineStr">
        <is>
          <t>Real (taxa fixa por colaborador, quantidade = equipe real VENDAS PAP)</t>
        </is>
      </c>
    </row>
    <row r="317" ht="14.25" customHeight="1" s="75">
      <c r="A317" s="128" t="inlineStr">
        <is>
          <t>Julho/2026</t>
        </is>
      </c>
      <c r="B317" s="128" t="inlineStr">
        <is>
          <t>DTEL</t>
        </is>
      </c>
      <c r="C317" s="128" t="inlineStr">
        <is>
          <t>Frota/Combustível</t>
        </is>
      </c>
      <c r="D317" s="128" t="inlineStr">
        <is>
          <t>Consumo de combustível</t>
        </is>
      </c>
      <c r="E317" s="128" t="inlineStr">
        <is>
          <t>TARCIZIO MEIRELES</t>
        </is>
      </c>
      <c r="F317" s="128" t="n">
        <v>1</v>
      </c>
      <c r="G317" s="129" t="n">
        <v>4021.66</v>
      </c>
      <c r="H317" s="129">
        <f>G317*F317</f>
        <v/>
      </c>
      <c r="I317" s="128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5">
      <c r="A318" s="128" t="inlineStr">
        <is>
          <t>Julho/2026</t>
        </is>
      </c>
      <c r="B318" s="128" t="inlineStr">
        <is>
          <t>DX2</t>
        </is>
      </c>
      <c r="C318" s="128" t="inlineStr">
        <is>
          <t>Pessoal</t>
        </is>
      </c>
      <c r="D318" s="128" t="inlineStr">
        <is>
          <t>Folha Trabalhista com impostos do mês</t>
        </is>
      </c>
      <c r="E318" s="128" t="inlineStr">
        <is>
          <t>TIAGO</t>
        </is>
      </c>
      <c r="F318" s="128" t="n">
        <v>1</v>
      </c>
      <c r="G318" s="129" t="n">
        <v>24757.86</v>
      </c>
      <c r="H318" s="129">
        <f>G318*F318</f>
        <v/>
      </c>
      <c r="I318" s="128" t="inlineStr">
        <is>
          <t>Real (cruzado por nome, equipe Tiago - VENDAS PAP, 14 colaboradores)</t>
        </is>
      </c>
    </row>
    <row r="319" ht="14.25" customHeight="1" s="75">
      <c r="A319" s="128" t="inlineStr">
        <is>
          <t>Julho/2026</t>
        </is>
      </c>
      <c r="B319" s="128" t="inlineStr">
        <is>
          <t>DX2</t>
        </is>
      </c>
      <c r="C319" s="128" t="inlineStr">
        <is>
          <t>Pessoal</t>
        </is>
      </c>
      <c r="D319" s="128" t="inlineStr">
        <is>
          <t>Despesas com RH</t>
        </is>
      </c>
      <c r="E319" s="128" t="inlineStr">
        <is>
          <t>TIAGO</t>
        </is>
      </c>
      <c r="F319" s="128" t="n">
        <v>14</v>
      </c>
      <c r="G319" s="129" t="n">
        <v>26</v>
      </c>
      <c r="H319" s="129">
        <f>G319*F319</f>
        <v/>
      </c>
      <c r="I319" s="128" t="inlineStr">
        <is>
          <t>Real (taxa fixa por colaborador, quantidade = equipe real VENDAS PAP)</t>
        </is>
      </c>
    </row>
    <row r="320" ht="14.25" customHeight="1" s="75">
      <c r="A320" s="128" t="inlineStr">
        <is>
          <t>Julho/2026</t>
        </is>
      </c>
      <c r="B320" s="128" t="inlineStr">
        <is>
          <t>DX2</t>
        </is>
      </c>
      <c r="C320" s="128" t="inlineStr">
        <is>
          <t>Pessoal</t>
        </is>
      </c>
      <c r="D320" s="128" t="inlineStr">
        <is>
          <t>Despesas com DP</t>
        </is>
      </c>
      <c r="E320" s="128" t="inlineStr">
        <is>
          <t>TIAGO</t>
        </is>
      </c>
      <c r="F320" s="128" t="n">
        <v>14</v>
      </c>
      <c r="G320" s="129" t="n">
        <v>42.77</v>
      </c>
      <c r="H320" s="129">
        <f>G320*F320</f>
        <v/>
      </c>
      <c r="I320" s="128" t="inlineStr">
        <is>
          <t>Real (taxa fixa por colaborador, quantidade = equipe real VENDAS PAP)</t>
        </is>
      </c>
    </row>
    <row r="321" ht="14.25" customHeight="1" s="75">
      <c r="A321" s="128" t="inlineStr">
        <is>
          <t>Julho/2026</t>
        </is>
      </c>
      <c r="B321" s="128" t="inlineStr">
        <is>
          <t>DX2</t>
        </is>
      </c>
      <c r="C321" s="128" t="inlineStr">
        <is>
          <t>Segurança do Trabalho</t>
        </is>
      </c>
      <c r="D321" s="128" t="inlineStr">
        <is>
          <t>Despesas com SST</t>
        </is>
      </c>
      <c r="E321" s="128" t="inlineStr">
        <is>
          <t>TIAGO</t>
        </is>
      </c>
      <c r="F321" s="128" t="n">
        <v>14</v>
      </c>
      <c r="G321" s="129" t="n">
        <v>63.75</v>
      </c>
      <c r="H321" s="129">
        <f>G321*F321</f>
        <v/>
      </c>
      <c r="I321" s="128" t="inlineStr">
        <is>
          <t>Real (taxa fixa por colaborador, quantidade = equipe real VENDAS PAP)</t>
        </is>
      </c>
    </row>
    <row r="322" ht="14.25" customHeight="1" s="75">
      <c r="A322" s="128" t="inlineStr">
        <is>
          <t>Julho/2026</t>
        </is>
      </c>
      <c r="B322" s="128" t="inlineStr">
        <is>
          <t>DX2</t>
        </is>
      </c>
      <c r="C322" s="128" t="inlineStr">
        <is>
          <t>Segurança do Trabalho</t>
        </is>
      </c>
      <c r="D322" s="128" t="inlineStr">
        <is>
          <t>Despesas SST exames</t>
        </is>
      </c>
      <c r="E322" s="128" t="inlineStr">
        <is>
          <t>TIAGO</t>
        </is>
      </c>
      <c r="F322" s="128" t="n">
        <v>1</v>
      </c>
      <c r="G322" s="129" t="n">
        <v>151.6</v>
      </c>
      <c r="H322" s="129">
        <f>G322*F322</f>
        <v/>
      </c>
      <c r="I322" s="128" t="inlineStr">
        <is>
          <t>Real (100% do total da empresa, único coordenador)</t>
        </is>
      </c>
    </row>
    <row r="323" ht="14.25" customHeight="1" s="75">
      <c r="A323" s="128" t="inlineStr">
        <is>
          <t>Julho/2026</t>
        </is>
      </c>
      <c r="B323" s="128" t="inlineStr">
        <is>
          <t>DX2</t>
        </is>
      </c>
      <c r="C323" s="128" t="inlineStr">
        <is>
          <t>Estrutura/Infra</t>
        </is>
      </c>
      <c r="D323" s="128" t="inlineStr">
        <is>
          <t>Linhas moveis (FIQUE MÓVEL)</t>
        </is>
      </c>
      <c r="E323" s="128" t="inlineStr">
        <is>
          <t>TIAGO</t>
        </is>
      </c>
      <c r="F323" s="128" t="n">
        <v>14</v>
      </c>
      <c r="G323" s="129" t="n">
        <v>30</v>
      </c>
      <c r="H323" s="129">
        <f>G323*F323</f>
        <v/>
      </c>
      <c r="I323" s="128" t="inlineStr">
        <is>
          <t>Real (taxa fixa por colaborador, quantidade = equipe real VENDAS PAP)</t>
        </is>
      </c>
    </row>
    <row r="324" ht="15" customHeight="1" s="75">
      <c r="A324" s="128" t="inlineStr">
        <is>
          <t>Julho/2026</t>
        </is>
      </c>
      <c r="B324" s="128" t="inlineStr">
        <is>
          <t>DX2</t>
        </is>
      </c>
      <c r="C324" s="128" t="inlineStr">
        <is>
          <t>Benefícios</t>
        </is>
      </c>
      <c r="D324" s="128" t="inlineStr">
        <is>
          <t>Gympass</t>
        </is>
      </c>
      <c r="E324" s="128" t="inlineStr">
        <is>
          <t>TIAGO</t>
        </is>
      </c>
      <c r="F324" s="128" t="n">
        <v>14</v>
      </c>
      <c r="G324" s="129" t="n">
        <v>9.85</v>
      </c>
      <c r="H324" s="129">
        <f>G324*F324</f>
        <v/>
      </c>
      <c r="I324" s="128" t="inlineStr">
        <is>
          <t>Real (taxa fixa por colaborador, quantidade = equipe real VENDAS PAP)</t>
        </is>
      </c>
    </row>
    <row r="325" ht="14.25" customHeight="1" s="75">
      <c r="A325" s="128" t="inlineStr">
        <is>
          <t>Julho/2026</t>
        </is>
      </c>
      <c r="B325" s="128" t="inlineStr">
        <is>
          <t>DX2</t>
        </is>
      </c>
      <c r="C325" s="128" t="inlineStr">
        <is>
          <t>Benefícios</t>
        </is>
      </c>
      <c r="D325" s="128" t="inlineStr">
        <is>
          <t>Stargrid</t>
        </is>
      </c>
      <c r="E325" s="128" t="inlineStr">
        <is>
          <t>TIAGO</t>
        </is>
      </c>
      <c r="F325" s="128" t="n">
        <v>14</v>
      </c>
      <c r="G325" s="129" t="n">
        <v>2.04</v>
      </c>
      <c r="H325" s="129">
        <f>G325*F325</f>
        <v/>
      </c>
      <c r="I325" s="128" t="inlineStr">
        <is>
          <t>Real (taxa fixa por colaborador, quantidade = equipe real VENDAS PAP)</t>
        </is>
      </c>
    </row>
    <row r="326" ht="14.25" customHeight="1" s="75">
      <c r="A326" s="128" t="inlineStr">
        <is>
          <t>Julho/2026</t>
        </is>
      </c>
      <c r="B326" s="128" t="inlineStr">
        <is>
          <t>DX2</t>
        </is>
      </c>
      <c r="C326" s="128" t="inlineStr">
        <is>
          <t>Frota/Combustível</t>
        </is>
      </c>
      <c r="D326" s="128" t="inlineStr">
        <is>
          <t>Consumo de combustível</t>
        </is>
      </c>
      <c r="E326" s="128" t="inlineStr">
        <is>
          <t>TIAGO</t>
        </is>
      </c>
      <c r="F326" s="128" t="n">
        <v>1</v>
      </c>
      <c r="G326" s="129" t="n">
        <v>1619.89</v>
      </c>
      <c r="H326" s="129">
        <f>G326*F326</f>
        <v/>
      </c>
      <c r="I326" s="128" t="inlineStr">
        <is>
          <t>Real (cruzado por nome, planilha de combustível)</t>
        </is>
      </c>
    </row>
    <row r="327" ht="14.25" customHeight="1" s="75">
      <c r="A327" s="128" t="inlineStr">
        <is>
          <t>Julho/2026</t>
        </is>
      </c>
      <c r="B327" s="128" t="inlineStr">
        <is>
          <t>DX2</t>
        </is>
      </c>
      <c r="C327" s="128" t="inlineStr">
        <is>
          <t>Pessoal</t>
        </is>
      </c>
      <c r="D327" s="128" t="inlineStr">
        <is>
          <t>Rescisões</t>
        </is>
      </c>
      <c r="E327" s="128" t="inlineStr">
        <is>
          <t>TIAGO</t>
        </is>
      </c>
      <c r="F327" s="128" t="n">
        <v>1</v>
      </c>
      <c r="G327" s="129" t="n">
        <v>13894.53</v>
      </c>
      <c r="H327" s="129">
        <f>G327*F327</f>
        <v/>
      </c>
      <c r="I327" s="128" t="inlineStr">
        <is>
          <t>Real (cruzado por nome, planilha de rescisões, competência 07/2026)</t>
        </is>
      </c>
    </row>
    <row r="328" ht="14.25" customHeight="1" s="75">
      <c r="A328" s="128" t="inlineStr">
        <is>
          <t>Julho/2026</t>
        </is>
      </c>
      <c r="B328" s="128" t="inlineStr">
        <is>
          <t>Voicenet</t>
        </is>
      </c>
      <c r="C328" s="128" t="inlineStr">
        <is>
          <t>Pessoal</t>
        </is>
      </c>
      <c r="D328" s="128" t="inlineStr">
        <is>
          <t>Folha Trabalhista com impostos do mês</t>
        </is>
      </c>
      <c r="E328" s="128" t="inlineStr">
        <is>
          <t>MICHELANGELO</t>
        </is>
      </c>
      <c r="F328" s="128" t="n">
        <v>1</v>
      </c>
      <c r="G328" s="129" t="n">
        <v>5461.35</v>
      </c>
      <c r="H328" s="129">
        <f>G328*F328</f>
        <v/>
      </c>
      <c r="I328" s="128" t="inlineStr">
        <is>
          <t>Real (cruzado por nome, equipe Michelangelo - VENDAS PAP, 2 colaboradores)</t>
        </is>
      </c>
    </row>
    <row r="329" ht="14.25" customHeight="1" s="75">
      <c r="A329" s="128" t="inlineStr">
        <is>
          <t>Julho/2026</t>
        </is>
      </c>
      <c r="B329" s="128" t="inlineStr">
        <is>
          <t>Voicenet</t>
        </is>
      </c>
      <c r="C329" s="128" t="inlineStr">
        <is>
          <t>Pessoal</t>
        </is>
      </c>
      <c r="D329" s="128" t="inlineStr">
        <is>
          <t>Despesas com RH</t>
        </is>
      </c>
      <c r="E329" s="128" t="inlineStr">
        <is>
          <t>MICHELANGELO</t>
        </is>
      </c>
      <c r="F329" s="128" t="n">
        <v>2</v>
      </c>
      <c r="G329" s="129" t="n">
        <v>26</v>
      </c>
      <c r="H329" s="129">
        <f>G329*F329</f>
        <v/>
      </c>
      <c r="I329" s="128" t="inlineStr">
        <is>
          <t>Real (taxa fixa por colaborador, quantidade = equipe real VENDAS PAP)</t>
        </is>
      </c>
    </row>
    <row r="330" ht="14.25" customHeight="1" s="75">
      <c r="A330" s="128" t="inlineStr">
        <is>
          <t>Julho/2026</t>
        </is>
      </c>
      <c r="B330" s="128" t="inlineStr">
        <is>
          <t>Voicenet</t>
        </is>
      </c>
      <c r="C330" s="128" t="inlineStr">
        <is>
          <t>Pessoal</t>
        </is>
      </c>
      <c r="D330" s="128" t="inlineStr">
        <is>
          <t>Despesas com DP</t>
        </is>
      </c>
      <c r="E330" s="128" t="inlineStr">
        <is>
          <t>MICHELANGELO</t>
        </is>
      </c>
      <c r="F330" s="128" t="n">
        <v>2</v>
      </c>
      <c r="G330" s="129" t="n">
        <v>42.77</v>
      </c>
      <c r="H330" s="129">
        <f>G330*F330</f>
        <v/>
      </c>
      <c r="I330" s="128" t="inlineStr">
        <is>
          <t>Real (taxa fixa por colaborador, quantidade = equipe real VENDAS PAP)</t>
        </is>
      </c>
    </row>
    <row r="331" ht="14.25" customHeight="1" s="75">
      <c r="A331" s="128" t="inlineStr">
        <is>
          <t>Julho/2026</t>
        </is>
      </c>
      <c r="B331" s="128" t="inlineStr">
        <is>
          <t>Voicenet</t>
        </is>
      </c>
      <c r="C331" s="128" t="inlineStr">
        <is>
          <t>Segurança do Trabalho</t>
        </is>
      </c>
      <c r="D331" s="128" t="inlineStr">
        <is>
          <t>Despesas com SST</t>
        </is>
      </c>
      <c r="E331" s="128" t="inlineStr">
        <is>
          <t>MICHELANGELO</t>
        </is>
      </c>
      <c r="F331" s="128" t="n">
        <v>2</v>
      </c>
      <c r="G331" s="129" t="n">
        <v>63.75</v>
      </c>
      <c r="H331" s="129">
        <f>G331*F331</f>
        <v/>
      </c>
      <c r="I331" s="128" t="inlineStr">
        <is>
          <t>Real (taxa fixa por colaborador, quantidade = equipe real VENDAS PAP)</t>
        </is>
      </c>
    </row>
    <row r="332" ht="14.25" customHeight="1" s="75">
      <c r="A332" s="128" t="inlineStr">
        <is>
          <t>Julho/2026</t>
        </is>
      </c>
      <c r="B332" s="128" t="inlineStr">
        <is>
          <t>Voicenet</t>
        </is>
      </c>
      <c r="C332" s="128" t="inlineStr">
        <is>
          <t>Estrutura/Infra</t>
        </is>
      </c>
      <c r="D332" s="128" t="inlineStr">
        <is>
          <t>Linhas moveis (FIQUE MÓVEL)</t>
        </is>
      </c>
      <c r="E332" s="128" t="inlineStr">
        <is>
          <t>MICHELANGELO</t>
        </is>
      </c>
      <c r="F332" s="128" t="n">
        <v>2</v>
      </c>
      <c r="G332" s="129" t="n">
        <v>30</v>
      </c>
      <c r="H332" s="129">
        <f>G332*F332</f>
        <v/>
      </c>
      <c r="I332" s="128" t="inlineStr">
        <is>
          <t>Real (taxa fixa por colaborador, quantidade = equipe real VENDAS PAP)</t>
        </is>
      </c>
    </row>
    <row r="333" ht="14.25" customHeight="1" s="75">
      <c r="A333" s="128" t="inlineStr">
        <is>
          <t>Julho/2026</t>
        </is>
      </c>
      <c r="B333" s="128" t="inlineStr">
        <is>
          <t>Voicenet</t>
        </is>
      </c>
      <c r="C333" s="128" t="inlineStr">
        <is>
          <t>Benefícios</t>
        </is>
      </c>
      <c r="D333" s="128" t="inlineStr">
        <is>
          <t>Gympass</t>
        </is>
      </c>
      <c r="E333" s="128" t="inlineStr">
        <is>
          <t>MICHELANGELO</t>
        </is>
      </c>
      <c r="F333" s="128" t="n">
        <v>2</v>
      </c>
      <c r="G333" s="129" t="n">
        <v>9.85</v>
      </c>
      <c r="H333" s="129">
        <f>G333*F333</f>
        <v/>
      </c>
      <c r="I333" s="128" t="inlineStr">
        <is>
          <t>Real (taxa fixa por colaborador, quantidade = equipe real VENDAS PAP)</t>
        </is>
      </c>
    </row>
    <row r="334" ht="14.25" customHeight="1" s="75">
      <c r="A334" s="128" t="inlineStr">
        <is>
          <t>Julho/2026</t>
        </is>
      </c>
      <c r="B334" s="128" t="inlineStr">
        <is>
          <t>Voicenet</t>
        </is>
      </c>
      <c r="C334" s="128" t="inlineStr">
        <is>
          <t>Benefícios</t>
        </is>
      </c>
      <c r="D334" s="128" t="inlineStr">
        <is>
          <t>Stargrid</t>
        </is>
      </c>
      <c r="E334" s="128" t="inlineStr">
        <is>
          <t>MICHELANGELO</t>
        </is>
      </c>
      <c r="F334" s="128" t="n">
        <v>2</v>
      </c>
      <c r="G334" s="129" t="n">
        <v>2.04</v>
      </c>
      <c r="H334" s="129">
        <f>G334*F334</f>
        <v/>
      </c>
      <c r="I334" s="128" t="inlineStr">
        <is>
          <t>Real (taxa fixa por colaborador, quantidade = equipe real VENDAS PAP)</t>
        </is>
      </c>
    </row>
    <row r="335" ht="14.25" customHeight="1" s="75">
      <c r="A335" s="128" t="inlineStr">
        <is>
          <t>Julho/2026</t>
        </is>
      </c>
      <c r="B335" s="128" t="inlineStr">
        <is>
          <t>Voicenet</t>
        </is>
      </c>
      <c r="C335" s="128" t="inlineStr">
        <is>
          <t>Frota/Combustível</t>
        </is>
      </c>
      <c r="D335" s="128" t="inlineStr">
        <is>
          <t>Consumo de combustível</t>
        </is>
      </c>
      <c r="E335" s="128" t="inlineStr">
        <is>
          <t>MICHELANGELO</t>
        </is>
      </c>
      <c r="F335" s="128" t="n">
        <v>1</v>
      </c>
      <c r="G335" s="129" t="n">
        <v>819.89</v>
      </c>
      <c r="H335" s="129">
        <f>G335*F335</f>
        <v/>
      </c>
      <c r="I335" s="128" t="inlineStr">
        <is>
          <t>Real (cruzado por nome, planilha de combustível)</t>
        </is>
      </c>
    </row>
    <row r="336" ht="14.25" customHeight="1" s="75">
      <c r="A336" s="128" t="inlineStr">
        <is>
          <t>Julho/2026</t>
        </is>
      </c>
      <c r="B336" s="128" t="inlineStr">
        <is>
          <t>Soares e Silva</t>
        </is>
      </c>
      <c r="C336" s="128" t="inlineStr">
        <is>
          <t>Pessoal</t>
        </is>
      </c>
      <c r="D336" s="128" t="inlineStr">
        <is>
          <t>Folha Trabalhista com impostos do mês</t>
        </is>
      </c>
      <c r="E336" s="128" t="inlineStr">
        <is>
          <t>TIAGO</t>
        </is>
      </c>
      <c r="F336" s="128" t="n">
        <v>1</v>
      </c>
      <c r="G336" s="129" t="n">
        <v>30952.41</v>
      </c>
      <c r="H336" s="129">
        <f>G336*F336</f>
        <v/>
      </c>
      <c r="I336" s="128" t="inlineStr">
        <is>
          <t>Real (cruzado por nome, equipe Tiago - VENDAS PAP, 20 colaboradores)</t>
        </is>
      </c>
    </row>
    <row r="337" ht="14.25" customHeight="1" s="75">
      <c r="A337" s="128" t="inlineStr">
        <is>
          <t>Julho/2026</t>
        </is>
      </c>
      <c r="B337" s="128" t="inlineStr">
        <is>
          <t>Soares e Silva</t>
        </is>
      </c>
      <c r="C337" s="128" t="inlineStr">
        <is>
          <t>Pessoal</t>
        </is>
      </c>
      <c r="D337" s="128" t="inlineStr">
        <is>
          <t>Vale Transporte</t>
        </is>
      </c>
      <c r="E337" s="128" t="inlineStr">
        <is>
          <t>TIAGO</t>
        </is>
      </c>
      <c r="F337" s="128" t="n">
        <v>1</v>
      </c>
      <c r="G337" s="129" t="n">
        <v>1854</v>
      </c>
      <c r="H337" s="129">
        <f>G337*F337</f>
        <v/>
      </c>
      <c r="I337" s="128" t="inlineStr">
        <is>
          <t>Real (100% do total da empresa, único coordenador)</t>
        </is>
      </c>
    </row>
    <row r="338" ht="14.25" customHeight="1" s="75">
      <c r="A338" s="128" t="inlineStr">
        <is>
          <t>Julho/2026</t>
        </is>
      </c>
      <c r="B338" s="128" t="inlineStr">
        <is>
          <t>Soares e Silva</t>
        </is>
      </c>
      <c r="C338" s="128" t="inlineStr">
        <is>
          <t>Pessoal</t>
        </is>
      </c>
      <c r="D338" s="128" t="inlineStr">
        <is>
          <t>Despesas com RH</t>
        </is>
      </c>
      <c r="E338" s="128" t="inlineStr">
        <is>
          <t>TIAGO</t>
        </is>
      </c>
      <c r="F338" s="128" t="n">
        <v>20</v>
      </c>
      <c r="G338" s="129" t="n">
        <v>26</v>
      </c>
      <c r="H338" s="129">
        <f>G338*F338</f>
        <v/>
      </c>
      <c r="I338" s="128" t="inlineStr">
        <is>
          <t>Real (taxa fixa por colaborador, quantidade = equipe real VENDAS PAP)</t>
        </is>
      </c>
    </row>
    <row r="339" ht="14.25" customHeight="1" s="75">
      <c r="A339" s="128" t="inlineStr">
        <is>
          <t>Julho/2026</t>
        </is>
      </c>
      <c r="B339" s="128" t="inlineStr">
        <is>
          <t>Soares e Silva</t>
        </is>
      </c>
      <c r="C339" s="128" t="inlineStr">
        <is>
          <t>Pessoal</t>
        </is>
      </c>
      <c r="D339" s="128" t="inlineStr">
        <is>
          <t>Despesas com DP</t>
        </is>
      </c>
      <c r="E339" s="128" t="inlineStr">
        <is>
          <t>TIAGO</t>
        </is>
      </c>
      <c r="F339" s="128" t="n">
        <v>20</v>
      </c>
      <c r="G339" s="129" t="n">
        <v>42.77</v>
      </c>
      <c r="H339" s="129">
        <f>G339*F339</f>
        <v/>
      </c>
      <c r="I339" s="128" t="inlineStr">
        <is>
          <t>Real (taxa fixa por colaborador, quantidade = equipe real VENDAS PAP)</t>
        </is>
      </c>
    </row>
    <row r="340" ht="14.25" customHeight="1" s="75">
      <c r="A340" s="128" t="inlineStr">
        <is>
          <t>Julho/2026</t>
        </is>
      </c>
      <c r="B340" s="128" t="inlineStr">
        <is>
          <t>Soares e Silva</t>
        </is>
      </c>
      <c r="C340" s="128" t="inlineStr">
        <is>
          <t>Segurança do Trabalho</t>
        </is>
      </c>
      <c r="D340" s="128" t="inlineStr">
        <is>
          <t>Despesas com SST</t>
        </is>
      </c>
      <c r="E340" s="128" t="inlineStr">
        <is>
          <t>TIAGO</t>
        </is>
      </c>
      <c r="F340" s="128" t="n">
        <v>20</v>
      </c>
      <c r="G340" s="129" t="n">
        <v>63.75</v>
      </c>
      <c r="H340" s="129">
        <f>G340*F340</f>
        <v/>
      </c>
      <c r="I340" s="128" t="inlineStr">
        <is>
          <t>Real (taxa fixa por colaborador, quantidade = equipe real VENDAS PAP)</t>
        </is>
      </c>
    </row>
    <row r="341" ht="14.25" customHeight="1" s="75">
      <c r="A341" s="128" t="inlineStr">
        <is>
          <t>Julho/2026</t>
        </is>
      </c>
      <c r="B341" s="128" t="inlineStr">
        <is>
          <t>Soares e Silva</t>
        </is>
      </c>
      <c r="C341" s="128" t="inlineStr">
        <is>
          <t>Estrutura/Infra</t>
        </is>
      </c>
      <c r="D341" s="128" t="inlineStr">
        <is>
          <t>Linhas moveis (FIQUE MÓVEL)</t>
        </is>
      </c>
      <c r="E341" s="128" t="inlineStr">
        <is>
          <t>TIAGO</t>
        </is>
      </c>
      <c r="F341" s="128" t="n">
        <v>20</v>
      </c>
      <c r="G341" s="129" t="n">
        <v>30</v>
      </c>
      <c r="H341" s="129">
        <f>G341*F341</f>
        <v/>
      </c>
      <c r="I341" s="128" t="inlineStr">
        <is>
          <t>Real (taxa fixa por colaborador, quantidade = equipe real VENDAS PAP)</t>
        </is>
      </c>
    </row>
    <row r="342" ht="14.25" customHeight="1" s="75">
      <c r="A342" s="128" t="inlineStr">
        <is>
          <t>Julho/2026</t>
        </is>
      </c>
      <c r="B342" s="128" t="inlineStr">
        <is>
          <t>Soares e Silva</t>
        </is>
      </c>
      <c r="C342" s="128" t="inlineStr">
        <is>
          <t>Benefícios</t>
        </is>
      </c>
      <c r="D342" s="128" t="inlineStr">
        <is>
          <t>Gympass</t>
        </is>
      </c>
      <c r="E342" s="128" t="inlineStr">
        <is>
          <t>TIAGO</t>
        </is>
      </c>
      <c r="F342" s="128" t="n">
        <v>20</v>
      </c>
      <c r="G342" s="129" t="n">
        <v>9.85</v>
      </c>
      <c r="H342" s="129">
        <f>G342*F342</f>
        <v/>
      </c>
      <c r="I342" s="128" t="inlineStr">
        <is>
          <t>Real (taxa fixa por colaborador, quantidade = equipe real VENDAS PAP)</t>
        </is>
      </c>
    </row>
    <row r="343" ht="14.25" customHeight="1" s="75">
      <c r="A343" s="128" t="inlineStr">
        <is>
          <t>Julho/2026</t>
        </is>
      </c>
      <c r="B343" s="128" t="inlineStr">
        <is>
          <t>Soares e Silva</t>
        </is>
      </c>
      <c r="C343" s="128" t="inlineStr">
        <is>
          <t>Benefícios</t>
        </is>
      </c>
      <c r="D343" s="128" t="inlineStr">
        <is>
          <t>Stargrid</t>
        </is>
      </c>
      <c r="E343" s="128" t="inlineStr">
        <is>
          <t>TIAGO</t>
        </is>
      </c>
      <c r="F343" s="128" t="n">
        <v>20</v>
      </c>
      <c r="G343" s="129" t="n">
        <v>2.04</v>
      </c>
      <c r="H343" s="129">
        <f>G343*F343</f>
        <v/>
      </c>
      <c r="I343" s="128" t="inlineStr">
        <is>
          <t>Real (taxa fixa por colaborador, quantidade = equipe real VENDAS PAP)</t>
        </is>
      </c>
    </row>
    <row r="344" ht="14.25" customHeight="1" s="75">
      <c r="A344" s="128" t="inlineStr">
        <is>
          <t>Julho/2026</t>
        </is>
      </c>
      <c r="B344" s="128" t="inlineStr">
        <is>
          <t>Soares e Silva</t>
        </is>
      </c>
      <c r="C344" s="128" t="inlineStr">
        <is>
          <t>Frota/Combustível</t>
        </is>
      </c>
      <c r="D344" s="128" t="inlineStr">
        <is>
          <t>Consumo de combustível</t>
        </is>
      </c>
      <c r="E344" s="128" t="inlineStr">
        <is>
          <t>TIAGO</t>
        </is>
      </c>
      <c r="F344" s="128" t="n">
        <v>1</v>
      </c>
      <c r="G344" s="129" t="n">
        <v>8955.16</v>
      </c>
      <c r="H344" s="129">
        <f>G344*F344</f>
        <v/>
      </c>
      <c r="I344" s="128" t="inlineStr">
        <is>
          <t>Real (cruzado por nome, planilha de combustível)</t>
        </is>
      </c>
    </row>
    <row r="345" ht="14.25" customHeight="1" s="75">
      <c r="A345" s="128" t="inlineStr">
        <is>
          <t>Julho/2026</t>
        </is>
      </c>
      <c r="B345" s="128" t="inlineStr">
        <is>
          <t>Soares e Silva</t>
        </is>
      </c>
      <c r="C345" s="128" t="inlineStr">
        <is>
          <t>Pessoal</t>
        </is>
      </c>
      <c r="D345" s="128" t="inlineStr">
        <is>
          <t>Rescisões</t>
        </is>
      </c>
      <c r="E345" s="128" t="inlineStr">
        <is>
          <t>TIAGO</t>
        </is>
      </c>
      <c r="F345" s="128" t="n">
        <v>1</v>
      </c>
      <c r="G345" s="129" t="n">
        <v>14147.43</v>
      </c>
      <c r="H345" s="129">
        <f>G345*F345</f>
        <v/>
      </c>
      <c r="I345" s="128" t="inlineStr">
        <is>
          <t>Real (cruzado por nome, planilha de rescisões, competência 07/2026)</t>
        </is>
      </c>
    </row>
    <row r="346" ht="14.25" customHeight="1" s="75">
      <c r="A346" s="128" t="inlineStr">
        <is>
          <t>Julho/2026</t>
        </is>
      </c>
      <c r="B346" s="128" t="inlineStr">
        <is>
          <t>Souza e Silva</t>
        </is>
      </c>
      <c r="C346" s="128" t="inlineStr">
        <is>
          <t>Pessoal</t>
        </is>
      </c>
      <c r="D346" s="128" t="inlineStr">
        <is>
          <t>Folha Trabalhista com impostos do mês</t>
        </is>
      </c>
      <c r="E346" s="128" t="inlineStr">
        <is>
          <t>TARCIZIO MEIRELES</t>
        </is>
      </c>
      <c r="F346" s="128" t="n">
        <v>1</v>
      </c>
      <c r="G346" s="129" t="n">
        <v>9667.49</v>
      </c>
      <c r="H346" s="129">
        <f>G346*F346</f>
        <v/>
      </c>
      <c r="I346" s="128" t="inlineStr">
        <is>
          <t>Real (cruzado por nome, equipe Tarcizio Meireles - VENDAS PAP, 5 colaboradores)</t>
        </is>
      </c>
    </row>
    <row r="347" ht="14.25" customHeight="1" s="75">
      <c r="A347" s="128" t="inlineStr">
        <is>
          <t>Julho/2026</t>
        </is>
      </c>
      <c r="B347" s="128" t="inlineStr">
        <is>
          <t>Souza e Silva</t>
        </is>
      </c>
      <c r="C347" s="128" t="inlineStr">
        <is>
          <t>Pessoal</t>
        </is>
      </c>
      <c r="D347" s="128" t="inlineStr">
        <is>
          <t>Despesas com RH</t>
        </is>
      </c>
      <c r="E347" s="128" t="inlineStr">
        <is>
          <t>TARCIZIO MEIRELES</t>
        </is>
      </c>
      <c r="F347" s="128" t="n">
        <v>5</v>
      </c>
      <c r="G347" s="129" t="n">
        <v>26</v>
      </c>
      <c r="H347" s="129">
        <f>G347*F347</f>
        <v/>
      </c>
      <c r="I347" s="128" t="inlineStr">
        <is>
          <t>Real (taxa fixa por colaborador, quantidade = equipe real VENDAS PAP)</t>
        </is>
      </c>
    </row>
    <row r="348" ht="14.25" customHeight="1" s="75">
      <c r="A348" s="128" t="inlineStr">
        <is>
          <t>Julho/2026</t>
        </is>
      </c>
      <c r="B348" s="128" t="inlineStr">
        <is>
          <t>Souza e Silva</t>
        </is>
      </c>
      <c r="C348" s="128" t="inlineStr">
        <is>
          <t>Pessoal</t>
        </is>
      </c>
      <c r="D348" s="128" t="inlineStr">
        <is>
          <t>Despesas com DP</t>
        </is>
      </c>
      <c r="E348" s="128" t="inlineStr">
        <is>
          <t>TARCIZIO MEIRELES</t>
        </is>
      </c>
      <c r="F348" s="128" t="n">
        <v>5</v>
      </c>
      <c r="G348" s="129" t="n">
        <v>42.77</v>
      </c>
      <c r="H348" s="129">
        <f>G348*F348</f>
        <v/>
      </c>
      <c r="I348" s="128" t="inlineStr">
        <is>
          <t>Real (taxa fixa por colaborador, quantidade = equipe real VENDAS PAP)</t>
        </is>
      </c>
    </row>
    <row r="349" ht="15" customHeight="1" s="75">
      <c r="A349" s="128" t="inlineStr">
        <is>
          <t>Julho/2026</t>
        </is>
      </c>
      <c r="B349" s="128" t="inlineStr">
        <is>
          <t>Souza e Silva</t>
        </is>
      </c>
      <c r="C349" s="128" t="inlineStr">
        <is>
          <t>Segurança do Trabalho</t>
        </is>
      </c>
      <c r="D349" s="128" t="inlineStr">
        <is>
          <t>Despesas com SST</t>
        </is>
      </c>
      <c r="E349" s="128" t="inlineStr">
        <is>
          <t>TARCIZIO MEIRELES</t>
        </is>
      </c>
      <c r="F349" s="128" t="n">
        <v>5</v>
      </c>
      <c r="G349" s="129" t="n">
        <v>63.75</v>
      </c>
      <c r="H349" s="129">
        <f>G349*F349</f>
        <v/>
      </c>
      <c r="I349" s="128" t="inlineStr">
        <is>
          <t>Real (taxa fixa por colaborador, quantidade = equipe real VENDAS PAP)</t>
        </is>
      </c>
    </row>
    <row r="350" ht="14.25" customHeight="1" s="75">
      <c r="A350" s="128" t="inlineStr">
        <is>
          <t>Julho/2026</t>
        </is>
      </c>
      <c r="B350" s="128" t="inlineStr">
        <is>
          <t>Souza e Silva</t>
        </is>
      </c>
      <c r="C350" s="128" t="inlineStr">
        <is>
          <t>Estrutura/Infra</t>
        </is>
      </c>
      <c r="D350" s="128" t="inlineStr">
        <is>
          <t>Linhas moveis (FIQUE MÓVEL)</t>
        </is>
      </c>
      <c r="E350" s="128" t="inlineStr">
        <is>
          <t>TARCIZIO MEIRELES</t>
        </is>
      </c>
      <c r="F350" s="128" t="n">
        <v>5</v>
      </c>
      <c r="G350" s="129" t="n">
        <v>30</v>
      </c>
      <c r="H350" s="129">
        <f>G350*F350</f>
        <v/>
      </c>
      <c r="I350" s="128" t="inlineStr">
        <is>
          <t>Real (taxa fixa por colaborador, quantidade = equipe real VENDAS PAP)</t>
        </is>
      </c>
    </row>
    <row r="351" ht="14.25" customHeight="1" s="75">
      <c r="A351" s="128" t="inlineStr">
        <is>
          <t>Julho/2026</t>
        </is>
      </c>
      <c r="B351" s="128" t="inlineStr">
        <is>
          <t>Souza e Silva</t>
        </is>
      </c>
      <c r="C351" s="128" t="inlineStr">
        <is>
          <t>Benefícios</t>
        </is>
      </c>
      <c r="D351" s="128" t="inlineStr">
        <is>
          <t>Gympass</t>
        </is>
      </c>
      <c r="E351" s="128" t="inlineStr">
        <is>
          <t>TARCIZIO MEIRELES</t>
        </is>
      </c>
      <c r="F351" s="128" t="n">
        <v>5</v>
      </c>
      <c r="G351" s="129" t="n">
        <v>9.85</v>
      </c>
      <c r="H351" s="129">
        <f>G351*F351</f>
        <v/>
      </c>
      <c r="I351" s="128" t="inlineStr">
        <is>
          <t>Real (taxa fixa por colaborador, quantidade = equipe real VENDAS PAP)</t>
        </is>
      </c>
    </row>
    <row r="352" ht="14.25" customHeight="1" s="75">
      <c r="A352" s="128" t="inlineStr">
        <is>
          <t>Julho/2026</t>
        </is>
      </c>
      <c r="B352" s="128" t="inlineStr">
        <is>
          <t>Souza e Silva</t>
        </is>
      </c>
      <c r="C352" s="128" t="inlineStr">
        <is>
          <t>Benefícios</t>
        </is>
      </c>
      <c r="D352" s="128" t="inlineStr">
        <is>
          <t>Stargrid</t>
        </is>
      </c>
      <c r="E352" s="128" t="inlineStr">
        <is>
          <t>TARCIZIO MEIRELES</t>
        </is>
      </c>
      <c r="F352" s="128" t="n">
        <v>5</v>
      </c>
      <c r="G352" s="129" t="n">
        <v>2.04</v>
      </c>
      <c r="H352" s="129">
        <f>G352*F352</f>
        <v/>
      </c>
      <c r="I352" s="128" t="inlineStr">
        <is>
          <t>Real (taxa fixa por colaborador, quantidade = equipe real VENDAS PAP)</t>
        </is>
      </c>
    </row>
    <row r="353" ht="14.25" customHeight="1" s="75">
      <c r="A353" s="128" t="inlineStr">
        <is>
          <t>Julho/2026</t>
        </is>
      </c>
      <c r="B353" s="128" t="inlineStr">
        <is>
          <t>Souza e Silva</t>
        </is>
      </c>
      <c r="C353" s="128" t="inlineStr">
        <is>
          <t>Frota/Combustível</t>
        </is>
      </c>
      <c r="D353" s="128" t="inlineStr">
        <is>
          <t>Consumo de combustível</t>
        </is>
      </c>
      <c r="E353" s="128" t="inlineStr">
        <is>
          <t>TARCIZIO MEIRELES</t>
        </is>
      </c>
      <c r="F353" s="128" t="n">
        <v>1</v>
      </c>
      <c r="G353" s="129" t="n">
        <v>685.08</v>
      </c>
      <c r="H353" s="129">
        <f>G353*F353</f>
        <v/>
      </c>
      <c r="I353" s="128" t="inlineStr">
        <is>
          <t>Real (cruzado por nome, planilha de combustível)</t>
        </is>
      </c>
    </row>
    <row r="354" ht="14.25" customHeight="1" s="75">
      <c r="A354" s="74" t="inlineStr">
        <is>
          <t>Maio/2026</t>
        </is>
      </c>
      <c r="B354" s="74" t="inlineStr">
        <is>
          <t>DTEL</t>
        </is>
      </c>
      <c r="C354" s="74" t="inlineStr">
        <is>
          <t>Pessoal</t>
        </is>
      </c>
      <c r="D354" s="74" t="inlineStr">
        <is>
          <t>Motorista da van (Jose Zenildo da Silva) — equipe Gleciane Roberta</t>
        </is>
      </c>
      <c r="E354" s="74" t="inlineStr">
        <is>
          <t>TARCIZIO MEIRELES</t>
        </is>
      </c>
      <c r="F354" s="74" t="n">
        <v>1</v>
      </c>
      <c r="G354" s="74" t="n">
        <v>3706.2</v>
      </c>
      <c r="H354" s="74">
        <f>F354*G354</f>
        <v/>
      </c>
      <c r="I354" s="74" t="inlineStr">
        <is>
          <t>Real (Custo Total da folha do colaborador, cruzado por nome na Base_Despesa_Trabalhista; retirado do total geral da equipe para não contar 2x)</t>
        </is>
      </c>
    </row>
    <row r="355" ht="15" customHeight="1" s="75">
      <c r="A355" s="74" t="inlineStr">
        <is>
          <t>Maio/2026</t>
        </is>
      </c>
      <c r="B355" s="74" t="inlineStr">
        <is>
          <t>DTEL</t>
        </is>
      </c>
      <c r="C355" s="74" t="inlineStr">
        <is>
          <t>Frota/Combustível</t>
        </is>
      </c>
      <c r="D355" s="74" t="inlineStr">
        <is>
          <t>Combustível/manutenção da van (Jose Zenildo da Silva) — equipe Gleciane Roberta</t>
        </is>
      </c>
      <c r="E355" s="74" t="inlineStr">
        <is>
          <t>TARCIZIO MEIRELES</t>
        </is>
      </c>
      <c r="F355" s="74" t="n">
        <v>1</v>
      </c>
      <c r="G355" s="74" t="n">
        <v>4519.1</v>
      </c>
      <c r="H355" s="74">
        <f>F355*G355</f>
        <v/>
      </c>
      <c r="I355" s="74" t="inlineStr">
        <is>
          <t>Real (cruzado por nome, planilha 'Combustível do rateio'; retirado do total geral da equipe para não contar 2x)</t>
        </is>
      </c>
    </row>
    <row r="356" ht="14.25" customHeight="1" s="75">
      <c r="A356" s="74" t="inlineStr">
        <is>
          <t>Junho/2026</t>
        </is>
      </c>
      <c r="B356" s="74" t="inlineStr">
        <is>
          <t>DTEL</t>
        </is>
      </c>
      <c r="C356" s="74" t="inlineStr">
        <is>
          <t>Pessoal</t>
        </is>
      </c>
      <c r="D356" s="74" t="inlineStr">
        <is>
          <t>Motorista da van (Jose Zenildo da Silva) — equipe Gleciane Roberta</t>
        </is>
      </c>
      <c r="E356" s="74" t="inlineStr">
        <is>
          <t>TARCIZIO MEIRELES</t>
        </is>
      </c>
      <c r="F356" s="74" t="n">
        <v>1</v>
      </c>
      <c r="G356" s="74" t="n">
        <v>5227.07</v>
      </c>
      <c r="H356" s="74">
        <f>F356*G356</f>
        <v/>
      </c>
      <c r="I356" s="74" t="inlineStr">
        <is>
          <t>Real (Custo Total da folha do colaborador, cruzado por nome na Base_Despesa_Trabalhista; retirado do total geral da equipe para não contar 2x)</t>
        </is>
      </c>
    </row>
    <row r="357" ht="14.25" customHeight="1" s="75">
      <c r="A357" s="74" t="inlineStr">
        <is>
          <t>Junho/2026</t>
        </is>
      </c>
      <c r="B357" s="74" t="inlineStr">
        <is>
          <t>DTEL</t>
        </is>
      </c>
      <c r="C357" s="74" t="inlineStr">
        <is>
          <t>Frota/Combustível</t>
        </is>
      </c>
      <c r="D357" s="74" t="inlineStr">
        <is>
          <t>Combustível/manutenção da van (Jose Zenildo da Silva) — equipe Gleciane Roberta</t>
        </is>
      </c>
      <c r="E357" s="74" t="inlineStr">
        <is>
          <t>TARCIZIO MEIRELES</t>
        </is>
      </c>
      <c r="F357" s="74" t="n">
        <v>1</v>
      </c>
      <c r="G357" s="74" t="n">
        <v>2688.78</v>
      </c>
      <c r="H357" s="74">
        <f>F357*G357</f>
        <v/>
      </c>
      <c r="I357" s="74" t="inlineStr">
        <is>
          <t>Real (cruzado por nome, planilha 'Combustível do rateio'; retirado do total geral da equipe para não contar 2x)</t>
        </is>
      </c>
    </row>
    <row r="358" ht="14.25" customHeight="1" s="75">
      <c r="A358" s="74" t="inlineStr">
        <is>
          <t>Julho/2026</t>
        </is>
      </c>
      <c r="B358" s="74" t="inlineStr">
        <is>
          <t>DTEL</t>
        </is>
      </c>
      <c r="C358" s="74" t="inlineStr">
        <is>
          <t>Pessoal</t>
        </is>
      </c>
      <c r="D358" s="74" t="inlineStr">
        <is>
          <t>Motorista da van (Jose Zenildo da Silva) — equipe Gleciane Roberta</t>
        </is>
      </c>
      <c r="E358" s="74" t="inlineStr">
        <is>
          <t>TARCIZIO MEIRELES</t>
        </is>
      </c>
      <c r="F358" s="74" t="n">
        <v>1</v>
      </c>
      <c r="G358" s="74" t="n">
        <v>4661.82</v>
      </c>
      <c r="H358" s="74">
        <f>F358*G358</f>
        <v/>
      </c>
      <c r="I358" s="74" t="inlineStr">
        <is>
          <t>Real (Custo Total da folha do colaborador, cruzado por nome na Base_Despesa_Trabalhista; retirado do total geral da equipe para não contar 2x)</t>
        </is>
      </c>
    </row>
    <row r="359" ht="14.25" customHeight="1" s="75">
      <c r="A359" s="74" t="inlineStr">
        <is>
          <t>Julho/2026</t>
        </is>
      </c>
      <c r="B359" s="74" t="inlineStr">
        <is>
          <t>DTEL</t>
        </is>
      </c>
      <c r="C359" s="74" t="inlineStr">
        <is>
          <t>Frota/Combustível</t>
        </is>
      </c>
      <c r="D359" s="74" t="inlineStr">
        <is>
          <t>Combustível/manutenção da van (Jose Zenildo da Silva) — equipe Gleciane Roberta</t>
        </is>
      </c>
      <c r="E359" s="74" t="inlineStr">
        <is>
          <t>TARCIZIO MEIRELES</t>
        </is>
      </c>
      <c r="F359" s="74" t="n">
        <v>1</v>
      </c>
      <c r="G359" s="74" t="n">
        <v>4067.27</v>
      </c>
      <c r="H359" s="74">
        <f>F359*G359</f>
        <v/>
      </c>
      <c r="I359" s="74" t="inlineStr">
        <is>
          <t>Real (cruzado por nome, planilha 'Combustível do rateio'; retirado do total geral da equipe para não contar 2x)</t>
        </is>
      </c>
    </row>
    <row r="360" ht="14.25" customHeight="1" s="75">
      <c r="A360" s="74" t="inlineStr">
        <is>
          <t>Maio/2026</t>
        </is>
      </c>
      <c r="B360" s="74" t="inlineStr">
        <is>
          <t>DTEL</t>
        </is>
      </c>
      <c r="C360" s="74" t="inlineStr">
        <is>
          <t>Pessoal</t>
        </is>
      </c>
      <c r="D360" s="74" t="inlineStr">
        <is>
          <t>Motorista da van (Pedro Moreira do Amaral) — equipe Fernanda Eduarda, parte 1</t>
        </is>
      </c>
      <c r="E360" s="74" t="inlineStr">
        <is>
          <t>ELTHON MENEZES</t>
        </is>
      </c>
      <c r="F360" s="74" t="n">
        <v>1</v>
      </c>
      <c r="G360" s="74" t="n">
        <v>3706.2</v>
      </c>
      <c r="H360" s="74">
        <f>F360*G360</f>
        <v/>
      </c>
      <c r="I360" s="74" t="inlineStr">
        <is>
          <t>Real (Custo Total da folha do colaborador, cruzado por nome na Base_Despesa_Trabalhista; retirado do total geral da equipe para não contar 2x)</t>
        </is>
      </c>
    </row>
    <row r="361" ht="14.25" customHeight="1" s="75">
      <c r="A361" s="74" t="inlineStr">
        <is>
          <t>Maio/2026</t>
        </is>
      </c>
      <c r="B361" s="74" t="inlineStr">
        <is>
          <t>DTEL</t>
        </is>
      </c>
      <c r="C361" s="74" t="inlineStr">
        <is>
          <t>Frota/Combustível</t>
        </is>
      </c>
      <c r="D361" s="74" t="inlineStr">
        <is>
          <t>Combustível/manutenção da van (Pedro Moreira do Amaral) — equipe Fernanda Eduarda, parte 1</t>
        </is>
      </c>
      <c r="E361" s="74" t="inlineStr">
        <is>
          <t>ELTHON MENEZES</t>
        </is>
      </c>
      <c r="F361" s="74" t="n">
        <v>1</v>
      </c>
      <c r="G361" s="74" t="n">
        <v>3423.22</v>
      </c>
      <c r="H361" s="74">
        <f>F361*G361</f>
        <v/>
      </c>
      <c r="I361" s="74" t="inlineStr">
        <is>
          <t>Real (cruzado por nome, planilha 'Combustível do rateio'; retirado do total geral da equipe para não contar 2x)</t>
        </is>
      </c>
    </row>
    <row r="362" ht="14.25" customHeight="1" s="75">
      <c r="A362" s="74" t="inlineStr">
        <is>
          <t>Junho/2026</t>
        </is>
      </c>
      <c r="B362" s="74" t="inlineStr">
        <is>
          <t>DTEL</t>
        </is>
      </c>
      <c r="C362" s="74" t="inlineStr">
        <is>
          <t>Pessoal</t>
        </is>
      </c>
      <c r="D362" s="74" t="inlineStr">
        <is>
          <t>Motorista da van (Pedro Moreira do Amaral) — equipe Fernanda Eduarda, parte 1</t>
        </is>
      </c>
      <c r="E362" s="74" t="inlineStr">
        <is>
          <t>ELTHON MENEZES</t>
        </is>
      </c>
      <c r="F362" s="74" t="n">
        <v>1</v>
      </c>
      <c r="G362" s="74" t="n">
        <v>4741.11</v>
      </c>
      <c r="H362" s="74">
        <f>F362*G362</f>
        <v/>
      </c>
      <c r="I362" s="74" t="inlineStr">
        <is>
          <t>Real (Custo Total da folha do colaborador, cruzado por nome na Base_Despesa_Trabalhista; retirado do total geral da equipe para não contar 2x)</t>
        </is>
      </c>
    </row>
    <row r="363" ht="14.25" customHeight="1" s="75">
      <c r="A363" s="74" t="inlineStr">
        <is>
          <t>Junho/2026</t>
        </is>
      </c>
      <c r="B363" s="74" t="inlineStr">
        <is>
          <t>DTEL</t>
        </is>
      </c>
      <c r="C363" s="74" t="inlineStr">
        <is>
          <t>Frota/Combustível</t>
        </is>
      </c>
      <c r="D363" s="74" t="inlineStr">
        <is>
          <t>Combustível/manutenção da van (Pedro Moreira do Amaral) — equipe Fernanda Eduarda, parte 1</t>
        </is>
      </c>
      <c r="E363" s="74" t="inlineStr">
        <is>
          <t>ELTHON MENEZES</t>
        </is>
      </c>
      <c r="F363" s="74" t="n">
        <v>1</v>
      </c>
      <c r="G363" s="74" t="n">
        <v>1887.24</v>
      </c>
      <c r="H363" s="74">
        <f>F363*G363</f>
        <v/>
      </c>
      <c r="I363" s="74" t="inlineStr">
        <is>
          <t>Real (cruzado por nome, planilha 'Combustível do rateio'; retirado do total geral da equipe para não contar 2x)</t>
        </is>
      </c>
    </row>
    <row r="364" ht="14.25" customHeight="1" s="75">
      <c r="A364" s="74" t="inlineStr">
        <is>
          <t>Julho/2026</t>
        </is>
      </c>
      <c r="B364" s="74" t="inlineStr">
        <is>
          <t>DTEL</t>
        </is>
      </c>
      <c r="C364" s="74" t="inlineStr">
        <is>
          <t>Pessoal</t>
        </is>
      </c>
      <c r="D364" s="74" t="inlineStr">
        <is>
          <t>Motorista da van (Pedro Moreira do Amaral) — equipe Fernanda Eduarda, parte 1</t>
        </is>
      </c>
      <c r="E364" s="74" t="inlineStr">
        <is>
          <t>ELTHON MENEZES</t>
        </is>
      </c>
      <c r="F364" s="74" t="n">
        <v>1</v>
      </c>
      <c r="G364" s="74" t="n">
        <v>4661.82</v>
      </c>
      <c r="H364" s="74">
        <f>F364*G364</f>
        <v/>
      </c>
      <c r="I364" s="74" t="inlineStr">
        <is>
          <t>Real (Custo Total da folha do colaborador, cruzado por nome na Base_Despesa_Trabalhista; retirado do total geral da equipe para não contar 2x)</t>
        </is>
      </c>
    </row>
    <row r="365" ht="14.25" customHeight="1" s="75">
      <c r="A365" s="74" t="inlineStr">
        <is>
          <t>Julho/2026</t>
        </is>
      </c>
      <c r="B365" s="74" t="inlineStr">
        <is>
          <t>DTEL</t>
        </is>
      </c>
      <c r="C365" s="74" t="inlineStr">
        <is>
          <t>Frota/Combustível</t>
        </is>
      </c>
      <c r="D365" s="74" t="inlineStr">
        <is>
          <t>Combustível/manutenção da van (Pedro Moreira do Amaral) — equipe Fernanda Eduarda, parte 1</t>
        </is>
      </c>
      <c r="E365" s="74" t="inlineStr">
        <is>
          <t>ELTHON MENEZES</t>
        </is>
      </c>
      <c r="F365" s="74" t="n">
        <v>1</v>
      </c>
      <c r="G365" s="74" t="n">
        <v>3029.1</v>
      </c>
      <c r="H365" s="74">
        <f>F365*G365</f>
        <v/>
      </c>
      <c r="I365" s="74" t="inlineStr">
        <is>
          <t>Real (cruzado por nome, planilha 'Combustível do rateio'; retirado do total geral da equipe para não contar 2x)</t>
        </is>
      </c>
    </row>
    <row r="366" ht="14.25" customHeight="1" s="75">
      <c r="A366" s="74" t="inlineStr">
        <is>
          <t>Maio/2026</t>
        </is>
      </c>
      <c r="B366" s="74" t="inlineStr">
        <is>
          <t>DTEL</t>
        </is>
      </c>
      <c r="C366" s="74" t="inlineStr">
        <is>
          <t>Pessoal</t>
        </is>
      </c>
      <c r="D366" s="74" t="inlineStr">
        <is>
          <t>Motorista da van (Felipe Lopes de Souza) — equipe Fernanda Eduarda, parte 2</t>
        </is>
      </c>
      <c r="E366" s="74" t="inlineStr">
        <is>
          <t>ELTHON MENEZES</t>
        </is>
      </c>
      <c r="F366" s="74" t="n">
        <v>1</v>
      </c>
      <c r="G366" s="74" t="n">
        <v>4503.24</v>
      </c>
      <c r="H366" s="74">
        <f>F366*G366</f>
        <v/>
      </c>
      <c r="I366" s="74" t="inlineStr">
        <is>
          <t>Real (Custo Total da folha do colaborador, cruzado por nome na Base_Despesa_Trabalhista; retirado do total geral da equipe para não contar 2x)</t>
        </is>
      </c>
    </row>
    <row r="367" ht="14.25" customHeight="1" s="75">
      <c r="A367" s="74" t="inlineStr">
        <is>
          <t>Maio/2026</t>
        </is>
      </c>
      <c r="B367" s="74" t="inlineStr">
        <is>
          <t>DTEL</t>
        </is>
      </c>
      <c r="C367" s="74" t="inlineStr">
        <is>
          <t>Frota/Combustível</t>
        </is>
      </c>
      <c r="D367" s="74" t="inlineStr">
        <is>
          <t>Combustível/manutenção da van (Felipe Lopes de Souza) — equipe Fernanda Eduarda, parte 2</t>
        </is>
      </c>
      <c r="E367" s="74" t="inlineStr">
        <is>
          <t>ELTHON MENEZES</t>
        </is>
      </c>
      <c r="F367" s="74" t="n">
        <v>1</v>
      </c>
      <c r="G367" s="74" t="n">
        <v>4841.72</v>
      </c>
      <c r="H367" s="74">
        <f>F367*G367</f>
        <v/>
      </c>
      <c r="I367" s="74" t="inlineStr">
        <is>
          <t>Real (cruzado por nome, planilha 'Combustível do rateio'; retirado do total geral da equipe para não contar 2x)</t>
        </is>
      </c>
    </row>
    <row r="368" ht="14.25" customHeight="1" s="75">
      <c r="A368" s="74" t="inlineStr">
        <is>
          <t>Junho/2026</t>
        </is>
      </c>
      <c r="B368" s="74" t="inlineStr">
        <is>
          <t>DTEL</t>
        </is>
      </c>
      <c r="C368" s="74" t="inlineStr">
        <is>
          <t>Pessoal</t>
        </is>
      </c>
      <c r="D368" s="74" t="inlineStr">
        <is>
          <t>Motorista da van (Felipe Lopes de Souza) — equipe Fernanda Eduarda, parte 2</t>
        </is>
      </c>
      <c r="E368" s="74" t="inlineStr">
        <is>
          <t>ELTHON MENEZES</t>
        </is>
      </c>
      <c r="F368" s="74" t="n">
        <v>1</v>
      </c>
      <c r="G368" s="74" t="n">
        <v>5374.25</v>
      </c>
      <c r="H368" s="74">
        <f>F368*G368</f>
        <v/>
      </c>
      <c r="I368" s="74" t="inlineStr">
        <is>
          <t>Real (Custo Total da folha do colaborador, cruzado por nome na Base_Despesa_Trabalhista; retirado do total geral da equipe para não contar 2x)</t>
        </is>
      </c>
    </row>
    <row r="369" ht="14.25" customHeight="1" s="75">
      <c r="A369" s="74" t="inlineStr">
        <is>
          <t>Junho/2026</t>
        </is>
      </c>
      <c r="B369" s="74" t="inlineStr">
        <is>
          <t>DTEL</t>
        </is>
      </c>
      <c r="C369" s="74" t="inlineStr">
        <is>
          <t>Frota/Combustível</t>
        </is>
      </c>
      <c r="D369" s="74" t="inlineStr">
        <is>
          <t>Combustível/manutenção da van (Felipe Lopes de Souza) — equipe Fernanda Eduarda, parte 2</t>
        </is>
      </c>
      <c r="E369" s="74" t="inlineStr">
        <is>
          <t>ELTHON MENEZES</t>
        </is>
      </c>
      <c r="F369" s="74" t="n">
        <v>1</v>
      </c>
      <c r="G369" s="74" t="n">
        <v>3112.86</v>
      </c>
      <c r="H369" s="74">
        <f>F369*G369</f>
        <v/>
      </c>
      <c r="I369" s="74" t="inlineStr">
        <is>
          <t>Real (cruzado por nome, planilha 'Combustível do rateio'; retirado do total geral da equipe para não contar 2x)</t>
        </is>
      </c>
    </row>
    <row r="370" ht="14.25" customHeight="1" s="75">
      <c r="A370" s="74" t="inlineStr">
        <is>
          <t>Julho/2026</t>
        </is>
      </c>
      <c r="B370" s="74" t="inlineStr">
        <is>
          <t>DTEL</t>
        </is>
      </c>
      <c r="C370" s="74" t="inlineStr">
        <is>
          <t>Pessoal</t>
        </is>
      </c>
      <c r="D370" s="74" t="inlineStr">
        <is>
          <t>Motorista da van (Felipe Lopes de Souza) — equipe Fernanda Eduarda, parte 2</t>
        </is>
      </c>
      <c r="E370" s="74" t="inlineStr">
        <is>
          <t>ELTHON MENEZES</t>
        </is>
      </c>
      <c r="F370" s="74" t="n">
        <v>1</v>
      </c>
      <c r="G370" s="74" t="n">
        <v>4661.82</v>
      </c>
      <c r="H370" s="74">
        <f>F370*G370</f>
        <v/>
      </c>
      <c r="I370" s="74" t="inlineStr">
        <is>
          <t>Real (Custo Total da folha do colaborador, cruzado por nome na Base_Despesa_Trabalhista; retirado do total geral da equipe para não contar 2x)</t>
        </is>
      </c>
    </row>
    <row r="371" ht="14.25" customHeight="1" s="75">
      <c r="A371" s="74" t="inlineStr">
        <is>
          <t>Julho/2026</t>
        </is>
      </c>
      <c r="B371" s="74" t="inlineStr">
        <is>
          <t>DTEL</t>
        </is>
      </c>
      <c r="C371" s="74" t="inlineStr">
        <is>
          <t>Frota/Combustível</t>
        </is>
      </c>
      <c r="D371" s="74" t="inlineStr">
        <is>
          <t>Combustível/manutenção da van (Felipe Lopes de Souza) — equipe Fernanda Eduarda, parte 2</t>
        </is>
      </c>
      <c r="E371" s="74" t="inlineStr">
        <is>
          <t>ELTHON MENEZES</t>
        </is>
      </c>
      <c r="F371" s="74" t="n">
        <v>1</v>
      </c>
      <c r="G371" s="74" t="n">
        <v>3304.69</v>
      </c>
      <c r="H371" s="74">
        <f>F371*G371</f>
        <v/>
      </c>
      <c r="I371" s="74" t="inlineStr">
        <is>
          <t>Real (cruzado por nome, planilha 'Combustível do rateio'; retirado do total geral da equipe para não contar 2x)</t>
        </is>
      </c>
    </row>
    <row r="372" ht="14.25" customHeight="1" s="75">
      <c r="A372" s="74" t="inlineStr">
        <is>
          <t>Maio/2026</t>
        </is>
      </c>
      <c r="B372" s="74" t="inlineStr">
        <is>
          <t>DTEL</t>
        </is>
      </c>
      <c r="C372" s="74" t="inlineStr">
        <is>
          <t>Pessoal</t>
        </is>
      </c>
      <c r="D372" s="74" t="inlineStr">
        <is>
          <t>Supervisor com kombi própria (Alvaro Henrique de Sousa)</t>
        </is>
      </c>
      <c r="E372" s="74" t="inlineStr">
        <is>
          <t>ELTHON MENEZES</t>
        </is>
      </c>
      <c r="F372" s="74" t="n">
        <v>1</v>
      </c>
      <c r="G372" s="74" t="n">
        <v>5488.35</v>
      </c>
      <c r="H372" s="74">
        <f>F372*G372</f>
        <v/>
      </c>
      <c r="I372" s="74" t="inlineStr">
        <is>
          <t>Real (Custo Total da folha do colaborador, cruzado por nome na Base_Despesa_Trabalhista; retirado do total geral da equipe para não contar 2x)</t>
        </is>
      </c>
    </row>
    <row r="373" ht="14.25" customHeight="1" s="75">
      <c r="A373" s="74" t="inlineStr">
        <is>
          <t>Maio/2026</t>
        </is>
      </c>
      <c r="B373" s="74" t="inlineStr">
        <is>
          <t>DTEL</t>
        </is>
      </c>
      <c r="C373" s="74" t="inlineStr">
        <is>
          <t>Frota/Combustível</t>
        </is>
      </c>
      <c r="D373" s="74" t="inlineStr">
        <is>
          <t>Combustível/manutenção da kombi (Alvaro Henrique de Sousa)</t>
        </is>
      </c>
      <c r="E373" s="74" t="inlineStr">
        <is>
          <t>ELTHON MENEZES</t>
        </is>
      </c>
      <c r="F373" s="74" t="n">
        <v>1</v>
      </c>
      <c r="G373" s="74" t="n">
        <v>4006.59</v>
      </c>
      <c r="H373" s="74">
        <f>F373*G373</f>
        <v/>
      </c>
      <c r="I373" s="74" t="inlineStr">
        <is>
          <t>Real (cruzado por nome, planilha 'Combustível do rateio'; não estava incluído em nenhum lugar antes — adicionado agora)</t>
        </is>
      </c>
    </row>
    <row r="374" ht="14.25" customHeight="1" s="75">
      <c r="A374" s="74" t="inlineStr">
        <is>
          <t>Junho/2026</t>
        </is>
      </c>
      <c r="B374" s="74" t="inlineStr">
        <is>
          <t>DTEL</t>
        </is>
      </c>
      <c r="C374" s="74" t="inlineStr">
        <is>
          <t>Pessoal</t>
        </is>
      </c>
      <c r="D374" s="74" t="inlineStr">
        <is>
          <t>Supervisor com kombi própria (Alvaro Henrique de Sousa)</t>
        </is>
      </c>
      <c r="E374" s="74" t="inlineStr">
        <is>
          <t>ELTHON MENEZES</t>
        </is>
      </c>
      <c r="F374" s="74" t="n">
        <v>1</v>
      </c>
      <c r="G374" s="74" t="n">
        <v>4859.05</v>
      </c>
      <c r="H374" s="74">
        <f>F374*G374</f>
        <v/>
      </c>
      <c r="I374" s="74" t="inlineStr">
        <is>
          <t>Real (Custo Total da folha do colaborador, cruzado por nome na Base_Despesa_Trabalhista; retirado do total geral da equipe para não contar 2x)</t>
        </is>
      </c>
    </row>
    <row r="375" ht="14.25" customHeight="1" s="75">
      <c r="A375" s="74" t="inlineStr">
        <is>
          <t>Junho/2026</t>
        </is>
      </c>
      <c r="B375" s="74" t="inlineStr">
        <is>
          <t>DTEL</t>
        </is>
      </c>
      <c r="C375" s="74" t="inlineStr">
        <is>
          <t>Frota/Combustível</t>
        </is>
      </c>
      <c r="D375" s="74" t="inlineStr">
        <is>
          <t>Combustível/manutenção da kombi (Alvaro Henrique de Sousa)</t>
        </is>
      </c>
      <c r="E375" s="74" t="inlineStr">
        <is>
          <t>ELTHON MENEZES</t>
        </is>
      </c>
      <c r="F375" s="74" t="n">
        <v>1</v>
      </c>
      <c r="G375" s="74" t="n">
        <v>1259.19</v>
      </c>
      <c r="H375" s="74">
        <f>F375*G375</f>
        <v/>
      </c>
      <c r="I375" s="74" t="inlineStr">
        <is>
          <t>Real (cruzado por nome, planilha 'Combustível do rateio'; não estava incluído em nenhum lugar antes — adicionado agora)</t>
        </is>
      </c>
    </row>
    <row r="376" ht="14.25" customHeight="1" s="75">
      <c r="A376" s="74" t="inlineStr">
        <is>
          <t>Julho/2026</t>
        </is>
      </c>
      <c r="B376" s="74" t="inlineStr">
        <is>
          <t>DTEL</t>
        </is>
      </c>
      <c r="C376" s="74" t="inlineStr">
        <is>
          <t>Pessoal</t>
        </is>
      </c>
      <c r="D376" s="74" t="inlineStr">
        <is>
          <t>Supervisor com kombi própria (Alvaro Henrique de Sousa)</t>
        </is>
      </c>
      <c r="E376" s="74" t="inlineStr">
        <is>
          <t>ELTHON MENEZES</t>
        </is>
      </c>
      <c r="F376" s="74" t="n">
        <v>1</v>
      </c>
      <c r="G376" s="74" t="n">
        <v>5436.76</v>
      </c>
      <c r="H376" s="74">
        <f>F376*G376</f>
        <v/>
      </c>
      <c r="I376" s="74" t="inlineStr">
        <is>
          <t>Real (Custo Total da folha do colaborador, cruzado por nome na Base_Despesa_Trabalhista; retirado do total geral da equipe para não contar 2x)</t>
        </is>
      </c>
    </row>
    <row r="377" ht="14.25" customHeight="1" s="75">
      <c r="A377" s="74" t="inlineStr">
        <is>
          <t>Julho/2026</t>
        </is>
      </c>
      <c r="B377" s="74" t="inlineStr">
        <is>
          <t>DTEL</t>
        </is>
      </c>
      <c r="C377" s="74" t="inlineStr">
        <is>
          <t>Frota/Combustível</t>
        </is>
      </c>
      <c r="D377" s="74" t="inlineStr">
        <is>
          <t>Combustível/manutenção da kombi (Alvaro Henrique de Sousa)</t>
        </is>
      </c>
      <c r="E377" s="74" t="inlineStr">
        <is>
          <t>ELTHON MENEZES</t>
        </is>
      </c>
      <c r="F377" s="74" t="n">
        <v>1</v>
      </c>
      <c r="G377" s="74" t="n">
        <v>2732.56</v>
      </c>
      <c r="H377" s="74">
        <f>F377*G377</f>
        <v/>
      </c>
      <c r="I377" s="74" t="inlineStr">
        <is>
          <t>Real (cruzado por nome, planilha 'Combustível do rateio'; não estava incluído em nenhum lugar antes — adicionado agora)</t>
        </is>
      </c>
    </row>
    <row r="378" ht="14.25" customHeight="1" s="75">
      <c r="A378" s="74" t="inlineStr">
        <is>
          <t>Maio/2026</t>
        </is>
      </c>
      <c r="B378" s="74" t="inlineStr">
        <is>
          <t>DTEL</t>
        </is>
      </c>
      <c r="C378" s="74" t="inlineStr">
        <is>
          <t>Pessoal</t>
        </is>
      </c>
      <c r="D378" s="74" t="inlineStr">
        <is>
          <t>Motorista da van (Clovis Mendes da Silva)</t>
        </is>
      </c>
      <c r="E378" s="74" t="inlineStr">
        <is>
          <t>MICHELANGELO</t>
        </is>
      </c>
      <c r="F378" s="74" t="n">
        <v>1</v>
      </c>
      <c r="G378" s="74" t="n">
        <v>3706.2</v>
      </c>
      <c r="H378" s="74">
        <f>F378*G378</f>
        <v/>
      </c>
      <c r="I378" s="74" t="inlineStr">
        <is>
          <t>Real (Custo Total da folha do colaborador, cruzado por nome na Base_Despesa_Trabalhista; retirado do total geral da equipe para não contar 2x)</t>
        </is>
      </c>
    </row>
    <row r="379" ht="14.25" customHeight="1" s="75">
      <c r="A379" s="74" t="inlineStr">
        <is>
          <t>Maio/2026</t>
        </is>
      </c>
      <c r="B379" s="74" t="inlineStr">
        <is>
          <t>DTEL</t>
        </is>
      </c>
      <c r="C379" s="74" t="inlineStr">
        <is>
          <t>Frota/Combustível</t>
        </is>
      </c>
      <c r="D379" s="74" t="inlineStr">
        <is>
          <t>Combustível/manutenção da van (Clovis Mendes da Silva)</t>
        </is>
      </c>
      <c r="E379" s="74" t="inlineStr">
        <is>
          <t>MICHELANGELO</t>
        </is>
      </c>
      <c r="F379" s="74" t="n">
        <v>1</v>
      </c>
      <c r="G379" s="74" t="n">
        <v>5768.81</v>
      </c>
      <c r="H379" s="74">
        <f>F379*G379</f>
        <v/>
      </c>
      <c r="I379" s="74" t="inlineStr">
        <is>
          <t>Real (cruzado por nome, planilha 'Combustível do rateio'; retirado do total geral da equipe para não contar 2x)</t>
        </is>
      </c>
    </row>
    <row r="380" ht="14.25" customHeight="1" s="75">
      <c r="A380" s="74" t="inlineStr">
        <is>
          <t>Junho/2026</t>
        </is>
      </c>
      <c r="B380" s="74" t="inlineStr">
        <is>
          <t>DTEL</t>
        </is>
      </c>
      <c r="C380" s="74" t="inlineStr">
        <is>
          <t>Pessoal</t>
        </is>
      </c>
      <c r="D380" s="74" t="inlineStr">
        <is>
          <t>Motorista da van (Clovis Mendes da Silva)</t>
        </is>
      </c>
      <c r="E380" s="74" t="inlineStr">
        <is>
          <t>MICHELANGELO</t>
        </is>
      </c>
      <c r="F380" s="74" t="n">
        <v>1</v>
      </c>
      <c r="G380" s="74" t="n">
        <v>4741.11</v>
      </c>
      <c r="H380" s="74">
        <f>F380*G380</f>
        <v/>
      </c>
      <c r="I380" s="74" t="inlineStr">
        <is>
          <t>Real (Custo Total da folha do colaborador, cruzado por nome na Base_Despesa_Trabalhista; retirado do total geral da equipe para não contar 2x)</t>
        </is>
      </c>
    </row>
    <row r="381" ht="14.25" customHeight="1" s="75">
      <c r="A381" s="74" t="inlineStr">
        <is>
          <t>Junho/2026</t>
        </is>
      </c>
      <c r="B381" s="74" t="inlineStr">
        <is>
          <t>DTEL</t>
        </is>
      </c>
      <c r="C381" s="74" t="inlineStr">
        <is>
          <t>Frota/Combustível</t>
        </is>
      </c>
      <c r="D381" s="74" t="inlineStr">
        <is>
          <t>Combustível/manutenção da van (Clovis Mendes da Silva)</t>
        </is>
      </c>
      <c r="E381" s="74" t="inlineStr">
        <is>
          <t>MICHELANGELO</t>
        </is>
      </c>
      <c r="F381" s="74" t="n">
        <v>1</v>
      </c>
      <c r="G381" s="74" t="n">
        <v>3878.58</v>
      </c>
      <c r="H381" s="74">
        <f>F381*G381</f>
        <v/>
      </c>
      <c r="I381" s="74" t="inlineStr">
        <is>
          <t>Real (cruzado por nome, planilha 'Combustível do rateio'; retirado do total geral da equipe para não contar 2x)</t>
        </is>
      </c>
    </row>
    <row r="382" ht="14.25" customHeight="1" s="75">
      <c r="A382" s="74" t="inlineStr">
        <is>
          <t>Julho/2026</t>
        </is>
      </c>
      <c r="B382" s="74" t="inlineStr">
        <is>
          <t>DTEL</t>
        </is>
      </c>
      <c r="C382" s="74" t="inlineStr">
        <is>
          <t>Pessoal</t>
        </is>
      </c>
      <c r="D382" s="74" t="inlineStr">
        <is>
          <t>Motorista da van (Clovis Mendes da Silva)</t>
        </is>
      </c>
      <c r="E382" s="74" t="inlineStr">
        <is>
          <t>MICHELANGELO</t>
        </is>
      </c>
      <c r="F382" s="74" t="n">
        <v>1</v>
      </c>
      <c r="G382" s="74" t="n">
        <v>6394.14</v>
      </c>
      <c r="H382" s="74">
        <f>F382*G382</f>
        <v/>
      </c>
      <c r="I382" s="74" t="inlineStr">
        <is>
          <t>Real (Custo Total da folha do colaborador, cruzado por nome na Base_Despesa_Trabalhista; retirado do total geral da equipe para não contar 2x)</t>
        </is>
      </c>
    </row>
    <row r="383" ht="15" customHeight="1" s="75">
      <c r="A383" s="74" t="inlineStr">
        <is>
          <t>Julho/2026</t>
        </is>
      </c>
      <c r="B383" s="74" t="inlineStr">
        <is>
          <t>DTEL</t>
        </is>
      </c>
      <c r="C383" s="74" t="inlineStr">
        <is>
          <t>Frota/Combustível</t>
        </is>
      </c>
      <c r="D383" s="74" t="inlineStr">
        <is>
          <t>Combustível/manutenção da van (Clovis Mendes da Silva)</t>
        </is>
      </c>
      <c r="E383" s="74" t="inlineStr">
        <is>
          <t>MICHELANGELO</t>
        </is>
      </c>
      <c r="F383" s="74" t="n">
        <v>1</v>
      </c>
      <c r="G383" s="74" t="n">
        <v>4658.08</v>
      </c>
      <c r="H383" s="74">
        <f>F383*G383</f>
        <v/>
      </c>
      <c r="I383" s="74" t="inlineStr">
        <is>
          <t>Real (cruzado por nome, planilha 'Combustível do rateio'; retirado do total geral da equipe para não contar 2x)</t>
        </is>
      </c>
    </row>
    <row r="384" ht="14.25" customHeight="1" s="75">
      <c r="A384" s="74" t="inlineStr">
        <is>
          <t>Maio/2026</t>
        </is>
      </c>
      <c r="B384" s="74" t="inlineStr">
        <is>
          <t>DX2</t>
        </is>
      </c>
      <c r="C384" s="74" t="inlineStr">
        <is>
          <t>Pessoal</t>
        </is>
      </c>
      <c r="D384" s="74" t="inlineStr">
        <is>
          <t>Motorista da van (Jose Matheus Ordonho Silva)</t>
        </is>
      </c>
      <c r="E384" s="74" t="inlineStr">
        <is>
          <t>TIAGO</t>
        </is>
      </c>
      <c r="F384" s="74" t="n">
        <v>1</v>
      </c>
      <c r="G384" s="74" t="n">
        <v>3069.18</v>
      </c>
      <c r="H384" s="74">
        <f>F384*G384</f>
        <v/>
      </c>
      <c r="I384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5">
      <c r="A385" s="74" t="inlineStr">
        <is>
          <t>Maio/2026</t>
        </is>
      </c>
      <c r="B385" s="74" t="inlineStr">
        <is>
          <t>DX2</t>
        </is>
      </c>
      <c r="C385" s="74" t="inlineStr">
        <is>
          <t>Frota/Combustível</t>
        </is>
      </c>
      <c r="D385" s="74" t="inlineStr">
        <is>
          <t>Combustível/manutenção da van (Jose Matheus Ordonho Silva)</t>
        </is>
      </c>
      <c r="E385" s="74" t="inlineStr">
        <is>
          <t>TIAGO</t>
        </is>
      </c>
      <c r="F385" s="74" t="n">
        <v>1</v>
      </c>
      <c r="G385" s="74" t="n">
        <v>2355.66</v>
      </c>
      <c r="H385" s="74">
        <f>F385*G385</f>
        <v/>
      </c>
      <c r="I385" s="74" t="inlineStr">
        <is>
          <t>Real (cruzado por nome, planilha 'Combustível do rateio'; não estava incluído em nenhum lugar antes — adicionado agora)</t>
        </is>
      </c>
    </row>
    <row r="386" ht="14.25" customHeight="1" s="75">
      <c r="A386" s="74" t="inlineStr">
        <is>
          <t>Junho/2026</t>
        </is>
      </c>
      <c r="B386" s="74" t="inlineStr">
        <is>
          <t>DX2</t>
        </is>
      </c>
      <c r="C386" s="74" t="inlineStr">
        <is>
          <t>Pessoal</t>
        </is>
      </c>
      <c r="D386" s="74" t="inlineStr">
        <is>
          <t>Motorista da van (Jose Matheus Ordonho Silva)</t>
        </is>
      </c>
      <c r="E386" s="74" t="inlineStr">
        <is>
          <t>TIAGO</t>
        </is>
      </c>
      <c r="F386" s="74" t="n">
        <v>1</v>
      </c>
      <c r="G386" s="74" t="n">
        <v>3307.04</v>
      </c>
      <c r="H386" s="74">
        <f>F386*G386</f>
        <v/>
      </c>
      <c r="I386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5">
      <c r="A387" s="74" t="inlineStr">
        <is>
          <t>Junho/2026</t>
        </is>
      </c>
      <c r="B387" s="74" t="inlineStr">
        <is>
          <t>DX2</t>
        </is>
      </c>
      <c r="C387" s="74" t="inlineStr">
        <is>
          <t>Frota/Combustível</t>
        </is>
      </c>
      <c r="D387" s="74" t="inlineStr">
        <is>
          <t>Combustível/manutenção da van (Jose Matheus Ordonho Silva)</t>
        </is>
      </c>
      <c r="E387" s="74" t="inlineStr">
        <is>
          <t>TIAGO</t>
        </is>
      </c>
      <c r="F387" s="74" t="n">
        <v>1</v>
      </c>
      <c r="G387" s="74" t="n">
        <v>2242.18</v>
      </c>
      <c r="H387" s="74">
        <f>F387*G387</f>
        <v/>
      </c>
      <c r="I387" s="74" t="inlineStr">
        <is>
          <t>Real (cruzado por nome, planilha 'Combustível do rateio'; não estava incluído em nenhum lugar antes — adicionado agora)</t>
        </is>
      </c>
    </row>
    <row r="388" ht="14.25" customHeight="1" s="75">
      <c r="A388" s="74" t="inlineStr">
        <is>
          <t>Julho/2026</t>
        </is>
      </c>
      <c r="B388" s="74" t="inlineStr">
        <is>
          <t>DX2</t>
        </is>
      </c>
      <c r="C388" s="74" t="inlineStr">
        <is>
          <t>Pessoal</t>
        </is>
      </c>
      <c r="D388" s="74" t="inlineStr">
        <is>
          <t>Motorista da van (Jose Matheus Ordonho Silva)</t>
        </is>
      </c>
      <c r="E388" s="74" t="inlineStr">
        <is>
          <t>TIAGO</t>
        </is>
      </c>
      <c r="F388" s="74" t="n">
        <v>1</v>
      </c>
      <c r="G388" s="74" t="n">
        <v>3644.67</v>
      </c>
      <c r="H388" s="74">
        <f>F388*G388</f>
        <v/>
      </c>
      <c r="I388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5">
      <c r="A389" s="74" t="inlineStr">
        <is>
          <t>Julho/2026</t>
        </is>
      </c>
      <c r="B389" s="74" t="inlineStr">
        <is>
          <t>DX2</t>
        </is>
      </c>
      <c r="C389" s="74" t="inlineStr">
        <is>
          <t>Frota/Combustível</t>
        </is>
      </c>
      <c r="D389" s="74" t="inlineStr">
        <is>
          <t>Combustível/manutenção da van (Jose Matheus Ordonho Silva)</t>
        </is>
      </c>
      <c r="E389" s="74" t="inlineStr">
        <is>
          <t>TIAGO</t>
        </is>
      </c>
      <c r="F389" s="74" t="n">
        <v>1</v>
      </c>
      <c r="G389" s="74" t="n">
        <v>2709.83</v>
      </c>
      <c r="H389" s="74">
        <f>F389*G389</f>
        <v/>
      </c>
      <c r="I389" s="74" t="inlineStr">
        <is>
          <t>Real (cruzado por nome, planilha 'Combustível do rateio'; não estava incluído em nenhum lugar antes — adicionado agora)</t>
        </is>
      </c>
    </row>
    <row r="390" ht="14.25" customHeight="1" s="75">
      <c r="A390" s="130" t="inlineStr">
        <is>
          <t>Subtotal — custos por equipe</t>
        </is>
      </c>
      <c r="B390" s="131" t="n"/>
      <c r="C390" s="131" t="n"/>
      <c r="D390" s="131" t="n"/>
      <c r="E390" s="131" t="n"/>
      <c r="F390" s="131" t="n"/>
      <c r="G390" s="132" t="n"/>
      <c r="H390" s="133">
        <f>SUM(H21:H389)</f>
        <v/>
      </c>
      <c r="I390" s="124" t="n"/>
      <c r="J390" s="124" t="n"/>
      <c r="K390" s="124" t="n"/>
      <c r="L390" s="124" t="n"/>
      <c r="M390" s="124" t="n"/>
      <c r="N390" s="124" t="n"/>
      <c r="O390" s="124" t="n"/>
    </row>
    <row r="391" ht="14.25" customHeight="1" s="75">
      <c r="A391" s="124" t="n"/>
      <c r="B391" s="124" t="n"/>
      <c r="C391" s="124" t="n"/>
      <c r="D391" s="124" t="n"/>
      <c r="E391" s="124" t="n"/>
      <c r="F391" s="124" t="n"/>
      <c r="G391" s="124" t="n"/>
      <c r="H391" s="124" t="n"/>
      <c r="I391" s="124" t="n"/>
      <c r="J391" s="124" t="n"/>
      <c r="K391" s="124" t="n"/>
      <c r="L391" s="124" t="n"/>
      <c r="M391" s="124" t="n"/>
      <c r="N391" s="124" t="n"/>
      <c r="O391" s="124" t="n"/>
    </row>
    <row r="392" ht="14.25" customHeight="1" s="75">
      <c r="A392" s="126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4" t="n"/>
      <c r="L392" s="124" t="n"/>
      <c r="M392" s="124" t="n"/>
      <c r="N392" s="124" t="n"/>
      <c r="O392" s="124" t="n"/>
    </row>
    <row r="393" ht="14.25" customHeight="1" s="75">
      <c r="A393" s="127" t="inlineStr">
        <is>
          <t>Mês</t>
        </is>
      </c>
      <c r="B393" s="127" t="inlineStr">
        <is>
          <t>Coordenador/Equipe</t>
        </is>
      </c>
      <c r="C393" s="127" t="inlineStr">
        <is>
          <t>Empresa</t>
        </is>
      </c>
      <c r="D393" s="127" t="inlineStr">
        <is>
          <t>Custo Total (R$)</t>
        </is>
      </c>
      <c r="E393" s="127" t="inlineStr">
        <is>
          <t>Vendas (qtd)</t>
        </is>
      </c>
      <c r="F393" s="127" t="inlineStr">
        <is>
          <t>Upgrade (qtd)</t>
        </is>
      </c>
      <c r="G393" s="127" t="inlineStr">
        <is>
          <t>Receita de Vendas (R$)</t>
        </is>
      </c>
      <c r="H393" s="127" t="inlineStr">
        <is>
          <t>Receita de Upgrade (R$)</t>
        </is>
      </c>
      <c r="I393" s="127" t="inlineStr">
        <is>
          <t>Receita Total (R$)</t>
        </is>
      </c>
      <c r="J393" s="127" t="inlineStr">
        <is>
          <t>Custo por Venda (R$)</t>
        </is>
      </c>
      <c r="K393" s="124" t="n"/>
      <c r="L393" s="124" t="n"/>
      <c r="M393" s="124" t="n"/>
      <c r="N393" s="124" t="n"/>
      <c r="O393" s="124" t="n"/>
    </row>
    <row r="394" ht="14.25" customHeight="1" s="75">
      <c r="A394" s="128" t="inlineStr">
        <is>
          <t>Junho/2026</t>
        </is>
      </c>
      <c r="B394" s="128" t="inlineStr">
        <is>
          <t>ELTHON MENEZES</t>
        </is>
      </c>
      <c r="C394" s="128" t="inlineStr">
        <is>
          <t>Todas as empresas</t>
        </is>
      </c>
      <c r="D394" s="129" t="n">
        <v>121496.64</v>
      </c>
      <c r="E394" s="128" t="n">
        <v>537</v>
      </c>
      <c r="F394" s="128" t="n">
        <v>11</v>
      </c>
      <c r="G394" s="129" t="n">
        <v>41961.99</v>
      </c>
      <c r="H394" s="129" t="n">
        <v>1017.98</v>
      </c>
      <c r="I394" s="129" t="n">
        <v>42979.97</v>
      </c>
      <c r="J394" s="129" t="n">
        <v>221.71</v>
      </c>
      <c r="K394" s="124" t="n"/>
      <c r="L394" s="124" t="n"/>
      <c r="M394" s="124" t="n"/>
      <c r="N394" s="124" t="n"/>
      <c r="O394" s="124" t="n"/>
    </row>
    <row r="395" ht="14.25" customHeight="1" s="75">
      <c r="A395" s="128" t="inlineStr">
        <is>
          <t>Junho/2026</t>
        </is>
      </c>
      <c r="B395" s="128" t="inlineStr">
        <is>
          <t>GABRIEL LIMA</t>
        </is>
      </c>
      <c r="C395" s="128" t="inlineStr">
        <is>
          <t>Todas as empresas</t>
        </is>
      </c>
      <c r="D395" s="129" t="n">
        <v>9414.77</v>
      </c>
      <c r="E395" s="128" t="n">
        <v>26</v>
      </c>
      <c r="F395" s="128" t="n">
        <v>1</v>
      </c>
      <c r="G395" s="129" t="n">
        <v>2047.79</v>
      </c>
      <c r="H395" s="129" t="n">
        <v>99.90000000000001</v>
      </c>
      <c r="I395" s="129" t="n">
        <v>2147.69</v>
      </c>
      <c r="J395" s="129" t="n">
        <v>348.7</v>
      </c>
      <c r="K395" s="124" t="n"/>
      <c r="L395" s="124" t="n"/>
      <c r="M395" s="124" t="n"/>
      <c r="N395" s="124" t="n"/>
      <c r="O395" s="124" t="n"/>
    </row>
    <row r="396" ht="14.25" customHeight="1" s="75">
      <c r="A396" s="128" t="inlineStr">
        <is>
          <t>Junho/2026</t>
        </is>
      </c>
      <c r="B396" s="128" t="inlineStr">
        <is>
          <t>LUCAS BONIFÁCIO</t>
        </is>
      </c>
      <c r="C396" s="128" t="inlineStr">
        <is>
          <t>Todas as empresas</t>
        </is>
      </c>
      <c r="D396" s="129" t="n">
        <v>34081.23</v>
      </c>
      <c r="E396" s="128" t="n">
        <v>143</v>
      </c>
      <c r="F396" s="128" t="n">
        <v>2</v>
      </c>
      <c r="G396" s="129" t="n">
        <v>13522.34</v>
      </c>
      <c r="H396" s="129" t="n">
        <v>154.79</v>
      </c>
      <c r="I396" s="129" t="n">
        <v>13677.13</v>
      </c>
      <c r="J396" s="129" t="n">
        <v>235.04</v>
      </c>
      <c r="K396" s="124" t="n"/>
      <c r="L396" s="124" t="n"/>
      <c r="M396" s="124" t="n"/>
      <c r="N396" s="124" t="n"/>
      <c r="O396" s="124" t="n"/>
    </row>
    <row r="397" ht="14.25" customHeight="1" s="75">
      <c r="A397" s="128" t="inlineStr">
        <is>
          <t>Junho/2026</t>
        </is>
      </c>
      <c r="B397" s="128" t="inlineStr">
        <is>
          <t>MICHELANGELO</t>
        </is>
      </c>
      <c r="C397" s="128" t="inlineStr">
        <is>
          <t>Todas as empresas</t>
        </is>
      </c>
      <c r="D397" s="129" t="n">
        <v>45540.01</v>
      </c>
      <c r="E397" s="128" t="n">
        <v>239</v>
      </c>
      <c r="F397" s="128" t="n">
        <v>1</v>
      </c>
      <c r="G397" s="129" t="n">
        <v>21837.84</v>
      </c>
      <c r="H397" s="129" t="n">
        <v>109.89</v>
      </c>
      <c r="I397" s="129" t="n">
        <v>21947.73</v>
      </c>
      <c r="J397" s="129" t="n">
        <v>189.75</v>
      </c>
      <c r="K397" s="124" t="n"/>
      <c r="L397" s="124" t="n"/>
      <c r="M397" s="124" t="n"/>
      <c r="N397" s="124" t="n"/>
      <c r="O397" s="124" t="n"/>
    </row>
    <row r="398" ht="14.25" customHeight="1" s="75">
      <c r="A398" s="128" t="inlineStr">
        <is>
          <t>Junho/2026</t>
        </is>
      </c>
      <c r="B398" s="128" t="inlineStr">
        <is>
          <t>TARCIZIO MEIRELES</t>
        </is>
      </c>
      <c r="C398" s="128" t="inlineStr">
        <is>
          <t>Todas as empresas</t>
        </is>
      </c>
      <c r="D398" s="129" t="n">
        <v>90875.72</v>
      </c>
      <c r="E398" s="128" t="n">
        <v>292</v>
      </c>
      <c r="F398" s="128" t="n">
        <v>3</v>
      </c>
      <c r="G398" s="129" t="n">
        <v>24097.75</v>
      </c>
      <c r="H398" s="129" t="n">
        <v>329.8</v>
      </c>
      <c r="I398" s="129" t="n">
        <v>24427.55</v>
      </c>
      <c r="J398" s="129" t="n">
        <v>308.05</v>
      </c>
      <c r="K398" s="124" t="n"/>
      <c r="L398" s="124" t="n"/>
      <c r="M398" s="124" t="n"/>
      <c r="N398" s="124" t="n"/>
      <c r="O398" s="124" t="n"/>
    </row>
    <row r="399" ht="14.25" customHeight="1" s="75">
      <c r="A399" s="128" t="inlineStr">
        <is>
          <t>Junho/2026</t>
        </is>
      </c>
      <c r="B399" s="128" t="inlineStr">
        <is>
          <t>TIAGO</t>
        </is>
      </c>
      <c r="C399" s="128" t="inlineStr">
        <is>
          <t>Todas as empresas</t>
        </is>
      </c>
      <c r="D399" s="129" t="n">
        <v>45425.95</v>
      </c>
      <c r="E399" s="128" t="n">
        <v>264</v>
      </c>
      <c r="F399" s="128" t="n">
        <v>8</v>
      </c>
      <c r="G399" s="129" t="n">
        <v>22685.42</v>
      </c>
      <c r="H399" s="129" t="n">
        <v>734.26</v>
      </c>
      <c r="I399" s="129" t="n">
        <v>23419.68</v>
      </c>
      <c r="J399" s="129" t="n">
        <v>167.01</v>
      </c>
      <c r="K399" s="124" t="n"/>
      <c r="L399" s="124" t="n"/>
      <c r="M399" s="124" t="n"/>
      <c r="N399" s="124" t="n"/>
      <c r="O399" s="124" t="n"/>
    </row>
    <row r="400" ht="14.25" customHeight="1" s="75">
      <c r="A400" s="128" t="inlineStr">
        <is>
          <t>Junho/2026</t>
        </is>
      </c>
      <c r="B400" s="128" t="inlineStr">
        <is>
          <t>VITOR LINS</t>
        </is>
      </c>
      <c r="C400" s="128" t="inlineStr">
        <is>
          <t>Todas as empresas</t>
        </is>
      </c>
      <c r="D400" s="129" t="n">
        <v>3703.62</v>
      </c>
      <c r="E400" s="128" t="n">
        <v>26</v>
      </c>
      <c r="F400" s="128" t="n">
        <v>0</v>
      </c>
      <c r="G400" s="129" t="n">
        <v>2307.4</v>
      </c>
      <c r="H400" s="129" t="n">
        <v>0</v>
      </c>
      <c r="I400" s="129" t="n">
        <v>2307.4</v>
      </c>
      <c r="J400" s="129" t="n">
        <v>142.45</v>
      </c>
      <c r="K400" s="124" t="n"/>
      <c r="L400" s="124" t="n"/>
      <c r="M400" s="124" t="n"/>
      <c r="N400" s="124" t="n"/>
      <c r="O400" s="124" t="n"/>
    </row>
    <row r="401" ht="14.25" customHeight="1" s="75">
      <c r="A401" s="128" t="inlineStr">
        <is>
          <t>Maio/2026</t>
        </is>
      </c>
      <c r="B401" s="128" t="inlineStr">
        <is>
          <t>ELTHON MENEZES</t>
        </is>
      </c>
      <c r="C401" s="128" t="inlineStr">
        <is>
          <t>Todas as empresas</t>
        </is>
      </c>
      <c r="D401" s="129" t="n">
        <v>119150.38</v>
      </c>
      <c r="E401" s="128" t="n">
        <v>658</v>
      </c>
      <c r="F401" s="128" t="n">
        <v>10</v>
      </c>
      <c r="G401" s="129" t="n">
        <v>56085.27</v>
      </c>
      <c r="H401" s="129" t="n">
        <v>963.98</v>
      </c>
      <c r="I401" s="129" t="n">
        <v>57049.25</v>
      </c>
      <c r="J401" s="129" t="n">
        <v>178.37</v>
      </c>
      <c r="K401" s="124" t="n"/>
      <c r="L401" s="124" t="n"/>
      <c r="M401" s="124" t="n"/>
      <c r="N401" s="124" t="n"/>
      <c r="O401" s="124" t="n"/>
    </row>
    <row r="402" ht="14.25" customHeight="1" s="75">
      <c r="A402" s="128" t="inlineStr">
        <is>
          <t>Maio/2026</t>
        </is>
      </c>
      <c r="B402" s="128" t="inlineStr">
        <is>
          <t>GABRIEL LIMA</t>
        </is>
      </c>
      <c r="C402" s="128" t="inlineStr">
        <is>
          <t>Todas as empresas</t>
        </is>
      </c>
      <c r="D402" s="129" t="n">
        <v>7367.92</v>
      </c>
      <c r="E402" s="128" t="n">
        <v>0</v>
      </c>
      <c r="F402" s="128" t="n">
        <v>0</v>
      </c>
      <c r="G402" s="129" t="n">
        <v>0</v>
      </c>
      <c r="H402" s="129" t="n">
        <v>0</v>
      </c>
      <c r="I402" s="129" t="n">
        <v>0</v>
      </c>
      <c r="J402" s="129" t="n"/>
      <c r="K402" s="124" t="n"/>
      <c r="L402" s="124" t="n"/>
      <c r="M402" s="124" t="n"/>
      <c r="N402" s="124" t="n"/>
      <c r="O402" s="124" t="n"/>
    </row>
    <row r="403" ht="14.25" customHeight="1" s="75">
      <c r="A403" s="128" t="inlineStr">
        <is>
          <t>Maio/2026</t>
        </is>
      </c>
      <c r="B403" s="128" t="inlineStr">
        <is>
          <t>LUCAS BONIFÁCIO</t>
        </is>
      </c>
      <c r="C403" s="128" t="inlineStr">
        <is>
          <t>Todas as empresas</t>
        </is>
      </c>
      <c r="D403" s="129" t="n">
        <v>34042.65</v>
      </c>
      <c r="E403" s="128" t="n">
        <v>115</v>
      </c>
      <c r="F403" s="128" t="n">
        <v>5</v>
      </c>
      <c r="G403" s="129" t="n">
        <v>10449.44</v>
      </c>
      <c r="H403" s="129" t="n">
        <v>519.48</v>
      </c>
      <c r="I403" s="129" t="n">
        <v>10968.92</v>
      </c>
      <c r="J403" s="129" t="n">
        <v>283.69</v>
      </c>
      <c r="K403" s="124" t="n"/>
      <c r="L403" s="124" t="n"/>
      <c r="M403" s="124" t="n"/>
      <c r="N403" s="124" t="n"/>
      <c r="O403" s="124" t="n"/>
    </row>
    <row r="404" ht="14.25" customHeight="1" s="75">
      <c r="A404" s="128" t="inlineStr">
        <is>
          <t>Maio/2026</t>
        </is>
      </c>
      <c r="B404" s="128" t="inlineStr">
        <is>
          <t>MICHELANGELO</t>
        </is>
      </c>
      <c r="C404" s="128" t="inlineStr">
        <is>
          <t>Todas as empresas</t>
        </is>
      </c>
      <c r="D404" s="129" t="n">
        <v>64543.96</v>
      </c>
      <c r="E404" s="128" t="n">
        <v>190</v>
      </c>
      <c r="F404" s="128" t="n">
        <v>0</v>
      </c>
      <c r="G404" s="129" t="n">
        <v>17667.07</v>
      </c>
      <c r="H404" s="129" t="n">
        <v>0</v>
      </c>
      <c r="I404" s="129" t="n">
        <v>17667.07</v>
      </c>
      <c r="J404" s="129" t="n">
        <v>339.71</v>
      </c>
      <c r="K404" s="124" t="n"/>
      <c r="L404" s="124" t="n"/>
      <c r="M404" s="124" t="n"/>
      <c r="N404" s="124" t="n"/>
      <c r="O404" s="124" t="n"/>
    </row>
    <row r="405" ht="14.25" customHeight="1" s="75">
      <c r="A405" s="128" t="inlineStr">
        <is>
          <t>Maio/2026</t>
        </is>
      </c>
      <c r="B405" s="128" t="inlineStr">
        <is>
          <t>TARCIZIO MEIRELES</t>
        </is>
      </c>
      <c r="C405" s="128" t="inlineStr">
        <is>
          <t>Todas as empresas</t>
        </is>
      </c>
      <c r="D405" s="129" t="n">
        <v>102992.51</v>
      </c>
      <c r="E405" s="128" t="n">
        <v>576</v>
      </c>
      <c r="F405" s="128" t="n">
        <v>6</v>
      </c>
      <c r="G405" s="129" t="n">
        <v>48361.21</v>
      </c>
      <c r="H405" s="129" t="n">
        <v>589.39</v>
      </c>
      <c r="I405" s="129" t="n">
        <v>48950.6</v>
      </c>
      <c r="J405" s="129" t="n">
        <v>176.96</v>
      </c>
      <c r="K405" s="124" t="n"/>
      <c r="L405" s="124" t="n"/>
      <c r="M405" s="124" t="n"/>
      <c r="N405" s="124" t="n"/>
      <c r="O405" s="124" t="n"/>
    </row>
    <row r="406" ht="14.25" customHeight="1" s="75">
      <c r="A406" s="128" t="inlineStr">
        <is>
          <t>Maio/2026</t>
        </is>
      </c>
      <c r="B406" s="128" t="inlineStr">
        <is>
          <t>TIAGO</t>
        </is>
      </c>
      <c r="C406" s="128" t="inlineStr">
        <is>
          <t>Todas as empresas</t>
        </is>
      </c>
      <c r="D406" s="129" t="n">
        <v>41682.6</v>
      </c>
      <c r="E406" s="128" t="n">
        <v>196</v>
      </c>
      <c r="F406" s="128" t="n">
        <v>11</v>
      </c>
      <c r="G406" s="129" t="n">
        <v>17775.09</v>
      </c>
      <c r="H406" s="129" t="n">
        <v>1108.79</v>
      </c>
      <c r="I406" s="129" t="n">
        <v>18883.88</v>
      </c>
      <c r="J406" s="129" t="n">
        <v>201.37</v>
      </c>
      <c r="K406" s="124" t="n"/>
      <c r="L406" s="124" t="n"/>
      <c r="M406" s="124" t="n"/>
      <c r="N406" s="124" t="n"/>
      <c r="O406" s="124" t="n"/>
    </row>
    <row r="407" ht="14.25" customHeight="1" s="75">
      <c r="A407" s="128" t="inlineStr">
        <is>
          <t>Maio/2026</t>
        </is>
      </c>
      <c r="B407" s="128" t="inlineStr">
        <is>
          <t>VITOR LINS</t>
        </is>
      </c>
      <c r="C407" s="128" t="inlineStr">
        <is>
          <t>Todas as empresas</t>
        </is>
      </c>
      <c r="D407" s="129" t="n">
        <v>3712.16</v>
      </c>
      <c r="E407" s="128" t="n">
        <v>23</v>
      </c>
      <c r="F407" s="128" t="n">
        <v>0</v>
      </c>
      <c r="G407" s="129" t="n">
        <v>1988.18</v>
      </c>
      <c r="H407" s="129" t="n">
        <v>0</v>
      </c>
      <c r="I407" s="129" t="n">
        <v>1988.18</v>
      </c>
      <c r="J407" s="129" t="n">
        <v>161.4</v>
      </c>
      <c r="K407" s="124" t="n"/>
      <c r="L407" s="124" t="n"/>
      <c r="M407" s="124" t="n"/>
      <c r="N407" s="124" t="n"/>
      <c r="O407" s="124" t="n"/>
    </row>
    <row r="408" ht="14.25" customHeight="1" s="75">
      <c r="A408" s="128" t="inlineStr">
        <is>
          <t>Julho/2026</t>
        </is>
      </c>
      <c r="B408" s="128" t="inlineStr">
        <is>
          <t>ELTHON MENEZES</t>
        </is>
      </c>
      <c r="C408" s="128" t="inlineStr">
        <is>
          <t>Todas as empresas</t>
        </is>
      </c>
      <c r="D408" s="129" t="n">
        <v>161849.96</v>
      </c>
      <c r="E408" s="128" t="n">
        <v>808</v>
      </c>
      <c r="F408" s="128" t="n">
        <v>3</v>
      </c>
      <c r="G408" s="129" t="n">
        <v>67103</v>
      </c>
      <c r="H408" s="129" t="n">
        <v>74.90000000000001</v>
      </c>
      <c r="I408" s="129" t="n">
        <v>67177.89999999999</v>
      </c>
      <c r="J408" s="129" t="n">
        <v>199.57</v>
      </c>
      <c r="K408" s="124" t="n"/>
      <c r="L408" s="124" t="n"/>
      <c r="M408" s="124" t="n"/>
      <c r="N408" s="124" t="n"/>
      <c r="O408" s="124" t="n"/>
    </row>
    <row r="409" ht="14.25" customHeight="1" s="75">
      <c r="A409" s="128" t="inlineStr">
        <is>
          <t>Julho/2026</t>
        </is>
      </c>
      <c r="B409" s="128" t="inlineStr">
        <is>
          <t>GABRIEL LIMA</t>
        </is>
      </c>
      <c r="C409" s="128" t="inlineStr">
        <is>
          <t>Todas as empresas</t>
        </is>
      </c>
      <c r="D409" s="129" t="n">
        <v>7410.09</v>
      </c>
      <c r="E409" s="128" t="n">
        <v>138</v>
      </c>
      <c r="F409" s="128" t="n">
        <v>0</v>
      </c>
      <c r="G409" s="129" t="n">
        <v>11731.77</v>
      </c>
      <c r="H409" s="129" t="n">
        <v>0</v>
      </c>
      <c r="I409" s="129" t="n">
        <v>11731.77</v>
      </c>
      <c r="J409" s="129" t="n">
        <v>53.7</v>
      </c>
      <c r="K409" s="124" t="n"/>
      <c r="L409" s="124" t="n"/>
      <c r="M409" s="124" t="n"/>
      <c r="N409" s="124" t="n"/>
      <c r="O409" s="124" t="n"/>
    </row>
    <row r="410" ht="14.25" customHeight="1" s="75">
      <c r="A410" s="128" t="inlineStr">
        <is>
          <t>Julho/2026</t>
        </is>
      </c>
      <c r="B410" s="128" t="inlineStr">
        <is>
          <t>LUCAS BONIFÁCIO</t>
        </is>
      </c>
      <c r="C410" s="128" t="inlineStr">
        <is>
          <t>Todas as empresas</t>
        </is>
      </c>
      <c r="D410" s="129" t="n">
        <v>17008.44</v>
      </c>
      <c r="E410" s="128" t="n">
        <v>128</v>
      </c>
      <c r="F410" s="128" t="n">
        <v>0</v>
      </c>
      <c r="G410" s="129" t="n">
        <v>11678.14</v>
      </c>
      <c r="H410" s="129" t="n">
        <v>0</v>
      </c>
      <c r="I410" s="129" t="n">
        <v>11678.14</v>
      </c>
      <c r="J410" s="129" t="n">
        <v>132.88</v>
      </c>
      <c r="K410" s="124" t="n"/>
      <c r="L410" s="124" t="n"/>
      <c r="M410" s="124" t="n"/>
      <c r="N410" s="124" t="n"/>
      <c r="O410" s="124" t="n"/>
    </row>
    <row r="411" ht="14.25" customHeight="1" s="75">
      <c r="A411" s="128" t="inlineStr">
        <is>
          <t>Julho/2026</t>
        </is>
      </c>
      <c r="B411" s="128" t="inlineStr">
        <is>
          <t>MICHELANGELO</t>
        </is>
      </c>
      <c r="C411" s="128" t="inlineStr">
        <is>
          <t>Todas as empresas</t>
        </is>
      </c>
      <c r="D411" s="129" t="n">
        <v>41082.7</v>
      </c>
      <c r="E411" s="128" t="n">
        <v>327</v>
      </c>
      <c r="F411" s="128" t="n">
        <v>0</v>
      </c>
      <c r="G411" s="129" t="n">
        <v>29088.58</v>
      </c>
      <c r="H411" s="129" t="n">
        <v>0</v>
      </c>
      <c r="I411" s="129" t="n">
        <v>29088.58</v>
      </c>
      <c r="J411" s="129" t="n">
        <v>125.64</v>
      </c>
      <c r="K411" s="124" t="n"/>
      <c r="L411" s="124" t="n"/>
      <c r="M411" s="124" t="n"/>
      <c r="N411" s="124" t="n"/>
      <c r="O411" s="124" t="n"/>
    </row>
    <row r="412" ht="14.25" customHeight="1" s="75">
      <c r="A412" s="128" t="inlineStr">
        <is>
          <t>Julho/2026</t>
        </is>
      </c>
      <c r="B412" s="128" t="inlineStr">
        <is>
          <t>TARCIZIO MEIRELES</t>
        </is>
      </c>
      <c r="C412" s="128" t="inlineStr">
        <is>
          <t>Todas as empresas</t>
        </is>
      </c>
      <c r="D412" s="129" t="n">
        <v>65806.72</v>
      </c>
      <c r="E412" s="128" t="n">
        <v>342</v>
      </c>
      <c r="F412" s="128" t="n">
        <v>2</v>
      </c>
      <c r="G412" s="129" t="n">
        <v>28924.39</v>
      </c>
      <c r="H412" s="129" t="n">
        <v>25</v>
      </c>
      <c r="I412" s="129" t="n">
        <v>28949.39</v>
      </c>
      <c r="J412" s="129" t="n">
        <v>191.3</v>
      </c>
      <c r="K412" s="124" t="n"/>
      <c r="L412" s="124" t="n"/>
      <c r="M412" s="124" t="n"/>
      <c r="N412" s="124" t="n"/>
      <c r="O412" s="124" t="n"/>
    </row>
    <row r="413" ht="14.25" customHeight="1" s="75">
      <c r="A413" s="128" t="inlineStr">
        <is>
          <t>Julho/2026</t>
        </is>
      </c>
      <c r="B413" s="128" t="inlineStr">
        <is>
          <t>TIAGO</t>
        </is>
      </c>
      <c r="C413" s="128" t="inlineStr">
        <is>
          <t>Todas as empresas</t>
        </is>
      </c>
      <c r="D413" s="129" t="n">
        <v>92377.85000000001</v>
      </c>
      <c r="E413" s="128" t="n">
        <v>266</v>
      </c>
      <c r="F413" s="128" t="n">
        <v>5</v>
      </c>
      <c r="G413" s="129" t="n">
        <v>23159.66</v>
      </c>
      <c r="H413" s="129" t="n">
        <v>105.09</v>
      </c>
      <c r="I413" s="129" t="n">
        <v>23264.75</v>
      </c>
      <c r="J413" s="129" t="n">
        <v>340.88</v>
      </c>
      <c r="K413" s="124" t="n"/>
      <c r="L413" s="124" t="n"/>
      <c r="M413" s="124" t="n"/>
      <c r="N413" s="124" t="n"/>
      <c r="O413" s="124" t="n"/>
    </row>
    <row r="414" ht="14.25" customHeight="1" s="75">
      <c r="A414" s="128" t="inlineStr">
        <is>
          <t>Julho/2026</t>
        </is>
      </c>
      <c r="B414" s="128" t="inlineStr">
        <is>
          <t>VITOR LINS</t>
        </is>
      </c>
      <c r="C414" s="128" t="inlineStr">
        <is>
          <t>Todas as empresas</t>
        </is>
      </c>
      <c r="D414" s="129" t="n">
        <v>0</v>
      </c>
      <c r="E414" s="128" t="n">
        <v>25</v>
      </c>
      <c r="F414" s="128" t="n">
        <v>1</v>
      </c>
      <c r="G414" s="129" t="n">
        <v>2177.7</v>
      </c>
      <c r="H414" s="129" t="n">
        <v>39.97</v>
      </c>
      <c r="I414" s="129" t="n">
        <v>2217.67</v>
      </c>
      <c r="J414" s="129" t="n">
        <v>0</v>
      </c>
      <c r="K414" s="124" t="n"/>
      <c r="L414" s="124" t="n"/>
      <c r="M414" s="124" t="n"/>
      <c r="N414" s="124" t="n"/>
      <c r="O414" s="124" t="n"/>
    </row>
    <row r="415" ht="14.25" customHeight="1" s="75">
      <c r="A415" s="128" t="n"/>
      <c r="B415" s="128" t="n"/>
      <c r="C415" s="128" t="n"/>
      <c r="D415" s="129" t="n"/>
      <c r="E415" s="128" t="n"/>
      <c r="F415" s="128" t="n"/>
      <c r="G415" s="129" t="n"/>
      <c r="H415" s="129" t="n"/>
      <c r="I415" s="129" t="n"/>
      <c r="J415" s="128" t="n"/>
      <c r="K415" s="124" t="n"/>
      <c r="L415" s="124" t="n"/>
      <c r="M415" s="124" t="n"/>
      <c r="N415" s="124" t="n"/>
      <c r="O415" s="124" t="n"/>
    </row>
    <row r="416" ht="14.25" customHeight="1" s="75">
      <c r="A416" s="128" t="n"/>
      <c r="B416" s="128" t="n"/>
      <c r="C416" s="128" t="n"/>
      <c r="D416" s="129" t="n"/>
      <c r="E416" s="128" t="n"/>
      <c r="F416" s="128" t="n"/>
      <c r="G416" s="129" t="n"/>
      <c r="H416" s="129" t="n"/>
      <c r="I416" s="129" t="n"/>
      <c r="J416" s="124" t="n"/>
      <c r="K416" s="124" t="n"/>
      <c r="L416" s="124" t="n"/>
      <c r="M416" s="124" t="n"/>
      <c r="N416" s="124" t="n"/>
      <c r="O416" s="124" t="n"/>
    </row>
    <row r="417" ht="14.25" customHeight="1" s="75">
      <c r="A417" s="128" t="n"/>
      <c r="B417" s="128" t="n"/>
      <c r="C417" s="128" t="n"/>
      <c r="D417" s="129" t="n"/>
      <c r="E417" s="128" t="n"/>
      <c r="F417" s="128" t="n"/>
      <c r="G417" s="129" t="n"/>
      <c r="H417" s="129" t="n"/>
      <c r="I417" s="129" t="n"/>
      <c r="J417" s="124" t="n"/>
      <c r="K417" s="124" t="n"/>
      <c r="L417" s="124" t="n"/>
      <c r="M417" s="124" t="n"/>
      <c r="N417" s="124" t="n"/>
      <c r="O417" s="124" t="n"/>
    </row>
    <row r="418" ht="14.25" customHeight="1" s="75">
      <c r="A418" s="128" t="n"/>
      <c r="B418" s="128" t="n"/>
      <c r="C418" s="128" t="n"/>
      <c r="D418" s="129" t="n"/>
      <c r="E418" s="128" t="n"/>
      <c r="F418" s="128" t="n"/>
      <c r="G418" s="129" t="n"/>
      <c r="H418" s="129" t="n"/>
      <c r="I418" s="129" t="n"/>
      <c r="J418" s="124" t="n"/>
      <c r="K418" s="124" t="n"/>
      <c r="L418" s="124" t="n"/>
      <c r="M418" s="124" t="n"/>
      <c r="N418" s="124" t="n"/>
      <c r="O418" s="124" t="n"/>
    </row>
    <row r="419" ht="14.25" customHeight="1" s="75">
      <c r="A419" s="128" t="n"/>
      <c r="B419" s="128" t="n"/>
      <c r="C419" s="128" t="n"/>
      <c r="D419" s="129" t="n"/>
      <c r="E419" s="128" t="n"/>
      <c r="F419" s="128" t="n"/>
      <c r="G419" s="129" t="n"/>
      <c r="H419" s="129" t="n"/>
      <c r="I419" s="129" t="n"/>
      <c r="J419" s="124" t="n"/>
      <c r="K419" s="124" t="n"/>
      <c r="L419" s="124" t="n"/>
      <c r="M419" s="124" t="n"/>
      <c r="N419" s="124" t="n"/>
      <c r="O419" s="124" t="n"/>
    </row>
    <row r="420" ht="14.25" customHeight="1" s="75">
      <c r="A420" s="128" t="n"/>
      <c r="B420" s="128" t="n"/>
      <c r="C420" s="128" t="n"/>
      <c r="D420" s="129" t="n"/>
      <c r="E420" s="128" t="n"/>
      <c r="F420" s="128" t="n"/>
      <c r="G420" s="129" t="n"/>
      <c r="H420" s="129" t="n"/>
      <c r="I420" s="129" t="n"/>
      <c r="J420" s="124" t="n"/>
      <c r="K420" s="124" t="n"/>
      <c r="L420" s="124" t="n"/>
      <c r="M420" s="124" t="n"/>
      <c r="N420" s="124" t="n"/>
      <c r="O420" s="124" t="n"/>
    </row>
    <row r="421" ht="14.25" customHeight="1" s="75">
      <c r="A421" s="128" t="n"/>
      <c r="B421" s="128" t="n"/>
      <c r="C421" s="128" t="n"/>
      <c r="D421" s="129" t="n"/>
      <c r="E421" s="128" t="n"/>
      <c r="F421" s="128" t="n"/>
      <c r="G421" s="129" t="n"/>
      <c r="H421" s="129" t="n"/>
      <c r="I421" s="129" t="n"/>
      <c r="J421" s="124" t="n"/>
      <c r="K421" s="124" t="n"/>
      <c r="L421" s="124" t="n"/>
      <c r="M421" s="124" t="n"/>
      <c r="N421" s="124" t="n"/>
      <c r="O421" s="124" t="n"/>
    </row>
    <row r="422" ht="14.25" customHeight="1" s="75">
      <c r="A422" s="128" t="n"/>
      <c r="B422" s="128" t="n"/>
      <c r="C422" s="128" t="n"/>
      <c r="D422" s="129" t="n"/>
      <c r="E422" s="128" t="n"/>
      <c r="F422" s="128" t="n"/>
      <c r="G422" s="129" t="n"/>
      <c r="H422" s="129" t="n"/>
      <c r="I422" s="129" t="n"/>
      <c r="J422" s="124" t="n"/>
      <c r="K422" s="124" t="n"/>
      <c r="L422" s="124" t="n"/>
      <c r="M422" s="124" t="n"/>
      <c r="N422" s="124" t="n"/>
      <c r="O422" s="124" t="n"/>
    </row>
    <row r="423" ht="14.25" customHeight="1" s="75">
      <c r="A423" s="128" t="n"/>
      <c r="B423" s="128" t="n"/>
      <c r="C423" s="128" t="n"/>
      <c r="D423" s="129" t="n"/>
      <c r="E423" s="128" t="n"/>
      <c r="F423" s="128" t="n"/>
      <c r="G423" s="129" t="n"/>
      <c r="H423" s="129" t="n"/>
      <c r="I423" s="129" t="n"/>
      <c r="J423" s="124" t="n"/>
      <c r="K423" s="124" t="n"/>
      <c r="L423" s="124" t="n"/>
      <c r="M423" s="124" t="n"/>
      <c r="N423" s="124" t="n"/>
      <c r="O423" s="124" t="n"/>
    </row>
    <row r="424" ht="14.25" customHeight="1" s="75">
      <c r="A424" s="128" t="n"/>
      <c r="B424" s="128" t="n"/>
      <c r="C424" s="128" t="n"/>
      <c r="D424" s="129" t="n"/>
      <c r="E424" s="128" t="n"/>
      <c r="F424" s="128" t="n"/>
      <c r="G424" s="129" t="n"/>
      <c r="H424" s="129" t="n"/>
      <c r="I424" s="129" t="n"/>
      <c r="J424" s="124" t="n"/>
      <c r="K424" s="124" t="n"/>
      <c r="L424" s="124" t="n"/>
      <c r="M424" s="124" t="n"/>
      <c r="N424" s="124" t="n"/>
      <c r="O424" s="124" t="n"/>
    </row>
    <row r="425" ht="14.25" customHeight="1" s="75">
      <c r="A425" s="128" t="n"/>
      <c r="B425" s="128" t="n"/>
      <c r="C425" s="128" t="n"/>
      <c r="D425" s="129" t="n"/>
      <c r="E425" s="128" t="n"/>
      <c r="F425" s="128" t="n"/>
      <c r="G425" s="129" t="n"/>
      <c r="H425" s="129" t="n"/>
      <c r="I425" s="129" t="n"/>
      <c r="J425" s="124" t="n"/>
      <c r="K425" s="124" t="n"/>
      <c r="L425" s="124" t="n"/>
      <c r="M425" s="124" t="n"/>
      <c r="N425" s="124" t="n"/>
      <c r="O425" s="124" t="n"/>
    </row>
    <row r="426" ht="14.25" customHeight="1" s="75">
      <c r="A426" s="128" t="n"/>
      <c r="B426" s="128" t="n"/>
      <c r="C426" s="128" t="n"/>
      <c r="D426" s="129" t="n"/>
      <c r="E426" s="128" t="n"/>
      <c r="F426" s="128" t="n"/>
      <c r="G426" s="129" t="n"/>
      <c r="H426" s="129" t="n"/>
      <c r="I426" s="129" t="n"/>
      <c r="J426" s="124" t="n"/>
      <c r="K426" s="124" t="n"/>
      <c r="L426" s="124" t="n"/>
      <c r="M426" s="124" t="n"/>
      <c r="N426" s="124" t="n"/>
      <c r="O426" s="124" t="n"/>
    </row>
    <row r="427" ht="14.25" customHeight="1" s="75">
      <c r="A427" s="128" t="n"/>
      <c r="B427" s="128" t="n"/>
      <c r="C427" s="128" t="n"/>
      <c r="D427" s="129" t="n"/>
      <c r="E427" s="128" t="n"/>
      <c r="F427" s="128" t="n"/>
      <c r="G427" s="129" t="n"/>
      <c r="H427" s="129" t="n"/>
      <c r="I427" s="129" t="n"/>
      <c r="J427" s="124" t="n"/>
      <c r="K427" s="124" t="n"/>
      <c r="L427" s="124" t="n"/>
      <c r="M427" s="124" t="n"/>
      <c r="N427" s="124" t="n"/>
      <c r="O427" s="124" t="n"/>
    </row>
    <row r="428" ht="14.25" customHeight="1" s="75">
      <c r="A428" s="128" t="n"/>
      <c r="B428" s="128" t="n"/>
      <c r="C428" s="128" t="n"/>
      <c r="D428" s="129" t="n"/>
      <c r="E428" s="128" t="n"/>
      <c r="F428" s="128" t="n"/>
      <c r="G428" s="129" t="n"/>
      <c r="H428" s="129" t="n"/>
      <c r="I428" s="129" t="n"/>
      <c r="J428" s="124" t="n"/>
      <c r="K428" s="124" t="n"/>
      <c r="L428" s="124" t="n"/>
      <c r="M428" s="124" t="n"/>
      <c r="N428" s="124" t="n"/>
      <c r="O428" s="124" t="n"/>
    </row>
    <row r="429" ht="14.25" customHeight="1" s="75">
      <c r="A429" s="128" t="n"/>
      <c r="B429" s="128" t="n"/>
      <c r="C429" s="128" t="n"/>
      <c r="D429" s="129" t="n"/>
      <c r="E429" s="128" t="n"/>
      <c r="F429" s="128" t="n"/>
      <c r="G429" s="129" t="n"/>
      <c r="H429" s="129" t="n"/>
      <c r="I429" s="129" t="n"/>
      <c r="J429" s="124" t="n"/>
      <c r="K429" s="124" t="n"/>
      <c r="L429" s="124" t="n"/>
      <c r="M429" s="124" t="n"/>
      <c r="N429" s="124" t="n"/>
      <c r="O429" s="124" t="n"/>
    </row>
    <row r="430" ht="14.25" customHeight="1" s="75">
      <c r="A430" s="128" t="n"/>
      <c r="B430" s="128" t="n"/>
      <c r="C430" s="128" t="n"/>
      <c r="D430" s="129" t="n"/>
      <c r="E430" s="128" t="n"/>
      <c r="F430" s="128" t="n"/>
      <c r="G430" s="129" t="n"/>
      <c r="H430" s="129" t="n"/>
      <c r="I430" s="129" t="n"/>
      <c r="J430" s="124" t="n"/>
      <c r="K430" s="124" t="n"/>
      <c r="L430" s="124" t="n"/>
      <c r="M430" s="124" t="n"/>
      <c r="N430" s="124" t="n"/>
      <c r="O430" s="124" t="n"/>
    </row>
    <row r="431" ht="14.25" customHeight="1" s="75">
      <c r="A431" s="128" t="n"/>
      <c r="B431" s="128" t="n"/>
      <c r="C431" s="128" t="n"/>
      <c r="D431" s="129" t="n"/>
      <c r="E431" s="128" t="n"/>
      <c r="F431" s="128" t="n"/>
      <c r="G431" s="129" t="n"/>
      <c r="H431" s="129" t="n"/>
      <c r="I431" s="129" t="n"/>
      <c r="J431" s="124" t="n"/>
      <c r="K431" s="124" t="n"/>
      <c r="L431" s="124" t="n"/>
      <c r="M431" s="124" t="n"/>
      <c r="N431" s="124" t="n"/>
      <c r="O431" s="124" t="n"/>
    </row>
    <row r="432" ht="14.25" customHeight="1" s="75">
      <c r="A432" s="128" t="n"/>
      <c r="B432" s="128" t="n"/>
      <c r="C432" s="128" t="n"/>
      <c r="D432" s="129" t="n"/>
      <c r="E432" s="128" t="n"/>
      <c r="F432" s="128" t="n"/>
      <c r="G432" s="129" t="n"/>
      <c r="H432" s="129" t="n"/>
      <c r="I432" s="129" t="n"/>
      <c r="J432" s="124" t="n"/>
      <c r="K432" s="124" t="n"/>
      <c r="L432" s="124" t="n"/>
      <c r="M432" s="124" t="n"/>
      <c r="N432" s="124" t="n"/>
      <c r="O432" s="124" t="n"/>
    </row>
    <row r="433" ht="14.25" customHeight="1" s="75">
      <c r="A433" s="128" t="n"/>
      <c r="B433" s="128" t="n"/>
      <c r="C433" s="128" t="n"/>
      <c r="D433" s="129" t="n"/>
      <c r="E433" s="128" t="n"/>
      <c r="F433" s="128" t="n"/>
      <c r="G433" s="129" t="n"/>
      <c r="H433" s="129" t="n"/>
      <c r="I433" s="129" t="n"/>
      <c r="J433" s="124" t="n"/>
      <c r="K433" s="124" t="n"/>
      <c r="L433" s="124" t="n"/>
      <c r="M433" s="124" t="n"/>
      <c r="N433" s="124" t="n"/>
      <c r="O433" s="124" t="n"/>
    </row>
    <row r="434" ht="14.25" customHeight="1" s="75">
      <c r="A434" s="128" t="n"/>
      <c r="B434" s="128" t="n"/>
      <c r="C434" s="128" t="n"/>
      <c r="D434" s="129" t="n"/>
      <c r="E434" s="128" t="n"/>
      <c r="F434" s="128" t="n"/>
      <c r="G434" s="129" t="n"/>
      <c r="H434" s="129" t="n"/>
      <c r="I434" s="129" t="n"/>
      <c r="J434" s="124" t="n"/>
      <c r="K434" s="124" t="n"/>
      <c r="L434" s="124" t="n"/>
      <c r="M434" s="124" t="n"/>
      <c r="N434" s="124" t="n"/>
      <c r="O434" s="124" t="n"/>
    </row>
    <row r="435" ht="14.25" customHeight="1" s="75">
      <c r="A435" s="128" t="n"/>
      <c r="B435" s="128" t="n"/>
      <c r="C435" s="128" t="n"/>
      <c r="D435" s="129" t="n"/>
      <c r="E435" s="128" t="n"/>
      <c r="F435" s="128" t="n"/>
      <c r="G435" s="129" t="n"/>
      <c r="H435" s="129" t="n"/>
      <c r="I435" s="129" t="n"/>
      <c r="J435" s="124" t="n"/>
      <c r="K435" s="124" t="n"/>
      <c r="L435" s="124" t="n"/>
      <c r="M435" s="124" t="n"/>
      <c r="N435" s="124" t="n"/>
      <c r="O435" s="124" t="n"/>
    </row>
    <row r="436" ht="14.25" customHeight="1" s="75">
      <c r="A436" s="128" t="n"/>
      <c r="B436" s="128" t="n"/>
      <c r="C436" s="128" t="n"/>
      <c r="D436" s="129" t="n"/>
      <c r="E436" s="128" t="n"/>
      <c r="F436" s="128" t="n"/>
      <c r="G436" s="129" t="n"/>
      <c r="H436" s="129" t="n"/>
      <c r="I436" s="129" t="n"/>
      <c r="J436" s="124" t="n"/>
      <c r="K436" s="124" t="n"/>
      <c r="L436" s="124" t="n"/>
      <c r="M436" s="124" t="n"/>
      <c r="N436" s="124" t="n"/>
      <c r="O436" s="124" t="n"/>
    </row>
    <row r="437" ht="14.25" customHeight="1" s="75">
      <c r="A437" s="128" t="n"/>
      <c r="B437" s="128" t="n"/>
      <c r="C437" s="128" t="n"/>
      <c r="D437" s="129" t="n"/>
      <c r="E437" s="128" t="n"/>
      <c r="F437" s="128" t="n"/>
      <c r="G437" s="129" t="n"/>
      <c r="H437" s="129" t="n"/>
      <c r="I437" s="129" t="n"/>
      <c r="J437" s="124" t="n"/>
      <c r="K437" s="124" t="n"/>
      <c r="L437" s="124" t="n"/>
      <c r="M437" s="124" t="n"/>
      <c r="N437" s="124" t="n"/>
      <c r="O437" s="124" t="n"/>
    </row>
    <row r="438" ht="14.25" customHeight="1" s="75">
      <c r="A438" s="128" t="n"/>
      <c r="B438" s="128" t="n"/>
      <c r="C438" s="128" t="n"/>
      <c r="D438" s="129" t="n"/>
      <c r="E438" s="128" t="n"/>
      <c r="F438" s="128" t="n"/>
      <c r="G438" s="129" t="n"/>
      <c r="H438" s="129" t="n"/>
      <c r="I438" s="129" t="n"/>
      <c r="J438" s="124" t="n"/>
      <c r="K438" s="124" t="n"/>
      <c r="L438" s="124" t="n"/>
      <c r="M438" s="124" t="n"/>
      <c r="N438" s="124" t="n"/>
      <c r="O438" s="124" t="n"/>
    </row>
    <row r="439" ht="14.25" customHeight="1" s="75">
      <c r="A439" s="128" t="n"/>
      <c r="B439" s="128" t="n"/>
      <c r="C439" s="128" t="n"/>
      <c r="D439" s="129" t="n"/>
      <c r="E439" s="128" t="n"/>
      <c r="F439" s="128" t="n"/>
      <c r="G439" s="129" t="n"/>
      <c r="H439" s="129" t="n"/>
      <c r="I439" s="129" t="n"/>
      <c r="J439" s="124" t="n"/>
      <c r="K439" s="124" t="n"/>
      <c r="L439" s="124" t="n"/>
      <c r="M439" s="124" t="n"/>
      <c r="N439" s="124" t="n"/>
      <c r="O439" s="124" t="n"/>
    </row>
    <row r="440" ht="14.25" customHeight="1" s="75">
      <c r="A440" s="128" t="n"/>
      <c r="B440" s="128" t="n"/>
      <c r="C440" s="128" t="n"/>
      <c r="D440" s="129" t="n"/>
      <c r="E440" s="128" t="n"/>
      <c r="F440" s="128" t="n"/>
      <c r="G440" s="129" t="n"/>
      <c r="H440" s="129" t="n"/>
      <c r="I440" s="129" t="n"/>
      <c r="J440" s="124" t="n"/>
      <c r="K440" s="124" t="n"/>
      <c r="L440" s="124" t="n"/>
      <c r="M440" s="124" t="n"/>
      <c r="N440" s="124" t="n"/>
      <c r="O440" s="124" t="n"/>
    </row>
    <row r="441" ht="14.25" customHeight="1" s="75">
      <c r="A441" s="128" t="n"/>
      <c r="B441" s="128" t="n"/>
      <c r="C441" s="128" t="n"/>
      <c r="D441" s="129" t="n"/>
      <c r="E441" s="128" t="n"/>
      <c r="F441" s="128" t="n"/>
      <c r="G441" s="129" t="n"/>
      <c r="H441" s="129" t="n"/>
      <c r="I441" s="129" t="n"/>
      <c r="J441" s="124" t="n"/>
      <c r="K441" s="124" t="n"/>
      <c r="L441" s="124" t="n"/>
      <c r="M441" s="124" t="n"/>
      <c r="N441" s="124" t="n"/>
      <c r="O441" s="124" t="n"/>
    </row>
    <row r="442" ht="14.25" customHeight="1" s="75">
      <c r="A442" s="128" t="n"/>
      <c r="B442" s="128" t="n"/>
      <c r="C442" s="128" t="n"/>
      <c r="D442" s="129" t="n"/>
      <c r="E442" s="128" t="n"/>
      <c r="F442" s="128" t="n"/>
      <c r="G442" s="129" t="n"/>
      <c r="H442" s="129" t="n"/>
      <c r="I442" s="129" t="n"/>
      <c r="J442" s="124" t="n"/>
      <c r="K442" s="124" t="n"/>
      <c r="L442" s="124" t="n"/>
      <c r="M442" s="124" t="n"/>
      <c r="N442" s="124" t="n"/>
      <c r="O442" s="124" t="n"/>
    </row>
    <row r="443" ht="14.25" customHeight="1" s="75">
      <c r="A443" s="128" t="n"/>
      <c r="B443" s="128" t="n"/>
      <c r="C443" s="128" t="n"/>
      <c r="D443" s="129" t="n"/>
      <c r="E443" s="128" t="n"/>
      <c r="F443" s="128" t="n"/>
      <c r="G443" s="129" t="n"/>
      <c r="H443" s="129" t="n"/>
      <c r="I443" s="129" t="n"/>
      <c r="J443" s="124" t="n"/>
      <c r="K443" s="124" t="n"/>
      <c r="L443" s="124" t="n"/>
      <c r="M443" s="124" t="n"/>
      <c r="N443" s="124" t="n"/>
      <c r="O443" s="124" t="n"/>
    </row>
    <row r="444" ht="14.25" customHeight="1" s="75">
      <c r="A444" s="128" t="n"/>
      <c r="B444" s="128" t="n"/>
      <c r="C444" s="128" t="n"/>
      <c r="D444" s="129" t="n"/>
      <c r="E444" s="128" t="n"/>
      <c r="F444" s="128" t="n"/>
      <c r="G444" s="129" t="n"/>
      <c r="H444" s="129" t="n"/>
      <c r="I444" s="129" t="n"/>
      <c r="J444" s="124" t="n"/>
      <c r="K444" s="124" t="n"/>
      <c r="L444" s="124" t="n"/>
      <c r="M444" s="124" t="n"/>
      <c r="N444" s="124" t="n"/>
      <c r="O444" s="124" t="n"/>
    </row>
    <row r="445" ht="14.25" customHeight="1" s="75">
      <c r="A445" s="128" t="n"/>
      <c r="B445" s="128" t="n"/>
      <c r="C445" s="128" t="n"/>
      <c r="D445" s="129" t="n"/>
      <c r="E445" s="128" t="n"/>
      <c r="F445" s="128" t="n"/>
      <c r="G445" s="129" t="n"/>
      <c r="H445" s="129" t="n"/>
      <c r="I445" s="129" t="n"/>
      <c r="J445" s="124" t="n"/>
      <c r="K445" s="124" t="n"/>
      <c r="L445" s="124" t="n"/>
      <c r="M445" s="124" t="n"/>
      <c r="N445" s="124" t="n"/>
      <c r="O445" s="124" t="n"/>
    </row>
    <row r="446" ht="14.25" customHeight="1" s="75">
      <c r="A446" s="128" t="n"/>
      <c r="B446" s="128" t="n"/>
      <c r="C446" s="128" t="n"/>
      <c r="D446" s="129" t="n"/>
      <c r="E446" s="128" t="n"/>
      <c r="F446" s="128" t="n"/>
      <c r="G446" s="129" t="n"/>
      <c r="H446" s="129" t="n"/>
      <c r="I446" s="129" t="n"/>
      <c r="J446" s="124" t="n"/>
      <c r="K446" s="124" t="n"/>
      <c r="L446" s="124" t="n"/>
      <c r="M446" s="124" t="n"/>
      <c r="N446" s="124" t="n"/>
      <c r="O446" s="124" t="n"/>
    </row>
    <row r="447" ht="14.25" customHeight="1" s="75">
      <c r="A447" s="128" t="n"/>
      <c r="B447" s="128" t="n"/>
      <c r="C447" s="128" t="n"/>
      <c r="D447" s="129" t="n"/>
      <c r="E447" s="128" t="n"/>
      <c r="F447" s="128" t="n"/>
      <c r="G447" s="129" t="n"/>
      <c r="H447" s="129" t="n"/>
      <c r="I447" s="129" t="n"/>
      <c r="J447" s="124" t="n"/>
      <c r="K447" s="124" t="n"/>
      <c r="L447" s="124" t="n"/>
      <c r="M447" s="124" t="n"/>
      <c r="N447" s="124" t="n"/>
      <c r="O447" s="124" t="n"/>
    </row>
    <row r="448" ht="14.25" customHeight="1" s="75">
      <c r="A448" s="128" t="n"/>
      <c r="B448" s="128" t="n"/>
      <c r="C448" s="128" t="n"/>
      <c r="D448" s="129" t="n"/>
      <c r="E448" s="128" t="n"/>
      <c r="F448" s="128" t="n"/>
      <c r="G448" s="129" t="n"/>
      <c r="H448" s="129" t="n"/>
      <c r="I448" s="129" t="n"/>
      <c r="J448" s="124" t="n"/>
      <c r="K448" s="124" t="n"/>
      <c r="L448" s="124" t="n"/>
      <c r="M448" s="124" t="n"/>
      <c r="N448" s="124" t="n"/>
      <c r="O448" s="124" t="n"/>
    </row>
    <row r="449" ht="14.25" customHeight="1" s="75">
      <c r="A449" s="128" t="n"/>
      <c r="B449" s="128" t="n"/>
      <c r="C449" s="128" t="n"/>
      <c r="D449" s="129" t="n"/>
      <c r="E449" s="128" t="n"/>
      <c r="F449" s="128" t="n"/>
      <c r="G449" s="129" t="n"/>
      <c r="H449" s="129" t="n"/>
      <c r="I449" s="129" t="n"/>
      <c r="J449" s="124" t="n"/>
      <c r="K449" s="124" t="n"/>
      <c r="L449" s="124" t="n"/>
      <c r="M449" s="124" t="n"/>
      <c r="N449" s="124" t="n"/>
      <c r="O449" s="124" t="n"/>
    </row>
    <row r="450" ht="14.25" customHeight="1" s="75">
      <c r="A450" s="128" t="n"/>
      <c r="B450" s="128" t="n"/>
      <c r="C450" s="128" t="n"/>
      <c r="D450" s="129" t="n"/>
      <c r="E450" s="128" t="n"/>
      <c r="F450" s="128" t="n"/>
      <c r="G450" s="129" t="n"/>
      <c r="H450" s="129" t="n"/>
      <c r="I450" s="129" t="n"/>
      <c r="J450" s="124" t="n"/>
      <c r="K450" s="124" t="n"/>
      <c r="L450" s="124" t="n"/>
      <c r="M450" s="124" t="n"/>
      <c r="N450" s="124" t="n"/>
      <c r="O450" s="124" t="n"/>
    </row>
    <row r="451" ht="14.25" customHeight="1" s="75">
      <c r="A451" s="128" t="n"/>
      <c r="B451" s="128" t="n"/>
      <c r="C451" s="128" t="n"/>
      <c r="D451" s="129" t="n"/>
      <c r="E451" s="128" t="n"/>
      <c r="F451" s="128" t="n"/>
      <c r="G451" s="129" t="n"/>
      <c r="H451" s="129" t="n"/>
      <c r="I451" s="129" t="n"/>
      <c r="J451" s="124" t="n"/>
      <c r="K451" s="124" t="n"/>
      <c r="L451" s="124" t="n"/>
      <c r="M451" s="124" t="n"/>
      <c r="N451" s="124" t="n"/>
      <c r="O451" s="124" t="n"/>
    </row>
    <row r="452" ht="14.25" customHeight="1" s="75">
      <c r="A452" s="128" t="n"/>
      <c r="B452" s="128" t="n"/>
      <c r="C452" s="128" t="n"/>
      <c r="D452" s="129" t="n"/>
      <c r="E452" s="128" t="n"/>
      <c r="F452" s="128" t="n"/>
      <c r="G452" s="129" t="n"/>
      <c r="H452" s="129" t="n"/>
      <c r="I452" s="129" t="n"/>
      <c r="J452" s="124" t="n"/>
      <c r="K452" s="124" t="n"/>
      <c r="L452" s="124" t="n"/>
      <c r="M452" s="124" t="n"/>
      <c r="N452" s="124" t="n"/>
      <c r="O452" s="124" t="n"/>
    </row>
    <row r="453" ht="14.25" customHeight="1" s="75">
      <c r="A453" s="128" t="n"/>
      <c r="B453" s="128" t="n"/>
      <c r="C453" s="128" t="n"/>
      <c r="D453" s="129" t="n"/>
      <c r="E453" s="128" t="n"/>
      <c r="F453" s="128" t="n"/>
      <c r="G453" s="129" t="n"/>
      <c r="H453" s="129" t="n"/>
      <c r="I453" s="129" t="n"/>
      <c r="J453" s="124" t="n"/>
      <c r="K453" s="124" t="n"/>
      <c r="L453" s="124" t="n"/>
      <c r="M453" s="124" t="n"/>
      <c r="N453" s="124" t="n"/>
      <c r="O453" s="124" t="n"/>
    </row>
    <row r="454" ht="14.25" customHeight="1" s="75">
      <c r="A454" s="128" t="n"/>
      <c r="B454" s="128" t="n"/>
      <c r="C454" s="128" t="n"/>
      <c r="D454" s="129" t="n"/>
      <c r="E454" s="128" t="n"/>
      <c r="F454" s="128" t="n"/>
      <c r="G454" s="129" t="n"/>
      <c r="H454" s="129" t="n"/>
      <c r="I454" s="129" t="n"/>
      <c r="J454" s="124" t="n"/>
      <c r="K454" s="124" t="n"/>
      <c r="L454" s="124" t="n"/>
      <c r="M454" s="124" t="n"/>
      <c r="N454" s="124" t="n"/>
      <c r="O454" s="124" t="n"/>
    </row>
    <row r="455" ht="14.25" customHeight="1" s="75">
      <c r="A455" s="128" t="n"/>
      <c r="B455" s="128" t="n"/>
      <c r="C455" s="128" t="n"/>
      <c r="D455" s="129" t="n"/>
      <c r="E455" s="128" t="n"/>
      <c r="F455" s="128" t="n"/>
      <c r="G455" s="129" t="n"/>
      <c r="H455" s="129" t="n"/>
      <c r="I455" s="129" t="n"/>
      <c r="J455" s="124" t="n"/>
      <c r="K455" s="124" t="n"/>
      <c r="L455" s="124" t="n"/>
      <c r="M455" s="124" t="n"/>
      <c r="N455" s="124" t="n"/>
      <c r="O455" s="124" t="n"/>
    </row>
    <row r="456" ht="14.25" customHeight="1" s="75">
      <c r="A456" s="128" t="n"/>
      <c r="B456" s="128" t="n"/>
      <c r="C456" s="128" t="n"/>
      <c r="D456" s="129" t="n"/>
      <c r="E456" s="128" t="n"/>
      <c r="F456" s="128" t="n"/>
      <c r="G456" s="129" t="n"/>
      <c r="H456" s="129" t="n"/>
      <c r="I456" s="129" t="n"/>
      <c r="J456" s="124" t="n"/>
      <c r="K456" s="124" t="n"/>
      <c r="L456" s="124" t="n"/>
      <c r="M456" s="124" t="n"/>
      <c r="N456" s="124" t="n"/>
      <c r="O456" s="124" t="n"/>
    </row>
    <row r="457" ht="14.25" customHeight="1" s="75">
      <c r="A457" s="128" t="n"/>
      <c r="B457" s="128" t="n"/>
      <c r="C457" s="128" t="n"/>
      <c r="D457" s="129" t="n"/>
      <c r="E457" s="128" t="n"/>
      <c r="F457" s="128" t="n"/>
      <c r="G457" s="129" t="n"/>
      <c r="H457" s="129" t="n"/>
      <c r="I457" s="129" t="n"/>
      <c r="J457" s="124" t="n"/>
      <c r="K457" s="124" t="n"/>
      <c r="L457" s="124" t="n"/>
      <c r="M457" s="124" t="n"/>
      <c r="N457" s="124" t="n"/>
      <c r="O457" s="124" t="n"/>
    </row>
    <row r="458" ht="14.25" customHeight="1" s="75">
      <c r="A458" s="128" t="n"/>
      <c r="B458" s="128" t="n"/>
      <c r="C458" s="128" t="n"/>
      <c r="D458" s="129" t="n"/>
      <c r="E458" s="128" t="n"/>
      <c r="F458" s="128" t="n"/>
      <c r="G458" s="129" t="n"/>
      <c r="H458" s="129" t="n"/>
      <c r="I458" s="129" t="n"/>
      <c r="J458" s="124" t="n"/>
      <c r="K458" s="124" t="n"/>
      <c r="L458" s="124" t="n"/>
      <c r="M458" s="124" t="n"/>
      <c r="N458" s="124" t="n"/>
      <c r="O458" s="124" t="n"/>
    </row>
    <row r="459" ht="14.25" customHeight="1" s="75">
      <c r="A459" s="128" t="n"/>
      <c r="B459" s="128" t="n"/>
      <c r="C459" s="128" t="n"/>
      <c r="D459" s="129" t="n"/>
      <c r="E459" s="128" t="n"/>
      <c r="F459" s="128" t="n"/>
      <c r="G459" s="129" t="n"/>
      <c r="H459" s="129" t="n"/>
      <c r="I459" s="129" t="n"/>
      <c r="J459" s="124" t="n"/>
      <c r="K459" s="124" t="n"/>
      <c r="L459" s="124" t="n"/>
      <c r="M459" s="124" t="n"/>
      <c r="N459" s="124" t="n"/>
      <c r="O459" s="124" t="n"/>
    </row>
    <row r="460" ht="14.25" customHeight="1" s="75">
      <c r="A460" s="128" t="n"/>
      <c r="B460" s="128" t="n"/>
      <c r="C460" s="128" t="n"/>
      <c r="D460" s="129" t="n"/>
      <c r="E460" s="128" t="n"/>
      <c r="F460" s="128" t="n"/>
      <c r="G460" s="129" t="n"/>
      <c r="H460" s="129" t="n"/>
      <c r="I460" s="129" t="n"/>
      <c r="J460" s="124" t="n"/>
      <c r="K460" s="124" t="n"/>
      <c r="L460" s="124" t="n"/>
      <c r="M460" s="124" t="n"/>
      <c r="N460" s="124" t="n"/>
      <c r="O460" s="124" t="n"/>
    </row>
    <row r="461" ht="14.25" customHeight="1" s="75">
      <c r="A461" s="128" t="n"/>
      <c r="B461" s="128" t="n"/>
      <c r="C461" s="128" t="n"/>
      <c r="D461" s="129" t="n"/>
      <c r="E461" s="128" t="n"/>
      <c r="F461" s="128" t="n"/>
      <c r="G461" s="129" t="n"/>
      <c r="H461" s="129" t="n"/>
      <c r="I461" s="129" t="n"/>
      <c r="J461" s="124" t="n"/>
      <c r="K461" s="124" t="n"/>
      <c r="L461" s="124" t="n"/>
      <c r="M461" s="124" t="n"/>
      <c r="N461" s="124" t="n"/>
      <c r="O461" s="124" t="n"/>
    </row>
    <row r="462" ht="14.25" customHeight="1" s="75">
      <c r="A462" s="128" t="n"/>
      <c r="B462" s="128" t="n"/>
      <c r="C462" s="128" t="n"/>
      <c r="D462" s="129" t="n"/>
      <c r="E462" s="128" t="n"/>
      <c r="F462" s="128" t="n"/>
      <c r="G462" s="129" t="n"/>
      <c r="H462" s="129" t="n"/>
      <c r="I462" s="129" t="n"/>
      <c r="J462" s="124" t="n"/>
      <c r="K462" s="124" t="n"/>
      <c r="L462" s="124" t="n"/>
      <c r="M462" s="124" t="n"/>
      <c r="N462" s="124" t="n"/>
      <c r="O462" s="124" t="n"/>
    </row>
    <row r="463" ht="14.25" customHeight="1" s="75">
      <c r="A463" s="128" t="n"/>
      <c r="B463" s="128" t="n"/>
      <c r="C463" s="128" t="n"/>
      <c r="D463" s="129" t="n"/>
      <c r="E463" s="128" t="n"/>
      <c r="F463" s="128" t="n"/>
      <c r="G463" s="129" t="n"/>
      <c r="H463" s="129" t="n"/>
      <c r="I463" s="129" t="n"/>
      <c r="J463" s="124" t="n"/>
      <c r="K463" s="124" t="n"/>
      <c r="L463" s="124" t="n"/>
      <c r="M463" s="124" t="n"/>
      <c r="N463" s="124" t="n"/>
      <c r="O463" s="124" t="n"/>
    </row>
    <row r="464" ht="14.25" customHeight="1" s="75">
      <c r="A464" s="128" t="n"/>
      <c r="B464" s="128" t="n"/>
      <c r="C464" s="128" t="n"/>
      <c r="D464" s="129" t="n"/>
      <c r="E464" s="128" t="n"/>
      <c r="F464" s="128" t="n"/>
      <c r="G464" s="129" t="n"/>
      <c r="H464" s="129" t="n"/>
      <c r="I464" s="129" t="n"/>
      <c r="J464" s="124" t="n"/>
      <c r="K464" s="124" t="n"/>
      <c r="L464" s="124" t="n"/>
      <c r="M464" s="124" t="n"/>
      <c r="N464" s="124" t="n"/>
      <c r="O464" s="124" t="n"/>
    </row>
    <row r="465" ht="14.25" customHeight="1" s="75">
      <c r="A465" s="128" t="n"/>
      <c r="B465" s="128" t="n"/>
      <c r="C465" s="128" t="n"/>
      <c r="D465" s="129" t="n"/>
      <c r="E465" s="128" t="n"/>
      <c r="F465" s="128" t="n"/>
      <c r="G465" s="129" t="n"/>
      <c r="H465" s="129" t="n"/>
      <c r="I465" s="129" t="n"/>
      <c r="J465" s="124" t="n"/>
      <c r="K465" s="124" t="n"/>
      <c r="L465" s="124" t="n"/>
      <c r="M465" s="124" t="n"/>
      <c r="N465" s="124" t="n"/>
      <c r="O465" s="124" t="n"/>
    </row>
    <row r="466" ht="14.25" customHeight="1" s="75">
      <c r="A466" s="128" t="n"/>
      <c r="B466" s="128" t="n"/>
      <c r="C466" s="128" t="n"/>
      <c r="D466" s="129" t="n"/>
      <c r="E466" s="128" t="n"/>
      <c r="F466" s="128" t="n"/>
      <c r="G466" s="129" t="n"/>
      <c r="H466" s="129" t="n"/>
      <c r="I466" s="129" t="n"/>
      <c r="J466" s="124" t="n"/>
      <c r="K466" s="124" t="n"/>
      <c r="L466" s="124" t="n"/>
      <c r="M466" s="124" t="n"/>
      <c r="N466" s="124" t="n"/>
      <c r="O466" s="124" t="n"/>
    </row>
    <row r="467" ht="14.25" customHeight="1" s="75">
      <c r="A467" s="128" t="n"/>
      <c r="B467" s="128" t="n"/>
      <c r="C467" s="128" t="n"/>
      <c r="D467" s="129" t="n"/>
      <c r="E467" s="128" t="n"/>
      <c r="F467" s="128" t="n"/>
      <c r="G467" s="129" t="n"/>
      <c r="H467" s="129" t="n"/>
      <c r="I467" s="129" t="n"/>
      <c r="J467" s="124" t="n"/>
      <c r="K467" s="124" t="n"/>
      <c r="L467" s="124" t="n"/>
      <c r="M467" s="124" t="n"/>
      <c r="N467" s="124" t="n"/>
      <c r="O467" s="124" t="n"/>
    </row>
    <row r="468" ht="14.25" customHeight="1" s="75">
      <c r="A468" s="128" t="n"/>
      <c r="B468" s="128" t="n"/>
      <c r="C468" s="128" t="n"/>
      <c r="D468" s="129" t="n"/>
      <c r="E468" s="128" t="n"/>
      <c r="F468" s="128" t="n"/>
      <c r="G468" s="129" t="n"/>
      <c r="H468" s="129" t="n"/>
      <c r="I468" s="129" t="n"/>
      <c r="J468" s="124" t="n"/>
      <c r="K468" s="124" t="n"/>
      <c r="L468" s="124" t="n"/>
      <c r="M468" s="124" t="n"/>
      <c r="N468" s="124" t="n"/>
      <c r="O468" s="124" t="n"/>
    </row>
    <row r="469" ht="14.25" customHeight="1" s="75">
      <c r="A469" s="128" t="n"/>
      <c r="B469" s="128" t="n"/>
      <c r="C469" s="128" t="n"/>
      <c r="D469" s="129" t="n"/>
      <c r="E469" s="128" t="n"/>
      <c r="F469" s="128" t="n"/>
      <c r="G469" s="129" t="n"/>
      <c r="H469" s="129" t="n"/>
      <c r="I469" s="129" t="n"/>
      <c r="J469" s="124" t="n"/>
      <c r="K469" s="124" t="n"/>
      <c r="L469" s="124" t="n"/>
      <c r="M469" s="124" t="n"/>
      <c r="N469" s="124" t="n"/>
      <c r="O469" s="124" t="n"/>
    </row>
    <row r="470" ht="14.25" customHeight="1" s="75">
      <c r="A470" s="128" t="n"/>
      <c r="B470" s="128" t="n"/>
      <c r="C470" s="128" t="n"/>
      <c r="D470" s="129" t="n"/>
      <c r="E470" s="128" t="n"/>
      <c r="F470" s="128" t="n"/>
      <c r="G470" s="129" t="n"/>
      <c r="H470" s="129" t="n"/>
      <c r="I470" s="129" t="n"/>
      <c r="J470" s="124" t="n"/>
      <c r="K470" s="124" t="n"/>
      <c r="L470" s="124" t="n"/>
      <c r="M470" s="124" t="n"/>
      <c r="N470" s="124" t="n"/>
      <c r="O470" s="124" t="n"/>
    </row>
    <row r="471" ht="14.25" customHeight="1" s="75">
      <c r="A471" s="128" t="n"/>
      <c r="B471" s="128" t="n"/>
      <c r="C471" s="128" t="n"/>
      <c r="D471" s="129" t="n"/>
      <c r="E471" s="128" t="n"/>
      <c r="F471" s="128" t="n"/>
      <c r="G471" s="129" t="n"/>
      <c r="H471" s="129" t="n"/>
      <c r="I471" s="129" t="n"/>
      <c r="J471" s="124" t="n"/>
      <c r="K471" s="124" t="n"/>
      <c r="L471" s="124" t="n"/>
      <c r="M471" s="124" t="n"/>
      <c r="N471" s="124" t="n"/>
      <c r="O471" s="124" t="n"/>
    </row>
    <row r="472" ht="14.25" customHeight="1" s="75">
      <c r="A472" s="128" t="n"/>
      <c r="B472" s="128" t="n"/>
      <c r="C472" s="128" t="n"/>
      <c r="D472" s="129" t="n"/>
      <c r="E472" s="128" t="n"/>
      <c r="F472" s="128" t="n"/>
      <c r="G472" s="129" t="n"/>
      <c r="H472" s="129" t="n"/>
      <c r="I472" s="129" t="n"/>
      <c r="J472" s="124" t="n"/>
      <c r="K472" s="124" t="n"/>
      <c r="L472" s="124" t="n"/>
      <c r="M472" s="124" t="n"/>
      <c r="N472" s="124" t="n"/>
      <c r="O472" s="124" t="n"/>
    </row>
    <row r="473" ht="14.25" customHeight="1" s="75">
      <c r="A473" s="128" t="n"/>
      <c r="B473" s="128" t="n"/>
      <c r="C473" s="128" t="n"/>
      <c r="D473" s="129" t="n"/>
      <c r="E473" s="128" t="n"/>
      <c r="F473" s="128" t="n"/>
      <c r="G473" s="129" t="n"/>
      <c r="H473" s="129" t="n"/>
      <c r="I473" s="129" t="n"/>
      <c r="J473" s="124" t="n"/>
      <c r="K473" s="124" t="n"/>
      <c r="L473" s="124" t="n"/>
      <c r="M473" s="124" t="n"/>
      <c r="N473" s="124" t="n"/>
      <c r="O473" s="124" t="n"/>
    </row>
    <row r="474" ht="14.25" customHeight="1" s="75">
      <c r="A474" s="128" t="n"/>
      <c r="B474" s="128" t="n"/>
      <c r="C474" s="128" t="n"/>
      <c r="D474" s="129" t="n"/>
      <c r="E474" s="128" t="n"/>
      <c r="F474" s="128" t="n"/>
      <c r="G474" s="129" t="n"/>
      <c r="H474" s="129" t="n"/>
      <c r="I474" s="129" t="n"/>
      <c r="J474" s="124" t="n"/>
      <c r="K474" s="124" t="n"/>
      <c r="L474" s="124" t="n"/>
      <c r="M474" s="124" t="n"/>
      <c r="N474" s="124" t="n"/>
      <c r="O474" s="124" t="n"/>
    </row>
    <row r="475" ht="14.25" customHeight="1" s="75">
      <c r="A475" s="128" t="n"/>
      <c r="B475" s="128" t="n"/>
      <c r="C475" s="128" t="n"/>
      <c r="D475" s="129" t="n"/>
      <c r="E475" s="128" t="n"/>
      <c r="F475" s="128" t="n"/>
      <c r="G475" s="129" t="n"/>
      <c r="H475" s="129" t="n"/>
      <c r="I475" s="129" t="n"/>
      <c r="J475" s="124" t="n"/>
      <c r="K475" s="124" t="n"/>
      <c r="L475" s="124" t="n"/>
      <c r="M475" s="124" t="n"/>
      <c r="N475" s="124" t="n"/>
      <c r="O475" s="124" t="n"/>
    </row>
    <row r="476" ht="14.25" customHeight="1" s="75">
      <c r="A476" s="128" t="n"/>
      <c r="B476" s="128" t="n"/>
      <c r="C476" s="128" t="n"/>
      <c r="D476" s="129" t="n"/>
      <c r="E476" s="128" t="n"/>
      <c r="F476" s="128" t="n"/>
      <c r="G476" s="129" t="n"/>
      <c r="H476" s="129" t="n"/>
      <c r="I476" s="129" t="n"/>
      <c r="J476" s="124" t="n"/>
      <c r="K476" s="124" t="n"/>
      <c r="L476" s="124" t="n"/>
      <c r="M476" s="124" t="n"/>
      <c r="N476" s="124" t="n"/>
      <c r="O476" s="124" t="n"/>
    </row>
    <row r="477" ht="14.25" customHeight="1" s="75">
      <c r="A477" s="128" t="n"/>
      <c r="B477" s="128" t="n"/>
      <c r="C477" s="128" t="n"/>
      <c r="D477" s="129" t="n"/>
      <c r="E477" s="128" t="n"/>
      <c r="F477" s="128" t="n"/>
      <c r="G477" s="129" t="n"/>
      <c r="H477" s="129" t="n"/>
      <c r="I477" s="129" t="n"/>
      <c r="J477" s="124" t="n"/>
      <c r="K477" s="124" t="n"/>
      <c r="L477" s="124" t="n"/>
      <c r="M477" s="124" t="n"/>
      <c r="N477" s="124" t="n"/>
      <c r="O477" s="124" t="n"/>
    </row>
    <row r="478" ht="14.25" customHeight="1" s="75">
      <c r="A478" s="128" t="n"/>
      <c r="B478" s="128" t="n"/>
      <c r="C478" s="128" t="n"/>
      <c r="D478" s="129" t="n"/>
      <c r="E478" s="128" t="n"/>
      <c r="F478" s="128" t="n"/>
      <c r="G478" s="129" t="n"/>
      <c r="H478" s="129" t="n"/>
      <c r="I478" s="129" t="n"/>
      <c r="J478" s="124" t="n"/>
      <c r="K478" s="124" t="n"/>
      <c r="L478" s="124" t="n"/>
      <c r="M478" s="124" t="n"/>
      <c r="N478" s="124" t="n"/>
      <c r="O478" s="124" t="n"/>
    </row>
    <row r="479" ht="14.25" customHeight="1" s="75">
      <c r="A479" s="128" t="n"/>
      <c r="B479" s="128" t="n"/>
      <c r="C479" s="128" t="n"/>
      <c r="D479" s="129" t="n"/>
      <c r="E479" s="128" t="n"/>
      <c r="F479" s="128" t="n"/>
      <c r="G479" s="129" t="n"/>
      <c r="H479" s="129" t="n"/>
      <c r="I479" s="129" t="n"/>
      <c r="J479" s="124" t="n"/>
      <c r="K479" s="124" t="n"/>
      <c r="L479" s="124" t="n"/>
      <c r="M479" s="124" t="n"/>
      <c r="N479" s="124" t="n"/>
      <c r="O479" s="124" t="n"/>
    </row>
    <row r="480" ht="14.25" customHeight="1" s="75">
      <c r="A480" s="128" t="n"/>
      <c r="B480" s="128" t="n"/>
      <c r="C480" s="128" t="n"/>
      <c r="D480" s="129" t="n"/>
      <c r="E480" s="128" t="n"/>
      <c r="F480" s="128" t="n"/>
      <c r="G480" s="129" t="n"/>
      <c r="H480" s="129" t="n"/>
      <c r="I480" s="129" t="n"/>
      <c r="J480" s="124" t="n"/>
      <c r="K480" s="124" t="n"/>
      <c r="L480" s="124" t="n"/>
      <c r="M480" s="124" t="n"/>
      <c r="N480" s="124" t="n"/>
      <c r="O480" s="124" t="n"/>
    </row>
    <row r="481" ht="14.25" customHeight="1" s="75">
      <c r="A481" s="128" t="n"/>
      <c r="B481" s="128" t="n"/>
      <c r="C481" s="128" t="n"/>
      <c r="D481" s="129" t="n"/>
      <c r="E481" s="128" t="n"/>
      <c r="F481" s="128" t="n"/>
      <c r="G481" s="129" t="n"/>
      <c r="H481" s="129" t="n"/>
      <c r="I481" s="129" t="n"/>
      <c r="J481" s="124" t="n"/>
      <c r="K481" s="124" t="n"/>
      <c r="L481" s="124" t="n"/>
      <c r="M481" s="124" t="n"/>
      <c r="N481" s="124" t="n"/>
      <c r="O481" s="124" t="n"/>
    </row>
    <row r="482" ht="14.25" customHeight="1" s="75">
      <c r="A482" s="128" t="n"/>
      <c r="B482" s="128" t="n"/>
      <c r="C482" s="128" t="n"/>
      <c r="D482" s="129" t="n"/>
      <c r="E482" s="128" t="n"/>
      <c r="F482" s="128" t="n"/>
      <c r="G482" s="129" t="n"/>
      <c r="H482" s="129" t="n"/>
      <c r="I482" s="129" t="n"/>
      <c r="J482" s="124" t="n"/>
      <c r="K482" s="124" t="n"/>
      <c r="L482" s="124" t="n"/>
      <c r="M482" s="124" t="n"/>
      <c r="N482" s="124" t="n"/>
      <c r="O482" s="124" t="n"/>
    </row>
    <row r="483" ht="14.25" customHeight="1" s="75">
      <c r="A483" s="128" t="n"/>
      <c r="B483" s="128" t="n"/>
      <c r="C483" s="128" t="n"/>
      <c r="D483" s="129" t="n"/>
      <c r="E483" s="128" t="n"/>
      <c r="F483" s="128" t="n"/>
      <c r="G483" s="129" t="n"/>
      <c r="H483" s="129" t="n"/>
      <c r="I483" s="129" t="n"/>
      <c r="J483" s="124" t="n"/>
      <c r="K483" s="124" t="n"/>
      <c r="L483" s="124" t="n"/>
      <c r="M483" s="124" t="n"/>
      <c r="N483" s="124" t="n"/>
      <c r="O483" s="124" t="n"/>
    </row>
    <row r="484" ht="14.25" customHeight="1" s="75">
      <c r="A484" s="128" t="n"/>
      <c r="B484" s="128" t="n"/>
      <c r="C484" s="128" t="n"/>
      <c r="D484" s="129" t="n"/>
      <c r="E484" s="128" t="n"/>
      <c r="F484" s="128" t="n"/>
      <c r="G484" s="129" t="n"/>
      <c r="H484" s="129" t="n"/>
      <c r="I484" s="129" t="n"/>
      <c r="J484" s="124" t="n"/>
      <c r="K484" s="124" t="n"/>
      <c r="L484" s="124" t="n"/>
      <c r="M484" s="124" t="n"/>
      <c r="N484" s="124" t="n"/>
      <c r="O484" s="124" t="n"/>
    </row>
    <row r="485" ht="14.25" customHeight="1" s="75">
      <c r="A485" s="128" t="n"/>
      <c r="B485" s="128" t="n"/>
      <c r="C485" s="128" t="n"/>
      <c r="D485" s="129" t="n"/>
      <c r="E485" s="128" t="n"/>
      <c r="F485" s="128" t="n"/>
      <c r="G485" s="129" t="n"/>
      <c r="H485" s="129" t="n"/>
      <c r="I485" s="129" t="n"/>
      <c r="J485" s="124" t="n"/>
      <c r="K485" s="124" t="n"/>
      <c r="L485" s="124" t="n"/>
      <c r="M485" s="124" t="n"/>
      <c r="N485" s="124" t="n"/>
      <c r="O485" s="124" t="n"/>
    </row>
    <row r="486" ht="14.25" customHeight="1" s="75">
      <c r="A486" s="128" t="n"/>
      <c r="B486" s="128" t="n"/>
      <c r="C486" s="128" t="n"/>
      <c r="D486" s="129" t="n"/>
      <c r="E486" s="128" t="n"/>
      <c r="F486" s="128" t="n"/>
      <c r="G486" s="129" t="n"/>
      <c r="H486" s="129" t="n"/>
      <c r="I486" s="129" t="n"/>
      <c r="J486" s="124" t="n"/>
      <c r="K486" s="124" t="n"/>
      <c r="L486" s="124" t="n"/>
      <c r="M486" s="124" t="n"/>
      <c r="N486" s="124" t="n"/>
      <c r="O486" s="124" t="n"/>
    </row>
    <row r="487" ht="14.25" customHeight="1" s="75">
      <c r="A487" s="128" t="n"/>
      <c r="B487" s="128" t="n"/>
      <c r="C487" s="128" t="n"/>
      <c r="D487" s="129" t="n"/>
      <c r="E487" s="128" t="n"/>
      <c r="F487" s="128" t="n"/>
      <c r="G487" s="129" t="n"/>
      <c r="H487" s="129" t="n"/>
      <c r="I487" s="129" t="n"/>
      <c r="J487" s="124" t="n"/>
      <c r="K487" s="124" t="n"/>
      <c r="L487" s="124" t="n"/>
      <c r="M487" s="124" t="n"/>
      <c r="N487" s="124" t="n"/>
      <c r="O487" s="124" t="n"/>
    </row>
    <row r="488" ht="14.25" customHeight="1" s="75">
      <c r="A488" s="128" t="n"/>
      <c r="B488" s="128" t="n"/>
      <c r="C488" s="128" t="n"/>
      <c r="D488" s="129" t="n"/>
      <c r="E488" s="128" t="n"/>
      <c r="F488" s="128" t="n"/>
      <c r="G488" s="129" t="n"/>
      <c r="H488" s="129" t="n"/>
      <c r="I488" s="129" t="n"/>
      <c r="J488" s="124" t="n"/>
      <c r="K488" s="124" t="n"/>
      <c r="L488" s="124" t="n"/>
      <c r="M488" s="124" t="n"/>
      <c r="N488" s="124" t="n"/>
      <c r="O488" s="124" t="n"/>
    </row>
    <row r="489" ht="14.25" customHeight="1" s="75">
      <c r="A489" s="128" t="n"/>
      <c r="B489" s="128" t="n"/>
      <c r="C489" s="128" t="n"/>
      <c r="D489" s="129" t="n"/>
      <c r="E489" s="128" t="n"/>
      <c r="F489" s="128" t="n"/>
      <c r="G489" s="129" t="n"/>
      <c r="H489" s="129" t="n"/>
      <c r="I489" s="129" t="n"/>
      <c r="J489" s="124" t="n"/>
      <c r="K489" s="124" t="n"/>
      <c r="L489" s="124" t="n"/>
      <c r="M489" s="124" t="n"/>
      <c r="N489" s="124" t="n"/>
      <c r="O489" s="124" t="n"/>
    </row>
    <row r="490" ht="14.25" customHeight="1" s="75">
      <c r="A490" s="128" t="n"/>
      <c r="B490" s="128" t="n"/>
      <c r="C490" s="128" t="n"/>
      <c r="D490" s="129" t="n"/>
      <c r="E490" s="128" t="n"/>
      <c r="F490" s="128" t="n"/>
      <c r="G490" s="129" t="n"/>
      <c r="H490" s="129" t="n"/>
      <c r="I490" s="129" t="n"/>
      <c r="J490" s="124" t="n"/>
      <c r="K490" s="124" t="n"/>
      <c r="L490" s="124" t="n"/>
      <c r="M490" s="124" t="n"/>
      <c r="N490" s="124" t="n"/>
      <c r="O490" s="124" t="n"/>
    </row>
    <row r="491" ht="14.25" customHeight="1" s="75">
      <c r="A491" s="128" t="n"/>
      <c r="B491" s="128" t="n"/>
      <c r="C491" s="128" t="n"/>
      <c r="D491" s="129" t="n"/>
      <c r="E491" s="128" t="n"/>
      <c r="F491" s="128" t="n"/>
      <c r="G491" s="129" t="n"/>
      <c r="H491" s="129" t="n"/>
      <c r="I491" s="129" t="n"/>
      <c r="J491" s="124" t="n"/>
      <c r="K491" s="124" t="n"/>
      <c r="L491" s="124" t="n"/>
      <c r="M491" s="124" t="n"/>
      <c r="N491" s="124" t="n"/>
      <c r="O491" s="124" t="n"/>
    </row>
    <row r="492" ht="14.25" customHeight="1" s="75">
      <c r="A492" s="128" t="n"/>
      <c r="B492" s="128" t="n"/>
      <c r="C492" s="128" t="n"/>
      <c r="D492" s="129" t="n"/>
      <c r="E492" s="128" t="n"/>
      <c r="F492" s="128" t="n"/>
      <c r="G492" s="129" t="n"/>
      <c r="H492" s="129" t="n"/>
      <c r="I492" s="129" t="n"/>
      <c r="J492" s="124" t="n"/>
      <c r="K492" s="124" t="n"/>
      <c r="L492" s="124" t="n"/>
      <c r="M492" s="124" t="n"/>
      <c r="N492" s="124" t="n"/>
      <c r="O492" s="124" t="n"/>
    </row>
    <row r="493" ht="14.25" customHeight="1" s="75">
      <c r="A493" s="128" t="n"/>
      <c r="B493" s="128" t="n"/>
      <c r="C493" s="128" t="n"/>
      <c r="D493" s="129" t="n"/>
      <c r="E493" s="128" t="n"/>
      <c r="F493" s="128" t="n"/>
      <c r="G493" s="129" t="n"/>
      <c r="H493" s="129" t="n"/>
      <c r="I493" s="129" t="n"/>
      <c r="J493" s="124" t="n"/>
      <c r="K493" s="124" t="n"/>
      <c r="L493" s="124" t="n"/>
      <c r="M493" s="124" t="n"/>
      <c r="N493" s="124" t="n"/>
      <c r="O493" s="124" t="n"/>
    </row>
    <row r="494" ht="14.25" customHeight="1" s="75">
      <c r="A494" s="128" t="n"/>
      <c r="B494" s="128" t="n"/>
      <c r="C494" s="128" t="n"/>
      <c r="D494" s="129" t="n"/>
      <c r="E494" s="128" t="n"/>
      <c r="F494" s="128" t="n"/>
      <c r="G494" s="129" t="n"/>
      <c r="H494" s="129" t="n"/>
      <c r="I494" s="129" t="n"/>
      <c r="J494" s="124" t="n"/>
      <c r="K494" s="124" t="n"/>
      <c r="L494" s="124" t="n"/>
      <c r="M494" s="124" t="n"/>
      <c r="N494" s="124" t="n"/>
      <c r="O494" s="124" t="n"/>
    </row>
    <row r="495" ht="14.25" customHeight="1" s="75">
      <c r="A495" s="128" t="n"/>
      <c r="B495" s="128" t="n"/>
      <c r="C495" s="128" t="n"/>
      <c r="D495" s="129" t="n"/>
      <c r="E495" s="128" t="n"/>
      <c r="F495" s="128" t="n"/>
      <c r="G495" s="129" t="n"/>
      <c r="H495" s="129" t="n"/>
      <c r="I495" s="129" t="n"/>
      <c r="J495" s="124" t="n"/>
      <c r="K495" s="124" t="n"/>
      <c r="L495" s="124" t="n"/>
      <c r="M495" s="124" t="n"/>
      <c r="N495" s="124" t="n"/>
      <c r="O495" s="124" t="n"/>
    </row>
    <row r="496" ht="14.25" customHeight="1" s="75">
      <c r="A496" s="128" t="n"/>
      <c r="B496" s="128" t="n"/>
      <c r="C496" s="128" t="n"/>
      <c r="D496" s="129" t="n"/>
      <c r="E496" s="128" t="n"/>
      <c r="F496" s="128" t="n"/>
      <c r="G496" s="129" t="n"/>
      <c r="H496" s="129" t="n"/>
      <c r="I496" s="129" t="n"/>
      <c r="J496" s="124" t="n"/>
      <c r="K496" s="124" t="n"/>
      <c r="L496" s="124" t="n"/>
      <c r="M496" s="124" t="n"/>
      <c r="N496" s="124" t="n"/>
      <c r="O496" s="124" t="n"/>
    </row>
    <row r="497" ht="14.25" customHeight="1" s="75">
      <c r="A497" s="128" t="n"/>
      <c r="B497" s="128" t="n"/>
      <c r="C497" s="128" t="n"/>
      <c r="D497" s="129" t="n"/>
      <c r="E497" s="128" t="n"/>
      <c r="F497" s="128" t="n"/>
      <c r="G497" s="129" t="n"/>
      <c r="H497" s="129" t="n"/>
      <c r="I497" s="129" t="n"/>
      <c r="J497" s="124" t="n"/>
      <c r="K497" s="124" t="n"/>
      <c r="L497" s="124" t="n"/>
      <c r="M497" s="124" t="n"/>
      <c r="N497" s="124" t="n"/>
      <c r="O497" s="124" t="n"/>
    </row>
    <row r="498" ht="14.25" customHeight="1" s="75">
      <c r="A498" s="128" t="n"/>
      <c r="B498" s="128" t="n"/>
      <c r="C498" s="128" t="n"/>
      <c r="D498" s="129" t="n"/>
      <c r="E498" s="128" t="n"/>
      <c r="F498" s="128" t="n"/>
      <c r="G498" s="129" t="n"/>
      <c r="H498" s="129" t="n"/>
      <c r="I498" s="129" t="n"/>
      <c r="J498" s="124" t="n"/>
      <c r="K498" s="124" t="n"/>
      <c r="L498" s="124" t="n"/>
      <c r="M498" s="124" t="n"/>
      <c r="N498" s="124" t="n"/>
      <c r="O498" s="124" t="n"/>
    </row>
    <row r="499" ht="14.25" customHeight="1" s="75">
      <c r="A499" s="128" t="n"/>
      <c r="B499" s="128" t="n"/>
      <c r="C499" s="128" t="n"/>
      <c r="D499" s="129" t="n"/>
      <c r="E499" s="128" t="n"/>
      <c r="F499" s="128" t="n"/>
      <c r="G499" s="129" t="n"/>
      <c r="H499" s="129" t="n"/>
      <c r="I499" s="129" t="n"/>
      <c r="J499" s="124" t="n"/>
      <c r="K499" s="124" t="n"/>
      <c r="L499" s="124" t="n"/>
      <c r="M499" s="124" t="n"/>
      <c r="N499" s="124" t="n"/>
      <c r="O499" s="124" t="n"/>
    </row>
    <row r="500" ht="14.25" customHeight="1" s="75">
      <c r="A500" s="128" t="n"/>
      <c r="B500" s="128" t="n"/>
      <c r="C500" s="128" t="n"/>
      <c r="D500" s="129" t="n"/>
      <c r="E500" s="128" t="n"/>
      <c r="F500" s="128" t="n"/>
      <c r="G500" s="129" t="n"/>
      <c r="H500" s="129" t="n"/>
      <c r="I500" s="129" t="n"/>
      <c r="J500" s="124" t="n"/>
      <c r="K500" s="124" t="n"/>
      <c r="L500" s="124" t="n"/>
      <c r="M500" s="124" t="n"/>
      <c r="N500" s="124" t="n"/>
      <c r="O500" s="124" t="n"/>
    </row>
    <row r="501" ht="14.25" customHeight="1" s="75">
      <c r="A501" s="128" t="n"/>
      <c r="B501" s="128" t="n"/>
      <c r="C501" s="128" t="n"/>
      <c r="D501" s="129" t="n"/>
      <c r="E501" s="128" t="n"/>
      <c r="F501" s="128" t="n"/>
      <c r="G501" s="129" t="n"/>
      <c r="H501" s="129" t="n"/>
      <c r="I501" s="129" t="n"/>
      <c r="J501" s="124" t="n"/>
      <c r="K501" s="124" t="n"/>
      <c r="L501" s="124" t="n"/>
      <c r="M501" s="124" t="n"/>
      <c r="N501" s="124" t="n"/>
      <c r="O501" s="124" t="n"/>
    </row>
    <row r="502" ht="14.25" customHeight="1" s="75">
      <c r="A502" s="128" t="n"/>
      <c r="B502" s="128" t="n"/>
      <c r="C502" s="128" t="n"/>
      <c r="D502" s="129" t="n"/>
      <c r="E502" s="128" t="n"/>
      <c r="F502" s="128" t="n"/>
      <c r="G502" s="129" t="n"/>
      <c r="H502" s="129" t="n"/>
      <c r="I502" s="129" t="n"/>
      <c r="J502" s="124" t="n"/>
      <c r="K502" s="124" t="n"/>
      <c r="L502" s="124" t="n"/>
      <c r="M502" s="124" t="n"/>
      <c r="N502" s="124" t="n"/>
      <c r="O502" s="124" t="n"/>
    </row>
    <row r="503" ht="14.25" customHeight="1" s="75">
      <c r="A503" s="128" t="n"/>
      <c r="B503" s="128" t="n"/>
      <c r="C503" s="128" t="n"/>
      <c r="D503" s="129" t="n"/>
      <c r="E503" s="128" t="n"/>
      <c r="F503" s="128" t="n"/>
      <c r="G503" s="129" t="n"/>
      <c r="H503" s="129" t="n"/>
      <c r="I503" s="129" t="n"/>
      <c r="J503" s="124" t="n"/>
      <c r="K503" s="124" t="n"/>
      <c r="L503" s="124" t="n"/>
      <c r="M503" s="124" t="n"/>
      <c r="N503" s="124" t="n"/>
      <c r="O503" s="124" t="n"/>
    </row>
    <row r="504" ht="14.25" customHeight="1" s="75">
      <c r="A504" s="128" t="n"/>
      <c r="B504" s="128" t="n"/>
      <c r="C504" s="128" t="n"/>
      <c r="D504" s="129" t="n"/>
      <c r="E504" s="128" t="n"/>
      <c r="F504" s="128" t="n"/>
      <c r="G504" s="129" t="n"/>
      <c r="H504" s="129" t="n"/>
      <c r="I504" s="129" t="n"/>
      <c r="J504" s="124" t="n"/>
      <c r="K504" s="124" t="n"/>
      <c r="L504" s="124" t="n"/>
      <c r="M504" s="124" t="n"/>
      <c r="N504" s="124" t="n"/>
      <c r="O504" s="124" t="n"/>
    </row>
    <row r="505" ht="14.25" customHeight="1" s="75">
      <c r="A505" s="128" t="n"/>
      <c r="B505" s="128" t="n"/>
      <c r="C505" s="128" t="n"/>
      <c r="D505" s="129" t="n"/>
      <c r="E505" s="128" t="n"/>
      <c r="F505" s="128" t="n"/>
      <c r="G505" s="129" t="n"/>
      <c r="H505" s="129" t="n"/>
      <c r="I505" s="129" t="n"/>
      <c r="J505" s="124" t="n"/>
      <c r="K505" s="124" t="n"/>
      <c r="L505" s="124" t="n"/>
      <c r="M505" s="124" t="n"/>
      <c r="N505" s="124" t="n"/>
      <c r="O505" s="124" t="n"/>
    </row>
    <row r="506" ht="14.25" customHeight="1" s="75">
      <c r="A506" s="128" t="n"/>
      <c r="B506" s="128" t="n"/>
      <c r="C506" s="128" t="n"/>
      <c r="D506" s="129" t="n"/>
      <c r="E506" s="128" t="n"/>
      <c r="F506" s="128" t="n"/>
      <c r="G506" s="129" t="n"/>
      <c r="H506" s="129" t="n"/>
      <c r="I506" s="129" t="n"/>
      <c r="J506" s="124" t="n"/>
      <c r="K506" s="124" t="n"/>
      <c r="L506" s="124" t="n"/>
      <c r="M506" s="124" t="n"/>
      <c r="N506" s="124" t="n"/>
      <c r="O506" s="124" t="n"/>
    </row>
    <row r="507" ht="14.25" customHeight="1" s="75">
      <c r="A507" s="128" t="n"/>
      <c r="B507" s="128" t="n"/>
      <c r="C507" s="128" t="n"/>
      <c r="D507" s="129" t="n"/>
      <c r="E507" s="128" t="n"/>
      <c r="F507" s="128" t="n"/>
      <c r="G507" s="129" t="n"/>
      <c r="H507" s="129" t="n"/>
      <c r="I507" s="129" t="n"/>
      <c r="J507" s="124" t="n"/>
      <c r="K507" s="124" t="n"/>
      <c r="L507" s="124" t="n"/>
      <c r="M507" s="124" t="n"/>
      <c r="N507" s="124" t="n"/>
      <c r="O507" s="124" t="n"/>
    </row>
    <row r="508" ht="14.25" customHeight="1" s="75">
      <c r="A508" s="128" t="n"/>
      <c r="B508" s="128" t="n"/>
      <c r="C508" s="128" t="n"/>
      <c r="D508" s="129" t="n"/>
      <c r="E508" s="128" t="n"/>
      <c r="F508" s="128" t="n"/>
      <c r="G508" s="129" t="n"/>
      <c r="H508" s="129" t="n"/>
      <c r="I508" s="129" t="n"/>
      <c r="J508" s="124" t="n"/>
      <c r="K508" s="124" t="n"/>
      <c r="L508" s="124" t="n"/>
      <c r="M508" s="124" t="n"/>
      <c r="N508" s="124" t="n"/>
      <c r="O508" s="124" t="n"/>
    </row>
    <row r="509" ht="14.25" customHeight="1" s="75">
      <c r="A509" s="128" t="n"/>
      <c r="B509" s="128" t="n"/>
      <c r="C509" s="128" t="n"/>
      <c r="D509" s="129" t="n"/>
      <c r="E509" s="128" t="n"/>
      <c r="F509" s="128" t="n"/>
      <c r="G509" s="129" t="n"/>
      <c r="H509" s="129" t="n"/>
      <c r="I509" s="129" t="n"/>
      <c r="J509" s="124" t="n"/>
      <c r="K509" s="124" t="n"/>
      <c r="L509" s="124" t="n"/>
      <c r="M509" s="124" t="n"/>
      <c r="N509" s="124" t="n"/>
      <c r="O509" s="124" t="n"/>
    </row>
    <row r="510" ht="14.25" customHeight="1" s="75">
      <c r="A510" s="128" t="n"/>
      <c r="B510" s="128" t="n"/>
      <c r="C510" s="128" t="n"/>
      <c r="D510" s="129" t="n"/>
      <c r="E510" s="128" t="n"/>
      <c r="F510" s="128" t="n"/>
      <c r="G510" s="129" t="n"/>
      <c r="H510" s="129" t="n"/>
      <c r="I510" s="129" t="n"/>
      <c r="J510" s="124" t="n"/>
      <c r="K510" s="124" t="n"/>
      <c r="L510" s="124" t="n"/>
      <c r="M510" s="124" t="n"/>
      <c r="N510" s="124" t="n"/>
      <c r="O510" s="124" t="n"/>
    </row>
    <row r="511" ht="14.25" customHeight="1" s="75">
      <c r="A511" s="128" t="n"/>
      <c r="B511" s="128" t="n"/>
      <c r="C511" s="128" t="n"/>
      <c r="D511" s="129" t="n"/>
      <c r="E511" s="128" t="n"/>
      <c r="F511" s="128" t="n"/>
      <c r="G511" s="129" t="n"/>
      <c r="H511" s="129" t="n"/>
      <c r="I511" s="129" t="n"/>
      <c r="J511" s="124" t="n"/>
      <c r="K511" s="124" t="n"/>
      <c r="L511" s="124" t="n"/>
      <c r="M511" s="124" t="n"/>
      <c r="N511" s="124" t="n"/>
      <c r="O511" s="124" t="n"/>
    </row>
    <row r="512" ht="14.25" customHeight="1" s="75">
      <c r="A512" s="128" t="n"/>
      <c r="B512" s="128" t="n"/>
      <c r="C512" s="128" t="n"/>
      <c r="D512" s="129" t="n"/>
      <c r="E512" s="128" t="n"/>
      <c r="F512" s="128" t="n"/>
      <c r="G512" s="129" t="n"/>
      <c r="H512" s="129" t="n"/>
      <c r="I512" s="129" t="n"/>
      <c r="J512" s="124" t="n"/>
      <c r="K512" s="124" t="n"/>
      <c r="L512" s="124" t="n"/>
      <c r="M512" s="124" t="n"/>
      <c r="N512" s="124" t="n"/>
      <c r="O512" s="124" t="n"/>
    </row>
    <row r="513" ht="14.25" customHeight="1" s="75">
      <c r="A513" s="128" t="n"/>
      <c r="B513" s="128" t="n"/>
      <c r="C513" s="128" t="n"/>
      <c r="D513" s="129" t="n"/>
      <c r="E513" s="128" t="n"/>
      <c r="F513" s="128" t="n"/>
      <c r="G513" s="129" t="n"/>
      <c r="H513" s="129" t="n"/>
      <c r="I513" s="129" t="n"/>
      <c r="J513" s="124" t="n"/>
      <c r="K513" s="124" t="n"/>
      <c r="L513" s="124" t="n"/>
      <c r="M513" s="124" t="n"/>
      <c r="N513" s="124" t="n"/>
      <c r="O513" s="124" t="n"/>
    </row>
    <row r="514" ht="14.25" customHeight="1" s="75">
      <c r="A514" s="128" t="n"/>
      <c r="B514" s="128" t="n"/>
      <c r="C514" s="128" t="n"/>
      <c r="D514" s="129" t="n"/>
      <c r="E514" s="128" t="n"/>
      <c r="F514" s="128" t="n"/>
      <c r="G514" s="129" t="n"/>
      <c r="H514" s="129" t="n"/>
      <c r="I514" s="129" t="n"/>
      <c r="J514" s="124" t="n"/>
      <c r="K514" s="124" t="n"/>
      <c r="L514" s="124" t="n"/>
      <c r="M514" s="124" t="n"/>
      <c r="N514" s="124" t="n"/>
      <c r="O514" s="124" t="n"/>
    </row>
    <row r="515" ht="14.25" customHeight="1" s="75">
      <c r="A515" s="128" t="n"/>
      <c r="B515" s="128" t="n"/>
      <c r="C515" s="128" t="n"/>
      <c r="D515" s="129" t="n"/>
      <c r="E515" s="128" t="n"/>
      <c r="F515" s="128" t="n"/>
      <c r="G515" s="129" t="n"/>
      <c r="H515" s="129" t="n"/>
      <c r="I515" s="129" t="n"/>
      <c r="J515" s="124" t="n"/>
      <c r="K515" s="124" t="n"/>
      <c r="L515" s="124" t="n"/>
      <c r="M515" s="124" t="n"/>
      <c r="N515" s="124" t="n"/>
      <c r="O515" s="124" t="n"/>
    </row>
    <row r="516" ht="14.25" customHeight="1" s="75">
      <c r="A516" s="128" t="n"/>
      <c r="B516" s="128" t="n"/>
      <c r="C516" s="128" t="n"/>
      <c r="D516" s="129" t="n"/>
      <c r="E516" s="128" t="n"/>
      <c r="F516" s="128" t="n"/>
      <c r="G516" s="129" t="n"/>
      <c r="H516" s="129" t="n"/>
      <c r="I516" s="129" t="n"/>
      <c r="J516" s="124" t="n"/>
      <c r="K516" s="124" t="n"/>
      <c r="L516" s="124" t="n"/>
      <c r="M516" s="124" t="n"/>
      <c r="N516" s="124" t="n"/>
      <c r="O516" s="124" t="n"/>
    </row>
    <row r="517" ht="14.25" customHeight="1" s="75">
      <c r="A517" s="128" t="n"/>
      <c r="B517" s="128" t="n"/>
      <c r="C517" s="128" t="n"/>
      <c r="D517" s="129" t="n"/>
      <c r="E517" s="128" t="n"/>
      <c r="F517" s="128" t="n"/>
      <c r="G517" s="129" t="n"/>
      <c r="H517" s="129" t="n"/>
      <c r="I517" s="129" t="n"/>
      <c r="J517" s="124" t="n"/>
      <c r="K517" s="124" t="n"/>
      <c r="L517" s="124" t="n"/>
      <c r="M517" s="124" t="n"/>
      <c r="N517" s="124" t="n"/>
      <c r="O517" s="124" t="n"/>
    </row>
    <row r="518" ht="14.25" customHeight="1" s="75">
      <c r="A518" s="128" t="n"/>
      <c r="B518" s="128" t="n"/>
      <c r="C518" s="128" t="n"/>
      <c r="D518" s="129" t="n"/>
      <c r="E518" s="128" t="n"/>
      <c r="F518" s="128" t="n"/>
      <c r="G518" s="129" t="n"/>
      <c r="H518" s="129" t="n"/>
      <c r="I518" s="129" t="n"/>
      <c r="J518" s="124" t="n"/>
      <c r="K518" s="124" t="n"/>
      <c r="L518" s="124" t="n"/>
      <c r="M518" s="124" t="n"/>
      <c r="N518" s="124" t="n"/>
      <c r="O518" s="124" t="n"/>
    </row>
    <row r="519" ht="14.25" customHeight="1" s="75">
      <c r="A519" s="128" t="n"/>
      <c r="B519" s="128" t="n"/>
      <c r="C519" s="128" t="n"/>
      <c r="D519" s="129" t="n"/>
      <c r="E519" s="128" t="n"/>
      <c r="F519" s="128" t="n"/>
      <c r="G519" s="129" t="n"/>
      <c r="H519" s="129" t="n"/>
      <c r="I519" s="129" t="n"/>
      <c r="J519" s="124" t="n"/>
      <c r="K519" s="124" t="n"/>
      <c r="L519" s="124" t="n"/>
      <c r="M519" s="124" t="n"/>
      <c r="N519" s="124" t="n"/>
      <c r="O519" s="124" t="n"/>
    </row>
    <row r="520" ht="14.25" customHeight="1" s="75">
      <c r="A520" s="128" t="n"/>
      <c r="B520" s="128" t="n"/>
      <c r="C520" s="128" t="n"/>
      <c r="D520" s="129" t="n"/>
      <c r="E520" s="128" t="n"/>
      <c r="F520" s="128" t="n"/>
      <c r="G520" s="129" t="n"/>
      <c r="H520" s="129" t="n"/>
      <c r="I520" s="129" t="n"/>
      <c r="J520" s="124" t="n"/>
      <c r="K520" s="124" t="n"/>
      <c r="L520" s="124" t="n"/>
      <c r="M520" s="124" t="n"/>
      <c r="N520" s="124" t="n"/>
      <c r="O520" s="124" t="n"/>
    </row>
    <row r="521" ht="14.25" customHeight="1" s="75">
      <c r="A521" s="128" t="n"/>
      <c r="B521" s="128" t="n"/>
      <c r="C521" s="128" t="n"/>
      <c r="D521" s="129" t="n"/>
      <c r="E521" s="128" t="n"/>
      <c r="F521" s="128" t="n"/>
      <c r="G521" s="129" t="n"/>
      <c r="H521" s="129" t="n"/>
      <c r="I521" s="129" t="n"/>
      <c r="J521" s="124" t="n"/>
      <c r="K521" s="124" t="n"/>
      <c r="L521" s="124" t="n"/>
      <c r="M521" s="124" t="n"/>
      <c r="N521" s="124" t="n"/>
      <c r="O521" s="124" t="n"/>
    </row>
    <row r="522" ht="14.25" customHeight="1" s="75">
      <c r="A522" s="128" t="n"/>
      <c r="B522" s="128" t="n"/>
      <c r="C522" s="128" t="n"/>
      <c r="D522" s="129" t="n"/>
      <c r="E522" s="128" t="n"/>
      <c r="F522" s="128" t="n"/>
      <c r="G522" s="129" t="n"/>
      <c r="H522" s="129" t="n"/>
      <c r="I522" s="129" t="n"/>
      <c r="J522" s="124" t="n"/>
      <c r="K522" s="124" t="n"/>
      <c r="L522" s="124" t="n"/>
      <c r="M522" s="124" t="n"/>
      <c r="N522" s="124" t="n"/>
      <c r="O522" s="124" t="n"/>
    </row>
    <row r="523" ht="14.25" customHeight="1" s="75">
      <c r="A523" s="128" t="n"/>
      <c r="B523" s="128" t="n"/>
      <c r="C523" s="128" t="n"/>
      <c r="D523" s="129" t="n"/>
      <c r="E523" s="128" t="n"/>
      <c r="F523" s="128" t="n"/>
      <c r="G523" s="129" t="n"/>
      <c r="H523" s="129" t="n"/>
      <c r="I523" s="129" t="n"/>
      <c r="J523" s="124" t="n"/>
      <c r="K523" s="124" t="n"/>
      <c r="L523" s="124" t="n"/>
      <c r="M523" s="124" t="n"/>
      <c r="N523" s="124" t="n"/>
      <c r="O523" s="124" t="n"/>
    </row>
    <row r="524" ht="14.25" customHeight="1" s="75">
      <c r="A524" s="128" t="n"/>
      <c r="B524" s="128" t="n"/>
      <c r="C524" s="128" t="n"/>
      <c r="D524" s="129" t="n"/>
      <c r="E524" s="128" t="n"/>
      <c r="F524" s="128" t="n"/>
      <c r="G524" s="129" t="n"/>
      <c r="H524" s="129" t="n"/>
      <c r="I524" s="129" t="n"/>
      <c r="J524" s="124" t="n"/>
      <c r="K524" s="124" t="n"/>
      <c r="L524" s="124" t="n"/>
      <c r="M524" s="124" t="n"/>
      <c r="N524" s="124" t="n"/>
      <c r="O524" s="124" t="n"/>
    </row>
    <row r="525" ht="14.25" customHeight="1" s="75">
      <c r="A525" s="128" t="n"/>
      <c r="B525" s="128" t="n"/>
      <c r="C525" s="128" t="n"/>
      <c r="D525" s="129" t="n"/>
      <c r="E525" s="128" t="n"/>
      <c r="F525" s="128" t="n"/>
      <c r="G525" s="129" t="n"/>
      <c r="H525" s="129" t="n"/>
      <c r="I525" s="129" t="n"/>
      <c r="J525" s="124" t="n"/>
      <c r="K525" s="124" t="n"/>
      <c r="L525" s="124" t="n"/>
      <c r="M525" s="124" t="n"/>
      <c r="N525" s="124" t="n"/>
      <c r="O525" s="124" t="n"/>
    </row>
    <row r="526" ht="14.25" customHeight="1" s="75">
      <c r="A526" s="128" t="n"/>
      <c r="B526" s="128" t="n"/>
      <c r="C526" s="128" t="n"/>
      <c r="D526" s="129" t="n"/>
      <c r="E526" s="128" t="n"/>
      <c r="F526" s="128" t="n"/>
      <c r="G526" s="129" t="n"/>
      <c r="H526" s="129" t="n"/>
      <c r="I526" s="129" t="n"/>
      <c r="J526" s="124" t="n"/>
      <c r="K526" s="124" t="n"/>
      <c r="L526" s="124" t="n"/>
      <c r="M526" s="124" t="n"/>
      <c r="N526" s="124" t="n"/>
      <c r="O526" s="124" t="n"/>
    </row>
    <row r="527" ht="14.25" customHeight="1" s="75">
      <c r="A527" s="128" t="n"/>
      <c r="B527" s="128" t="n"/>
      <c r="C527" s="128" t="n"/>
      <c r="D527" s="129" t="n"/>
      <c r="E527" s="128" t="n"/>
      <c r="F527" s="128" t="n"/>
      <c r="G527" s="129" t="n"/>
      <c r="H527" s="129" t="n"/>
      <c r="I527" s="129" t="n"/>
      <c r="J527" s="124" t="n"/>
      <c r="K527" s="124" t="n"/>
      <c r="L527" s="124" t="n"/>
      <c r="M527" s="124" t="n"/>
      <c r="N527" s="124" t="n"/>
      <c r="O527" s="124" t="n"/>
    </row>
    <row r="528" ht="14.25" customHeight="1" s="75">
      <c r="A528" s="128" t="n"/>
      <c r="B528" s="128" t="n"/>
      <c r="C528" s="128" t="n"/>
      <c r="D528" s="129" t="n"/>
      <c r="E528" s="128" t="n"/>
      <c r="F528" s="128" t="n"/>
      <c r="G528" s="129" t="n"/>
      <c r="H528" s="129" t="n"/>
      <c r="I528" s="129" t="n"/>
      <c r="J528" s="124" t="n"/>
      <c r="K528" s="124" t="n"/>
      <c r="L528" s="124" t="n"/>
      <c r="M528" s="124" t="n"/>
      <c r="N528" s="124" t="n"/>
      <c r="O528" s="124" t="n"/>
    </row>
    <row r="529" ht="14.25" customHeight="1" s="75">
      <c r="A529" s="128" t="n"/>
      <c r="B529" s="128" t="n"/>
      <c r="C529" s="128" t="n"/>
      <c r="D529" s="129" t="n"/>
      <c r="E529" s="128" t="n"/>
      <c r="F529" s="128" t="n"/>
      <c r="G529" s="129" t="n"/>
      <c r="H529" s="129" t="n"/>
      <c r="I529" s="129" t="n"/>
      <c r="J529" s="124" t="n"/>
      <c r="K529" s="124" t="n"/>
      <c r="L529" s="124" t="n"/>
      <c r="M529" s="124" t="n"/>
      <c r="N529" s="124" t="n"/>
      <c r="O529" s="124" t="n"/>
    </row>
    <row r="530" ht="14.25" customHeight="1" s="75">
      <c r="A530" s="128" t="n"/>
      <c r="B530" s="128" t="n"/>
      <c r="C530" s="128" t="n"/>
      <c r="D530" s="129" t="n"/>
      <c r="E530" s="128" t="n"/>
      <c r="F530" s="128" t="n"/>
      <c r="G530" s="129" t="n"/>
      <c r="H530" s="129" t="n"/>
      <c r="I530" s="129" t="n"/>
      <c r="J530" s="124" t="n"/>
      <c r="K530" s="124" t="n"/>
      <c r="L530" s="124" t="n"/>
      <c r="M530" s="124" t="n"/>
      <c r="N530" s="124" t="n"/>
      <c r="O530" s="124" t="n"/>
    </row>
    <row r="531" ht="14.25" customHeight="1" s="75">
      <c r="A531" s="128" t="n"/>
      <c r="B531" s="128" t="n"/>
      <c r="C531" s="128" t="n"/>
      <c r="D531" s="129" t="n"/>
      <c r="E531" s="128" t="n"/>
      <c r="F531" s="128" t="n"/>
      <c r="G531" s="129" t="n"/>
      <c r="H531" s="129" t="n"/>
      <c r="I531" s="129" t="n"/>
      <c r="J531" s="124" t="n"/>
      <c r="K531" s="124" t="n"/>
      <c r="L531" s="124" t="n"/>
      <c r="M531" s="124" t="n"/>
      <c r="N531" s="124" t="n"/>
      <c r="O531" s="124" t="n"/>
    </row>
    <row r="532" ht="14.25" customHeight="1" s="75">
      <c r="A532" s="128" t="n"/>
      <c r="B532" s="128" t="n"/>
      <c r="C532" s="128" t="n"/>
      <c r="D532" s="129" t="n"/>
      <c r="E532" s="128" t="n"/>
      <c r="F532" s="128" t="n"/>
      <c r="G532" s="129" t="n"/>
      <c r="H532" s="129" t="n"/>
      <c r="I532" s="129" t="n"/>
      <c r="J532" s="124" t="n"/>
      <c r="K532" s="124" t="n"/>
      <c r="L532" s="124" t="n"/>
      <c r="M532" s="124" t="n"/>
      <c r="N532" s="124" t="n"/>
      <c r="O532" s="124" t="n"/>
    </row>
    <row r="533" ht="14.25" customHeight="1" s="75">
      <c r="A533" s="128" t="n"/>
      <c r="B533" s="128" t="n"/>
      <c r="C533" s="128" t="n"/>
      <c r="D533" s="129" t="n"/>
      <c r="E533" s="128" t="n"/>
      <c r="F533" s="128" t="n"/>
      <c r="G533" s="129" t="n"/>
      <c r="H533" s="129" t="n"/>
      <c r="I533" s="129" t="n"/>
      <c r="J533" s="124" t="n"/>
      <c r="K533" s="124" t="n"/>
      <c r="L533" s="124" t="n"/>
      <c r="M533" s="124" t="n"/>
      <c r="N533" s="124" t="n"/>
      <c r="O533" s="124" t="n"/>
    </row>
    <row r="534" ht="14.25" customHeight="1" s="75">
      <c r="A534" s="128" t="n"/>
      <c r="B534" s="128" t="n"/>
      <c r="C534" s="128" t="n"/>
      <c r="D534" s="129" t="n"/>
      <c r="E534" s="128" t="n"/>
      <c r="F534" s="128" t="n"/>
      <c r="G534" s="129" t="n"/>
      <c r="H534" s="129" t="n"/>
      <c r="I534" s="129" t="n"/>
      <c r="J534" s="124" t="n"/>
      <c r="K534" s="124" t="n"/>
      <c r="L534" s="124" t="n"/>
      <c r="M534" s="124" t="n"/>
      <c r="N534" s="124" t="n"/>
      <c r="O534" s="124" t="n"/>
    </row>
    <row r="535" ht="14.25" customHeight="1" s="75">
      <c r="A535" s="128" t="n"/>
      <c r="B535" s="128" t="n"/>
      <c r="C535" s="128" t="n"/>
      <c r="D535" s="129" t="n"/>
      <c r="E535" s="128" t="n"/>
      <c r="F535" s="128" t="n"/>
      <c r="G535" s="129" t="n"/>
      <c r="H535" s="129" t="n"/>
      <c r="I535" s="129" t="n"/>
      <c r="J535" s="124" t="n"/>
      <c r="K535" s="124" t="n"/>
      <c r="L535" s="124" t="n"/>
      <c r="M535" s="124" t="n"/>
      <c r="N535" s="124" t="n"/>
      <c r="O535" s="124" t="n"/>
    </row>
    <row r="536" ht="14.25" customHeight="1" s="75">
      <c r="A536" s="128" t="n"/>
      <c r="B536" s="128" t="n"/>
      <c r="C536" s="128" t="n"/>
      <c r="D536" s="129" t="n"/>
      <c r="E536" s="128" t="n"/>
      <c r="F536" s="128" t="n"/>
      <c r="G536" s="129" t="n"/>
      <c r="H536" s="129" t="n"/>
      <c r="I536" s="129" t="n"/>
      <c r="J536" s="124" t="n"/>
      <c r="K536" s="124" t="n"/>
      <c r="L536" s="124" t="n"/>
      <c r="M536" s="124" t="n"/>
      <c r="N536" s="124" t="n"/>
      <c r="O536" s="124" t="n"/>
    </row>
    <row r="537" ht="14.25" customHeight="1" s="75">
      <c r="A537" s="128" t="n"/>
      <c r="B537" s="128" t="n"/>
      <c r="C537" s="128" t="n"/>
      <c r="D537" s="129" t="n"/>
      <c r="E537" s="128" t="n"/>
      <c r="F537" s="128" t="n"/>
      <c r="G537" s="129" t="n"/>
      <c r="H537" s="129" t="n"/>
      <c r="I537" s="129" t="n"/>
      <c r="J537" s="124" t="n"/>
      <c r="K537" s="124" t="n"/>
      <c r="L537" s="124" t="n"/>
      <c r="M537" s="124" t="n"/>
      <c r="N537" s="124" t="n"/>
      <c r="O537" s="124" t="n"/>
    </row>
    <row r="538" ht="14.25" customHeight="1" s="75">
      <c r="A538" s="128" t="n"/>
      <c r="B538" s="128" t="n"/>
      <c r="C538" s="128" t="n"/>
      <c r="D538" s="129" t="n"/>
      <c r="E538" s="128" t="n"/>
      <c r="F538" s="128" t="n"/>
      <c r="G538" s="129" t="n"/>
      <c r="H538" s="129" t="n"/>
      <c r="I538" s="129" t="n"/>
      <c r="J538" s="124" t="n"/>
      <c r="K538" s="124" t="n"/>
      <c r="L538" s="124" t="n"/>
      <c r="M538" s="124" t="n"/>
      <c r="N538" s="124" t="n"/>
      <c r="O538" s="124" t="n"/>
    </row>
    <row r="539" ht="14.25" customHeight="1" s="75">
      <c r="A539" s="128" t="n"/>
      <c r="B539" s="128" t="n"/>
      <c r="C539" s="128" t="n"/>
      <c r="D539" s="129" t="n"/>
      <c r="E539" s="128" t="n"/>
      <c r="F539" s="128" t="n"/>
      <c r="G539" s="129" t="n"/>
      <c r="H539" s="129" t="n"/>
      <c r="I539" s="129" t="n"/>
      <c r="J539" s="124" t="n"/>
      <c r="K539" s="124" t="n"/>
      <c r="L539" s="124" t="n"/>
      <c r="M539" s="124" t="n"/>
      <c r="N539" s="124" t="n"/>
      <c r="O539" s="124" t="n"/>
    </row>
    <row r="540" ht="14.25" customHeight="1" s="75">
      <c r="A540" s="128" t="n"/>
      <c r="B540" s="128" t="n"/>
      <c r="C540" s="128" t="n"/>
      <c r="D540" s="129" t="n"/>
      <c r="E540" s="128" t="n"/>
      <c r="F540" s="128" t="n"/>
      <c r="G540" s="129" t="n"/>
      <c r="H540" s="129" t="n"/>
      <c r="I540" s="129" t="n"/>
      <c r="J540" s="124" t="n"/>
      <c r="K540" s="124" t="n"/>
      <c r="L540" s="124" t="n"/>
      <c r="M540" s="124" t="n"/>
      <c r="N540" s="124" t="n"/>
      <c r="O540" s="124" t="n"/>
    </row>
    <row r="541" ht="14.25" customHeight="1" s="75">
      <c r="A541" s="128" t="n"/>
      <c r="B541" s="128" t="n"/>
      <c r="C541" s="128" t="n"/>
      <c r="D541" s="129" t="n"/>
      <c r="E541" s="128" t="n"/>
      <c r="F541" s="128" t="n"/>
      <c r="G541" s="129" t="n"/>
      <c r="H541" s="129" t="n"/>
      <c r="I541" s="129" t="n"/>
      <c r="J541" s="124" t="n"/>
      <c r="K541" s="124" t="n"/>
      <c r="L541" s="124" t="n"/>
      <c r="M541" s="124" t="n"/>
      <c r="N541" s="124" t="n"/>
      <c r="O541" s="124" t="n"/>
    </row>
    <row r="542" ht="14.25" customHeight="1" s="75">
      <c r="A542" s="128" t="n"/>
      <c r="B542" s="128" t="n"/>
      <c r="C542" s="128" t="n"/>
      <c r="D542" s="129" t="n"/>
      <c r="E542" s="128" t="n"/>
      <c r="F542" s="128" t="n"/>
      <c r="G542" s="129" t="n"/>
      <c r="H542" s="129" t="n"/>
      <c r="I542" s="129" t="n"/>
      <c r="J542" s="124" t="n"/>
      <c r="K542" s="124" t="n"/>
      <c r="L542" s="124" t="n"/>
      <c r="M542" s="124" t="n"/>
      <c r="N542" s="124" t="n"/>
      <c r="O542" s="124" t="n"/>
    </row>
    <row r="543" ht="14.25" customHeight="1" s="75">
      <c r="A543" s="128" t="n"/>
      <c r="B543" s="128" t="n"/>
      <c r="C543" s="128" t="n"/>
      <c r="D543" s="129" t="n"/>
      <c r="E543" s="128" t="n"/>
      <c r="F543" s="128" t="n"/>
      <c r="G543" s="129" t="n"/>
      <c r="H543" s="129" t="n"/>
      <c r="I543" s="129" t="n"/>
      <c r="J543" s="124" t="n"/>
      <c r="K543" s="124" t="n"/>
      <c r="L543" s="124" t="n"/>
      <c r="M543" s="124" t="n"/>
      <c r="N543" s="124" t="n"/>
      <c r="O543" s="124" t="n"/>
    </row>
    <row r="544" ht="14.25" customHeight="1" s="75">
      <c r="A544" s="128" t="n"/>
      <c r="B544" s="128" t="n"/>
      <c r="C544" s="128" t="n"/>
      <c r="D544" s="129" t="n"/>
      <c r="E544" s="128" t="n"/>
      <c r="F544" s="128" t="n"/>
      <c r="G544" s="129" t="n"/>
      <c r="H544" s="129" t="n"/>
      <c r="I544" s="129" t="n"/>
      <c r="J544" s="124" t="n"/>
      <c r="K544" s="124" t="n"/>
      <c r="L544" s="124" t="n"/>
      <c r="M544" s="124" t="n"/>
      <c r="N544" s="124" t="n"/>
      <c r="O544" s="124" t="n"/>
    </row>
    <row r="545" ht="14.25" customHeight="1" s="75">
      <c r="A545" s="128" t="n"/>
      <c r="B545" s="128" t="n"/>
      <c r="C545" s="128" t="n"/>
      <c r="D545" s="129" t="n"/>
      <c r="E545" s="128" t="n"/>
      <c r="F545" s="128" t="n"/>
      <c r="G545" s="129" t="n"/>
      <c r="H545" s="129" t="n"/>
      <c r="I545" s="129" t="n"/>
      <c r="J545" s="124" t="n"/>
      <c r="K545" s="124" t="n"/>
      <c r="L545" s="124" t="n"/>
      <c r="M545" s="124" t="n"/>
      <c r="N545" s="124" t="n"/>
      <c r="O545" s="124" t="n"/>
    </row>
    <row r="546" ht="14.25" customHeight="1" s="75">
      <c r="A546" s="128" t="n"/>
      <c r="B546" s="128" t="n"/>
      <c r="C546" s="128" t="n"/>
      <c r="D546" s="129" t="n"/>
      <c r="E546" s="128" t="n"/>
      <c r="F546" s="128" t="n"/>
      <c r="G546" s="129" t="n"/>
      <c r="H546" s="129" t="n"/>
      <c r="I546" s="129" t="n"/>
      <c r="J546" s="124" t="n"/>
      <c r="K546" s="124" t="n"/>
      <c r="L546" s="124" t="n"/>
      <c r="M546" s="124" t="n"/>
      <c r="N546" s="124" t="n"/>
      <c r="O546" s="124" t="n"/>
    </row>
    <row r="547" ht="14.25" customHeight="1" s="75">
      <c r="A547" s="128" t="n"/>
      <c r="B547" s="128" t="n"/>
      <c r="C547" s="128" t="n"/>
      <c r="D547" s="129" t="n"/>
      <c r="E547" s="128" t="n"/>
      <c r="F547" s="128" t="n"/>
      <c r="G547" s="129" t="n"/>
      <c r="H547" s="129" t="n"/>
      <c r="I547" s="129" t="n"/>
      <c r="J547" s="124" t="n"/>
      <c r="K547" s="124" t="n"/>
      <c r="L547" s="124" t="n"/>
      <c r="M547" s="124" t="n"/>
      <c r="N547" s="124" t="n"/>
      <c r="O547" s="124" t="n"/>
    </row>
    <row r="548" ht="14.25" customHeight="1" s="75">
      <c r="A548" s="128" t="n"/>
      <c r="B548" s="128" t="n"/>
      <c r="C548" s="128" t="n"/>
      <c r="D548" s="129" t="n"/>
      <c r="E548" s="128" t="n"/>
      <c r="F548" s="128" t="n"/>
      <c r="G548" s="129" t="n"/>
      <c r="H548" s="129" t="n"/>
      <c r="I548" s="129" t="n"/>
      <c r="J548" s="124" t="n"/>
      <c r="K548" s="124" t="n"/>
      <c r="L548" s="124" t="n"/>
      <c r="M548" s="124" t="n"/>
      <c r="N548" s="124" t="n"/>
      <c r="O548" s="124" t="n"/>
    </row>
    <row r="549" ht="14.25" customHeight="1" s="75">
      <c r="A549" s="128" t="n"/>
      <c r="B549" s="128" t="n"/>
      <c r="C549" s="128" t="n"/>
      <c r="D549" s="129" t="n"/>
      <c r="E549" s="128" t="n"/>
      <c r="F549" s="128" t="n"/>
      <c r="G549" s="129" t="n"/>
      <c r="H549" s="129" t="n"/>
      <c r="I549" s="129" t="n"/>
      <c r="J549" s="124" t="n"/>
      <c r="K549" s="124" t="n"/>
      <c r="L549" s="124" t="n"/>
      <c r="M549" s="124" t="n"/>
      <c r="N549" s="124" t="n"/>
      <c r="O549" s="124" t="n"/>
    </row>
    <row r="550" ht="14.25" customHeight="1" s="75">
      <c r="A550" s="128" t="n"/>
      <c r="B550" s="128" t="n"/>
      <c r="C550" s="128" t="n"/>
      <c r="D550" s="129" t="n"/>
      <c r="E550" s="128" t="n"/>
      <c r="F550" s="128" t="n"/>
      <c r="G550" s="129" t="n"/>
      <c r="H550" s="129" t="n"/>
      <c r="I550" s="129" t="n"/>
      <c r="J550" s="124" t="n"/>
      <c r="K550" s="124" t="n"/>
      <c r="L550" s="124" t="n"/>
      <c r="M550" s="124" t="n"/>
      <c r="N550" s="124" t="n"/>
      <c r="O550" s="124" t="n"/>
    </row>
    <row r="551" ht="14.25" customHeight="1" s="75">
      <c r="A551" s="128" t="n"/>
      <c r="B551" s="128" t="n"/>
      <c r="C551" s="128" t="n"/>
      <c r="D551" s="129" t="n"/>
      <c r="E551" s="128" t="n"/>
      <c r="F551" s="128" t="n"/>
      <c r="G551" s="129" t="n"/>
      <c r="H551" s="129" t="n"/>
      <c r="I551" s="129" t="n"/>
      <c r="J551" s="124" t="n"/>
      <c r="K551" s="124" t="n"/>
      <c r="L551" s="124" t="n"/>
      <c r="M551" s="124" t="n"/>
      <c r="N551" s="124" t="n"/>
      <c r="O551" s="124" t="n"/>
    </row>
    <row r="552" ht="14.25" customHeight="1" s="75">
      <c r="A552" s="128" t="n"/>
      <c r="B552" s="128" t="n"/>
      <c r="C552" s="128" t="n"/>
      <c r="D552" s="129" t="n"/>
      <c r="E552" s="128" t="n"/>
      <c r="F552" s="128" t="n"/>
      <c r="G552" s="129" t="n"/>
      <c r="H552" s="129" t="n"/>
      <c r="I552" s="129" t="n"/>
      <c r="J552" s="124" t="n"/>
      <c r="K552" s="124" t="n"/>
      <c r="L552" s="124" t="n"/>
      <c r="M552" s="124" t="n"/>
      <c r="N552" s="124" t="n"/>
      <c r="O552" s="124" t="n"/>
    </row>
    <row r="553" ht="14.25" customHeight="1" s="75">
      <c r="A553" s="128" t="n"/>
      <c r="B553" s="128" t="n"/>
      <c r="C553" s="128" t="n"/>
      <c r="D553" s="129" t="n"/>
      <c r="E553" s="128" t="n"/>
      <c r="F553" s="128" t="n"/>
      <c r="G553" s="129" t="n"/>
      <c r="H553" s="129" t="n"/>
      <c r="I553" s="129" t="n"/>
      <c r="J553" s="124" t="n"/>
      <c r="K553" s="124" t="n"/>
      <c r="L553" s="124" t="n"/>
      <c r="M553" s="124" t="n"/>
      <c r="N553" s="124" t="n"/>
      <c r="O553" s="124" t="n"/>
    </row>
    <row r="554" ht="14.25" customHeight="1" s="75">
      <c r="A554" s="128" t="n"/>
      <c r="B554" s="128" t="n"/>
      <c r="C554" s="128" t="n"/>
      <c r="D554" s="129" t="n"/>
      <c r="E554" s="128" t="n"/>
      <c r="F554" s="128" t="n"/>
      <c r="G554" s="129" t="n"/>
      <c r="H554" s="129" t="n"/>
      <c r="I554" s="129" t="n"/>
      <c r="J554" s="124" t="n"/>
      <c r="K554" s="124" t="n"/>
      <c r="L554" s="124" t="n"/>
      <c r="M554" s="124" t="n"/>
      <c r="N554" s="124" t="n"/>
      <c r="O554" s="124" t="n"/>
    </row>
    <row r="555" ht="14.25" customHeight="1" s="75">
      <c r="A555" s="128" t="n"/>
      <c r="B555" s="128" t="n"/>
      <c r="C555" s="128" t="n"/>
      <c r="D555" s="129" t="n"/>
      <c r="E555" s="128" t="n"/>
      <c r="F555" s="128" t="n"/>
      <c r="G555" s="129" t="n"/>
      <c r="H555" s="129" t="n"/>
      <c r="I555" s="129" t="n"/>
      <c r="J555" s="124" t="n"/>
      <c r="K555" s="124" t="n"/>
      <c r="L555" s="124" t="n"/>
      <c r="M555" s="124" t="n"/>
      <c r="N555" s="124" t="n"/>
      <c r="O555" s="124" t="n"/>
    </row>
    <row r="556" ht="14.25" customHeight="1" s="75">
      <c r="A556" s="128" t="n"/>
      <c r="B556" s="128" t="n"/>
      <c r="C556" s="128" t="n"/>
      <c r="D556" s="129" t="n"/>
      <c r="E556" s="128" t="n"/>
      <c r="F556" s="128" t="n"/>
      <c r="G556" s="129" t="n"/>
      <c r="H556" s="129" t="n"/>
      <c r="I556" s="129" t="n"/>
      <c r="J556" s="124" t="n"/>
      <c r="K556" s="124" t="n"/>
      <c r="L556" s="124" t="n"/>
      <c r="M556" s="124" t="n"/>
      <c r="N556" s="124" t="n"/>
      <c r="O556" s="124" t="n"/>
    </row>
    <row r="557" ht="14.25" customHeight="1" s="75">
      <c r="A557" s="128" t="n"/>
      <c r="B557" s="128" t="n"/>
      <c r="C557" s="128" t="n"/>
      <c r="D557" s="129" t="n"/>
      <c r="E557" s="128" t="n"/>
      <c r="F557" s="128" t="n"/>
      <c r="G557" s="129" t="n"/>
      <c r="H557" s="129" t="n"/>
      <c r="I557" s="129" t="n"/>
      <c r="J557" s="124" t="n"/>
      <c r="K557" s="124" t="n"/>
      <c r="L557" s="124" t="n"/>
      <c r="M557" s="124" t="n"/>
      <c r="N557" s="124" t="n"/>
      <c r="O557" s="124" t="n"/>
    </row>
    <row r="558" ht="14.25" customHeight="1" s="75">
      <c r="A558" s="128" t="n"/>
      <c r="B558" s="128" t="n"/>
      <c r="C558" s="128" t="n"/>
      <c r="D558" s="129" t="n"/>
      <c r="E558" s="128" t="n"/>
      <c r="F558" s="128" t="n"/>
      <c r="G558" s="129" t="n"/>
      <c r="H558" s="129" t="n"/>
      <c r="I558" s="129" t="n"/>
      <c r="J558" s="124" t="n"/>
      <c r="K558" s="124" t="n"/>
      <c r="L558" s="124" t="n"/>
      <c r="M558" s="124" t="n"/>
      <c r="N558" s="124" t="n"/>
      <c r="O558" s="124" t="n"/>
    </row>
    <row r="559" ht="14.25" customHeight="1" s="75">
      <c r="A559" s="128" t="n"/>
      <c r="B559" s="128" t="n"/>
      <c r="C559" s="128" t="n"/>
      <c r="D559" s="129" t="n"/>
      <c r="E559" s="128" t="n"/>
      <c r="F559" s="128" t="n"/>
      <c r="G559" s="129" t="n"/>
      <c r="H559" s="129" t="n"/>
      <c r="I559" s="129" t="n"/>
      <c r="J559" s="124" t="n"/>
      <c r="K559" s="124" t="n"/>
      <c r="L559" s="124" t="n"/>
      <c r="M559" s="124" t="n"/>
      <c r="N559" s="124" t="n"/>
      <c r="O559" s="124" t="n"/>
    </row>
    <row r="560" ht="14.25" customHeight="1" s="75">
      <c r="A560" s="128" t="n"/>
      <c r="B560" s="128" t="n"/>
      <c r="C560" s="128" t="n"/>
      <c r="D560" s="129" t="n"/>
      <c r="E560" s="128" t="n"/>
      <c r="F560" s="128" t="n"/>
      <c r="G560" s="129" t="n"/>
      <c r="H560" s="129" t="n"/>
      <c r="I560" s="129" t="n"/>
      <c r="J560" s="124" t="n"/>
      <c r="K560" s="124" t="n"/>
      <c r="L560" s="124" t="n"/>
      <c r="M560" s="124" t="n"/>
      <c r="N560" s="124" t="n"/>
      <c r="O560" s="124" t="n"/>
    </row>
    <row r="561" ht="14.25" customHeight="1" s="75">
      <c r="A561" s="128" t="n"/>
      <c r="B561" s="128" t="n"/>
      <c r="C561" s="128" t="n"/>
      <c r="D561" s="129" t="n"/>
      <c r="E561" s="128" t="n"/>
      <c r="F561" s="128" t="n"/>
      <c r="G561" s="129" t="n"/>
      <c r="H561" s="129" t="n"/>
      <c r="I561" s="129" t="n"/>
      <c r="J561" s="124" t="n"/>
      <c r="K561" s="124" t="n"/>
      <c r="L561" s="124" t="n"/>
      <c r="M561" s="124" t="n"/>
      <c r="N561" s="124" t="n"/>
      <c r="O561" s="124" t="n"/>
    </row>
    <row r="562" ht="14.25" customHeight="1" s="75">
      <c r="A562" s="128" t="n"/>
      <c r="B562" s="128" t="n"/>
      <c r="C562" s="128" t="n"/>
      <c r="D562" s="129" t="n"/>
      <c r="E562" s="128" t="n"/>
      <c r="F562" s="128" t="n"/>
      <c r="G562" s="129" t="n"/>
      <c r="H562" s="129" t="n"/>
      <c r="I562" s="129" t="n"/>
      <c r="J562" s="124" t="n"/>
      <c r="K562" s="124" t="n"/>
      <c r="L562" s="124" t="n"/>
      <c r="M562" s="124" t="n"/>
      <c r="N562" s="124" t="n"/>
      <c r="O562" s="124" t="n"/>
    </row>
    <row r="563" ht="14.25" customHeight="1" s="75">
      <c r="A563" s="128" t="n"/>
      <c r="B563" s="128" t="n"/>
      <c r="C563" s="128" t="n"/>
      <c r="D563" s="129" t="n"/>
      <c r="E563" s="128" t="n"/>
      <c r="F563" s="128" t="n"/>
      <c r="G563" s="129" t="n"/>
      <c r="H563" s="129" t="n"/>
      <c r="I563" s="129" t="n"/>
      <c r="J563" s="124" t="n"/>
      <c r="K563" s="124" t="n"/>
      <c r="L563" s="124" t="n"/>
      <c r="M563" s="124" t="n"/>
      <c r="N563" s="124" t="n"/>
      <c r="O563" s="124" t="n"/>
    </row>
    <row r="564" ht="14.25" customHeight="1" s="75">
      <c r="A564" s="128" t="n"/>
      <c r="B564" s="128" t="n"/>
      <c r="C564" s="128" t="n"/>
      <c r="D564" s="129" t="n"/>
      <c r="E564" s="128" t="n"/>
      <c r="F564" s="128" t="n"/>
      <c r="G564" s="129" t="n"/>
      <c r="H564" s="129" t="n"/>
      <c r="I564" s="129" t="n"/>
      <c r="J564" s="124" t="n"/>
      <c r="K564" s="124" t="n"/>
      <c r="L564" s="124" t="n"/>
      <c r="M564" s="124" t="n"/>
      <c r="N564" s="124" t="n"/>
      <c r="O564" s="124" t="n"/>
    </row>
    <row r="565" ht="14.25" customHeight="1" s="75">
      <c r="A565" s="128" t="n"/>
      <c r="B565" s="128" t="n"/>
      <c r="C565" s="128" t="n"/>
      <c r="D565" s="129" t="n"/>
      <c r="E565" s="128" t="n"/>
      <c r="F565" s="128" t="n"/>
      <c r="G565" s="129" t="n"/>
      <c r="H565" s="129" t="n"/>
      <c r="I565" s="129" t="n"/>
      <c r="J565" s="124" t="n"/>
      <c r="K565" s="124" t="n"/>
      <c r="L565" s="124" t="n"/>
      <c r="M565" s="124" t="n"/>
      <c r="N565" s="124" t="n"/>
      <c r="O565" s="124" t="n"/>
    </row>
    <row r="566" ht="14.25" customHeight="1" s="75">
      <c r="A566" s="128" t="n"/>
      <c r="B566" s="128" t="n"/>
      <c r="C566" s="128" t="n"/>
      <c r="D566" s="129" t="n"/>
      <c r="E566" s="128" t="n"/>
      <c r="F566" s="128" t="n"/>
      <c r="G566" s="129" t="n"/>
      <c r="H566" s="129" t="n"/>
      <c r="I566" s="129" t="n"/>
      <c r="J566" s="124" t="n"/>
      <c r="K566" s="124" t="n"/>
      <c r="L566" s="124" t="n"/>
      <c r="M566" s="124" t="n"/>
      <c r="N566" s="124" t="n"/>
      <c r="O566" s="124" t="n"/>
    </row>
    <row r="567" ht="14.25" customHeight="1" s="75">
      <c r="A567" s="128" t="n"/>
      <c r="B567" s="128" t="n"/>
      <c r="C567" s="128" t="n"/>
      <c r="D567" s="129" t="n"/>
      <c r="E567" s="128" t="n"/>
      <c r="F567" s="128" t="n"/>
      <c r="G567" s="129" t="n"/>
      <c r="H567" s="129" t="n"/>
      <c r="I567" s="129" t="n"/>
      <c r="J567" s="124" t="n"/>
      <c r="K567" s="124" t="n"/>
      <c r="L567" s="124" t="n"/>
      <c r="M567" s="124" t="n"/>
      <c r="N567" s="124" t="n"/>
      <c r="O567" s="124" t="n"/>
    </row>
    <row r="568" ht="14.25" customHeight="1" s="75">
      <c r="A568" s="128" t="n"/>
      <c r="B568" s="128" t="n"/>
      <c r="C568" s="128" t="n"/>
      <c r="D568" s="129" t="n"/>
      <c r="E568" s="128" t="n"/>
      <c r="F568" s="128" t="n"/>
      <c r="G568" s="129" t="n"/>
      <c r="H568" s="129" t="n"/>
      <c r="I568" s="129" t="n"/>
      <c r="J568" s="124" t="n"/>
      <c r="K568" s="124" t="n"/>
      <c r="L568" s="124" t="n"/>
      <c r="M568" s="124" t="n"/>
      <c r="N568" s="124" t="n"/>
      <c r="O568" s="124" t="n"/>
    </row>
    <row r="569" ht="14.25" customHeight="1" s="75">
      <c r="A569" s="128" t="n"/>
      <c r="B569" s="128" t="n"/>
      <c r="C569" s="128" t="n"/>
      <c r="D569" s="129" t="n"/>
      <c r="E569" s="128" t="n"/>
      <c r="F569" s="128" t="n"/>
      <c r="G569" s="129" t="n"/>
      <c r="H569" s="129" t="n"/>
      <c r="I569" s="129" t="n"/>
      <c r="J569" s="124" t="n"/>
      <c r="K569" s="124" t="n"/>
      <c r="L569" s="124" t="n"/>
      <c r="M569" s="124" t="n"/>
      <c r="N569" s="124" t="n"/>
      <c r="O569" s="124" t="n"/>
    </row>
    <row r="570" ht="14.25" customHeight="1" s="75">
      <c r="A570" s="128" t="n"/>
      <c r="B570" s="128" t="n"/>
      <c r="C570" s="128" t="n"/>
      <c r="D570" s="129" t="n"/>
      <c r="E570" s="128" t="n"/>
      <c r="F570" s="128" t="n"/>
      <c r="G570" s="129" t="n"/>
      <c r="H570" s="129" t="n"/>
      <c r="I570" s="129" t="n"/>
      <c r="J570" s="124" t="n"/>
      <c r="K570" s="124" t="n"/>
      <c r="L570" s="124" t="n"/>
      <c r="M570" s="124" t="n"/>
      <c r="N570" s="124" t="n"/>
      <c r="O570" s="124" t="n"/>
    </row>
    <row r="571" ht="14.25" customHeight="1" s="75">
      <c r="A571" s="128" t="n"/>
      <c r="B571" s="128" t="n"/>
      <c r="C571" s="128" t="n"/>
      <c r="D571" s="129" t="n"/>
      <c r="E571" s="128" t="n"/>
      <c r="F571" s="128" t="n"/>
      <c r="G571" s="129" t="n"/>
      <c r="H571" s="129" t="n"/>
      <c r="I571" s="129" t="n"/>
      <c r="J571" s="124" t="n"/>
      <c r="K571" s="124" t="n"/>
      <c r="L571" s="124" t="n"/>
      <c r="M571" s="124" t="n"/>
      <c r="N571" s="124" t="n"/>
      <c r="O571" s="124" t="n"/>
    </row>
    <row r="572" ht="14.25" customHeight="1" s="75">
      <c r="A572" s="128" t="n"/>
      <c r="B572" s="128" t="n"/>
      <c r="C572" s="128" t="n"/>
      <c r="D572" s="129" t="n"/>
      <c r="E572" s="128" t="n"/>
      <c r="F572" s="128" t="n"/>
      <c r="G572" s="129" t="n"/>
      <c r="H572" s="129" t="n"/>
      <c r="I572" s="129" t="n"/>
      <c r="J572" s="124" t="n"/>
      <c r="K572" s="124" t="n"/>
      <c r="L572" s="124" t="n"/>
      <c r="M572" s="124" t="n"/>
      <c r="N572" s="124" t="n"/>
      <c r="O572" s="124" t="n"/>
    </row>
    <row r="573" ht="14.25" customHeight="1" s="75">
      <c r="A573" s="128" t="n"/>
      <c r="B573" s="128" t="n"/>
      <c r="C573" s="128" t="n"/>
      <c r="D573" s="129" t="n"/>
      <c r="E573" s="128" t="n"/>
      <c r="F573" s="128" t="n"/>
      <c r="G573" s="129" t="n"/>
      <c r="H573" s="129" t="n"/>
      <c r="I573" s="129" t="n"/>
      <c r="J573" s="124" t="n"/>
      <c r="K573" s="124" t="n"/>
      <c r="L573" s="124" t="n"/>
      <c r="M573" s="124" t="n"/>
      <c r="N573" s="124" t="n"/>
      <c r="O573" s="124" t="n"/>
    </row>
    <row r="574" ht="14.25" customHeight="1" s="75">
      <c r="A574" s="128" t="n"/>
      <c r="B574" s="128" t="n"/>
      <c r="C574" s="128" t="n"/>
      <c r="D574" s="129" t="n"/>
      <c r="E574" s="128" t="n"/>
      <c r="F574" s="128" t="n"/>
      <c r="G574" s="129" t="n"/>
      <c r="H574" s="129" t="n"/>
      <c r="I574" s="129" t="n"/>
      <c r="J574" s="124" t="n"/>
      <c r="K574" s="124" t="n"/>
      <c r="L574" s="124" t="n"/>
      <c r="M574" s="124" t="n"/>
      <c r="N574" s="124" t="n"/>
      <c r="O574" s="124" t="n"/>
    </row>
    <row r="575" ht="14.25" customHeight="1" s="75">
      <c r="A575" s="128" t="n"/>
      <c r="B575" s="128" t="n"/>
      <c r="C575" s="128" t="n"/>
      <c r="D575" s="129" t="n"/>
      <c r="E575" s="128" t="n"/>
      <c r="F575" s="128" t="n"/>
      <c r="G575" s="129" t="n"/>
      <c r="H575" s="129" t="n"/>
      <c r="I575" s="129" t="n"/>
      <c r="J575" s="124" t="n"/>
      <c r="K575" s="124" t="n"/>
      <c r="L575" s="124" t="n"/>
      <c r="M575" s="124" t="n"/>
      <c r="N575" s="124" t="n"/>
      <c r="O575" s="124" t="n"/>
    </row>
    <row r="576" ht="14.25" customHeight="1" s="75">
      <c r="A576" s="128" t="n"/>
      <c r="B576" s="128" t="n"/>
      <c r="C576" s="128" t="n"/>
      <c r="D576" s="129" t="n"/>
      <c r="E576" s="128" t="n"/>
      <c r="F576" s="128" t="n"/>
      <c r="G576" s="129" t="n"/>
      <c r="H576" s="129" t="n"/>
      <c r="I576" s="129" t="n"/>
      <c r="J576" s="124" t="n"/>
      <c r="K576" s="124" t="n"/>
      <c r="L576" s="124" t="n"/>
      <c r="M576" s="124" t="n"/>
      <c r="N576" s="124" t="n"/>
      <c r="O576" s="124" t="n"/>
    </row>
    <row r="577" ht="14.25" customHeight="1" s="75">
      <c r="A577" s="128" t="n"/>
      <c r="B577" s="128" t="n"/>
      <c r="C577" s="128" t="n"/>
      <c r="D577" s="129" t="n"/>
      <c r="E577" s="128" t="n"/>
      <c r="F577" s="128" t="n"/>
      <c r="G577" s="129" t="n"/>
      <c r="H577" s="129" t="n"/>
      <c r="I577" s="129" t="n"/>
      <c r="J577" s="124" t="n"/>
      <c r="K577" s="124" t="n"/>
      <c r="L577" s="124" t="n"/>
      <c r="M577" s="124" t="n"/>
      <c r="N577" s="124" t="n"/>
      <c r="O577" s="124" t="n"/>
    </row>
    <row r="578" ht="14.25" customHeight="1" s="75">
      <c r="A578" s="128" t="n"/>
      <c r="B578" s="128" t="n"/>
      <c r="C578" s="128" t="n"/>
      <c r="D578" s="129" t="n"/>
      <c r="E578" s="128" t="n"/>
      <c r="F578" s="128" t="n"/>
      <c r="G578" s="129" t="n"/>
      <c r="H578" s="129" t="n"/>
      <c r="I578" s="129" t="n"/>
      <c r="J578" s="124" t="n"/>
      <c r="K578" s="124" t="n"/>
      <c r="L578" s="124" t="n"/>
      <c r="M578" s="124" t="n"/>
      <c r="N578" s="124" t="n"/>
      <c r="O578" s="124" t="n"/>
    </row>
    <row r="579" ht="14.25" customHeight="1" s="75">
      <c r="A579" s="128" t="n"/>
      <c r="B579" s="128" t="n"/>
      <c r="C579" s="128" t="n"/>
      <c r="D579" s="129" t="n"/>
      <c r="E579" s="128" t="n"/>
      <c r="F579" s="128" t="n"/>
      <c r="G579" s="129" t="n"/>
      <c r="H579" s="129" t="n"/>
      <c r="I579" s="129" t="n"/>
      <c r="J579" s="124" t="n"/>
      <c r="K579" s="124" t="n"/>
      <c r="L579" s="124" t="n"/>
      <c r="M579" s="124" t="n"/>
      <c r="N579" s="124" t="n"/>
      <c r="O579" s="124" t="n"/>
    </row>
    <row r="580" ht="14.25" customHeight="1" s="75">
      <c r="A580" s="128" t="n"/>
      <c r="B580" s="128" t="n"/>
      <c r="C580" s="128" t="n"/>
      <c r="D580" s="129" t="n"/>
      <c r="E580" s="128" t="n"/>
      <c r="F580" s="128" t="n"/>
      <c r="G580" s="129" t="n"/>
      <c r="H580" s="129" t="n"/>
      <c r="I580" s="129" t="n"/>
      <c r="J580" s="124" t="n"/>
      <c r="K580" s="124" t="n"/>
      <c r="L580" s="124" t="n"/>
      <c r="M580" s="124" t="n"/>
      <c r="N580" s="124" t="n"/>
      <c r="O580" s="124" t="n"/>
    </row>
    <row r="581" ht="14.25" customHeight="1" s="75">
      <c r="A581" s="128" t="n"/>
      <c r="B581" s="128" t="n"/>
      <c r="C581" s="128" t="n"/>
      <c r="D581" s="129" t="n"/>
      <c r="E581" s="128" t="n"/>
      <c r="F581" s="128" t="n"/>
      <c r="G581" s="129" t="n"/>
      <c r="H581" s="129" t="n"/>
      <c r="I581" s="129" t="n"/>
      <c r="J581" s="124" t="n"/>
      <c r="K581" s="124" t="n"/>
      <c r="L581" s="124" t="n"/>
      <c r="M581" s="124" t="n"/>
      <c r="N581" s="124" t="n"/>
      <c r="O581" s="124" t="n"/>
    </row>
    <row r="582" ht="14.25" customHeight="1" s="75">
      <c r="A582" s="128" t="n"/>
      <c r="B582" s="128" t="n"/>
      <c r="C582" s="128" t="n"/>
      <c r="D582" s="129" t="n"/>
      <c r="E582" s="128" t="n"/>
      <c r="F582" s="128" t="n"/>
      <c r="G582" s="129" t="n"/>
      <c r="H582" s="129" t="n"/>
      <c r="I582" s="129" t="n"/>
      <c r="J582" s="124" t="n"/>
      <c r="K582" s="124" t="n"/>
      <c r="L582" s="124" t="n"/>
      <c r="M582" s="124" t="n"/>
      <c r="N582" s="124" t="n"/>
      <c r="O582" s="124" t="n"/>
    </row>
    <row r="583" ht="14.25" customHeight="1" s="75">
      <c r="A583" s="128" t="n"/>
      <c r="B583" s="128" t="n"/>
      <c r="C583" s="128" t="n"/>
      <c r="D583" s="129" t="n"/>
      <c r="E583" s="128" t="n"/>
      <c r="F583" s="128" t="n"/>
      <c r="G583" s="129" t="n"/>
      <c r="H583" s="129" t="n"/>
      <c r="I583" s="129" t="n"/>
      <c r="J583" s="124" t="n"/>
      <c r="K583" s="124" t="n"/>
      <c r="L583" s="124" t="n"/>
      <c r="M583" s="124" t="n"/>
      <c r="N583" s="124" t="n"/>
      <c r="O583" s="124" t="n"/>
    </row>
    <row r="584" ht="14.25" customHeight="1" s="75">
      <c r="A584" s="128" t="n"/>
      <c r="B584" s="128" t="n"/>
      <c r="C584" s="128" t="n"/>
      <c r="D584" s="129" t="n"/>
      <c r="E584" s="128" t="n"/>
      <c r="F584" s="128" t="n"/>
      <c r="G584" s="129" t="n"/>
      <c r="H584" s="129" t="n"/>
      <c r="I584" s="129" t="n"/>
      <c r="J584" s="124" t="n"/>
      <c r="K584" s="124" t="n"/>
      <c r="L584" s="124" t="n"/>
      <c r="M584" s="124" t="n"/>
      <c r="N584" s="124" t="n"/>
      <c r="O584" s="124" t="n"/>
    </row>
    <row r="585" ht="14.25" customHeight="1" s="75">
      <c r="A585" s="128" t="n"/>
      <c r="B585" s="128" t="n"/>
      <c r="C585" s="128" t="n"/>
      <c r="D585" s="129" t="n"/>
      <c r="E585" s="128" t="n"/>
      <c r="F585" s="128" t="n"/>
      <c r="G585" s="129" t="n"/>
      <c r="H585" s="129" t="n"/>
      <c r="I585" s="129" t="n"/>
      <c r="J585" s="124" t="n"/>
      <c r="K585" s="124" t="n"/>
      <c r="L585" s="124" t="n"/>
      <c r="M585" s="124" t="n"/>
      <c r="N585" s="124" t="n"/>
      <c r="O585" s="124" t="n"/>
    </row>
    <row r="586" ht="14.25" customHeight="1" s="75">
      <c r="A586" s="128" t="n"/>
      <c r="B586" s="128" t="n"/>
      <c r="C586" s="128" t="n"/>
      <c r="D586" s="129" t="n"/>
      <c r="E586" s="128" t="n"/>
      <c r="F586" s="128" t="n"/>
      <c r="G586" s="129" t="n"/>
      <c r="H586" s="129" t="n"/>
      <c r="I586" s="129" t="n"/>
      <c r="J586" s="124" t="n"/>
      <c r="K586" s="124" t="n"/>
      <c r="L586" s="124" t="n"/>
      <c r="M586" s="124" t="n"/>
      <c r="N586" s="124" t="n"/>
      <c r="O586" s="124" t="n"/>
    </row>
    <row r="587" ht="14.25" customHeight="1" s="75">
      <c r="A587" s="128" t="n"/>
      <c r="B587" s="128" t="n"/>
      <c r="C587" s="128" t="n"/>
      <c r="D587" s="129" t="n"/>
      <c r="E587" s="128" t="n"/>
      <c r="F587" s="128" t="n"/>
      <c r="G587" s="129" t="n"/>
      <c r="H587" s="129" t="n"/>
      <c r="I587" s="129" t="n"/>
      <c r="J587" s="124" t="n"/>
      <c r="K587" s="124" t="n"/>
      <c r="L587" s="124" t="n"/>
      <c r="M587" s="124" t="n"/>
      <c r="N587" s="124" t="n"/>
      <c r="O587" s="124" t="n"/>
    </row>
    <row r="588" ht="14.25" customHeight="1" s="75">
      <c r="A588" s="128" t="n"/>
      <c r="B588" s="128" t="n"/>
      <c r="C588" s="128" t="n"/>
      <c r="D588" s="129" t="n"/>
      <c r="E588" s="128" t="n"/>
      <c r="F588" s="128" t="n"/>
      <c r="G588" s="129" t="n"/>
      <c r="H588" s="129" t="n"/>
      <c r="I588" s="129" t="n"/>
      <c r="J588" s="124" t="n"/>
      <c r="K588" s="124" t="n"/>
      <c r="L588" s="124" t="n"/>
      <c r="M588" s="124" t="n"/>
      <c r="N588" s="124" t="n"/>
      <c r="O588" s="124" t="n"/>
    </row>
    <row r="589" ht="14.25" customHeight="1" s="75">
      <c r="A589" s="128" t="n"/>
      <c r="B589" s="128" t="n"/>
      <c r="C589" s="128" t="n"/>
      <c r="D589" s="129" t="n"/>
      <c r="E589" s="128" t="n"/>
      <c r="F589" s="128" t="n"/>
      <c r="G589" s="129" t="n"/>
      <c r="H589" s="129" t="n"/>
      <c r="I589" s="129" t="n"/>
      <c r="J589" s="124" t="n"/>
      <c r="K589" s="124" t="n"/>
      <c r="L589" s="124" t="n"/>
      <c r="M589" s="124" t="n"/>
      <c r="N589" s="124" t="n"/>
      <c r="O589" s="124" t="n"/>
    </row>
    <row r="590" ht="14.25" customHeight="1" s="75">
      <c r="A590" s="128" t="n"/>
      <c r="B590" s="128" t="n"/>
      <c r="C590" s="128" t="n"/>
      <c r="D590" s="129" t="n"/>
      <c r="E590" s="128" t="n"/>
      <c r="F590" s="128" t="n"/>
      <c r="G590" s="129" t="n"/>
      <c r="H590" s="129" t="n"/>
      <c r="I590" s="129" t="n"/>
      <c r="J590" s="124" t="n"/>
      <c r="K590" s="124" t="n"/>
      <c r="L590" s="124" t="n"/>
      <c r="M590" s="124" t="n"/>
      <c r="N590" s="124" t="n"/>
      <c r="O590" s="124" t="n"/>
    </row>
    <row r="591" ht="14.25" customHeight="1" s="75">
      <c r="A591" s="128" t="n"/>
      <c r="B591" s="128" t="n"/>
      <c r="C591" s="128" t="n"/>
      <c r="D591" s="129" t="n"/>
      <c r="E591" s="128" t="n"/>
      <c r="F591" s="128" t="n"/>
      <c r="G591" s="129" t="n"/>
      <c r="H591" s="129" t="n"/>
      <c r="I591" s="129" t="n"/>
      <c r="J591" s="124" t="n"/>
      <c r="K591" s="124" t="n"/>
      <c r="L591" s="124" t="n"/>
      <c r="M591" s="124" t="n"/>
      <c r="N591" s="124" t="n"/>
      <c r="O591" s="124" t="n"/>
    </row>
    <row r="592" ht="14.25" customHeight="1" s="75">
      <c r="A592" s="128" t="n"/>
      <c r="B592" s="128" t="n"/>
      <c r="C592" s="128" t="n"/>
      <c r="D592" s="129" t="n"/>
      <c r="E592" s="128" t="n"/>
      <c r="F592" s="128" t="n"/>
      <c r="G592" s="129" t="n"/>
      <c r="H592" s="129" t="n"/>
      <c r="I592" s="129" t="n"/>
      <c r="J592" s="124" t="n"/>
      <c r="K592" s="124" t="n"/>
      <c r="L592" s="124" t="n"/>
      <c r="M592" s="124" t="n"/>
      <c r="N592" s="124" t="n"/>
      <c r="O592" s="124" t="n"/>
    </row>
    <row r="593" ht="14.25" customHeight="1" s="75">
      <c r="A593" s="128" t="n"/>
      <c r="B593" s="128" t="n"/>
      <c r="C593" s="128" t="n"/>
      <c r="D593" s="129" t="n"/>
      <c r="E593" s="128" t="n"/>
      <c r="F593" s="128" t="n"/>
      <c r="G593" s="129" t="n"/>
      <c r="H593" s="129" t="n"/>
      <c r="I593" s="129" t="n"/>
      <c r="J593" s="124" t="n"/>
      <c r="K593" s="124" t="n"/>
      <c r="L593" s="124" t="n"/>
      <c r="M593" s="124" t="n"/>
      <c r="N593" s="124" t="n"/>
      <c r="O593" s="124" t="n"/>
    </row>
    <row r="594" ht="14.25" customHeight="1" s="75">
      <c r="A594" s="128" t="n"/>
      <c r="B594" s="128" t="n"/>
      <c r="C594" s="128" t="n"/>
      <c r="D594" s="129" t="n"/>
      <c r="E594" s="128" t="n"/>
      <c r="F594" s="128" t="n"/>
      <c r="G594" s="129" t="n"/>
      <c r="H594" s="129" t="n"/>
      <c r="I594" s="129" t="n"/>
      <c r="J594" s="124" t="n"/>
      <c r="K594" s="124" t="n"/>
      <c r="L594" s="124" t="n"/>
      <c r="M594" s="124" t="n"/>
      <c r="N594" s="124" t="n"/>
      <c r="O594" s="124" t="n"/>
    </row>
    <row r="595" ht="14.25" customHeight="1" s="75">
      <c r="A595" s="128" t="n"/>
      <c r="B595" s="128" t="n"/>
      <c r="C595" s="128" t="n"/>
      <c r="D595" s="129" t="n"/>
      <c r="E595" s="128" t="n"/>
      <c r="F595" s="128" t="n"/>
      <c r="G595" s="129" t="n"/>
      <c r="H595" s="129" t="n"/>
      <c r="I595" s="129" t="n"/>
      <c r="J595" s="124" t="n"/>
      <c r="K595" s="124" t="n"/>
      <c r="L595" s="124" t="n"/>
      <c r="M595" s="124" t="n"/>
      <c r="N595" s="124" t="n"/>
      <c r="O595" s="124" t="n"/>
    </row>
    <row r="596" ht="14.25" customHeight="1" s="75">
      <c r="A596" s="128" t="n"/>
      <c r="B596" s="128" t="n"/>
      <c r="C596" s="128" t="n"/>
      <c r="D596" s="129" t="n"/>
      <c r="E596" s="128" t="n"/>
      <c r="F596" s="128" t="n"/>
      <c r="G596" s="129" t="n"/>
      <c r="H596" s="129" t="n"/>
      <c r="I596" s="129" t="n"/>
      <c r="J596" s="124" t="n"/>
      <c r="K596" s="124" t="n"/>
      <c r="L596" s="124" t="n"/>
      <c r="M596" s="124" t="n"/>
      <c r="N596" s="124" t="n"/>
      <c r="O596" s="124" t="n"/>
    </row>
    <row r="597" ht="14.25" customHeight="1" s="75">
      <c r="A597" s="128" t="n"/>
      <c r="B597" s="128" t="n"/>
      <c r="C597" s="128" t="n"/>
      <c r="D597" s="129" t="n"/>
      <c r="E597" s="128" t="n"/>
      <c r="F597" s="128" t="n"/>
      <c r="G597" s="129" t="n"/>
      <c r="H597" s="129" t="n"/>
      <c r="I597" s="129" t="n"/>
      <c r="J597" s="124" t="n"/>
      <c r="K597" s="124" t="n"/>
      <c r="L597" s="124" t="n"/>
      <c r="M597" s="124" t="n"/>
      <c r="N597" s="124" t="n"/>
      <c r="O597" s="124" t="n"/>
    </row>
    <row r="598" ht="14.25" customHeight="1" s="75">
      <c r="A598" s="128" t="n"/>
      <c r="B598" s="128" t="n"/>
      <c r="C598" s="128" t="n"/>
      <c r="D598" s="129" t="n"/>
      <c r="E598" s="128" t="n"/>
      <c r="F598" s="128" t="n"/>
      <c r="G598" s="129" t="n"/>
      <c r="H598" s="129" t="n"/>
      <c r="I598" s="129" t="n"/>
      <c r="J598" s="124" t="n"/>
      <c r="K598" s="124" t="n"/>
      <c r="L598" s="124" t="n"/>
      <c r="M598" s="124" t="n"/>
      <c r="N598" s="124" t="n"/>
      <c r="O598" s="124" t="n"/>
    </row>
    <row r="599" ht="14.25" customHeight="1" s="75">
      <c r="A599" s="128" t="n"/>
      <c r="B599" s="128" t="n"/>
      <c r="C599" s="128" t="n"/>
      <c r="D599" s="129" t="n"/>
      <c r="E599" s="128" t="n"/>
      <c r="F599" s="128" t="n"/>
      <c r="G599" s="129" t="n"/>
      <c r="H599" s="129" t="n"/>
      <c r="I599" s="129" t="n"/>
      <c r="J599" s="124" t="n"/>
      <c r="K599" s="124" t="n"/>
      <c r="L599" s="124" t="n"/>
      <c r="M599" s="124" t="n"/>
      <c r="N599" s="124" t="n"/>
      <c r="O599" s="124" t="n"/>
    </row>
    <row r="600" ht="14.25" customHeight="1" s="75">
      <c r="A600" s="128" t="n"/>
      <c r="B600" s="128" t="n"/>
      <c r="C600" s="128" t="n"/>
      <c r="D600" s="129" t="n"/>
      <c r="E600" s="128" t="n"/>
      <c r="F600" s="128" t="n"/>
      <c r="G600" s="129" t="n"/>
      <c r="H600" s="129" t="n"/>
      <c r="I600" s="129" t="n"/>
      <c r="J600" s="124" t="n"/>
      <c r="K600" s="124" t="n"/>
      <c r="L600" s="124" t="n"/>
      <c r="M600" s="124" t="n"/>
      <c r="N600" s="124" t="n"/>
      <c r="O600" s="124" t="n"/>
    </row>
    <row r="601" ht="14.25" customHeight="1" s="75">
      <c r="A601" s="128" t="n"/>
      <c r="B601" s="128" t="n"/>
      <c r="C601" s="128" t="n"/>
      <c r="D601" s="129" t="n"/>
      <c r="E601" s="128" t="n"/>
      <c r="F601" s="128" t="n"/>
      <c r="G601" s="129" t="n"/>
      <c r="H601" s="129" t="n"/>
      <c r="I601" s="129" t="n"/>
      <c r="J601" s="124" t="n"/>
      <c r="K601" s="124" t="n"/>
      <c r="L601" s="124" t="n"/>
      <c r="M601" s="124" t="n"/>
      <c r="N601" s="124" t="n"/>
      <c r="O601" s="124" t="n"/>
    </row>
    <row r="602" ht="14.25" customHeight="1" s="75">
      <c r="A602" s="128" t="n"/>
      <c r="B602" s="128" t="n"/>
      <c r="C602" s="128" t="n"/>
      <c r="D602" s="129" t="n"/>
      <c r="E602" s="128" t="n"/>
      <c r="F602" s="128" t="n"/>
      <c r="G602" s="129" t="n"/>
      <c r="H602" s="129" t="n"/>
      <c r="I602" s="129" t="n"/>
      <c r="J602" s="124" t="n"/>
      <c r="K602" s="124" t="n"/>
      <c r="L602" s="124" t="n"/>
      <c r="M602" s="124" t="n"/>
      <c r="N602" s="124" t="n"/>
      <c r="O602" s="124" t="n"/>
    </row>
    <row r="603" ht="14.25" customHeight="1" s="75">
      <c r="A603" s="128" t="n"/>
      <c r="B603" s="128" t="n"/>
      <c r="C603" s="128" t="n"/>
      <c r="D603" s="129" t="n"/>
      <c r="E603" s="128" t="n"/>
      <c r="F603" s="128" t="n"/>
      <c r="G603" s="129" t="n"/>
      <c r="H603" s="129" t="n"/>
      <c r="I603" s="129" t="n"/>
      <c r="J603" s="124" t="n"/>
      <c r="K603" s="124" t="n"/>
      <c r="L603" s="124" t="n"/>
      <c r="M603" s="124" t="n"/>
      <c r="N603" s="124" t="n"/>
      <c r="O603" s="124" t="n"/>
    </row>
    <row r="604" ht="14.25" customHeight="1" s="75">
      <c r="A604" s="128" t="n"/>
      <c r="B604" s="128" t="n"/>
      <c r="C604" s="128" t="n"/>
      <c r="D604" s="129" t="n"/>
      <c r="E604" s="128" t="n"/>
      <c r="F604" s="128" t="n"/>
      <c r="G604" s="129" t="n"/>
      <c r="H604" s="129" t="n"/>
      <c r="I604" s="129" t="n"/>
      <c r="J604" s="124" t="n"/>
      <c r="K604" s="124" t="n"/>
      <c r="L604" s="124" t="n"/>
      <c r="M604" s="124" t="n"/>
      <c r="N604" s="124" t="n"/>
      <c r="O604" s="124" t="n"/>
    </row>
    <row r="605" ht="14.25" customHeight="1" s="75">
      <c r="A605" s="128" t="n"/>
      <c r="B605" s="128" t="n"/>
      <c r="C605" s="128" t="n"/>
      <c r="D605" s="129" t="n"/>
      <c r="E605" s="128" t="n"/>
      <c r="F605" s="128" t="n"/>
      <c r="G605" s="129" t="n"/>
      <c r="H605" s="129" t="n"/>
      <c r="I605" s="129" t="n"/>
      <c r="J605" s="124" t="n"/>
      <c r="K605" s="124" t="n"/>
      <c r="L605" s="124" t="n"/>
      <c r="M605" s="124" t="n"/>
      <c r="N605" s="124" t="n"/>
      <c r="O605" s="124" t="n"/>
    </row>
    <row r="606" ht="14.25" customHeight="1" s="75">
      <c r="A606" s="128" t="n"/>
      <c r="B606" s="128" t="n"/>
      <c r="C606" s="128" t="n"/>
      <c r="D606" s="129" t="n"/>
      <c r="E606" s="128" t="n"/>
      <c r="F606" s="128" t="n"/>
      <c r="G606" s="129" t="n"/>
      <c r="H606" s="129" t="n"/>
      <c r="I606" s="129" t="n"/>
      <c r="J606" s="124" t="n"/>
      <c r="K606" s="124" t="n"/>
      <c r="L606" s="124" t="n"/>
      <c r="M606" s="124" t="n"/>
      <c r="N606" s="124" t="n"/>
      <c r="O606" s="124" t="n"/>
    </row>
    <row r="607" ht="14.25" customHeight="1" s="75">
      <c r="A607" s="128" t="n"/>
      <c r="B607" s="128" t="n"/>
      <c r="C607" s="128" t="n"/>
      <c r="D607" s="129" t="n"/>
      <c r="E607" s="128" t="n"/>
      <c r="F607" s="128" t="n"/>
      <c r="G607" s="129" t="n"/>
      <c r="H607" s="129" t="n"/>
      <c r="I607" s="129" t="n"/>
      <c r="J607" s="124" t="n"/>
      <c r="K607" s="124" t="n"/>
      <c r="L607" s="124" t="n"/>
      <c r="M607" s="124" t="n"/>
      <c r="N607" s="124" t="n"/>
      <c r="O607" s="124" t="n"/>
    </row>
    <row r="608" ht="14.25" customHeight="1" s="75">
      <c r="A608" s="128" t="n"/>
      <c r="B608" s="128" t="n"/>
      <c r="C608" s="128" t="n"/>
      <c r="D608" s="129" t="n"/>
      <c r="E608" s="128" t="n"/>
      <c r="F608" s="128" t="n"/>
      <c r="G608" s="129" t="n"/>
      <c r="H608" s="129" t="n"/>
      <c r="I608" s="129" t="n"/>
      <c r="J608" s="124" t="n"/>
      <c r="K608" s="124" t="n"/>
      <c r="L608" s="124" t="n"/>
      <c r="M608" s="124" t="n"/>
      <c r="N608" s="124" t="n"/>
      <c r="O608" s="124" t="n"/>
    </row>
    <row r="609" ht="14.25" customHeight="1" s="75">
      <c r="A609" s="128" t="n"/>
      <c r="B609" s="128" t="n"/>
      <c r="C609" s="128" t="n"/>
      <c r="D609" s="129" t="n"/>
      <c r="E609" s="128" t="n"/>
      <c r="F609" s="128" t="n"/>
      <c r="G609" s="129" t="n"/>
      <c r="H609" s="129" t="n"/>
      <c r="I609" s="129" t="n"/>
      <c r="J609" s="124" t="n"/>
      <c r="K609" s="124" t="n"/>
      <c r="L609" s="124" t="n"/>
      <c r="M609" s="124" t="n"/>
      <c r="N609" s="124" t="n"/>
      <c r="O609" s="124" t="n"/>
    </row>
    <row r="610" ht="14.25" customHeight="1" s="75">
      <c r="A610" s="128" t="n"/>
      <c r="B610" s="128" t="n"/>
      <c r="C610" s="128" t="n"/>
      <c r="D610" s="129" t="n"/>
      <c r="E610" s="128" t="n"/>
      <c r="F610" s="128" t="n"/>
      <c r="G610" s="129" t="n"/>
      <c r="H610" s="129" t="n"/>
      <c r="I610" s="129" t="n"/>
      <c r="J610" s="124" t="n"/>
      <c r="K610" s="124" t="n"/>
      <c r="L610" s="124" t="n"/>
      <c r="M610" s="124" t="n"/>
      <c r="N610" s="124" t="n"/>
      <c r="O610" s="124" t="n"/>
    </row>
    <row r="611" ht="14.25" customHeight="1" s="75">
      <c r="A611" s="128" t="n"/>
      <c r="B611" s="128" t="n"/>
      <c r="C611" s="128" t="n"/>
      <c r="D611" s="129" t="n"/>
      <c r="E611" s="128" t="n"/>
      <c r="F611" s="128" t="n"/>
      <c r="G611" s="129" t="n"/>
      <c r="H611" s="129" t="n"/>
      <c r="I611" s="129" t="n"/>
      <c r="J611" s="124" t="n"/>
      <c r="K611" s="124" t="n"/>
      <c r="L611" s="124" t="n"/>
      <c r="M611" s="124" t="n"/>
      <c r="N611" s="124" t="n"/>
      <c r="O611" s="124" t="n"/>
    </row>
    <row r="612" ht="14.25" customHeight="1" s="75">
      <c r="A612" s="128" t="n"/>
      <c r="B612" s="128" t="n"/>
      <c r="C612" s="128" t="n"/>
      <c r="D612" s="129" t="n"/>
      <c r="E612" s="128" t="n"/>
      <c r="F612" s="128" t="n"/>
      <c r="G612" s="129" t="n"/>
      <c r="H612" s="129" t="n"/>
      <c r="I612" s="129" t="n"/>
      <c r="J612" s="124" t="n"/>
      <c r="K612" s="124" t="n"/>
      <c r="L612" s="124" t="n"/>
      <c r="M612" s="124" t="n"/>
      <c r="N612" s="124" t="n"/>
      <c r="O612" s="124" t="n"/>
    </row>
    <row r="613" ht="14.25" customHeight="1" s="75">
      <c r="A613" s="128" t="n"/>
      <c r="B613" s="128" t="n"/>
      <c r="C613" s="128" t="n"/>
      <c r="D613" s="129" t="n"/>
      <c r="E613" s="128" t="n"/>
      <c r="F613" s="128" t="n"/>
      <c r="G613" s="129" t="n"/>
      <c r="H613" s="129" t="n"/>
      <c r="I613" s="129" t="n"/>
      <c r="J613" s="124" t="n"/>
      <c r="K613" s="124" t="n"/>
      <c r="L613" s="124" t="n"/>
      <c r="M613" s="124" t="n"/>
      <c r="N613" s="124" t="n"/>
      <c r="O613" s="124" t="n"/>
    </row>
    <row r="614" ht="14.25" customHeight="1" s="75">
      <c r="A614" s="128" t="n"/>
      <c r="B614" s="128" t="n"/>
      <c r="C614" s="128" t="n"/>
      <c r="D614" s="129" t="n"/>
      <c r="E614" s="128" t="n"/>
      <c r="F614" s="128" t="n"/>
      <c r="G614" s="129" t="n"/>
      <c r="H614" s="129" t="n"/>
      <c r="I614" s="129" t="n"/>
      <c r="J614" s="124" t="n"/>
      <c r="K614" s="124" t="n"/>
      <c r="L614" s="124" t="n"/>
      <c r="M614" s="124" t="n"/>
      <c r="N614" s="124" t="n"/>
      <c r="O614" s="124" t="n"/>
    </row>
    <row r="615" ht="14.25" customHeight="1" s="75">
      <c r="A615" s="128" t="n"/>
      <c r="B615" s="128" t="n"/>
      <c r="C615" s="128" t="n"/>
      <c r="D615" s="129" t="n"/>
      <c r="E615" s="128" t="n"/>
      <c r="F615" s="128" t="n"/>
      <c r="G615" s="129" t="n"/>
      <c r="H615" s="129" t="n"/>
      <c r="I615" s="129" t="n"/>
      <c r="J615" s="124" t="n"/>
      <c r="K615" s="124" t="n"/>
      <c r="L615" s="124" t="n"/>
      <c r="M615" s="124" t="n"/>
      <c r="N615" s="124" t="n"/>
      <c r="O615" s="124" t="n"/>
    </row>
    <row r="616" ht="14.25" customHeight="1" s="75">
      <c r="A616" s="128" t="n"/>
      <c r="B616" s="128" t="n"/>
      <c r="C616" s="128" t="n"/>
      <c r="D616" s="129" t="n"/>
      <c r="E616" s="128" t="n"/>
      <c r="F616" s="128" t="n"/>
      <c r="G616" s="129" t="n"/>
      <c r="H616" s="129" t="n"/>
      <c r="I616" s="129" t="n"/>
      <c r="J616" s="124" t="n"/>
      <c r="K616" s="124" t="n"/>
      <c r="L616" s="124" t="n"/>
      <c r="M616" s="124" t="n"/>
      <c r="N616" s="124" t="n"/>
      <c r="O616" s="124" t="n"/>
    </row>
    <row r="617" ht="14.25" customHeight="1" s="75">
      <c r="A617" s="128" t="n"/>
      <c r="B617" s="128" t="n"/>
      <c r="C617" s="128" t="n"/>
      <c r="D617" s="129" t="n"/>
      <c r="E617" s="128" t="n"/>
      <c r="F617" s="128" t="n"/>
      <c r="G617" s="129" t="n"/>
      <c r="H617" s="129" t="n"/>
      <c r="I617" s="129" t="n"/>
      <c r="J617" s="124" t="n"/>
      <c r="K617" s="124" t="n"/>
      <c r="L617" s="124" t="n"/>
      <c r="M617" s="124" t="n"/>
      <c r="N617" s="124" t="n"/>
      <c r="O617" s="124" t="n"/>
    </row>
    <row r="618" ht="14.25" customHeight="1" s="75">
      <c r="A618" s="128" t="n"/>
      <c r="B618" s="128" t="n"/>
      <c r="C618" s="128" t="n"/>
      <c r="D618" s="129" t="n"/>
      <c r="E618" s="128" t="n"/>
      <c r="F618" s="128" t="n"/>
      <c r="G618" s="129" t="n"/>
      <c r="H618" s="129" t="n"/>
      <c r="I618" s="129" t="n"/>
      <c r="J618" s="124" t="n"/>
      <c r="K618" s="124" t="n"/>
      <c r="L618" s="124" t="n"/>
      <c r="M618" s="124" t="n"/>
      <c r="N618" s="124" t="n"/>
      <c r="O618" s="124" t="n"/>
    </row>
    <row r="619" ht="14.25" customHeight="1" s="75">
      <c r="A619" s="128" t="n"/>
      <c r="B619" s="128" t="n"/>
      <c r="C619" s="128" t="n"/>
      <c r="D619" s="129" t="n"/>
      <c r="E619" s="128" t="n"/>
      <c r="F619" s="128" t="n"/>
      <c r="G619" s="129" t="n"/>
      <c r="H619" s="129" t="n"/>
      <c r="I619" s="129" t="n"/>
      <c r="J619" s="124" t="n"/>
      <c r="K619" s="124" t="n"/>
      <c r="L619" s="124" t="n"/>
      <c r="M619" s="124" t="n"/>
      <c r="N619" s="124" t="n"/>
      <c r="O619" s="124" t="n"/>
    </row>
    <row r="620" ht="14.25" customHeight="1" s="75">
      <c r="A620" s="128" t="n"/>
      <c r="B620" s="128" t="n"/>
      <c r="C620" s="128" t="n"/>
      <c r="D620" s="129" t="n"/>
      <c r="E620" s="128" t="n"/>
      <c r="F620" s="128" t="n"/>
      <c r="G620" s="129" t="n"/>
      <c r="H620" s="129" t="n"/>
      <c r="I620" s="129" t="n"/>
      <c r="J620" s="124" t="n"/>
      <c r="K620" s="124" t="n"/>
      <c r="L620" s="124" t="n"/>
      <c r="M620" s="124" t="n"/>
      <c r="N620" s="124" t="n"/>
      <c r="O620" s="124" t="n"/>
    </row>
    <row r="621" ht="14.25" customHeight="1" s="75">
      <c r="A621" s="128" t="n"/>
      <c r="B621" s="128" t="n"/>
      <c r="C621" s="128" t="n"/>
      <c r="D621" s="129" t="n"/>
      <c r="E621" s="128" t="n"/>
      <c r="F621" s="128" t="n"/>
      <c r="G621" s="129" t="n"/>
      <c r="H621" s="129" t="n"/>
      <c r="I621" s="129" t="n"/>
      <c r="J621" s="124" t="n"/>
      <c r="K621" s="124" t="n"/>
      <c r="L621" s="124" t="n"/>
      <c r="M621" s="124" t="n"/>
      <c r="N621" s="124" t="n"/>
      <c r="O621" s="124" t="n"/>
    </row>
    <row r="622" ht="14.25" customHeight="1" s="75">
      <c r="A622" s="128" t="n"/>
      <c r="B622" s="128" t="n"/>
      <c r="C622" s="128" t="n"/>
      <c r="D622" s="129" t="n"/>
      <c r="E622" s="128" t="n"/>
      <c r="F622" s="128" t="n"/>
      <c r="G622" s="129" t="n"/>
      <c r="H622" s="129" t="n"/>
      <c r="I622" s="129" t="n"/>
      <c r="J622" s="124" t="n"/>
      <c r="K622" s="124" t="n"/>
      <c r="L622" s="124" t="n"/>
      <c r="M622" s="124" t="n"/>
      <c r="N622" s="124" t="n"/>
      <c r="O622" s="124" t="n"/>
    </row>
    <row r="623" ht="14.25" customHeight="1" s="75">
      <c r="A623" s="128" t="n"/>
      <c r="B623" s="128" t="n"/>
      <c r="C623" s="128" t="n"/>
      <c r="D623" s="129" t="n"/>
      <c r="E623" s="128" t="n"/>
      <c r="F623" s="128" t="n"/>
      <c r="G623" s="129" t="n"/>
      <c r="H623" s="129" t="n"/>
      <c r="I623" s="129" t="n"/>
      <c r="J623" s="124" t="n"/>
      <c r="K623" s="124" t="n"/>
      <c r="L623" s="124" t="n"/>
      <c r="M623" s="124" t="n"/>
      <c r="N623" s="124" t="n"/>
      <c r="O623" s="124" t="n"/>
    </row>
    <row r="624" ht="14.25" customHeight="1" s="75">
      <c r="A624" s="128" t="n"/>
      <c r="B624" s="128" t="n"/>
      <c r="C624" s="128" t="n"/>
      <c r="D624" s="129" t="n"/>
      <c r="E624" s="128" t="n"/>
      <c r="F624" s="128" t="n"/>
      <c r="G624" s="129" t="n"/>
      <c r="H624" s="129" t="n"/>
      <c r="I624" s="129" t="n"/>
      <c r="J624" s="124" t="n"/>
      <c r="K624" s="124" t="n"/>
      <c r="L624" s="124" t="n"/>
      <c r="M624" s="124" t="n"/>
      <c r="N624" s="124" t="n"/>
      <c r="O624" s="124" t="n"/>
    </row>
    <row r="625" ht="14.25" customHeight="1" s="75">
      <c r="A625" s="128" t="n"/>
      <c r="B625" s="128" t="n"/>
      <c r="C625" s="128" t="n"/>
      <c r="D625" s="129" t="n"/>
      <c r="E625" s="128" t="n"/>
      <c r="F625" s="128" t="n"/>
      <c r="G625" s="129" t="n"/>
      <c r="H625" s="129" t="n"/>
      <c r="I625" s="129" t="n"/>
      <c r="J625" s="124" t="n"/>
      <c r="K625" s="124" t="n"/>
      <c r="L625" s="124" t="n"/>
      <c r="M625" s="124" t="n"/>
      <c r="N625" s="124" t="n"/>
      <c r="O625" s="124" t="n"/>
    </row>
    <row r="626" ht="14.25" customHeight="1" s="75">
      <c r="A626" s="128" t="n"/>
      <c r="B626" s="128" t="n"/>
      <c r="C626" s="128" t="n"/>
      <c r="D626" s="129" t="n"/>
      <c r="E626" s="128" t="n"/>
      <c r="F626" s="128" t="n"/>
      <c r="G626" s="129" t="n"/>
      <c r="H626" s="129" t="n"/>
      <c r="I626" s="129" t="n"/>
      <c r="J626" s="124" t="n"/>
      <c r="K626" s="124" t="n"/>
      <c r="L626" s="124" t="n"/>
      <c r="M626" s="124" t="n"/>
      <c r="N626" s="124" t="n"/>
      <c r="O626" s="124" t="n"/>
    </row>
    <row r="627" ht="14.25" customHeight="1" s="75">
      <c r="A627" s="128" t="n"/>
      <c r="B627" s="128" t="n"/>
      <c r="C627" s="128" t="n"/>
      <c r="D627" s="129" t="n"/>
      <c r="E627" s="128" t="n"/>
      <c r="F627" s="128" t="n"/>
      <c r="G627" s="129" t="n"/>
      <c r="H627" s="129" t="n"/>
      <c r="I627" s="129" t="n"/>
      <c r="J627" s="124" t="n"/>
      <c r="K627" s="124" t="n"/>
      <c r="L627" s="124" t="n"/>
      <c r="M627" s="124" t="n"/>
      <c r="N627" s="124" t="n"/>
      <c r="O627" s="124" t="n"/>
    </row>
    <row r="628" ht="14.25" customHeight="1" s="75">
      <c r="A628" s="128" t="n"/>
      <c r="B628" s="128" t="n"/>
      <c r="C628" s="128" t="n"/>
      <c r="D628" s="129" t="n"/>
      <c r="E628" s="128" t="n"/>
      <c r="F628" s="128" t="n"/>
      <c r="G628" s="129" t="n"/>
      <c r="H628" s="129" t="n"/>
      <c r="I628" s="129" t="n"/>
      <c r="J628" s="124" t="n"/>
      <c r="K628" s="124" t="n"/>
      <c r="L628" s="124" t="n"/>
      <c r="M628" s="124" t="n"/>
      <c r="N628" s="124" t="n"/>
      <c r="O628" s="124" t="n"/>
    </row>
    <row r="629" ht="14.25" customHeight="1" s="75">
      <c r="A629" s="128" t="n"/>
      <c r="B629" s="128" t="n"/>
      <c r="C629" s="128" t="n"/>
      <c r="D629" s="129" t="n"/>
      <c r="E629" s="128" t="n"/>
      <c r="F629" s="128" t="n"/>
      <c r="G629" s="129" t="n"/>
      <c r="H629" s="129" t="n"/>
      <c r="I629" s="129" t="n"/>
      <c r="J629" s="124" t="n"/>
      <c r="K629" s="124" t="n"/>
      <c r="L629" s="124" t="n"/>
      <c r="M629" s="124" t="n"/>
      <c r="N629" s="124" t="n"/>
      <c r="O629" s="124" t="n"/>
    </row>
    <row r="630" ht="14.25" customHeight="1" s="75">
      <c r="A630" s="128" t="n"/>
      <c r="B630" s="128" t="n"/>
      <c r="C630" s="128" t="n"/>
      <c r="D630" s="129" t="n"/>
      <c r="E630" s="128" t="n"/>
      <c r="F630" s="128" t="n"/>
      <c r="G630" s="129" t="n"/>
      <c r="H630" s="129" t="n"/>
      <c r="I630" s="129" t="n"/>
      <c r="J630" s="124" t="n"/>
      <c r="K630" s="124" t="n"/>
      <c r="L630" s="124" t="n"/>
      <c r="M630" s="124" t="n"/>
      <c r="N630" s="124" t="n"/>
      <c r="O630" s="124" t="n"/>
    </row>
    <row r="631" ht="14.25" customHeight="1" s="75">
      <c r="A631" s="128" t="n"/>
      <c r="B631" s="128" t="n"/>
      <c r="C631" s="128" t="n"/>
      <c r="D631" s="129" t="n"/>
      <c r="E631" s="128" t="n"/>
      <c r="F631" s="128" t="n"/>
      <c r="G631" s="129" t="n"/>
      <c r="H631" s="129" t="n"/>
      <c r="I631" s="129" t="n"/>
      <c r="J631" s="124" t="n"/>
      <c r="K631" s="124" t="n"/>
      <c r="L631" s="124" t="n"/>
      <c r="M631" s="124" t="n"/>
      <c r="N631" s="124" t="n"/>
      <c r="O631" s="124" t="n"/>
    </row>
    <row r="632" ht="14.25" customHeight="1" s="75">
      <c r="A632" s="128" t="n"/>
      <c r="B632" s="128" t="n"/>
      <c r="C632" s="128" t="n"/>
      <c r="D632" s="129" t="n"/>
      <c r="E632" s="128" t="n"/>
      <c r="F632" s="128" t="n"/>
      <c r="G632" s="129" t="n"/>
      <c r="H632" s="129" t="n"/>
      <c r="I632" s="129" t="n"/>
      <c r="J632" s="124" t="n"/>
      <c r="K632" s="124" t="n"/>
      <c r="L632" s="124" t="n"/>
      <c r="M632" s="124" t="n"/>
      <c r="N632" s="124" t="n"/>
      <c r="O632" s="124" t="n"/>
    </row>
    <row r="633" ht="14.25" customHeight="1" s="75">
      <c r="A633" s="128" t="n"/>
      <c r="B633" s="128" t="n"/>
      <c r="C633" s="128" t="n"/>
      <c r="D633" s="129" t="n"/>
      <c r="E633" s="128" t="n"/>
      <c r="F633" s="128" t="n"/>
      <c r="G633" s="129" t="n"/>
      <c r="H633" s="129" t="n"/>
      <c r="I633" s="129" t="n"/>
      <c r="J633" s="124" t="n"/>
      <c r="K633" s="124" t="n"/>
      <c r="L633" s="124" t="n"/>
      <c r="M633" s="124" t="n"/>
      <c r="N633" s="124" t="n"/>
      <c r="O633" s="124" t="n"/>
    </row>
    <row r="634" ht="14.25" customHeight="1" s="75">
      <c r="A634" s="128" t="n"/>
      <c r="B634" s="128" t="n"/>
      <c r="C634" s="128" t="n"/>
      <c r="D634" s="129" t="n"/>
      <c r="E634" s="128" t="n"/>
      <c r="F634" s="128" t="n"/>
      <c r="G634" s="129" t="n"/>
      <c r="H634" s="129" t="n"/>
      <c r="I634" s="129" t="n"/>
      <c r="J634" s="124" t="n"/>
      <c r="K634" s="124" t="n"/>
      <c r="L634" s="124" t="n"/>
      <c r="M634" s="124" t="n"/>
      <c r="N634" s="124" t="n"/>
      <c r="O634" s="124" t="n"/>
    </row>
    <row r="635" ht="14.25" customHeight="1" s="75">
      <c r="A635" s="128" t="n"/>
      <c r="B635" s="128" t="n"/>
      <c r="C635" s="128" t="n"/>
      <c r="D635" s="129" t="n"/>
      <c r="E635" s="128" t="n"/>
      <c r="F635" s="128" t="n"/>
      <c r="G635" s="129" t="n"/>
      <c r="H635" s="129" t="n"/>
      <c r="I635" s="129" t="n"/>
      <c r="J635" s="124" t="n"/>
      <c r="K635" s="124" t="n"/>
      <c r="L635" s="124" t="n"/>
      <c r="M635" s="124" t="n"/>
      <c r="N635" s="124" t="n"/>
      <c r="O635" s="124" t="n"/>
    </row>
    <row r="636" ht="14.25" customHeight="1" s="75">
      <c r="A636" s="128" t="n"/>
      <c r="B636" s="128" t="n"/>
      <c r="C636" s="128" t="n"/>
      <c r="D636" s="129" t="n"/>
      <c r="E636" s="128" t="n"/>
      <c r="F636" s="128" t="n"/>
      <c r="G636" s="129" t="n"/>
      <c r="H636" s="129" t="n"/>
      <c r="I636" s="129" t="n"/>
      <c r="J636" s="124" t="n"/>
      <c r="K636" s="124" t="n"/>
      <c r="L636" s="124" t="n"/>
      <c r="M636" s="124" t="n"/>
      <c r="N636" s="124" t="n"/>
      <c r="O636" s="124" t="n"/>
    </row>
    <row r="637" ht="14.25" customHeight="1" s="75">
      <c r="A637" s="128" t="n"/>
      <c r="B637" s="128" t="n"/>
      <c r="C637" s="128" t="n"/>
      <c r="D637" s="129" t="n"/>
      <c r="E637" s="128" t="n"/>
      <c r="F637" s="128" t="n"/>
      <c r="G637" s="129" t="n"/>
      <c r="H637" s="129" t="n"/>
      <c r="I637" s="129" t="n"/>
      <c r="J637" s="124" t="n"/>
      <c r="K637" s="124" t="n"/>
      <c r="L637" s="124" t="n"/>
      <c r="M637" s="124" t="n"/>
      <c r="N637" s="124" t="n"/>
      <c r="O637" s="124" t="n"/>
    </row>
    <row r="638" ht="14.25" customHeight="1" s="75">
      <c r="A638" s="128" t="n"/>
      <c r="B638" s="128" t="n"/>
      <c r="C638" s="128" t="n"/>
      <c r="D638" s="129" t="n"/>
      <c r="E638" s="128" t="n"/>
      <c r="F638" s="128" t="n"/>
      <c r="G638" s="129" t="n"/>
      <c r="H638" s="129" t="n"/>
      <c r="I638" s="129" t="n"/>
      <c r="J638" s="124" t="n"/>
      <c r="K638" s="124" t="n"/>
      <c r="L638" s="124" t="n"/>
      <c r="M638" s="124" t="n"/>
      <c r="N638" s="124" t="n"/>
      <c r="O638" s="124" t="n"/>
    </row>
    <row r="639" ht="14.25" customHeight="1" s="75">
      <c r="A639" s="128" t="n"/>
      <c r="B639" s="128" t="n"/>
      <c r="C639" s="128" t="n"/>
      <c r="D639" s="129" t="n"/>
      <c r="E639" s="128" t="n"/>
      <c r="F639" s="128" t="n"/>
      <c r="G639" s="129" t="n"/>
      <c r="H639" s="129" t="n"/>
      <c r="I639" s="129" t="n"/>
      <c r="J639" s="124" t="n"/>
      <c r="K639" s="124" t="n"/>
      <c r="L639" s="124" t="n"/>
      <c r="M639" s="124" t="n"/>
      <c r="N639" s="124" t="n"/>
      <c r="O639" s="124" t="n"/>
    </row>
    <row r="640" ht="14.25" customHeight="1" s="75">
      <c r="A640" s="128" t="n"/>
      <c r="B640" s="128" t="n"/>
      <c r="C640" s="128" t="n"/>
      <c r="D640" s="129" t="n"/>
      <c r="E640" s="128" t="n"/>
      <c r="F640" s="128" t="n"/>
      <c r="G640" s="129" t="n"/>
      <c r="H640" s="129" t="n"/>
      <c r="I640" s="129" t="n"/>
      <c r="J640" s="124" t="n"/>
      <c r="K640" s="124" t="n"/>
      <c r="L640" s="124" t="n"/>
      <c r="M640" s="124" t="n"/>
      <c r="N640" s="124" t="n"/>
      <c r="O640" s="124" t="n"/>
    </row>
    <row r="641" ht="14.25" customHeight="1" s="75">
      <c r="A641" s="128" t="n"/>
      <c r="B641" s="128" t="n"/>
      <c r="C641" s="128" t="n"/>
      <c r="D641" s="129" t="n"/>
      <c r="E641" s="128" t="n"/>
      <c r="F641" s="128" t="n"/>
      <c r="G641" s="129" t="n"/>
      <c r="H641" s="129" t="n"/>
      <c r="I641" s="129" t="n"/>
      <c r="J641" s="124" t="n"/>
      <c r="K641" s="124" t="n"/>
      <c r="L641" s="124" t="n"/>
      <c r="M641" s="124" t="n"/>
      <c r="N641" s="124" t="n"/>
      <c r="O641" s="124" t="n"/>
    </row>
    <row r="642" ht="14.25" customHeight="1" s="75">
      <c r="A642" s="128" t="n"/>
      <c r="B642" s="128" t="n"/>
      <c r="C642" s="128" t="n"/>
      <c r="D642" s="129" t="n"/>
      <c r="E642" s="128" t="n"/>
      <c r="F642" s="128" t="n"/>
      <c r="G642" s="129" t="n"/>
      <c r="H642" s="129" t="n"/>
      <c r="I642" s="129" t="n"/>
      <c r="J642" s="124" t="n"/>
      <c r="K642" s="124" t="n"/>
      <c r="L642" s="124" t="n"/>
      <c r="M642" s="124" t="n"/>
      <c r="N642" s="124" t="n"/>
      <c r="O642" s="124" t="n"/>
    </row>
    <row r="643" ht="14.25" customHeight="1" s="75">
      <c r="A643" s="128" t="n"/>
      <c r="B643" s="128" t="n"/>
      <c r="C643" s="128" t="n"/>
      <c r="D643" s="129" t="n"/>
      <c r="E643" s="128" t="n"/>
      <c r="F643" s="128" t="n"/>
      <c r="G643" s="129" t="n"/>
      <c r="H643" s="129" t="n"/>
      <c r="I643" s="129" t="n"/>
      <c r="J643" s="124" t="n"/>
      <c r="K643" s="124" t="n"/>
      <c r="L643" s="124" t="n"/>
      <c r="M643" s="124" t="n"/>
      <c r="N643" s="124" t="n"/>
      <c r="O643" s="124" t="n"/>
    </row>
    <row r="644" ht="14.25" customHeight="1" s="75">
      <c r="A644" s="128" t="n"/>
      <c r="B644" s="128" t="n"/>
      <c r="C644" s="128" t="n"/>
      <c r="D644" s="129" t="n"/>
      <c r="E644" s="128" t="n"/>
      <c r="F644" s="128" t="n"/>
      <c r="G644" s="129" t="n"/>
      <c r="H644" s="129" t="n"/>
      <c r="I644" s="129" t="n"/>
      <c r="J644" s="124" t="n"/>
      <c r="K644" s="124" t="n"/>
      <c r="L644" s="124" t="n"/>
      <c r="M644" s="124" t="n"/>
      <c r="N644" s="124" t="n"/>
      <c r="O644" s="124" t="n"/>
    </row>
    <row r="645" ht="14.25" customHeight="1" s="75">
      <c r="A645" s="128" t="n"/>
      <c r="B645" s="128" t="n"/>
      <c r="C645" s="128" t="n"/>
      <c r="D645" s="129" t="n"/>
      <c r="E645" s="128" t="n"/>
      <c r="F645" s="128" t="n"/>
      <c r="G645" s="129" t="n"/>
      <c r="H645" s="129" t="n"/>
      <c r="I645" s="129" t="n"/>
      <c r="J645" s="124" t="n"/>
      <c r="K645" s="124" t="n"/>
      <c r="L645" s="124" t="n"/>
      <c r="M645" s="124" t="n"/>
      <c r="N645" s="124" t="n"/>
      <c r="O645" s="124" t="n"/>
    </row>
    <row r="646" ht="14.25" customHeight="1" s="75">
      <c r="A646" s="128" t="n"/>
      <c r="B646" s="128" t="n"/>
      <c r="C646" s="128" t="n"/>
      <c r="D646" s="129" t="n"/>
      <c r="E646" s="128" t="n"/>
      <c r="F646" s="128" t="n"/>
      <c r="G646" s="129" t="n"/>
      <c r="H646" s="129" t="n"/>
      <c r="I646" s="129" t="n"/>
      <c r="J646" s="124" t="n"/>
      <c r="K646" s="124" t="n"/>
      <c r="L646" s="124" t="n"/>
      <c r="M646" s="124" t="n"/>
      <c r="N646" s="124" t="n"/>
      <c r="O646" s="124" t="n"/>
    </row>
    <row r="647" ht="14.25" customHeight="1" s="75">
      <c r="A647" s="128" t="n"/>
      <c r="B647" s="128" t="n"/>
      <c r="C647" s="128" t="n"/>
      <c r="D647" s="129" t="n"/>
      <c r="E647" s="128" t="n"/>
      <c r="F647" s="128" t="n"/>
      <c r="G647" s="129" t="n"/>
      <c r="H647" s="129" t="n"/>
      <c r="I647" s="129" t="n"/>
      <c r="J647" s="124" t="n"/>
      <c r="K647" s="124" t="n"/>
      <c r="L647" s="124" t="n"/>
      <c r="M647" s="124" t="n"/>
      <c r="N647" s="124" t="n"/>
      <c r="O647" s="124" t="n"/>
    </row>
    <row r="648" ht="14.25" customHeight="1" s="75">
      <c r="A648" s="128" t="n"/>
      <c r="B648" s="128" t="n"/>
      <c r="C648" s="128" t="n"/>
      <c r="D648" s="129" t="n"/>
      <c r="E648" s="128" t="n"/>
      <c r="F648" s="128" t="n"/>
      <c r="G648" s="129" t="n"/>
      <c r="H648" s="129" t="n"/>
      <c r="I648" s="129" t="n"/>
      <c r="J648" s="124" t="n"/>
      <c r="K648" s="124" t="n"/>
      <c r="L648" s="124" t="n"/>
      <c r="M648" s="124" t="n"/>
      <c r="N648" s="124" t="n"/>
      <c r="O648" s="124" t="n"/>
    </row>
    <row r="649" ht="14.25" customHeight="1" s="75">
      <c r="A649" s="128" t="n"/>
      <c r="B649" s="128" t="n"/>
      <c r="C649" s="128" t="n"/>
      <c r="D649" s="129" t="n"/>
      <c r="E649" s="128" t="n"/>
      <c r="F649" s="128" t="n"/>
      <c r="G649" s="129" t="n"/>
      <c r="H649" s="129" t="n"/>
      <c r="I649" s="129" t="n"/>
      <c r="J649" s="124" t="n"/>
      <c r="K649" s="124" t="n"/>
      <c r="L649" s="124" t="n"/>
      <c r="M649" s="124" t="n"/>
      <c r="N649" s="124" t="n"/>
      <c r="O649" s="124" t="n"/>
    </row>
    <row r="650" ht="14.25" customHeight="1" s="75">
      <c r="A650" s="128" t="n"/>
      <c r="B650" s="128" t="n"/>
      <c r="C650" s="128" t="n"/>
      <c r="D650" s="129" t="n"/>
      <c r="E650" s="128" t="n"/>
      <c r="F650" s="128" t="n"/>
      <c r="G650" s="129" t="n"/>
      <c r="H650" s="129" t="n"/>
      <c r="I650" s="129" t="n"/>
      <c r="J650" s="124" t="n"/>
      <c r="K650" s="124" t="n"/>
      <c r="L650" s="124" t="n"/>
      <c r="M650" s="124" t="n"/>
      <c r="N650" s="124" t="n"/>
      <c r="O650" s="124" t="n"/>
    </row>
    <row r="651" ht="14.25" customHeight="1" s="75">
      <c r="A651" s="128" t="n"/>
      <c r="B651" s="128" t="n"/>
      <c r="C651" s="128" t="n"/>
      <c r="D651" s="129" t="n"/>
      <c r="E651" s="128" t="n"/>
      <c r="F651" s="128" t="n"/>
      <c r="G651" s="129" t="n"/>
      <c r="H651" s="129" t="n"/>
      <c r="I651" s="129" t="n"/>
      <c r="J651" s="124" t="n"/>
      <c r="K651" s="124" t="n"/>
      <c r="L651" s="124" t="n"/>
      <c r="M651" s="124" t="n"/>
      <c r="N651" s="124" t="n"/>
      <c r="O651" s="124" t="n"/>
    </row>
    <row r="652" ht="14.25" customHeight="1" s="75">
      <c r="A652" s="128" t="n"/>
      <c r="B652" s="128" t="n"/>
      <c r="C652" s="128" t="n"/>
      <c r="D652" s="129" t="n"/>
      <c r="E652" s="128" t="n"/>
      <c r="F652" s="128" t="n"/>
      <c r="G652" s="129" t="n"/>
      <c r="H652" s="129" t="n"/>
      <c r="I652" s="129" t="n"/>
      <c r="J652" s="124" t="n"/>
      <c r="K652" s="124" t="n"/>
      <c r="L652" s="124" t="n"/>
      <c r="M652" s="124" t="n"/>
      <c r="N652" s="124" t="n"/>
      <c r="O652" s="124" t="n"/>
    </row>
    <row r="653" ht="14.25" customHeight="1" s="75">
      <c r="A653" s="128" t="n"/>
      <c r="B653" s="128" t="n"/>
      <c r="C653" s="128" t="n"/>
      <c r="D653" s="129" t="n"/>
      <c r="E653" s="128" t="n"/>
      <c r="F653" s="128" t="n"/>
      <c r="G653" s="129" t="n"/>
      <c r="H653" s="129" t="n"/>
      <c r="I653" s="129" t="n"/>
      <c r="J653" s="124" t="n"/>
      <c r="K653" s="124" t="n"/>
      <c r="L653" s="124" t="n"/>
      <c r="M653" s="124" t="n"/>
      <c r="N653" s="124" t="n"/>
      <c r="O653" s="124" t="n"/>
    </row>
    <row r="654" ht="14.25" customHeight="1" s="75">
      <c r="A654" s="128" t="n"/>
      <c r="B654" s="128" t="n"/>
      <c r="C654" s="128" t="n"/>
      <c r="D654" s="129" t="n"/>
      <c r="E654" s="128" t="n"/>
      <c r="F654" s="128" t="n"/>
      <c r="G654" s="129" t="n"/>
      <c r="H654" s="129" t="n"/>
      <c r="I654" s="129" t="n"/>
      <c r="J654" s="124" t="n"/>
      <c r="K654" s="124" t="n"/>
      <c r="L654" s="124" t="n"/>
      <c r="M654" s="124" t="n"/>
      <c r="N654" s="124" t="n"/>
      <c r="O654" s="124" t="n"/>
    </row>
    <row r="655" ht="14.25" customHeight="1" s="75">
      <c r="A655" s="128" t="n"/>
      <c r="B655" s="128" t="n"/>
      <c r="C655" s="128" t="n"/>
      <c r="D655" s="129" t="n"/>
      <c r="E655" s="128" t="n"/>
      <c r="F655" s="128" t="n"/>
      <c r="G655" s="129" t="n"/>
      <c r="H655" s="129" t="n"/>
      <c r="I655" s="129" t="n"/>
      <c r="J655" s="124" t="n"/>
      <c r="K655" s="124" t="n"/>
      <c r="L655" s="124" t="n"/>
      <c r="M655" s="124" t="n"/>
      <c r="N655" s="124" t="n"/>
      <c r="O655" s="124" t="n"/>
    </row>
    <row r="656" ht="14.25" customHeight="1" s="75">
      <c r="A656" s="128" t="n"/>
      <c r="B656" s="128" t="n"/>
      <c r="C656" s="128" t="n"/>
      <c r="D656" s="129" t="n"/>
      <c r="E656" s="128" t="n"/>
      <c r="F656" s="128" t="n"/>
      <c r="G656" s="129" t="n"/>
      <c r="H656" s="129" t="n"/>
      <c r="I656" s="129" t="n"/>
      <c r="J656" s="124" t="n"/>
      <c r="K656" s="124" t="n"/>
      <c r="L656" s="124" t="n"/>
      <c r="M656" s="124" t="n"/>
      <c r="N656" s="124" t="n"/>
      <c r="O656" s="124" t="n"/>
    </row>
    <row r="657" ht="14.25" customHeight="1" s="75">
      <c r="A657" s="128" t="n"/>
      <c r="B657" s="128" t="n"/>
      <c r="C657" s="128" t="n"/>
      <c r="D657" s="129" t="n"/>
      <c r="E657" s="128" t="n"/>
      <c r="F657" s="128" t="n"/>
      <c r="G657" s="129" t="n"/>
      <c r="H657" s="129" t="n"/>
      <c r="I657" s="129" t="n"/>
      <c r="J657" s="124" t="n"/>
      <c r="K657" s="124" t="n"/>
      <c r="L657" s="124" t="n"/>
      <c r="M657" s="124" t="n"/>
      <c r="N657" s="124" t="n"/>
      <c r="O657" s="124" t="n"/>
    </row>
    <row r="658" ht="14.25" customHeight="1" s="75">
      <c r="A658" s="128" t="n"/>
      <c r="B658" s="128" t="n"/>
      <c r="C658" s="128" t="n"/>
      <c r="D658" s="129" t="n"/>
      <c r="E658" s="128" t="n"/>
      <c r="F658" s="128" t="n"/>
      <c r="G658" s="129" t="n"/>
      <c r="H658" s="129" t="n"/>
      <c r="I658" s="129" t="n"/>
      <c r="J658" s="124" t="n"/>
      <c r="K658" s="124" t="n"/>
      <c r="L658" s="124" t="n"/>
      <c r="M658" s="124" t="n"/>
      <c r="N658" s="124" t="n"/>
      <c r="O658" s="124" t="n"/>
    </row>
    <row r="659" ht="14.25" customHeight="1" s="75">
      <c r="A659" s="128" t="n"/>
      <c r="B659" s="128" t="n"/>
      <c r="C659" s="128" t="n"/>
      <c r="D659" s="129" t="n"/>
      <c r="E659" s="128" t="n"/>
      <c r="F659" s="128" t="n"/>
      <c r="G659" s="129" t="n"/>
      <c r="H659" s="129" t="n"/>
      <c r="I659" s="129" t="n"/>
      <c r="J659" s="124" t="n"/>
      <c r="K659" s="124" t="n"/>
      <c r="L659" s="124" t="n"/>
      <c r="M659" s="124" t="n"/>
      <c r="N659" s="124" t="n"/>
      <c r="O659" s="124" t="n"/>
    </row>
    <row r="660" ht="14.25" customHeight="1" s="75">
      <c r="A660" s="128" t="n"/>
      <c r="B660" s="128" t="n"/>
      <c r="C660" s="128" t="n"/>
      <c r="D660" s="129" t="n"/>
      <c r="E660" s="128" t="n"/>
      <c r="F660" s="128" t="n"/>
      <c r="G660" s="129" t="n"/>
      <c r="H660" s="129" t="n"/>
      <c r="I660" s="129" t="n"/>
      <c r="J660" s="124" t="n"/>
      <c r="K660" s="124" t="n"/>
      <c r="L660" s="124" t="n"/>
      <c r="M660" s="124" t="n"/>
      <c r="N660" s="124" t="n"/>
      <c r="O660" s="124" t="n"/>
    </row>
    <row r="661" ht="14.25" customHeight="1" s="75">
      <c r="A661" s="128" t="n"/>
      <c r="B661" s="128" t="n"/>
      <c r="C661" s="128" t="n"/>
      <c r="D661" s="129" t="n"/>
      <c r="E661" s="128" t="n"/>
      <c r="F661" s="128" t="n"/>
      <c r="G661" s="129" t="n"/>
      <c r="H661" s="129" t="n"/>
      <c r="I661" s="129" t="n"/>
      <c r="J661" s="124" t="n"/>
      <c r="K661" s="124" t="n"/>
      <c r="L661" s="124" t="n"/>
      <c r="M661" s="124" t="n"/>
      <c r="N661" s="124" t="n"/>
      <c r="O661" s="124" t="n"/>
    </row>
    <row r="662" ht="14.25" customHeight="1" s="75">
      <c r="A662" s="128" t="n"/>
      <c r="B662" s="128" t="n"/>
      <c r="C662" s="128" t="n"/>
      <c r="D662" s="129" t="n"/>
      <c r="E662" s="128" t="n"/>
      <c r="F662" s="128" t="n"/>
      <c r="G662" s="129" t="n"/>
      <c r="H662" s="129" t="n"/>
      <c r="I662" s="129" t="n"/>
      <c r="J662" s="124" t="n"/>
      <c r="K662" s="124" t="n"/>
      <c r="L662" s="124" t="n"/>
      <c r="M662" s="124" t="n"/>
      <c r="N662" s="124" t="n"/>
      <c r="O662" s="124" t="n"/>
    </row>
    <row r="663" ht="14.25" customHeight="1" s="75">
      <c r="A663" s="128" t="n"/>
      <c r="B663" s="128" t="n"/>
      <c r="C663" s="128" t="n"/>
      <c r="D663" s="129" t="n"/>
      <c r="E663" s="128" t="n"/>
      <c r="F663" s="128" t="n"/>
      <c r="G663" s="129" t="n"/>
      <c r="H663" s="129" t="n"/>
      <c r="I663" s="129" t="n"/>
      <c r="J663" s="124" t="n"/>
      <c r="K663" s="124" t="n"/>
      <c r="L663" s="124" t="n"/>
      <c r="M663" s="124" t="n"/>
      <c r="N663" s="124" t="n"/>
      <c r="O663" s="124" t="n"/>
    </row>
    <row r="664" ht="14.25" customHeight="1" s="75">
      <c r="A664" s="128" t="n"/>
      <c r="B664" s="128" t="n"/>
      <c r="C664" s="128" t="n"/>
      <c r="D664" s="129" t="n"/>
      <c r="E664" s="128" t="n"/>
      <c r="F664" s="128" t="n"/>
      <c r="G664" s="129" t="n"/>
      <c r="H664" s="129" t="n"/>
      <c r="I664" s="129" t="n"/>
      <c r="J664" s="124" t="n"/>
      <c r="K664" s="124" t="n"/>
      <c r="L664" s="124" t="n"/>
      <c r="M664" s="124" t="n"/>
      <c r="N664" s="124" t="n"/>
      <c r="O664" s="124" t="n"/>
    </row>
    <row r="665" ht="14.25" customHeight="1" s="75">
      <c r="A665" s="128" t="n"/>
      <c r="B665" s="128" t="n"/>
      <c r="C665" s="128" t="n"/>
      <c r="D665" s="129" t="n"/>
      <c r="E665" s="128" t="n"/>
      <c r="F665" s="128" t="n"/>
      <c r="G665" s="129" t="n"/>
      <c r="H665" s="129" t="n"/>
      <c r="I665" s="129" t="n"/>
      <c r="J665" s="124" t="n"/>
      <c r="K665" s="124" t="n"/>
      <c r="L665" s="124" t="n"/>
      <c r="M665" s="124" t="n"/>
      <c r="N665" s="124" t="n"/>
      <c r="O665" s="124" t="n"/>
    </row>
    <row r="666" ht="14.25" customHeight="1" s="75">
      <c r="A666" s="128" t="n"/>
      <c r="B666" s="128" t="n"/>
      <c r="C666" s="128" t="n"/>
      <c r="D666" s="129" t="n"/>
      <c r="E666" s="128" t="n"/>
      <c r="F666" s="128" t="n"/>
      <c r="G666" s="129" t="n"/>
      <c r="H666" s="129" t="n"/>
      <c r="I666" s="129" t="n"/>
      <c r="J666" s="124" t="n"/>
      <c r="K666" s="124" t="n"/>
      <c r="L666" s="124" t="n"/>
      <c r="M666" s="124" t="n"/>
      <c r="N666" s="124" t="n"/>
      <c r="O666" s="124" t="n"/>
    </row>
    <row r="667" ht="14.25" customHeight="1" s="75">
      <c r="A667" s="128" t="n"/>
      <c r="B667" s="128" t="n"/>
      <c r="C667" s="128" t="n"/>
      <c r="D667" s="129" t="n"/>
      <c r="E667" s="128" t="n"/>
      <c r="F667" s="128" t="n"/>
      <c r="G667" s="129" t="n"/>
      <c r="H667" s="129" t="n"/>
      <c r="I667" s="129" t="n"/>
      <c r="J667" s="124" t="n"/>
      <c r="K667" s="124" t="n"/>
      <c r="L667" s="124" t="n"/>
      <c r="M667" s="124" t="n"/>
      <c r="N667" s="124" t="n"/>
      <c r="O667" s="124" t="n"/>
    </row>
    <row r="668" ht="14.25" customHeight="1" s="75">
      <c r="A668" s="128" t="n"/>
      <c r="B668" s="128" t="n"/>
      <c r="C668" s="128" t="n"/>
      <c r="D668" s="129" t="n"/>
      <c r="E668" s="128" t="n"/>
      <c r="F668" s="128" t="n"/>
      <c r="G668" s="129" t="n"/>
      <c r="H668" s="129" t="n"/>
      <c r="I668" s="129" t="n"/>
      <c r="J668" s="124" t="n"/>
      <c r="K668" s="124" t="n"/>
      <c r="L668" s="124" t="n"/>
      <c r="M668" s="124" t="n"/>
      <c r="N668" s="124" t="n"/>
      <c r="O668" s="124" t="n"/>
    </row>
    <row r="669" ht="14.25" customHeight="1" s="75">
      <c r="A669" s="128" t="n"/>
      <c r="B669" s="128" t="n"/>
      <c r="C669" s="128" t="n"/>
      <c r="D669" s="129" t="n"/>
      <c r="E669" s="128" t="n"/>
      <c r="F669" s="128" t="n"/>
      <c r="G669" s="129" t="n"/>
      <c r="H669" s="129" t="n"/>
      <c r="I669" s="129" t="n"/>
      <c r="J669" s="124" t="n"/>
      <c r="K669" s="124" t="n"/>
      <c r="L669" s="124" t="n"/>
      <c r="M669" s="124" t="n"/>
      <c r="N669" s="124" t="n"/>
      <c r="O669" s="124" t="n"/>
    </row>
    <row r="670" ht="14.25" customHeight="1" s="75">
      <c r="A670" s="128" t="n"/>
      <c r="B670" s="128" t="n"/>
      <c r="C670" s="128" t="n"/>
      <c r="D670" s="129" t="n"/>
      <c r="E670" s="128" t="n"/>
      <c r="F670" s="128" t="n"/>
      <c r="G670" s="129" t="n"/>
      <c r="H670" s="129" t="n"/>
      <c r="I670" s="129" t="n"/>
      <c r="J670" s="124" t="n"/>
      <c r="K670" s="124" t="n"/>
      <c r="L670" s="124" t="n"/>
      <c r="M670" s="124" t="n"/>
      <c r="N670" s="124" t="n"/>
      <c r="O670" s="124" t="n"/>
    </row>
    <row r="671" ht="14.25" customHeight="1" s="75">
      <c r="A671" s="128" t="n"/>
      <c r="B671" s="128" t="n"/>
      <c r="C671" s="128" t="n"/>
      <c r="D671" s="129" t="n"/>
      <c r="E671" s="128" t="n"/>
      <c r="F671" s="128" t="n"/>
      <c r="G671" s="129" t="n"/>
      <c r="H671" s="129" t="n"/>
      <c r="I671" s="129" t="n"/>
      <c r="J671" s="124" t="n"/>
      <c r="K671" s="124" t="n"/>
      <c r="L671" s="124" t="n"/>
      <c r="M671" s="124" t="n"/>
      <c r="N671" s="124" t="n"/>
      <c r="O671" s="124" t="n"/>
    </row>
    <row r="672" ht="14.25" customHeight="1" s="75">
      <c r="A672" s="128" t="n"/>
      <c r="B672" s="128" t="n"/>
      <c r="C672" s="128" t="n"/>
      <c r="D672" s="129" t="n"/>
      <c r="E672" s="128" t="n"/>
      <c r="F672" s="128" t="n"/>
      <c r="G672" s="129" t="n"/>
      <c r="H672" s="129" t="n"/>
      <c r="I672" s="129" t="n"/>
      <c r="J672" s="124" t="n"/>
      <c r="K672" s="124" t="n"/>
      <c r="L672" s="124" t="n"/>
      <c r="M672" s="124" t="n"/>
      <c r="N672" s="124" t="n"/>
      <c r="O672" s="124" t="n"/>
    </row>
    <row r="673" ht="14.25" customHeight="1" s="75">
      <c r="A673" s="128" t="n"/>
      <c r="B673" s="128" t="n"/>
      <c r="C673" s="128" t="n"/>
      <c r="D673" s="129" t="n"/>
      <c r="E673" s="128" t="n"/>
      <c r="F673" s="128" t="n"/>
      <c r="G673" s="129" t="n"/>
      <c r="H673" s="129" t="n"/>
      <c r="I673" s="129" t="n"/>
      <c r="J673" s="124" t="n"/>
      <c r="K673" s="124" t="n"/>
      <c r="L673" s="124" t="n"/>
      <c r="M673" s="124" t="n"/>
      <c r="N673" s="124" t="n"/>
      <c r="O673" s="124" t="n"/>
    </row>
    <row r="674" ht="14.25" customHeight="1" s="75">
      <c r="A674" s="128" t="n"/>
      <c r="B674" s="128" t="n"/>
      <c r="C674" s="128" t="n"/>
      <c r="D674" s="129" t="n"/>
      <c r="E674" s="128" t="n"/>
      <c r="F674" s="128" t="n"/>
      <c r="G674" s="129" t="n"/>
      <c r="H674" s="129" t="n"/>
      <c r="I674" s="129" t="n"/>
      <c r="J674" s="124" t="n"/>
      <c r="K674" s="124" t="n"/>
      <c r="L674" s="124" t="n"/>
      <c r="M674" s="124" t="n"/>
      <c r="N674" s="124" t="n"/>
      <c r="O674" s="124" t="n"/>
    </row>
    <row r="675" ht="14.25" customHeight="1" s="75">
      <c r="A675" s="128" t="n"/>
      <c r="B675" s="128" t="n"/>
      <c r="C675" s="128" t="n"/>
      <c r="D675" s="129" t="n"/>
      <c r="E675" s="128" t="n"/>
      <c r="F675" s="128" t="n"/>
      <c r="G675" s="129" t="n"/>
      <c r="H675" s="129" t="n"/>
      <c r="I675" s="129" t="n"/>
      <c r="J675" s="124" t="n"/>
      <c r="K675" s="124" t="n"/>
      <c r="L675" s="124" t="n"/>
      <c r="M675" s="124" t="n"/>
      <c r="N675" s="124" t="n"/>
      <c r="O675" s="124" t="n"/>
    </row>
    <row r="676" ht="14.25" customHeight="1" s="75">
      <c r="A676" s="128" t="n"/>
      <c r="B676" s="128" t="n"/>
      <c r="C676" s="128" t="n"/>
      <c r="D676" s="129" t="n"/>
      <c r="E676" s="128" t="n"/>
      <c r="F676" s="128" t="n"/>
      <c r="G676" s="129" t="n"/>
      <c r="H676" s="129" t="n"/>
      <c r="I676" s="129" t="n"/>
      <c r="J676" s="124" t="n"/>
      <c r="K676" s="124" t="n"/>
      <c r="L676" s="124" t="n"/>
      <c r="M676" s="124" t="n"/>
      <c r="N676" s="124" t="n"/>
      <c r="O676" s="124" t="n"/>
    </row>
    <row r="677" ht="14.25" customHeight="1" s="75">
      <c r="A677" s="128" t="n"/>
      <c r="B677" s="128" t="n"/>
      <c r="C677" s="128" t="n"/>
      <c r="D677" s="129" t="n"/>
      <c r="E677" s="128" t="n"/>
      <c r="F677" s="128" t="n"/>
      <c r="G677" s="129" t="n"/>
      <c r="H677" s="129" t="n"/>
      <c r="I677" s="129" t="n"/>
      <c r="J677" s="124" t="n"/>
      <c r="K677" s="124" t="n"/>
      <c r="L677" s="124" t="n"/>
      <c r="M677" s="124" t="n"/>
      <c r="N677" s="124" t="n"/>
      <c r="O677" s="124" t="n"/>
    </row>
    <row r="678" ht="14.25" customHeight="1" s="75">
      <c r="A678" s="128" t="n"/>
      <c r="B678" s="128" t="n"/>
      <c r="C678" s="128" t="n"/>
      <c r="D678" s="129" t="n"/>
      <c r="E678" s="128" t="n"/>
      <c r="F678" s="128" t="n"/>
      <c r="G678" s="129" t="n"/>
      <c r="H678" s="129" t="n"/>
      <c r="I678" s="129" t="n"/>
      <c r="J678" s="124" t="n"/>
      <c r="K678" s="124" t="n"/>
      <c r="L678" s="124" t="n"/>
      <c r="M678" s="124" t="n"/>
      <c r="N678" s="124" t="n"/>
      <c r="O678" s="124" t="n"/>
    </row>
    <row r="679" ht="14.25" customHeight="1" s="75">
      <c r="A679" s="128" t="n"/>
      <c r="B679" s="128" t="n"/>
      <c r="C679" s="128" t="n"/>
      <c r="D679" s="129" t="n"/>
      <c r="E679" s="128" t="n"/>
      <c r="F679" s="128" t="n"/>
      <c r="G679" s="129" t="n"/>
      <c r="H679" s="129" t="n"/>
      <c r="I679" s="129" t="n"/>
      <c r="J679" s="124" t="n"/>
      <c r="K679" s="124" t="n"/>
      <c r="L679" s="124" t="n"/>
      <c r="M679" s="124" t="n"/>
      <c r="N679" s="124" t="n"/>
      <c r="O679" s="124" t="n"/>
    </row>
    <row r="680" ht="14.25" customHeight="1" s="75">
      <c r="A680" s="128" t="n"/>
      <c r="B680" s="128" t="n"/>
      <c r="C680" s="128" t="n"/>
      <c r="D680" s="129" t="n"/>
      <c r="E680" s="128" t="n"/>
      <c r="F680" s="128" t="n"/>
      <c r="G680" s="129" t="n"/>
      <c r="H680" s="129" t="n"/>
      <c r="I680" s="129" t="n"/>
      <c r="J680" s="124" t="n"/>
      <c r="K680" s="124" t="n"/>
      <c r="L680" s="124" t="n"/>
      <c r="M680" s="124" t="n"/>
      <c r="N680" s="124" t="n"/>
      <c r="O680" s="124" t="n"/>
    </row>
    <row r="681" ht="14.25" customHeight="1" s="75">
      <c r="A681" s="128" t="n"/>
      <c r="B681" s="128" t="n"/>
      <c r="C681" s="128" t="n"/>
      <c r="D681" s="129" t="n"/>
      <c r="E681" s="128" t="n"/>
      <c r="F681" s="128" t="n"/>
      <c r="G681" s="129" t="n"/>
      <c r="H681" s="129" t="n"/>
      <c r="I681" s="129" t="n"/>
      <c r="J681" s="124" t="n"/>
      <c r="K681" s="124" t="n"/>
      <c r="L681" s="124" t="n"/>
      <c r="M681" s="124" t="n"/>
      <c r="N681" s="124" t="n"/>
      <c r="O681" s="124" t="n"/>
    </row>
    <row r="682" ht="14.25" customHeight="1" s="75">
      <c r="A682" s="128" t="n"/>
      <c r="B682" s="128" t="n"/>
      <c r="C682" s="128" t="n"/>
      <c r="D682" s="129" t="n"/>
      <c r="E682" s="128" t="n"/>
      <c r="F682" s="128" t="n"/>
      <c r="G682" s="129" t="n"/>
      <c r="H682" s="129" t="n"/>
      <c r="I682" s="129" t="n"/>
      <c r="J682" s="124" t="n"/>
      <c r="K682" s="124" t="n"/>
      <c r="L682" s="124" t="n"/>
      <c r="M682" s="124" t="n"/>
      <c r="N682" s="124" t="n"/>
      <c r="O682" s="124" t="n"/>
    </row>
    <row r="683" ht="14.25" customHeight="1" s="75">
      <c r="A683" s="128" t="n"/>
      <c r="B683" s="128" t="n"/>
      <c r="C683" s="128" t="n"/>
      <c r="D683" s="129" t="n"/>
      <c r="E683" s="128" t="n"/>
      <c r="F683" s="128" t="n"/>
      <c r="G683" s="129" t="n"/>
      <c r="H683" s="129" t="n"/>
      <c r="I683" s="129" t="n"/>
      <c r="J683" s="124" t="n"/>
      <c r="K683" s="124" t="n"/>
      <c r="L683" s="124" t="n"/>
      <c r="M683" s="124" t="n"/>
      <c r="N683" s="124" t="n"/>
      <c r="O683" s="124" t="n"/>
    </row>
    <row r="684" ht="14.25" customHeight="1" s="75">
      <c r="A684" s="128" t="n"/>
      <c r="B684" s="128" t="n"/>
      <c r="C684" s="128" t="n"/>
      <c r="D684" s="129" t="n"/>
      <c r="E684" s="128" t="n"/>
      <c r="F684" s="128" t="n"/>
      <c r="G684" s="129" t="n"/>
      <c r="H684" s="129" t="n"/>
      <c r="I684" s="129" t="n"/>
      <c r="J684" s="124" t="n"/>
      <c r="K684" s="124" t="n"/>
      <c r="L684" s="124" t="n"/>
      <c r="M684" s="124" t="n"/>
      <c r="N684" s="124" t="n"/>
      <c r="O684" s="124" t="n"/>
    </row>
    <row r="685" ht="14.25" customHeight="1" s="75">
      <c r="A685" s="128" t="n"/>
      <c r="B685" s="128" t="n"/>
      <c r="C685" s="128" t="n"/>
      <c r="D685" s="129" t="n"/>
      <c r="E685" s="128" t="n"/>
      <c r="F685" s="128" t="n"/>
      <c r="G685" s="129" t="n"/>
      <c r="H685" s="129" t="n"/>
      <c r="I685" s="129" t="n"/>
      <c r="J685" s="124" t="n"/>
      <c r="K685" s="124" t="n"/>
      <c r="L685" s="124" t="n"/>
      <c r="M685" s="124" t="n"/>
      <c r="N685" s="124" t="n"/>
      <c r="O685" s="124" t="n"/>
    </row>
    <row r="686" ht="14.25" customHeight="1" s="75">
      <c r="A686" s="128" t="n"/>
      <c r="B686" s="128" t="n"/>
      <c r="C686" s="128" t="n"/>
      <c r="D686" s="129" t="n"/>
      <c r="E686" s="128" t="n"/>
      <c r="F686" s="128" t="n"/>
      <c r="G686" s="129" t="n"/>
      <c r="H686" s="129" t="n"/>
      <c r="I686" s="129" t="n"/>
      <c r="J686" s="124" t="n"/>
      <c r="K686" s="124" t="n"/>
      <c r="L686" s="124" t="n"/>
      <c r="M686" s="124" t="n"/>
      <c r="N686" s="124" t="n"/>
      <c r="O686" s="124" t="n"/>
    </row>
    <row r="687" ht="14.25" customHeight="1" s="75">
      <c r="A687" s="128" t="n"/>
      <c r="B687" s="128" t="n"/>
      <c r="C687" s="128" t="n"/>
      <c r="D687" s="129" t="n"/>
      <c r="E687" s="128" t="n"/>
      <c r="F687" s="128" t="n"/>
      <c r="G687" s="129" t="n"/>
      <c r="H687" s="129" t="n"/>
      <c r="I687" s="129" t="n"/>
      <c r="J687" s="124" t="n"/>
      <c r="K687" s="124" t="n"/>
      <c r="L687" s="124" t="n"/>
      <c r="M687" s="124" t="n"/>
      <c r="N687" s="124" t="n"/>
      <c r="O687" s="124" t="n"/>
    </row>
    <row r="688" ht="14.25" customHeight="1" s="75">
      <c r="A688" s="128" t="n"/>
      <c r="B688" s="128" t="n"/>
      <c r="C688" s="128" t="n"/>
      <c r="D688" s="129" t="n"/>
      <c r="E688" s="128" t="n"/>
      <c r="F688" s="128" t="n"/>
      <c r="G688" s="129" t="n"/>
      <c r="H688" s="129" t="n"/>
      <c r="I688" s="129" t="n"/>
      <c r="J688" s="124" t="n"/>
      <c r="K688" s="124" t="n"/>
      <c r="L688" s="124" t="n"/>
      <c r="M688" s="124" t="n"/>
      <c r="N688" s="124" t="n"/>
      <c r="O688" s="124" t="n"/>
    </row>
    <row r="689" ht="14.25" customHeight="1" s="75">
      <c r="A689" s="128" t="n"/>
      <c r="B689" s="128" t="n"/>
      <c r="C689" s="128" t="n"/>
      <c r="D689" s="129" t="n"/>
      <c r="E689" s="128" t="n"/>
      <c r="F689" s="128" t="n"/>
      <c r="G689" s="129" t="n"/>
      <c r="H689" s="129" t="n"/>
      <c r="I689" s="129" t="n"/>
      <c r="J689" s="124" t="n"/>
      <c r="K689" s="124" t="n"/>
      <c r="L689" s="124" t="n"/>
      <c r="M689" s="124" t="n"/>
      <c r="N689" s="124" t="n"/>
      <c r="O689" s="124" t="n"/>
    </row>
    <row r="690" ht="14.25" customHeight="1" s="75">
      <c r="A690" s="128" t="n"/>
      <c r="B690" s="128" t="n"/>
      <c r="C690" s="128" t="n"/>
      <c r="D690" s="129" t="n"/>
      <c r="E690" s="128" t="n"/>
      <c r="F690" s="128" t="n"/>
      <c r="G690" s="129" t="n"/>
      <c r="H690" s="129" t="n"/>
      <c r="I690" s="129" t="n"/>
      <c r="J690" s="124" t="n"/>
      <c r="K690" s="124" t="n"/>
      <c r="L690" s="124" t="n"/>
      <c r="M690" s="124" t="n"/>
      <c r="N690" s="124" t="n"/>
      <c r="O690" s="124" t="n"/>
    </row>
    <row r="691" ht="14.25" customHeight="1" s="75">
      <c r="A691" s="128" t="n"/>
      <c r="B691" s="128" t="n"/>
      <c r="C691" s="128" t="n"/>
      <c r="D691" s="129" t="n"/>
      <c r="E691" s="128" t="n"/>
      <c r="F691" s="128" t="n"/>
      <c r="G691" s="129" t="n"/>
      <c r="H691" s="129" t="n"/>
      <c r="I691" s="129" t="n"/>
      <c r="J691" s="124" t="n"/>
      <c r="K691" s="124" t="n"/>
      <c r="L691" s="124" t="n"/>
      <c r="M691" s="124" t="n"/>
      <c r="N691" s="124" t="n"/>
      <c r="O691" s="124" t="n"/>
    </row>
    <row r="692" ht="14.25" customHeight="1" s="75">
      <c r="A692" s="128" t="n"/>
      <c r="B692" s="128" t="n"/>
      <c r="C692" s="128" t="n"/>
      <c r="D692" s="129" t="n"/>
      <c r="E692" s="128" t="n"/>
      <c r="F692" s="128" t="n"/>
      <c r="G692" s="129" t="n"/>
      <c r="H692" s="129" t="n"/>
      <c r="I692" s="129" t="n"/>
      <c r="J692" s="124" t="n"/>
      <c r="K692" s="124" t="n"/>
      <c r="L692" s="124" t="n"/>
      <c r="M692" s="124" t="n"/>
      <c r="N692" s="124" t="n"/>
      <c r="O692" s="124" t="n"/>
    </row>
    <row r="693" ht="14.25" customHeight="1" s="75">
      <c r="A693" s="128" t="n"/>
      <c r="B693" s="128" t="n"/>
      <c r="C693" s="128" t="n"/>
      <c r="D693" s="129" t="n"/>
      <c r="E693" s="128" t="n"/>
      <c r="F693" s="128" t="n"/>
      <c r="G693" s="129" t="n"/>
      <c r="H693" s="129" t="n"/>
      <c r="I693" s="129" t="n"/>
      <c r="J693" s="124" t="n"/>
      <c r="K693" s="124" t="n"/>
      <c r="L693" s="124" t="n"/>
      <c r="M693" s="124" t="n"/>
      <c r="N693" s="124" t="n"/>
      <c r="O693" s="124" t="n"/>
    </row>
    <row r="694" ht="14.25" customHeight="1" s="75">
      <c r="A694" s="128" t="n"/>
      <c r="B694" s="128" t="n"/>
      <c r="C694" s="128" t="n"/>
      <c r="D694" s="129" t="n"/>
      <c r="E694" s="128" t="n"/>
      <c r="F694" s="128" t="n"/>
      <c r="G694" s="129" t="n"/>
      <c r="H694" s="129" t="n"/>
      <c r="I694" s="129" t="n"/>
      <c r="J694" s="124" t="n"/>
      <c r="K694" s="124" t="n"/>
      <c r="L694" s="124" t="n"/>
      <c r="M694" s="124" t="n"/>
      <c r="N694" s="124" t="n"/>
      <c r="O694" s="124" t="n"/>
    </row>
    <row r="695" ht="14.25" customHeight="1" s="75">
      <c r="A695" s="128" t="n"/>
      <c r="B695" s="128" t="n"/>
      <c r="C695" s="128" t="n"/>
      <c r="D695" s="129" t="n"/>
      <c r="E695" s="128" t="n"/>
      <c r="F695" s="128" t="n"/>
      <c r="G695" s="129" t="n"/>
      <c r="H695" s="129" t="n"/>
      <c r="I695" s="129" t="n"/>
      <c r="J695" s="124" t="n"/>
      <c r="K695" s="124" t="n"/>
      <c r="L695" s="124" t="n"/>
      <c r="M695" s="124" t="n"/>
      <c r="N695" s="124" t="n"/>
      <c r="O695" s="124" t="n"/>
    </row>
    <row r="696" ht="14.25" customHeight="1" s="75">
      <c r="A696" s="128" t="n"/>
      <c r="B696" s="128" t="n"/>
      <c r="C696" s="128" t="n"/>
      <c r="D696" s="129" t="n"/>
      <c r="E696" s="128" t="n"/>
      <c r="F696" s="128" t="n"/>
      <c r="G696" s="129" t="n"/>
      <c r="H696" s="129" t="n"/>
      <c r="I696" s="129" t="n"/>
      <c r="J696" s="124" t="n"/>
      <c r="K696" s="124" t="n"/>
      <c r="L696" s="124" t="n"/>
      <c r="M696" s="124" t="n"/>
      <c r="N696" s="124" t="n"/>
      <c r="O696" s="124" t="n"/>
    </row>
    <row r="697" ht="14.25" customHeight="1" s="75">
      <c r="A697" s="128" t="n"/>
      <c r="B697" s="128" t="n"/>
      <c r="C697" s="128" t="n"/>
      <c r="D697" s="129" t="n"/>
      <c r="E697" s="128" t="n"/>
      <c r="F697" s="128" t="n"/>
      <c r="G697" s="129" t="n"/>
      <c r="H697" s="129" t="n"/>
      <c r="I697" s="129" t="n"/>
      <c r="J697" s="124" t="n"/>
      <c r="K697" s="124" t="n"/>
      <c r="L697" s="124" t="n"/>
      <c r="M697" s="124" t="n"/>
      <c r="N697" s="124" t="n"/>
      <c r="O697" s="124" t="n"/>
    </row>
    <row r="698" ht="14.25" customHeight="1" s="75">
      <c r="A698" s="128" t="n"/>
      <c r="B698" s="128" t="n"/>
      <c r="C698" s="128" t="n"/>
      <c r="D698" s="129" t="n"/>
      <c r="E698" s="128" t="n"/>
      <c r="F698" s="128" t="n"/>
      <c r="G698" s="129" t="n"/>
      <c r="H698" s="129" t="n"/>
      <c r="I698" s="129" t="n"/>
      <c r="J698" s="124" t="n"/>
      <c r="K698" s="124" t="n"/>
      <c r="L698" s="124" t="n"/>
      <c r="M698" s="124" t="n"/>
      <c r="N698" s="124" t="n"/>
      <c r="O698" s="124" t="n"/>
    </row>
    <row r="699" ht="14.25" customHeight="1" s="75">
      <c r="A699" s="128" t="n"/>
      <c r="B699" s="128" t="n"/>
      <c r="C699" s="128" t="n"/>
      <c r="D699" s="129" t="n"/>
      <c r="E699" s="128" t="n"/>
      <c r="F699" s="128" t="n"/>
      <c r="G699" s="129" t="n"/>
      <c r="H699" s="129" t="n"/>
      <c r="I699" s="129" t="n"/>
      <c r="J699" s="124" t="n"/>
      <c r="K699" s="124" t="n"/>
      <c r="L699" s="124" t="n"/>
      <c r="M699" s="124" t="n"/>
      <c r="N699" s="124" t="n"/>
      <c r="O699" s="124" t="n"/>
    </row>
    <row r="700" ht="14.25" customHeight="1" s="75">
      <c r="A700" s="128" t="n"/>
      <c r="B700" s="128" t="n"/>
      <c r="C700" s="128" t="n"/>
      <c r="D700" s="129" t="n"/>
      <c r="E700" s="128" t="n"/>
      <c r="F700" s="128" t="n"/>
      <c r="G700" s="129" t="n"/>
      <c r="H700" s="129" t="n"/>
      <c r="I700" s="129" t="n"/>
      <c r="J700" s="124" t="n"/>
      <c r="K700" s="124" t="n"/>
      <c r="L700" s="124" t="n"/>
      <c r="M700" s="124" t="n"/>
      <c r="N700" s="124" t="n"/>
      <c r="O700" s="124" t="n"/>
    </row>
    <row r="701" ht="14.25" customHeight="1" s="75">
      <c r="A701" s="128" t="n"/>
      <c r="B701" s="128" t="n"/>
      <c r="C701" s="128" t="n"/>
      <c r="D701" s="129" t="n"/>
      <c r="E701" s="128" t="n"/>
      <c r="F701" s="128" t="n"/>
      <c r="G701" s="129" t="n"/>
      <c r="H701" s="129" t="n"/>
      <c r="I701" s="129" t="n"/>
      <c r="J701" s="124" t="n"/>
      <c r="K701" s="124" t="n"/>
      <c r="L701" s="124" t="n"/>
      <c r="M701" s="124" t="n"/>
      <c r="N701" s="124" t="n"/>
      <c r="O701" s="124" t="n"/>
    </row>
    <row r="702" ht="14.25" customHeight="1" s="75">
      <c r="A702" s="128" t="n"/>
      <c r="B702" s="128" t="n"/>
      <c r="C702" s="128" t="n"/>
      <c r="D702" s="129" t="n"/>
      <c r="E702" s="128" t="n"/>
      <c r="F702" s="128" t="n"/>
      <c r="G702" s="129" t="n"/>
      <c r="H702" s="129" t="n"/>
      <c r="I702" s="129" t="n"/>
      <c r="J702" s="124" t="n"/>
      <c r="K702" s="124" t="n"/>
      <c r="L702" s="124" t="n"/>
      <c r="M702" s="124" t="n"/>
      <c r="N702" s="124" t="n"/>
      <c r="O702" s="124" t="n"/>
    </row>
    <row r="703" ht="14.25" customHeight="1" s="75">
      <c r="A703" s="128" t="n"/>
      <c r="B703" s="128" t="n"/>
      <c r="C703" s="128" t="n"/>
      <c r="D703" s="129" t="n"/>
      <c r="E703" s="128" t="n"/>
      <c r="F703" s="128" t="n"/>
      <c r="G703" s="129" t="n"/>
      <c r="H703" s="129" t="n"/>
      <c r="I703" s="129" t="n"/>
      <c r="J703" s="124" t="n"/>
      <c r="K703" s="124" t="n"/>
      <c r="L703" s="124" t="n"/>
      <c r="M703" s="124" t="n"/>
      <c r="N703" s="124" t="n"/>
      <c r="O703" s="124" t="n"/>
    </row>
    <row r="704" ht="14.25" customHeight="1" s="75">
      <c r="A704" s="128" t="n"/>
      <c r="B704" s="128" t="n"/>
      <c r="C704" s="128" t="n"/>
      <c r="D704" s="129" t="n"/>
      <c r="E704" s="128" t="n"/>
      <c r="F704" s="128" t="n"/>
      <c r="G704" s="129" t="n"/>
      <c r="H704" s="129" t="n"/>
      <c r="I704" s="129" t="n"/>
      <c r="J704" s="124" t="n"/>
      <c r="K704" s="124" t="n"/>
      <c r="L704" s="124" t="n"/>
      <c r="M704" s="124" t="n"/>
      <c r="N704" s="124" t="n"/>
      <c r="O704" s="124" t="n"/>
    </row>
    <row r="705" ht="14.25" customHeight="1" s="75">
      <c r="A705" s="128" t="n"/>
      <c r="B705" s="128" t="n"/>
      <c r="C705" s="128" t="n"/>
      <c r="D705" s="129" t="n"/>
      <c r="E705" s="128" t="n"/>
      <c r="F705" s="128" t="n"/>
      <c r="G705" s="129" t="n"/>
      <c r="H705" s="129" t="n"/>
      <c r="I705" s="129" t="n"/>
      <c r="J705" s="124" t="n"/>
      <c r="K705" s="124" t="n"/>
      <c r="L705" s="124" t="n"/>
      <c r="M705" s="124" t="n"/>
      <c r="N705" s="124" t="n"/>
      <c r="O705" s="124" t="n"/>
    </row>
    <row r="706" ht="14.25" customHeight="1" s="75">
      <c r="A706" s="128" t="n"/>
      <c r="B706" s="128" t="n"/>
      <c r="C706" s="128" t="n"/>
      <c r="D706" s="129" t="n"/>
      <c r="E706" s="128" t="n"/>
      <c r="F706" s="128" t="n"/>
      <c r="G706" s="129" t="n"/>
      <c r="H706" s="129" t="n"/>
      <c r="I706" s="129" t="n"/>
      <c r="J706" s="124" t="n"/>
      <c r="K706" s="124" t="n"/>
      <c r="L706" s="124" t="n"/>
      <c r="M706" s="124" t="n"/>
      <c r="N706" s="124" t="n"/>
      <c r="O706" s="124" t="n"/>
    </row>
    <row r="707" ht="14.25" customHeight="1" s="75">
      <c r="A707" s="128" t="n"/>
      <c r="B707" s="128" t="n"/>
      <c r="C707" s="128" t="n"/>
      <c r="D707" s="129" t="n"/>
      <c r="E707" s="128" t="n"/>
      <c r="F707" s="128" t="n"/>
      <c r="G707" s="129" t="n"/>
      <c r="H707" s="129" t="n"/>
      <c r="I707" s="129" t="n"/>
      <c r="J707" s="124" t="n"/>
      <c r="K707" s="124" t="n"/>
      <c r="L707" s="124" t="n"/>
      <c r="M707" s="124" t="n"/>
      <c r="N707" s="124" t="n"/>
      <c r="O707" s="124" t="n"/>
    </row>
    <row r="708" ht="14.25" customHeight="1" s="75">
      <c r="A708" s="128" t="n"/>
      <c r="B708" s="128" t="n"/>
      <c r="C708" s="128" t="n"/>
      <c r="D708" s="129" t="n"/>
      <c r="E708" s="128" t="n"/>
      <c r="F708" s="128" t="n"/>
      <c r="G708" s="129" t="n"/>
      <c r="H708" s="129" t="n"/>
      <c r="I708" s="129" t="n"/>
      <c r="J708" s="124" t="n"/>
      <c r="K708" s="124" t="n"/>
      <c r="L708" s="124" t="n"/>
      <c r="M708" s="124" t="n"/>
      <c r="N708" s="124" t="n"/>
      <c r="O708" s="124" t="n"/>
    </row>
    <row r="709" ht="14.25" customHeight="1" s="75">
      <c r="A709" s="128" t="n"/>
      <c r="B709" s="128" t="n"/>
      <c r="C709" s="128" t="n"/>
      <c r="D709" s="129" t="n"/>
      <c r="E709" s="128" t="n"/>
      <c r="F709" s="128" t="n"/>
      <c r="G709" s="129" t="n"/>
      <c r="H709" s="129" t="n"/>
      <c r="I709" s="129" t="n"/>
      <c r="J709" s="124" t="n"/>
      <c r="K709" s="124" t="n"/>
      <c r="L709" s="124" t="n"/>
      <c r="M709" s="124" t="n"/>
      <c r="N709" s="124" t="n"/>
      <c r="O709" s="124" t="n"/>
    </row>
    <row r="710" ht="14.25" customHeight="1" s="75">
      <c r="A710" s="128" t="n"/>
      <c r="B710" s="128" t="n"/>
      <c r="C710" s="128" t="n"/>
      <c r="D710" s="129" t="n"/>
      <c r="E710" s="128" t="n"/>
      <c r="F710" s="128" t="n"/>
      <c r="G710" s="129" t="n"/>
      <c r="H710" s="129" t="n"/>
      <c r="I710" s="129" t="n"/>
      <c r="J710" s="124" t="n"/>
      <c r="K710" s="124" t="n"/>
      <c r="L710" s="124" t="n"/>
      <c r="M710" s="124" t="n"/>
      <c r="N710" s="124" t="n"/>
      <c r="O710" s="124" t="n"/>
    </row>
    <row r="711" ht="14.25" customHeight="1" s="75">
      <c r="A711" s="128" t="n"/>
      <c r="B711" s="128" t="n"/>
      <c r="C711" s="128" t="n"/>
      <c r="D711" s="129" t="n"/>
      <c r="E711" s="128" t="n"/>
      <c r="F711" s="128" t="n"/>
      <c r="G711" s="129" t="n"/>
      <c r="H711" s="129" t="n"/>
      <c r="I711" s="129" t="n"/>
      <c r="J711" s="124" t="n"/>
      <c r="K711" s="124" t="n"/>
      <c r="L711" s="124" t="n"/>
      <c r="M711" s="124" t="n"/>
      <c r="N711" s="124" t="n"/>
      <c r="O711" s="124" t="n"/>
    </row>
    <row r="712" ht="14.25" customHeight="1" s="75">
      <c r="A712" s="128" t="n"/>
      <c r="B712" s="128" t="n"/>
      <c r="C712" s="128" t="n"/>
      <c r="D712" s="129" t="n"/>
      <c r="E712" s="128" t="n"/>
      <c r="F712" s="128" t="n"/>
      <c r="G712" s="129" t="n"/>
      <c r="H712" s="129" t="n"/>
      <c r="I712" s="129" t="n"/>
      <c r="J712" s="124" t="n"/>
      <c r="K712" s="124" t="n"/>
      <c r="L712" s="124" t="n"/>
      <c r="M712" s="124" t="n"/>
      <c r="N712" s="124" t="n"/>
      <c r="O712" s="124" t="n"/>
    </row>
    <row r="713" ht="14.25" customHeight="1" s="75">
      <c r="A713" s="128" t="n"/>
      <c r="B713" s="128" t="n"/>
      <c r="C713" s="128" t="n"/>
      <c r="D713" s="129" t="n"/>
      <c r="E713" s="128" t="n"/>
      <c r="F713" s="128" t="n"/>
      <c r="G713" s="129" t="n"/>
      <c r="H713" s="129" t="n"/>
      <c r="I713" s="129" t="n"/>
      <c r="J713" s="124" t="n"/>
      <c r="K713" s="124" t="n"/>
      <c r="L713" s="124" t="n"/>
      <c r="M713" s="124" t="n"/>
      <c r="N713" s="124" t="n"/>
      <c r="O713" s="124" t="n"/>
    </row>
    <row r="714" ht="14.25" customHeight="1" s="75">
      <c r="A714" s="128" t="n"/>
      <c r="B714" s="128" t="n"/>
      <c r="C714" s="128" t="n"/>
      <c r="D714" s="129" t="n"/>
      <c r="E714" s="128" t="n"/>
      <c r="F714" s="128" t="n"/>
      <c r="G714" s="129" t="n"/>
      <c r="H714" s="129" t="n"/>
      <c r="I714" s="129" t="n"/>
      <c r="J714" s="124" t="n"/>
      <c r="K714" s="124" t="n"/>
      <c r="L714" s="124" t="n"/>
      <c r="M714" s="124" t="n"/>
      <c r="N714" s="124" t="n"/>
      <c r="O714" s="124" t="n"/>
    </row>
    <row r="715" ht="14.25" customHeight="1" s="75">
      <c r="A715" s="128" t="n"/>
      <c r="B715" s="128" t="n"/>
      <c r="C715" s="128" t="n"/>
      <c r="D715" s="129" t="n"/>
      <c r="E715" s="128" t="n"/>
      <c r="F715" s="128" t="n"/>
      <c r="G715" s="129" t="n"/>
      <c r="H715" s="129" t="n"/>
      <c r="I715" s="129" t="n"/>
      <c r="J715" s="124" t="n"/>
      <c r="K715" s="124" t="n"/>
      <c r="L715" s="124" t="n"/>
      <c r="M715" s="124" t="n"/>
      <c r="N715" s="124" t="n"/>
      <c r="O715" s="124" t="n"/>
    </row>
    <row r="716" ht="14.25" customHeight="1" s="75">
      <c r="A716" s="128" t="n"/>
      <c r="B716" s="128" t="n"/>
      <c r="C716" s="128" t="n"/>
      <c r="D716" s="129" t="n"/>
      <c r="E716" s="128" t="n"/>
      <c r="F716" s="128" t="n"/>
      <c r="G716" s="129" t="n"/>
      <c r="H716" s="129" t="n"/>
      <c r="I716" s="129" t="n"/>
      <c r="J716" s="124" t="n"/>
      <c r="K716" s="124" t="n"/>
      <c r="L716" s="124" t="n"/>
      <c r="M716" s="124" t="n"/>
      <c r="N716" s="124" t="n"/>
      <c r="O716" s="124" t="n"/>
    </row>
    <row r="717" ht="14.25" customHeight="1" s="75">
      <c r="A717" s="128" t="n"/>
      <c r="B717" s="128" t="n"/>
      <c r="C717" s="128" t="n"/>
      <c r="D717" s="129" t="n"/>
      <c r="E717" s="128" t="n"/>
      <c r="F717" s="128" t="n"/>
      <c r="G717" s="129" t="n"/>
      <c r="H717" s="129" t="n"/>
      <c r="I717" s="129" t="n"/>
      <c r="J717" s="124" t="n"/>
      <c r="K717" s="124" t="n"/>
      <c r="L717" s="124" t="n"/>
      <c r="M717" s="124" t="n"/>
      <c r="N717" s="124" t="n"/>
      <c r="O717" s="124" t="n"/>
    </row>
    <row r="718" ht="14.25" customHeight="1" s="75">
      <c r="A718" s="128" t="n"/>
      <c r="B718" s="128" t="n"/>
      <c r="C718" s="128" t="n"/>
      <c r="D718" s="129" t="n"/>
      <c r="E718" s="128" t="n"/>
      <c r="F718" s="128" t="n"/>
      <c r="G718" s="129" t="n"/>
      <c r="H718" s="129" t="n"/>
      <c r="I718" s="129" t="n"/>
      <c r="J718" s="124" t="n"/>
      <c r="K718" s="124" t="n"/>
      <c r="L718" s="124" t="n"/>
      <c r="M718" s="124" t="n"/>
      <c r="N718" s="124" t="n"/>
      <c r="O718" s="124" t="n"/>
    </row>
    <row r="719" ht="14.25" customHeight="1" s="75">
      <c r="A719" s="128" t="n"/>
      <c r="B719" s="128" t="n"/>
      <c r="C719" s="128" t="n"/>
      <c r="D719" s="129" t="n"/>
      <c r="E719" s="128" t="n"/>
      <c r="F719" s="128" t="n"/>
      <c r="G719" s="129" t="n"/>
      <c r="H719" s="129" t="n"/>
      <c r="I719" s="129" t="n"/>
      <c r="J719" s="124" t="n"/>
      <c r="K719" s="124" t="n"/>
      <c r="L719" s="124" t="n"/>
      <c r="M719" s="124" t="n"/>
      <c r="N719" s="124" t="n"/>
      <c r="O719" s="124" t="n"/>
    </row>
    <row r="720" ht="14.25" customHeight="1" s="75">
      <c r="A720" s="128" t="n"/>
      <c r="B720" s="128" t="n"/>
      <c r="C720" s="128" t="n"/>
      <c r="D720" s="129" t="n"/>
      <c r="E720" s="128" t="n"/>
      <c r="F720" s="128" t="n"/>
      <c r="G720" s="129" t="n"/>
      <c r="H720" s="129" t="n"/>
      <c r="I720" s="129" t="n"/>
      <c r="J720" s="124" t="n"/>
      <c r="K720" s="124" t="n"/>
      <c r="L720" s="124" t="n"/>
      <c r="M720" s="124" t="n"/>
      <c r="N720" s="124" t="n"/>
      <c r="O720" s="124" t="n"/>
    </row>
    <row r="721" ht="14.25" customHeight="1" s="75">
      <c r="A721" s="128" t="n"/>
      <c r="B721" s="128" t="n"/>
      <c r="C721" s="128" t="n"/>
      <c r="D721" s="129" t="n"/>
      <c r="E721" s="128" t="n"/>
      <c r="F721" s="128" t="n"/>
      <c r="G721" s="129" t="n"/>
      <c r="H721" s="129" t="n"/>
      <c r="I721" s="129" t="n"/>
      <c r="J721" s="124" t="n"/>
      <c r="K721" s="124" t="n"/>
      <c r="L721" s="124" t="n"/>
      <c r="M721" s="124" t="n"/>
      <c r="N721" s="124" t="n"/>
      <c r="O721" s="124" t="n"/>
    </row>
    <row r="722" ht="14.25" customHeight="1" s="75">
      <c r="A722" s="128" t="n"/>
      <c r="B722" s="128" t="n"/>
      <c r="C722" s="128" t="n"/>
      <c r="D722" s="129" t="n"/>
      <c r="E722" s="128" t="n"/>
      <c r="F722" s="128" t="n"/>
      <c r="G722" s="129" t="n"/>
      <c r="H722" s="129" t="n"/>
      <c r="I722" s="129" t="n"/>
      <c r="J722" s="124" t="n"/>
      <c r="K722" s="124" t="n"/>
      <c r="L722" s="124" t="n"/>
      <c r="M722" s="124" t="n"/>
      <c r="N722" s="124" t="n"/>
      <c r="O722" s="124" t="n"/>
    </row>
    <row r="723" ht="14.25" customHeight="1" s="75">
      <c r="A723" s="128" t="n"/>
      <c r="B723" s="128" t="n"/>
      <c r="C723" s="128" t="n"/>
      <c r="D723" s="129" t="n"/>
      <c r="E723" s="128" t="n"/>
      <c r="F723" s="128" t="n"/>
      <c r="G723" s="129" t="n"/>
      <c r="H723" s="129" t="n"/>
      <c r="I723" s="129" t="n"/>
      <c r="J723" s="124" t="n"/>
      <c r="K723" s="124" t="n"/>
      <c r="L723" s="124" t="n"/>
      <c r="M723" s="124" t="n"/>
      <c r="N723" s="124" t="n"/>
      <c r="O723" s="124" t="n"/>
    </row>
    <row r="724" ht="14.25" customHeight="1" s="75">
      <c r="A724" s="128" t="n"/>
      <c r="B724" s="128" t="n"/>
      <c r="C724" s="128" t="n"/>
      <c r="D724" s="129" t="n"/>
      <c r="E724" s="128" t="n"/>
      <c r="F724" s="128" t="n"/>
      <c r="G724" s="129" t="n"/>
      <c r="H724" s="129" t="n"/>
      <c r="I724" s="129" t="n"/>
      <c r="J724" s="124" t="n"/>
      <c r="K724" s="124" t="n"/>
      <c r="L724" s="124" t="n"/>
      <c r="M724" s="124" t="n"/>
      <c r="N724" s="124" t="n"/>
      <c r="O724" s="124" t="n"/>
    </row>
    <row r="725" ht="14.25" customHeight="1" s="75">
      <c r="A725" s="128" t="n"/>
      <c r="B725" s="128" t="n"/>
      <c r="C725" s="128" t="n"/>
      <c r="D725" s="129" t="n"/>
      <c r="E725" s="128" t="n"/>
      <c r="F725" s="128" t="n"/>
      <c r="G725" s="129" t="n"/>
      <c r="H725" s="129" t="n"/>
      <c r="I725" s="129" t="n"/>
      <c r="J725" s="124" t="n"/>
      <c r="K725" s="124" t="n"/>
      <c r="L725" s="124" t="n"/>
      <c r="M725" s="124" t="n"/>
      <c r="N725" s="124" t="n"/>
      <c r="O725" s="124" t="n"/>
    </row>
    <row r="726" ht="14.25" customHeight="1" s="75">
      <c r="A726" s="128" t="n"/>
      <c r="B726" s="128" t="n"/>
      <c r="C726" s="128" t="n"/>
      <c r="D726" s="129" t="n"/>
      <c r="E726" s="128" t="n"/>
      <c r="F726" s="128" t="n"/>
      <c r="G726" s="129" t="n"/>
      <c r="H726" s="129" t="n"/>
      <c r="I726" s="129" t="n"/>
      <c r="J726" s="124" t="n"/>
      <c r="K726" s="124" t="n"/>
      <c r="L726" s="124" t="n"/>
      <c r="M726" s="124" t="n"/>
      <c r="N726" s="124" t="n"/>
      <c r="O726" s="124" t="n"/>
    </row>
    <row r="727" ht="14.25" customHeight="1" s="75">
      <c r="A727" s="128" t="n"/>
      <c r="B727" s="128" t="n"/>
      <c r="C727" s="128" t="n"/>
      <c r="D727" s="129" t="n"/>
      <c r="E727" s="128" t="n"/>
      <c r="F727" s="128" t="n"/>
      <c r="G727" s="129" t="n"/>
      <c r="H727" s="129" t="n"/>
      <c r="I727" s="129" t="n"/>
      <c r="J727" s="124" t="n"/>
      <c r="K727" s="124" t="n"/>
      <c r="L727" s="124" t="n"/>
      <c r="M727" s="124" t="n"/>
      <c r="N727" s="124" t="n"/>
      <c r="O727" s="124" t="n"/>
    </row>
    <row r="728" ht="14.25" customHeight="1" s="75">
      <c r="A728" s="128" t="n"/>
      <c r="B728" s="128" t="n"/>
      <c r="C728" s="128" t="n"/>
      <c r="D728" s="129" t="n"/>
      <c r="E728" s="128" t="n"/>
      <c r="F728" s="128" t="n"/>
      <c r="G728" s="129" t="n"/>
      <c r="H728" s="129" t="n"/>
      <c r="I728" s="129" t="n"/>
      <c r="J728" s="124" t="n"/>
      <c r="K728" s="124" t="n"/>
      <c r="L728" s="124" t="n"/>
      <c r="M728" s="124" t="n"/>
      <c r="N728" s="124" t="n"/>
      <c r="O728" s="124" t="n"/>
    </row>
    <row r="729" ht="14.25" customHeight="1" s="75">
      <c r="A729" s="128" t="n"/>
      <c r="B729" s="128" t="n"/>
      <c r="C729" s="128" t="n"/>
      <c r="D729" s="129" t="n"/>
      <c r="E729" s="128" t="n"/>
      <c r="F729" s="128" t="n"/>
      <c r="G729" s="129" t="n"/>
      <c r="H729" s="129" t="n"/>
      <c r="I729" s="129" t="n"/>
      <c r="J729" s="124" t="n"/>
      <c r="K729" s="124" t="n"/>
      <c r="L729" s="124" t="n"/>
      <c r="M729" s="124" t="n"/>
      <c r="N729" s="124" t="n"/>
      <c r="O729" s="124" t="n"/>
    </row>
    <row r="730" ht="14.25" customHeight="1" s="75">
      <c r="A730" s="128" t="n"/>
      <c r="B730" s="128" t="n"/>
      <c r="C730" s="128" t="n"/>
      <c r="D730" s="129" t="n"/>
      <c r="E730" s="128" t="n"/>
      <c r="F730" s="128" t="n"/>
      <c r="G730" s="129" t="n"/>
      <c r="H730" s="129" t="n"/>
      <c r="I730" s="129" t="n"/>
      <c r="J730" s="124" t="n"/>
      <c r="K730" s="124" t="n"/>
      <c r="L730" s="124" t="n"/>
      <c r="M730" s="124" t="n"/>
      <c r="N730" s="124" t="n"/>
      <c r="O730" s="124" t="n"/>
    </row>
    <row r="731" ht="14.25" customHeight="1" s="75">
      <c r="A731" s="128" t="n"/>
      <c r="B731" s="128" t="n"/>
      <c r="C731" s="128" t="n"/>
      <c r="D731" s="129" t="n"/>
      <c r="E731" s="128" t="n"/>
      <c r="F731" s="128" t="n"/>
      <c r="G731" s="129" t="n"/>
      <c r="H731" s="129" t="n"/>
      <c r="I731" s="129" t="n"/>
      <c r="J731" s="124" t="n"/>
      <c r="K731" s="124" t="n"/>
      <c r="L731" s="124" t="n"/>
      <c r="M731" s="124" t="n"/>
      <c r="N731" s="124" t="n"/>
      <c r="O731" s="124" t="n"/>
    </row>
    <row r="732" ht="14.25" customHeight="1" s="75">
      <c r="A732" s="128" t="n"/>
      <c r="B732" s="128" t="n"/>
      <c r="C732" s="128" t="n"/>
      <c r="D732" s="129" t="n"/>
      <c r="E732" s="128" t="n"/>
      <c r="F732" s="128" t="n"/>
      <c r="G732" s="129" t="n"/>
      <c r="H732" s="129" t="n"/>
      <c r="I732" s="129" t="n"/>
      <c r="J732" s="124" t="n"/>
      <c r="K732" s="124" t="n"/>
      <c r="L732" s="124" t="n"/>
      <c r="M732" s="124" t="n"/>
      <c r="N732" s="124" t="n"/>
      <c r="O732" s="124" t="n"/>
    </row>
    <row r="733" ht="14.25" customHeight="1" s="75">
      <c r="A733" s="128" t="n"/>
      <c r="B733" s="128" t="n"/>
      <c r="C733" s="128" t="n"/>
      <c r="D733" s="129" t="n"/>
      <c r="E733" s="128" t="n"/>
      <c r="F733" s="128" t="n"/>
      <c r="G733" s="129" t="n"/>
      <c r="H733" s="129" t="n"/>
      <c r="I733" s="129" t="n"/>
      <c r="J733" s="124" t="n"/>
      <c r="K733" s="124" t="n"/>
      <c r="L733" s="124" t="n"/>
      <c r="M733" s="124" t="n"/>
      <c r="N733" s="124" t="n"/>
      <c r="O733" s="124" t="n"/>
    </row>
    <row r="734" ht="14.25" customHeight="1" s="75">
      <c r="A734" s="128" t="n"/>
      <c r="B734" s="128" t="n"/>
      <c r="C734" s="128" t="n"/>
      <c r="D734" s="129" t="n"/>
      <c r="E734" s="128" t="n"/>
      <c r="F734" s="128" t="n"/>
      <c r="G734" s="129" t="n"/>
      <c r="H734" s="129" t="n"/>
      <c r="I734" s="129" t="n"/>
      <c r="J734" s="124" t="n"/>
      <c r="K734" s="124" t="n"/>
      <c r="L734" s="124" t="n"/>
      <c r="M734" s="124" t="n"/>
      <c r="N734" s="124" t="n"/>
      <c r="O734" s="124" t="n"/>
    </row>
    <row r="735" ht="14.25" customHeight="1" s="75">
      <c r="A735" s="128" t="n"/>
      <c r="B735" s="128" t="n"/>
      <c r="C735" s="128" t="n"/>
      <c r="D735" s="129" t="n"/>
      <c r="E735" s="128" t="n"/>
      <c r="F735" s="128" t="n"/>
      <c r="G735" s="129" t="n"/>
      <c r="H735" s="129" t="n"/>
      <c r="I735" s="129" t="n"/>
      <c r="J735" s="124" t="n"/>
      <c r="K735" s="124" t="n"/>
      <c r="L735" s="124" t="n"/>
      <c r="M735" s="124" t="n"/>
      <c r="N735" s="124" t="n"/>
      <c r="O735" s="124" t="n"/>
    </row>
    <row r="736" ht="14.25" customHeight="1" s="75">
      <c r="A736" s="128" t="n"/>
      <c r="B736" s="128" t="n"/>
      <c r="C736" s="128" t="n"/>
      <c r="D736" s="129" t="n"/>
      <c r="E736" s="128" t="n"/>
      <c r="F736" s="128" t="n"/>
      <c r="G736" s="129" t="n"/>
      <c r="H736" s="129" t="n"/>
      <c r="I736" s="129" t="n"/>
      <c r="J736" s="124" t="n"/>
      <c r="K736" s="124" t="n"/>
      <c r="L736" s="124" t="n"/>
      <c r="M736" s="124" t="n"/>
      <c r="N736" s="124" t="n"/>
      <c r="O736" s="124" t="n"/>
    </row>
    <row r="737" ht="14.25" customHeight="1" s="75">
      <c r="A737" s="128" t="n"/>
      <c r="B737" s="128" t="n"/>
      <c r="C737" s="128" t="n"/>
      <c r="D737" s="129" t="n"/>
      <c r="E737" s="128" t="n"/>
      <c r="F737" s="128" t="n"/>
      <c r="G737" s="129" t="n"/>
      <c r="H737" s="129" t="n"/>
      <c r="I737" s="129" t="n"/>
      <c r="J737" s="124" t="n"/>
      <c r="K737" s="124" t="n"/>
      <c r="L737" s="124" t="n"/>
      <c r="M737" s="124" t="n"/>
      <c r="N737" s="124" t="n"/>
      <c r="O737" s="124" t="n"/>
    </row>
    <row r="738" ht="14.25" customHeight="1" s="75">
      <c r="A738" s="128" t="n"/>
      <c r="B738" s="128" t="n"/>
      <c r="C738" s="128" t="n"/>
      <c r="D738" s="129" t="n"/>
      <c r="E738" s="128" t="n"/>
      <c r="F738" s="128" t="n"/>
      <c r="G738" s="129" t="n"/>
      <c r="H738" s="129" t="n"/>
      <c r="I738" s="129" t="n"/>
      <c r="J738" s="124" t="n"/>
      <c r="K738" s="124" t="n"/>
      <c r="L738" s="124" t="n"/>
      <c r="M738" s="124" t="n"/>
      <c r="N738" s="124" t="n"/>
      <c r="O738" s="124" t="n"/>
    </row>
    <row r="739" ht="14.25" customHeight="1" s="75">
      <c r="A739" s="128" t="n"/>
      <c r="B739" s="128" t="n"/>
      <c r="C739" s="128" t="n"/>
      <c r="D739" s="129" t="n"/>
      <c r="E739" s="128" t="n"/>
      <c r="F739" s="128" t="n"/>
      <c r="G739" s="129" t="n"/>
      <c r="H739" s="129" t="n"/>
      <c r="I739" s="129" t="n"/>
      <c r="J739" s="124" t="n"/>
      <c r="K739" s="124" t="n"/>
      <c r="L739" s="124" t="n"/>
      <c r="M739" s="124" t="n"/>
      <c r="N739" s="124" t="n"/>
      <c r="O739" s="124" t="n"/>
    </row>
    <row r="740" ht="14.25" customHeight="1" s="75">
      <c r="A740" s="128" t="n"/>
      <c r="B740" s="128" t="n"/>
      <c r="C740" s="128" t="n"/>
      <c r="D740" s="129" t="n"/>
      <c r="E740" s="128" t="n"/>
      <c r="F740" s="128" t="n"/>
      <c r="G740" s="129" t="n"/>
      <c r="H740" s="129" t="n"/>
      <c r="I740" s="129" t="n"/>
      <c r="J740" s="124" t="n"/>
      <c r="K740" s="124" t="n"/>
      <c r="L740" s="124" t="n"/>
      <c r="M740" s="124" t="n"/>
      <c r="N740" s="124" t="n"/>
      <c r="O740" s="124" t="n"/>
    </row>
    <row r="741" ht="14.25" customHeight="1" s="75">
      <c r="A741" s="128" t="n"/>
      <c r="B741" s="128" t="n"/>
      <c r="C741" s="128" t="n"/>
      <c r="D741" s="129" t="n"/>
      <c r="E741" s="128" t="n"/>
      <c r="F741" s="128" t="n"/>
      <c r="G741" s="129" t="n"/>
      <c r="H741" s="129" t="n"/>
      <c r="I741" s="129" t="n"/>
      <c r="J741" s="124" t="n"/>
      <c r="K741" s="124" t="n"/>
      <c r="L741" s="124" t="n"/>
      <c r="M741" s="124" t="n"/>
      <c r="N741" s="124" t="n"/>
      <c r="O741" s="124" t="n"/>
    </row>
    <row r="742" ht="14.25" customHeight="1" s="75">
      <c r="A742" s="128" t="n"/>
      <c r="B742" s="128" t="n"/>
      <c r="C742" s="128" t="n"/>
      <c r="D742" s="129" t="n"/>
      <c r="E742" s="128" t="n"/>
      <c r="F742" s="128" t="n"/>
      <c r="G742" s="129" t="n"/>
      <c r="H742" s="129" t="n"/>
      <c r="I742" s="129" t="n"/>
      <c r="J742" s="124" t="n"/>
      <c r="K742" s="124" t="n"/>
      <c r="L742" s="124" t="n"/>
      <c r="M742" s="124" t="n"/>
      <c r="N742" s="124" t="n"/>
      <c r="O742" s="124" t="n"/>
    </row>
    <row r="743" ht="14.25" customHeight="1" s="75">
      <c r="A743" s="128" t="n"/>
      <c r="B743" s="128" t="n"/>
      <c r="C743" s="128" t="n"/>
      <c r="D743" s="129" t="n"/>
      <c r="E743" s="128" t="n"/>
      <c r="F743" s="128" t="n"/>
      <c r="G743" s="129" t="n"/>
      <c r="H743" s="129" t="n"/>
      <c r="I743" s="129" t="n"/>
      <c r="J743" s="124" t="n"/>
      <c r="K743" s="124" t="n"/>
      <c r="L743" s="124" t="n"/>
      <c r="M743" s="124" t="n"/>
      <c r="N743" s="124" t="n"/>
      <c r="O743" s="124" t="n"/>
    </row>
    <row r="744" ht="14.25" customHeight="1" s="75">
      <c r="A744" s="128" t="n"/>
      <c r="B744" s="128" t="n"/>
      <c r="C744" s="128" t="n"/>
      <c r="D744" s="129" t="n"/>
      <c r="E744" s="128" t="n"/>
      <c r="F744" s="128" t="n"/>
      <c r="G744" s="129" t="n"/>
      <c r="H744" s="129" t="n"/>
      <c r="I744" s="129" t="n"/>
      <c r="J744" s="124" t="n"/>
      <c r="K744" s="124" t="n"/>
      <c r="L744" s="124" t="n"/>
      <c r="M744" s="124" t="n"/>
      <c r="N744" s="124" t="n"/>
      <c r="O744" s="124" t="n"/>
    </row>
    <row r="745" ht="14.25" customHeight="1" s="75">
      <c r="A745" s="128" t="n"/>
      <c r="B745" s="128" t="n"/>
      <c r="C745" s="128" t="n"/>
      <c r="D745" s="129" t="n"/>
      <c r="E745" s="128" t="n"/>
      <c r="F745" s="128" t="n"/>
      <c r="G745" s="129" t="n"/>
      <c r="H745" s="129" t="n"/>
      <c r="I745" s="129" t="n"/>
      <c r="J745" s="124" t="n"/>
      <c r="K745" s="124" t="n"/>
      <c r="L745" s="124" t="n"/>
      <c r="M745" s="124" t="n"/>
      <c r="N745" s="124" t="n"/>
      <c r="O745" s="124" t="n"/>
    </row>
    <row r="746" ht="14.25" customHeight="1" s="75">
      <c r="A746" s="128" t="n"/>
      <c r="B746" s="128" t="n"/>
      <c r="C746" s="128" t="n"/>
      <c r="D746" s="129" t="n"/>
      <c r="E746" s="128" t="n"/>
      <c r="F746" s="128" t="n"/>
      <c r="G746" s="129" t="n"/>
      <c r="H746" s="129" t="n"/>
      <c r="I746" s="129" t="n"/>
      <c r="J746" s="124" t="n"/>
      <c r="K746" s="124" t="n"/>
      <c r="L746" s="124" t="n"/>
      <c r="M746" s="124" t="n"/>
      <c r="N746" s="124" t="n"/>
      <c r="O746" s="124" t="n"/>
    </row>
    <row r="747" ht="14.25" customHeight="1" s="75">
      <c r="A747" s="128" t="n"/>
      <c r="B747" s="128" t="n"/>
      <c r="C747" s="128" t="n"/>
      <c r="D747" s="129" t="n"/>
      <c r="E747" s="128" t="n"/>
      <c r="F747" s="128" t="n"/>
      <c r="G747" s="129" t="n"/>
      <c r="H747" s="129" t="n"/>
      <c r="I747" s="129" t="n"/>
      <c r="J747" s="124" t="n"/>
      <c r="K747" s="124" t="n"/>
      <c r="L747" s="124" t="n"/>
      <c r="M747" s="124" t="n"/>
      <c r="N747" s="124" t="n"/>
      <c r="O747" s="124" t="n"/>
    </row>
    <row r="748" ht="14.25" customHeight="1" s="75">
      <c r="A748" s="128" t="n"/>
      <c r="B748" s="128" t="n"/>
      <c r="C748" s="128" t="n"/>
      <c r="D748" s="129" t="n"/>
      <c r="E748" s="128" t="n"/>
      <c r="F748" s="128" t="n"/>
      <c r="G748" s="129" t="n"/>
      <c r="H748" s="129" t="n"/>
      <c r="I748" s="129" t="n"/>
      <c r="J748" s="124" t="n"/>
      <c r="K748" s="124" t="n"/>
      <c r="L748" s="124" t="n"/>
      <c r="M748" s="124" t="n"/>
      <c r="N748" s="124" t="n"/>
      <c r="O748" s="124" t="n"/>
    </row>
    <row r="749" ht="14.25" customHeight="1" s="75">
      <c r="A749" s="128" t="n"/>
      <c r="B749" s="128" t="n"/>
      <c r="C749" s="128" t="n"/>
      <c r="D749" s="129" t="n"/>
      <c r="E749" s="128" t="n"/>
      <c r="F749" s="128" t="n"/>
      <c r="G749" s="129" t="n"/>
      <c r="H749" s="129" t="n"/>
      <c r="I749" s="129" t="n"/>
      <c r="J749" s="124" t="n"/>
      <c r="K749" s="124" t="n"/>
      <c r="L749" s="124" t="n"/>
      <c r="M749" s="124" t="n"/>
      <c r="N749" s="124" t="n"/>
      <c r="O749" s="124" t="n"/>
    </row>
    <row r="750" ht="14.25" customHeight="1" s="75">
      <c r="A750" s="128" t="n"/>
      <c r="B750" s="128" t="n"/>
      <c r="C750" s="128" t="n"/>
      <c r="D750" s="129" t="n"/>
      <c r="E750" s="128" t="n"/>
      <c r="F750" s="128" t="n"/>
      <c r="G750" s="129" t="n"/>
      <c r="H750" s="129" t="n"/>
      <c r="I750" s="129" t="n"/>
      <c r="J750" s="124" t="n"/>
      <c r="K750" s="124" t="n"/>
      <c r="L750" s="124" t="n"/>
      <c r="M750" s="124" t="n"/>
      <c r="N750" s="124" t="n"/>
      <c r="O750" s="124" t="n"/>
    </row>
    <row r="751" ht="14.25" customHeight="1" s="75">
      <c r="A751" s="128" t="n"/>
      <c r="B751" s="128" t="n"/>
      <c r="C751" s="128" t="n"/>
      <c r="D751" s="129" t="n"/>
      <c r="E751" s="128" t="n"/>
      <c r="F751" s="128" t="n"/>
      <c r="G751" s="129" t="n"/>
      <c r="H751" s="129" t="n"/>
      <c r="I751" s="129" t="n"/>
      <c r="J751" s="124" t="n"/>
      <c r="K751" s="124" t="n"/>
      <c r="L751" s="124" t="n"/>
      <c r="M751" s="124" t="n"/>
      <c r="N751" s="124" t="n"/>
      <c r="O751" s="124" t="n"/>
    </row>
    <row r="752" ht="14.25" customHeight="1" s="75">
      <c r="A752" s="128" t="n"/>
      <c r="B752" s="128" t="n"/>
      <c r="C752" s="128" t="n"/>
      <c r="D752" s="129" t="n"/>
      <c r="E752" s="128" t="n"/>
      <c r="F752" s="128" t="n"/>
      <c r="G752" s="129" t="n"/>
      <c r="H752" s="129" t="n"/>
      <c r="I752" s="129" t="n"/>
      <c r="J752" s="124" t="n"/>
      <c r="K752" s="124" t="n"/>
      <c r="L752" s="124" t="n"/>
      <c r="M752" s="124" t="n"/>
      <c r="N752" s="124" t="n"/>
      <c r="O752" s="124" t="n"/>
    </row>
    <row r="753" ht="14.25" customHeight="1" s="75">
      <c r="A753" s="128" t="n"/>
      <c r="B753" s="128" t="n"/>
      <c r="C753" s="128" t="n"/>
      <c r="D753" s="129" t="n"/>
      <c r="E753" s="128" t="n"/>
      <c r="F753" s="128" t="n"/>
      <c r="G753" s="129" t="n"/>
      <c r="H753" s="129" t="n"/>
      <c r="I753" s="129" t="n"/>
      <c r="J753" s="124" t="n"/>
      <c r="K753" s="124" t="n"/>
      <c r="L753" s="124" t="n"/>
      <c r="M753" s="124" t="n"/>
      <c r="N753" s="124" t="n"/>
      <c r="O753" s="124" t="n"/>
    </row>
    <row r="754" ht="14.25" customHeight="1" s="75">
      <c r="A754" s="128" t="n"/>
      <c r="B754" s="128" t="n"/>
      <c r="C754" s="128" t="n"/>
      <c r="D754" s="129" t="n"/>
      <c r="E754" s="128" t="n"/>
      <c r="F754" s="128" t="n"/>
      <c r="G754" s="129" t="n"/>
      <c r="H754" s="129" t="n"/>
      <c r="I754" s="129" t="n"/>
      <c r="J754" s="124" t="n"/>
      <c r="K754" s="124" t="n"/>
      <c r="L754" s="124" t="n"/>
      <c r="M754" s="124" t="n"/>
      <c r="N754" s="124" t="n"/>
      <c r="O754" s="124" t="n"/>
    </row>
    <row r="755" ht="14.25" customHeight="1" s="75">
      <c r="A755" s="128" t="n"/>
      <c r="B755" s="128" t="n"/>
      <c r="C755" s="128" t="n"/>
      <c r="D755" s="129" t="n"/>
      <c r="E755" s="128" t="n"/>
      <c r="F755" s="128" t="n"/>
      <c r="G755" s="129" t="n"/>
      <c r="H755" s="129" t="n"/>
      <c r="I755" s="129" t="n"/>
      <c r="J755" s="124" t="n"/>
      <c r="K755" s="124" t="n"/>
      <c r="L755" s="124" t="n"/>
      <c r="M755" s="124" t="n"/>
      <c r="N755" s="124" t="n"/>
      <c r="O755" s="124" t="n"/>
    </row>
    <row r="756" ht="14.25" customHeight="1" s="75">
      <c r="A756" s="128" t="n"/>
      <c r="B756" s="128" t="n"/>
      <c r="C756" s="128" t="n"/>
      <c r="D756" s="129" t="n"/>
      <c r="E756" s="128" t="n"/>
      <c r="F756" s="128" t="n"/>
      <c r="G756" s="129" t="n"/>
      <c r="H756" s="129" t="n"/>
      <c r="I756" s="129" t="n"/>
      <c r="J756" s="124" t="n"/>
      <c r="K756" s="124" t="n"/>
      <c r="L756" s="124" t="n"/>
      <c r="M756" s="124" t="n"/>
      <c r="N756" s="124" t="n"/>
      <c r="O756" s="124" t="n"/>
    </row>
    <row r="757" ht="14.25" customHeight="1" s="75">
      <c r="A757" s="128" t="n"/>
      <c r="B757" s="128" t="n"/>
      <c r="C757" s="128" t="n"/>
      <c r="D757" s="129" t="n"/>
      <c r="E757" s="128" t="n"/>
      <c r="F757" s="128" t="n"/>
      <c r="G757" s="129" t="n"/>
      <c r="H757" s="129" t="n"/>
      <c r="I757" s="129" t="n"/>
      <c r="J757" s="124" t="n"/>
      <c r="K757" s="124" t="n"/>
      <c r="L757" s="124" t="n"/>
      <c r="M757" s="124" t="n"/>
      <c r="N757" s="124" t="n"/>
      <c r="O757" s="124" t="n"/>
    </row>
    <row r="758" ht="14.25" customHeight="1" s="75">
      <c r="A758" s="128" t="n"/>
      <c r="B758" s="128" t="n"/>
      <c r="C758" s="128" t="n"/>
      <c r="D758" s="129" t="n"/>
      <c r="E758" s="128" t="n"/>
      <c r="F758" s="128" t="n"/>
      <c r="G758" s="129" t="n"/>
      <c r="H758" s="129" t="n"/>
      <c r="I758" s="129" t="n"/>
      <c r="J758" s="124" t="n"/>
      <c r="K758" s="124" t="n"/>
      <c r="L758" s="124" t="n"/>
      <c r="M758" s="124" t="n"/>
      <c r="N758" s="124" t="n"/>
      <c r="O758" s="124" t="n"/>
    </row>
    <row r="759" ht="14.25" customHeight="1" s="75">
      <c r="A759" s="128" t="n"/>
      <c r="B759" s="128" t="n"/>
      <c r="C759" s="128" t="n"/>
      <c r="D759" s="129" t="n"/>
      <c r="E759" s="128" t="n"/>
      <c r="F759" s="128" t="n"/>
      <c r="G759" s="129" t="n"/>
      <c r="H759" s="129" t="n"/>
      <c r="I759" s="129" t="n"/>
      <c r="J759" s="124" t="n"/>
      <c r="K759" s="124" t="n"/>
      <c r="L759" s="124" t="n"/>
      <c r="M759" s="124" t="n"/>
      <c r="N759" s="124" t="n"/>
      <c r="O759" s="124" t="n"/>
    </row>
    <row r="760" ht="14.25" customHeight="1" s="75">
      <c r="A760" s="128" t="n"/>
      <c r="B760" s="128" t="n"/>
      <c r="C760" s="128" t="n"/>
      <c r="D760" s="129" t="n"/>
      <c r="E760" s="128" t="n"/>
      <c r="F760" s="128" t="n"/>
      <c r="G760" s="129" t="n"/>
      <c r="H760" s="129" t="n"/>
      <c r="I760" s="129" t="n"/>
      <c r="J760" s="124" t="n"/>
      <c r="K760" s="124" t="n"/>
      <c r="L760" s="124" t="n"/>
      <c r="M760" s="124" t="n"/>
      <c r="N760" s="124" t="n"/>
      <c r="O760" s="124" t="n"/>
    </row>
    <row r="761" ht="14.25" customHeight="1" s="75">
      <c r="A761" s="128" t="n"/>
      <c r="B761" s="128" t="n"/>
      <c r="C761" s="128" t="n"/>
      <c r="D761" s="129" t="n"/>
      <c r="E761" s="128" t="n"/>
      <c r="F761" s="128" t="n"/>
      <c r="G761" s="129" t="n"/>
      <c r="H761" s="129" t="n"/>
      <c r="I761" s="129" t="n"/>
      <c r="J761" s="124" t="n"/>
      <c r="K761" s="124" t="n"/>
      <c r="L761" s="124" t="n"/>
      <c r="M761" s="124" t="n"/>
      <c r="N761" s="124" t="n"/>
      <c r="O761" s="124" t="n"/>
    </row>
    <row r="762" ht="14.25" customHeight="1" s="75">
      <c r="A762" s="128" t="n"/>
      <c r="B762" s="128" t="n"/>
      <c r="C762" s="128" t="n"/>
      <c r="D762" s="129" t="n"/>
      <c r="E762" s="128" t="n"/>
      <c r="F762" s="128" t="n"/>
      <c r="G762" s="129" t="n"/>
      <c r="H762" s="129" t="n"/>
      <c r="I762" s="129" t="n"/>
      <c r="J762" s="124" t="n"/>
      <c r="K762" s="124" t="n"/>
      <c r="L762" s="124" t="n"/>
      <c r="M762" s="124" t="n"/>
      <c r="N762" s="124" t="n"/>
      <c r="O762" s="124" t="n"/>
    </row>
    <row r="763" ht="14.25" customHeight="1" s="75">
      <c r="A763" s="128" t="n"/>
      <c r="B763" s="128" t="n"/>
      <c r="C763" s="128" t="n"/>
      <c r="D763" s="129" t="n"/>
      <c r="E763" s="128" t="n"/>
      <c r="F763" s="128" t="n"/>
      <c r="G763" s="129" t="n"/>
      <c r="H763" s="129" t="n"/>
      <c r="I763" s="129" t="n"/>
      <c r="J763" s="124" t="n"/>
      <c r="K763" s="124" t="n"/>
      <c r="L763" s="124" t="n"/>
      <c r="M763" s="124" t="n"/>
      <c r="N763" s="124" t="n"/>
      <c r="O763" s="124" t="n"/>
    </row>
    <row r="764" ht="14.25" customHeight="1" s="75">
      <c r="A764" s="128" t="n"/>
      <c r="B764" s="128" t="n"/>
      <c r="C764" s="128" t="n"/>
      <c r="D764" s="129" t="n"/>
      <c r="E764" s="128" t="n"/>
      <c r="F764" s="128" t="n"/>
      <c r="G764" s="129" t="n"/>
      <c r="H764" s="129" t="n"/>
      <c r="I764" s="129" t="n"/>
      <c r="J764" s="124" t="n"/>
      <c r="K764" s="124" t="n"/>
      <c r="L764" s="124" t="n"/>
      <c r="M764" s="124" t="n"/>
      <c r="N764" s="124" t="n"/>
      <c r="O764" s="124" t="n"/>
    </row>
    <row r="765" ht="14.25" customHeight="1" s="75">
      <c r="A765" s="128" t="n"/>
      <c r="B765" s="128" t="n"/>
      <c r="C765" s="128" t="n"/>
      <c r="D765" s="129" t="n"/>
      <c r="E765" s="128" t="n"/>
      <c r="F765" s="128" t="n"/>
      <c r="G765" s="129" t="n"/>
      <c r="H765" s="129" t="n"/>
      <c r="I765" s="129" t="n"/>
      <c r="J765" s="124" t="n"/>
      <c r="K765" s="124" t="n"/>
      <c r="L765" s="124" t="n"/>
      <c r="M765" s="124" t="n"/>
      <c r="N765" s="124" t="n"/>
      <c r="O765" s="124" t="n"/>
    </row>
    <row r="766" ht="14.25" customHeight="1" s="75">
      <c r="A766" s="128" t="n"/>
      <c r="B766" s="128" t="n"/>
      <c r="C766" s="128" t="n"/>
      <c r="D766" s="129" t="n"/>
      <c r="E766" s="128" t="n"/>
      <c r="F766" s="128" t="n"/>
      <c r="G766" s="129" t="n"/>
      <c r="H766" s="129" t="n"/>
      <c r="I766" s="129" t="n"/>
      <c r="J766" s="124" t="n"/>
      <c r="K766" s="124" t="n"/>
      <c r="L766" s="124" t="n"/>
      <c r="M766" s="124" t="n"/>
      <c r="N766" s="124" t="n"/>
      <c r="O766" s="124" t="n"/>
    </row>
    <row r="767" ht="14.25" customHeight="1" s="75">
      <c r="A767" s="128" t="n"/>
      <c r="B767" s="128" t="n"/>
      <c r="C767" s="128" t="n"/>
      <c r="D767" s="129" t="n"/>
      <c r="E767" s="128" t="n"/>
      <c r="F767" s="128" t="n"/>
      <c r="G767" s="129" t="n"/>
      <c r="H767" s="129" t="n"/>
      <c r="I767" s="129" t="n"/>
      <c r="J767" s="124" t="n"/>
      <c r="K767" s="124" t="n"/>
      <c r="L767" s="124" t="n"/>
      <c r="M767" s="124" t="n"/>
      <c r="N767" s="124" t="n"/>
      <c r="O767" s="124" t="n"/>
    </row>
    <row r="768" ht="14.25" customHeight="1" s="75">
      <c r="A768" s="128" t="n"/>
      <c r="B768" s="128" t="n"/>
      <c r="C768" s="128" t="n"/>
      <c r="D768" s="129" t="n"/>
      <c r="E768" s="128" t="n"/>
      <c r="F768" s="128" t="n"/>
      <c r="G768" s="129" t="n"/>
      <c r="H768" s="129" t="n"/>
      <c r="I768" s="129" t="n"/>
      <c r="J768" s="124" t="n"/>
      <c r="K768" s="124" t="n"/>
      <c r="L768" s="124" t="n"/>
      <c r="M768" s="124" t="n"/>
      <c r="N768" s="124" t="n"/>
      <c r="O768" s="124" t="n"/>
    </row>
    <row r="769" ht="14.25" customHeight="1" s="75">
      <c r="A769" s="128" t="n"/>
      <c r="B769" s="128" t="n"/>
      <c r="C769" s="128" t="n"/>
      <c r="D769" s="129" t="n"/>
      <c r="E769" s="128" t="n"/>
      <c r="F769" s="128" t="n"/>
      <c r="G769" s="129" t="n"/>
      <c r="H769" s="129" t="n"/>
      <c r="I769" s="129" t="n"/>
      <c r="J769" s="124" t="n"/>
      <c r="K769" s="124" t="n"/>
      <c r="L769" s="124" t="n"/>
      <c r="M769" s="124" t="n"/>
      <c r="N769" s="124" t="n"/>
      <c r="O769" s="124" t="n"/>
    </row>
    <row r="770" ht="14.25" customHeight="1" s="75">
      <c r="A770" s="128" t="n"/>
      <c r="B770" s="128" t="n"/>
      <c r="C770" s="128" t="n"/>
      <c r="D770" s="129" t="n"/>
      <c r="E770" s="128" t="n"/>
      <c r="F770" s="128" t="n"/>
      <c r="G770" s="129" t="n"/>
      <c r="H770" s="129" t="n"/>
      <c r="I770" s="129" t="n"/>
      <c r="J770" s="124" t="n"/>
      <c r="K770" s="124" t="n"/>
      <c r="L770" s="124" t="n"/>
      <c r="M770" s="124" t="n"/>
      <c r="N770" s="124" t="n"/>
      <c r="O770" s="124" t="n"/>
    </row>
    <row r="771" ht="14.25" customHeight="1" s="75">
      <c r="A771" s="128" t="n"/>
      <c r="B771" s="128" t="n"/>
      <c r="C771" s="128" t="n"/>
      <c r="D771" s="129" t="n"/>
      <c r="E771" s="128" t="n"/>
      <c r="F771" s="128" t="n"/>
      <c r="G771" s="129" t="n"/>
      <c r="H771" s="129" t="n"/>
      <c r="I771" s="129" t="n"/>
      <c r="J771" s="124" t="n"/>
      <c r="K771" s="124" t="n"/>
      <c r="L771" s="124" t="n"/>
      <c r="M771" s="124" t="n"/>
      <c r="N771" s="124" t="n"/>
      <c r="O771" s="124" t="n"/>
    </row>
    <row r="772" ht="14.25" customHeight="1" s="75">
      <c r="A772" s="128" t="n"/>
      <c r="B772" s="128" t="n"/>
      <c r="C772" s="128" t="n"/>
      <c r="D772" s="129" t="n"/>
      <c r="E772" s="128" t="n"/>
      <c r="F772" s="128" t="n"/>
      <c r="G772" s="129" t="n"/>
      <c r="H772" s="129" t="n"/>
      <c r="I772" s="129" t="n"/>
      <c r="J772" s="124" t="n"/>
      <c r="K772" s="124" t="n"/>
      <c r="L772" s="124" t="n"/>
      <c r="M772" s="124" t="n"/>
      <c r="N772" s="124" t="n"/>
      <c r="O772" s="124" t="n"/>
    </row>
    <row r="773" ht="14.25" customHeight="1" s="75">
      <c r="A773" s="128" t="n"/>
      <c r="B773" s="128" t="n"/>
      <c r="C773" s="128" t="n"/>
      <c r="D773" s="129" t="n"/>
      <c r="E773" s="128" t="n"/>
      <c r="F773" s="128" t="n"/>
      <c r="G773" s="129" t="n"/>
      <c r="H773" s="129" t="n"/>
      <c r="I773" s="129" t="n"/>
      <c r="J773" s="124" t="n"/>
      <c r="K773" s="124" t="n"/>
      <c r="L773" s="124" t="n"/>
      <c r="M773" s="124" t="n"/>
      <c r="N773" s="124" t="n"/>
      <c r="O773" s="124" t="n"/>
    </row>
    <row r="774" ht="14.25" customHeight="1" s="75">
      <c r="A774" s="128" t="n"/>
      <c r="B774" s="128" t="n"/>
      <c r="C774" s="128" t="n"/>
      <c r="D774" s="129" t="n"/>
      <c r="E774" s="128" t="n"/>
      <c r="F774" s="128" t="n"/>
      <c r="G774" s="129" t="n"/>
      <c r="H774" s="129" t="n"/>
      <c r="I774" s="129" t="n"/>
      <c r="J774" s="124" t="n"/>
      <c r="K774" s="124" t="n"/>
      <c r="L774" s="124" t="n"/>
      <c r="M774" s="124" t="n"/>
      <c r="N774" s="124" t="n"/>
      <c r="O774" s="124" t="n"/>
    </row>
    <row r="775" ht="14.25" customHeight="1" s="75">
      <c r="A775" s="128" t="n"/>
      <c r="B775" s="128" t="n"/>
      <c r="C775" s="128" t="n"/>
      <c r="D775" s="129" t="n"/>
      <c r="E775" s="128" t="n"/>
      <c r="F775" s="128" t="n"/>
      <c r="G775" s="129" t="n"/>
      <c r="H775" s="129" t="n"/>
      <c r="I775" s="129" t="n"/>
      <c r="J775" s="124" t="n"/>
      <c r="K775" s="124" t="n"/>
      <c r="L775" s="124" t="n"/>
      <c r="M775" s="124" t="n"/>
      <c r="N775" s="124" t="n"/>
      <c r="O775" s="124" t="n"/>
    </row>
    <row r="776" ht="14.25" customHeight="1" s="75">
      <c r="A776" s="128" t="n"/>
      <c r="B776" s="128" t="n"/>
      <c r="C776" s="128" t="n"/>
      <c r="D776" s="129" t="n"/>
      <c r="E776" s="128" t="n"/>
      <c r="F776" s="128" t="n"/>
      <c r="G776" s="129" t="n"/>
      <c r="H776" s="129" t="n"/>
      <c r="I776" s="129" t="n"/>
      <c r="J776" s="124" t="n"/>
      <c r="K776" s="124" t="n"/>
      <c r="L776" s="124" t="n"/>
      <c r="M776" s="124" t="n"/>
      <c r="N776" s="124" t="n"/>
      <c r="O776" s="124" t="n"/>
    </row>
    <row r="777" ht="14.25" customHeight="1" s="75">
      <c r="A777" s="128" t="n"/>
      <c r="B777" s="128" t="n"/>
      <c r="C777" s="128" t="n"/>
      <c r="D777" s="129" t="n"/>
      <c r="E777" s="128" t="n"/>
      <c r="F777" s="128" t="n"/>
      <c r="G777" s="129" t="n"/>
      <c r="H777" s="129" t="n"/>
      <c r="I777" s="129" t="n"/>
      <c r="J777" s="124" t="n"/>
      <c r="K777" s="124" t="n"/>
      <c r="L777" s="124" t="n"/>
      <c r="M777" s="124" t="n"/>
      <c r="N777" s="124" t="n"/>
      <c r="O777" s="124" t="n"/>
    </row>
    <row r="778" ht="14.25" customHeight="1" s="75">
      <c r="A778" s="128" t="n"/>
      <c r="B778" s="128" t="n"/>
      <c r="C778" s="128" t="n"/>
      <c r="D778" s="129" t="n"/>
      <c r="E778" s="128" t="n"/>
      <c r="F778" s="128" t="n"/>
      <c r="G778" s="129" t="n"/>
      <c r="H778" s="129" t="n"/>
      <c r="I778" s="129" t="n"/>
      <c r="J778" s="124" t="n"/>
      <c r="K778" s="124" t="n"/>
      <c r="L778" s="124" t="n"/>
      <c r="M778" s="124" t="n"/>
      <c r="N778" s="124" t="n"/>
      <c r="O778" s="124" t="n"/>
    </row>
    <row r="779" ht="14.25" customHeight="1" s="75">
      <c r="A779" s="128" t="n"/>
      <c r="B779" s="128" t="n"/>
      <c r="C779" s="128" t="n"/>
      <c r="D779" s="129" t="n"/>
      <c r="E779" s="128" t="n"/>
      <c r="F779" s="128" t="n"/>
      <c r="G779" s="129" t="n"/>
      <c r="H779" s="129" t="n"/>
      <c r="I779" s="129" t="n"/>
      <c r="J779" s="124" t="n"/>
      <c r="K779" s="124" t="n"/>
      <c r="L779" s="124" t="n"/>
      <c r="M779" s="124" t="n"/>
      <c r="N779" s="124" t="n"/>
      <c r="O779" s="124" t="n"/>
    </row>
    <row r="780" ht="14.25" customHeight="1" s="75">
      <c r="A780" s="128" t="n"/>
      <c r="B780" s="128" t="n"/>
      <c r="C780" s="128" t="n"/>
      <c r="D780" s="129" t="n"/>
      <c r="E780" s="128" t="n"/>
      <c r="F780" s="128" t="n"/>
      <c r="G780" s="129" t="n"/>
      <c r="H780" s="129" t="n"/>
      <c r="I780" s="129" t="n"/>
      <c r="J780" s="124" t="n"/>
      <c r="K780" s="124" t="n"/>
      <c r="L780" s="124" t="n"/>
      <c r="M780" s="124" t="n"/>
      <c r="N780" s="124" t="n"/>
      <c r="O780" s="124" t="n"/>
    </row>
    <row r="781" ht="14.25" customHeight="1" s="75">
      <c r="A781" s="128" t="n"/>
      <c r="B781" s="128" t="n"/>
      <c r="C781" s="128" t="n"/>
      <c r="D781" s="129" t="n"/>
      <c r="E781" s="128" t="n"/>
      <c r="F781" s="128" t="n"/>
      <c r="G781" s="129" t="n"/>
      <c r="H781" s="129" t="n"/>
      <c r="I781" s="129" t="n"/>
      <c r="J781" s="124" t="n"/>
      <c r="K781" s="124" t="n"/>
      <c r="L781" s="124" t="n"/>
      <c r="M781" s="124" t="n"/>
      <c r="N781" s="124" t="n"/>
      <c r="O781" s="124" t="n"/>
    </row>
    <row r="782" ht="14.25" customHeight="1" s="75">
      <c r="A782" s="128" t="n"/>
      <c r="B782" s="128" t="n"/>
      <c r="C782" s="128" t="n"/>
      <c r="D782" s="129" t="n"/>
      <c r="E782" s="128" t="n"/>
      <c r="F782" s="128" t="n"/>
      <c r="G782" s="129" t="n"/>
      <c r="H782" s="129" t="n"/>
      <c r="I782" s="129" t="n"/>
      <c r="J782" s="124" t="n"/>
      <c r="K782" s="124" t="n"/>
      <c r="L782" s="124" t="n"/>
      <c r="M782" s="124" t="n"/>
      <c r="N782" s="124" t="n"/>
      <c r="O782" s="124" t="n"/>
    </row>
    <row r="783" ht="14.25" customHeight="1" s="75">
      <c r="A783" s="128" t="n"/>
      <c r="B783" s="128" t="n"/>
      <c r="C783" s="128" t="n"/>
      <c r="D783" s="129" t="n"/>
      <c r="E783" s="128" t="n"/>
      <c r="F783" s="128" t="n"/>
      <c r="G783" s="129" t="n"/>
      <c r="H783" s="129" t="n"/>
      <c r="I783" s="129" t="n"/>
      <c r="J783" s="124" t="n"/>
      <c r="K783" s="124" t="n"/>
      <c r="L783" s="124" t="n"/>
      <c r="M783" s="124" t="n"/>
      <c r="N783" s="124" t="n"/>
      <c r="O783" s="124" t="n"/>
    </row>
    <row r="784" ht="14.25" customHeight="1" s="75">
      <c r="A784" s="128" t="n"/>
      <c r="B784" s="128" t="n"/>
      <c r="C784" s="128" t="n"/>
      <c r="D784" s="129" t="n"/>
      <c r="E784" s="128" t="n"/>
      <c r="F784" s="128" t="n"/>
      <c r="G784" s="129" t="n"/>
      <c r="H784" s="129" t="n"/>
      <c r="I784" s="129" t="n"/>
      <c r="J784" s="124" t="n"/>
      <c r="K784" s="124" t="n"/>
      <c r="L784" s="124" t="n"/>
      <c r="M784" s="124" t="n"/>
      <c r="N784" s="124" t="n"/>
      <c r="O784" s="124" t="n"/>
    </row>
    <row r="785" ht="14.25" customHeight="1" s="75"/>
    <row r="786" ht="14.25" customHeight="1" s="75"/>
    <row r="787" ht="14.25" customHeight="1" s="75"/>
    <row r="788" ht="14.25" customHeight="1" s="75"/>
    <row r="789" ht="14.25" customHeight="1" s="75"/>
    <row r="790" ht="14.25" customHeight="1" s="75"/>
    <row r="791" ht="14.25" customHeight="1" s="75"/>
    <row r="792" ht="14.25" customHeight="1" s="75"/>
    <row r="793" ht="14.25" customHeight="1" s="75"/>
    <row r="794" ht="14.25" customHeight="1" s="75"/>
    <row r="795" ht="14.25" customHeight="1" s="75"/>
    <row r="796" ht="14.25" customHeight="1" s="75"/>
    <row r="797" ht="14.25" customHeight="1" s="75"/>
    <row r="798" ht="14.25" customHeight="1" s="75"/>
    <row r="799" ht="14.25" customHeight="1" s="75"/>
    <row r="800" ht="14.25" customHeight="1" s="75"/>
    <row r="801" ht="14.25" customHeight="1" s="75"/>
    <row r="802" ht="14.25" customHeight="1" s="75"/>
    <row r="803" ht="14.25" customHeight="1" s="75"/>
    <row r="804" ht="14.25" customHeight="1" s="75"/>
    <row r="805" ht="14.25" customHeight="1" s="75"/>
    <row r="806" ht="14.25" customHeight="1" s="75"/>
    <row r="807" ht="14.25" customHeight="1" s="75"/>
    <row r="808" ht="14.25" customHeight="1" s="75"/>
    <row r="809" ht="14.25" customHeight="1" s="75"/>
    <row r="810" ht="14.25" customHeight="1" s="75"/>
    <row r="811" ht="14.25" customHeight="1" s="75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74" min="1" max="1"/>
    <col width="24.21" customWidth="1" style="74" min="2" max="2"/>
    <col width="30.44" customWidth="1" style="74" min="3" max="3"/>
    <col width="27.11" customWidth="1" style="74" min="4" max="4"/>
    <col width="23.88" customWidth="1" style="74" min="5" max="5"/>
    <col width="21.33" customWidth="1" style="74" min="6" max="6"/>
    <col width="16" customWidth="1" style="74" min="7" max="8"/>
    <col width="17" customWidth="1" style="74" min="9" max="9"/>
    <col width="14" customWidth="1" style="74" min="10" max="10"/>
    <col width="16.22" customWidth="1" style="74" min="11" max="11"/>
    <col width="22.33" customWidth="1" style="74" min="12" max="12"/>
    <col width="16.67" customWidth="1" style="74" min="13" max="13"/>
    <col width="10.33" customWidth="1" style="74" min="14" max="14"/>
  </cols>
  <sheetData>
    <row r="1" ht="15" customHeight="1" s="75">
      <c r="A1" s="134" t="inlineStr">
        <is>
          <t>COMERCIAL CORPORATIVO — Setor Vendas Corporativo</t>
        </is>
      </c>
    </row>
    <row r="2" ht="15" customHeight="1" s="75">
      <c r="A2" s="135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4" ht="15" customHeight="1" s="75">
      <c r="A4" s="136" t="inlineStr">
        <is>
          <t>Mês</t>
        </is>
      </c>
      <c r="B4" s="136" t="inlineStr">
        <is>
          <t>Categoria</t>
        </is>
      </c>
      <c r="C4" s="136" t="inlineStr">
        <is>
          <t>Despesa</t>
        </is>
      </c>
      <c r="D4" s="136" t="inlineStr">
        <is>
          <t>Valor (R$)</t>
        </is>
      </c>
    </row>
    <row r="5" ht="15" customHeight="1" s="75">
      <c r="A5" s="119" t="inlineStr">
        <is>
          <t>Junho/2026</t>
        </is>
      </c>
      <c r="B5" s="119" t="inlineStr">
        <is>
          <t>Marketing</t>
        </is>
      </c>
      <c r="C5" s="119" t="inlineStr">
        <is>
          <t>Endomarketing</t>
        </is>
      </c>
      <c r="D5" s="137">
        <f>'CUSTOS MENSAIS'!F1304</f>
        <v/>
      </c>
    </row>
    <row r="6" ht="15" customHeight="1" s="75">
      <c r="A6" s="120" t="inlineStr">
        <is>
          <t>Junho/2026</t>
        </is>
      </c>
      <c r="B6" s="120" t="inlineStr">
        <is>
          <t>TI</t>
        </is>
      </c>
      <c r="C6" s="120" t="inlineStr">
        <is>
          <t>E-mail do departamento</t>
        </is>
      </c>
      <c r="D6" s="138">
        <f>'CUSTOS MENSAIS'!F1306</f>
        <v/>
      </c>
    </row>
    <row r="7" ht="15" customHeight="1" s="75">
      <c r="A7" s="119" t="inlineStr">
        <is>
          <t>Junho/2026</t>
        </is>
      </c>
      <c r="B7" s="119" t="inlineStr">
        <is>
          <t>Pessoal</t>
        </is>
      </c>
      <c r="C7" s="119" t="inlineStr">
        <is>
          <t>Folha Trabalhista com impostos do mês</t>
        </is>
      </c>
      <c r="D7" s="137">
        <f>'CUSTOS MENSAIS'!F1307</f>
        <v/>
      </c>
    </row>
    <row r="8" ht="15" customHeight="1" s="75">
      <c r="A8" s="120" t="inlineStr">
        <is>
          <t>Junho/2026</t>
        </is>
      </c>
      <c r="B8" s="120" t="inlineStr">
        <is>
          <t>Estrutura/Infra</t>
        </is>
      </c>
      <c r="C8" s="120" t="inlineStr">
        <is>
          <t>Linhas moveis (FIQUE MÓVEL)</t>
        </is>
      </c>
      <c r="D8" s="138">
        <f>'CUSTOS MENSAIS'!F1308</f>
        <v/>
      </c>
    </row>
    <row r="9" ht="15" customHeight="1" s="75">
      <c r="A9" s="119" t="inlineStr">
        <is>
          <t>Junho/2026</t>
        </is>
      </c>
      <c r="B9" s="119" t="inlineStr">
        <is>
          <t>Pessoal</t>
        </is>
      </c>
      <c r="C9" s="119" t="inlineStr">
        <is>
          <t>Despesas com RH</t>
        </is>
      </c>
      <c r="D9" s="137">
        <f>'CUSTOS MENSAIS'!F1309</f>
        <v/>
      </c>
    </row>
    <row r="10" ht="15" customHeight="1" s="75">
      <c r="A10" s="120" t="inlineStr">
        <is>
          <t>Junho/2026</t>
        </is>
      </c>
      <c r="B10" s="120" t="inlineStr">
        <is>
          <t>Pessoal</t>
        </is>
      </c>
      <c r="C10" s="120" t="inlineStr">
        <is>
          <t>Despesas com DP</t>
        </is>
      </c>
      <c r="D10" s="138">
        <f>'CUSTOS MENSAIS'!F1310</f>
        <v/>
      </c>
    </row>
    <row r="11" ht="15" customHeight="1" s="75">
      <c r="A11" s="119" t="inlineStr">
        <is>
          <t>Junho/2026</t>
        </is>
      </c>
      <c r="B11" s="119" t="inlineStr">
        <is>
          <t>Segurança do Trabalho</t>
        </is>
      </c>
      <c r="C11" s="119" t="inlineStr">
        <is>
          <t>Despesas com SST</t>
        </is>
      </c>
      <c r="D11" s="137">
        <f>'CUSTOS MENSAIS'!F1311</f>
        <v/>
      </c>
    </row>
    <row r="12" ht="15" customHeight="1" s="75">
      <c r="A12" s="120" t="inlineStr">
        <is>
          <t>Junho/2026</t>
        </is>
      </c>
      <c r="B12" s="120" t="inlineStr">
        <is>
          <t>Segurança do Trabalho</t>
        </is>
      </c>
      <c r="C12" s="120" t="inlineStr">
        <is>
          <t>Despesas SST exames</t>
        </is>
      </c>
      <c r="D12" s="138">
        <f>'CUSTOS MENSAIS'!F1312</f>
        <v/>
      </c>
    </row>
    <row r="13" ht="15" customHeight="1" s="75">
      <c r="A13" s="119" t="inlineStr">
        <is>
          <t>Junho/2026</t>
        </is>
      </c>
      <c r="B13" s="119" t="inlineStr">
        <is>
          <t>Fardamento</t>
        </is>
      </c>
      <c r="C13" s="119" t="inlineStr">
        <is>
          <t>Novo Fardamento</t>
        </is>
      </c>
      <c r="D13" s="137">
        <f>'CUSTOS MENSAIS'!F1328</f>
        <v/>
      </c>
    </row>
    <row r="14" ht="15" customHeight="1" s="75">
      <c r="A14" s="120" t="inlineStr">
        <is>
          <t>Junho/2026</t>
        </is>
      </c>
      <c r="B14" s="120" t="inlineStr">
        <is>
          <t>Fardamento</t>
        </is>
      </c>
      <c r="C14" s="120" t="inlineStr">
        <is>
          <t>Devolução de fardamento</t>
        </is>
      </c>
      <c r="D14" s="138">
        <f>'CUSTOS MENSAIS'!F1329</f>
        <v/>
      </c>
    </row>
    <row r="15" ht="15" customHeight="1" s="75">
      <c r="A15" s="119" t="inlineStr">
        <is>
          <t>Junho/2026</t>
        </is>
      </c>
      <c r="B15" s="119" t="inlineStr">
        <is>
          <t>Fardamento</t>
        </is>
      </c>
      <c r="C15" s="119" t="inlineStr">
        <is>
          <t>Substituição extra de Fardamento</t>
        </is>
      </c>
      <c r="D15" s="137">
        <f>'CUSTOS MENSAIS'!F1330</f>
        <v/>
      </c>
    </row>
    <row r="16" ht="15" customHeight="1" s="75">
      <c r="A16" s="120" t="inlineStr">
        <is>
          <t>Junho/2026</t>
        </is>
      </c>
      <c r="B16" s="120" t="inlineStr">
        <is>
          <t>Frota/Combustível</t>
        </is>
      </c>
      <c r="C16" s="120" t="inlineStr">
        <is>
          <t>Consumo de combustível</t>
        </is>
      </c>
      <c r="D16" s="138">
        <f>'CUSTOS MENSAIS'!F1331</f>
        <v/>
      </c>
    </row>
    <row r="17" ht="15" customHeight="1" s="75">
      <c r="A17" s="119" t="inlineStr">
        <is>
          <t>Junho/2026</t>
        </is>
      </c>
      <c r="B17" s="119" t="inlineStr">
        <is>
          <t>Benefícios</t>
        </is>
      </c>
      <c r="C17" s="119" t="inlineStr">
        <is>
          <t>Gympass</t>
        </is>
      </c>
      <c r="D17" s="137">
        <f>'CUSTOS MENSAIS'!F1332</f>
        <v/>
      </c>
    </row>
    <row r="18" ht="15" customHeight="1" s="75">
      <c r="A18" s="120" t="inlineStr">
        <is>
          <t>Junho/2026</t>
        </is>
      </c>
      <c r="B18" s="120" t="inlineStr">
        <is>
          <t>Benefícios</t>
        </is>
      </c>
      <c r="C18" s="120" t="inlineStr">
        <is>
          <t>Stargrid</t>
        </is>
      </c>
      <c r="D18" s="138">
        <f>'CUSTOS MENSAIS'!F1333</f>
        <v/>
      </c>
    </row>
    <row r="19" ht="15" customHeight="1" s="75">
      <c r="A19" s="119" t="inlineStr">
        <is>
          <t>Junho/2026</t>
        </is>
      </c>
      <c r="B19" s="119" t="inlineStr">
        <is>
          <t>Pessoal</t>
        </is>
      </c>
      <c r="C19" s="119" t="inlineStr">
        <is>
          <t>Rescisões/Despesas Trabalhistas extra folha</t>
        </is>
      </c>
      <c r="D19" s="137">
        <f>'CUSTOS MENSAIS'!F1334</f>
        <v/>
      </c>
    </row>
    <row r="20" ht="15" customHeight="1" s="75">
      <c r="A20" s="120" t="inlineStr">
        <is>
          <t>Junho/2026</t>
        </is>
      </c>
      <c r="B20" s="120" t="inlineStr">
        <is>
          <t>TI</t>
        </is>
      </c>
      <c r="C20" s="120" t="inlineStr">
        <is>
          <t>Datlo</t>
        </is>
      </c>
      <c r="D20" s="138">
        <f>'CUSTOS MENSAIS'!F1335</f>
        <v/>
      </c>
    </row>
    <row r="21" ht="15" customHeight="1" s="75">
      <c r="A21" s="119" t="inlineStr">
        <is>
          <t>Junho/2026</t>
        </is>
      </c>
      <c r="B21" s="119" t="inlineStr">
        <is>
          <t>TI</t>
        </is>
      </c>
      <c r="C21" s="119" t="inlineStr">
        <is>
          <t>Agendor (válido por 3 meses)</t>
        </is>
      </c>
      <c r="D21" s="137">
        <f>'CUSTOS MENSAIS'!F1336</f>
        <v/>
      </c>
    </row>
    <row r="22" ht="15" customHeight="1" s="75">
      <c r="A22" s="120" t="inlineStr">
        <is>
          <t>Junho/2026</t>
        </is>
      </c>
      <c r="B22" s="120" t="inlineStr">
        <is>
          <t>TI</t>
        </is>
      </c>
      <c r="C22" s="120" t="inlineStr">
        <is>
          <t>Dynamics (f001796)</t>
        </is>
      </c>
      <c r="D22" s="138">
        <f>'CUSTOS MENSAIS'!F1337</f>
        <v/>
      </c>
    </row>
    <row r="23" ht="15" customHeight="1" s="75">
      <c r="A23" s="119" t="inlineStr">
        <is>
          <t>Junho/2026</t>
        </is>
      </c>
      <c r="B23" s="119" t="inlineStr">
        <is>
          <t>TI</t>
        </is>
      </c>
      <c r="C23" s="119" t="inlineStr">
        <is>
          <t>Salesforce</t>
        </is>
      </c>
      <c r="D23" s="137">
        <f>'CUSTOS MENSAIS'!F1338</f>
        <v/>
      </c>
    </row>
    <row r="24" ht="15" customHeight="1" s="75">
      <c r="A24" s="139" t="inlineStr">
        <is>
          <t>Junho/2026</t>
        </is>
      </c>
      <c r="B24" s="139" t="n"/>
      <c r="C24" s="139" t="inlineStr">
        <is>
          <t>Total Junho/2026</t>
        </is>
      </c>
      <c r="D24" s="140">
        <f>SUM(D5:D23)</f>
        <v/>
      </c>
    </row>
    <row r="25" ht="15" customHeight="1" s="75"/>
    <row r="26" ht="15" customHeight="1" s="75">
      <c r="A26" s="119" t="inlineStr">
        <is>
          <t>Maio/2026</t>
        </is>
      </c>
      <c r="B26" s="119" t="inlineStr">
        <is>
          <t>Marketing</t>
        </is>
      </c>
      <c r="C26" s="119" t="inlineStr">
        <is>
          <t>Endomarketing</t>
        </is>
      </c>
      <c r="D26" s="137">
        <f>'CUSTOS MENSAIS'!F1339</f>
        <v/>
      </c>
    </row>
    <row r="27" ht="15" customHeight="1" s="75">
      <c r="A27" s="120" t="inlineStr">
        <is>
          <t>Maio/2026</t>
        </is>
      </c>
      <c r="B27" s="120" t="inlineStr">
        <is>
          <t>TI</t>
        </is>
      </c>
      <c r="C27" s="120" t="inlineStr">
        <is>
          <t>E-mail do departamento</t>
        </is>
      </c>
      <c r="D27" s="138">
        <f>'CUSTOS MENSAIS'!F1341</f>
        <v/>
      </c>
    </row>
    <row r="28" ht="15" customHeight="1" s="75">
      <c r="A28" s="119" t="inlineStr">
        <is>
          <t>Maio/2026</t>
        </is>
      </c>
      <c r="B28" s="119" t="inlineStr">
        <is>
          <t>Pessoal</t>
        </is>
      </c>
      <c r="C28" s="119" t="inlineStr">
        <is>
          <t>Folha Trabalhista com impostos do mês</t>
        </is>
      </c>
      <c r="D28" s="137">
        <f>'CUSTOS MENSAIS'!F1342</f>
        <v/>
      </c>
    </row>
    <row r="29" ht="15" customHeight="1" s="75">
      <c r="A29" s="120" t="inlineStr">
        <is>
          <t>Maio/2026</t>
        </is>
      </c>
      <c r="B29" s="120" t="inlineStr">
        <is>
          <t>Estrutura/Infra</t>
        </is>
      </c>
      <c r="C29" s="120" t="inlineStr">
        <is>
          <t>Linhas moveis (FIQUE MÓVEL)</t>
        </is>
      </c>
      <c r="D29" s="138">
        <f>'CUSTOS MENSAIS'!F1343</f>
        <v/>
      </c>
    </row>
    <row r="30" ht="15" customHeight="1" s="75">
      <c r="A30" s="119" t="inlineStr">
        <is>
          <t>Maio/2026</t>
        </is>
      </c>
      <c r="B30" s="119" t="inlineStr">
        <is>
          <t>Pessoal</t>
        </is>
      </c>
      <c r="C30" s="119" t="inlineStr">
        <is>
          <t>Despesas com RH</t>
        </is>
      </c>
      <c r="D30" s="137">
        <f>'CUSTOS MENSAIS'!F1362</f>
        <v/>
      </c>
    </row>
    <row r="31" ht="15" customHeight="1" s="75">
      <c r="A31" s="120" t="inlineStr">
        <is>
          <t>Maio/2026</t>
        </is>
      </c>
      <c r="B31" s="120" t="inlineStr">
        <is>
          <t>Pessoal</t>
        </is>
      </c>
      <c r="C31" s="120" t="inlineStr">
        <is>
          <t>Despesas com DP</t>
        </is>
      </c>
      <c r="D31" s="138">
        <f>'CUSTOS MENSAIS'!F1363</f>
        <v/>
      </c>
    </row>
    <row r="32" ht="15" customHeight="1" s="75">
      <c r="A32" s="119" t="inlineStr">
        <is>
          <t>Maio/2026</t>
        </is>
      </c>
      <c r="B32" s="119" t="inlineStr">
        <is>
          <t>Segurança do Trabalho</t>
        </is>
      </c>
      <c r="C32" s="119" t="inlineStr">
        <is>
          <t>Despesas com SST</t>
        </is>
      </c>
      <c r="D32" s="137">
        <f>'CUSTOS MENSAIS'!F1364</f>
        <v/>
      </c>
    </row>
    <row r="33" ht="15" customHeight="1" s="75">
      <c r="A33" s="120" t="inlineStr">
        <is>
          <t>Maio/2026</t>
        </is>
      </c>
      <c r="B33" s="120" t="inlineStr">
        <is>
          <t>Segurança do Trabalho</t>
        </is>
      </c>
      <c r="C33" s="120" t="inlineStr">
        <is>
          <t>Despesas SST exames</t>
        </is>
      </c>
      <c r="D33" s="138">
        <f>'CUSTOS MENSAIS'!F1365</f>
        <v/>
      </c>
    </row>
    <row r="34" ht="15" customHeight="1" s="75">
      <c r="A34" s="119" t="inlineStr">
        <is>
          <t>Maio/2026</t>
        </is>
      </c>
      <c r="B34" s="119" t="inlineStr">
        <is>
          <t>Fardamento</t>
        </is>
      </c>
      <c r="C34" s="119" t="inlineStr">
        <is>
          <t>Novo Fardamento</t>
        </is>
      </c>
      <c r="D34" s="137">
        <f>'CUSTOS MENSAIS'!F1366</f>
        <v/>
      </c>
    </row>
    <row r="35" ht="15" customHeight="1" s="75">
      <c r="A35" s="120" t="inlineStr">
        <is>
          <t>Maio/2026</t>
        </is>
      </c>
      <c r="B35" s="120" t="inlineStr">
        <is>
          <t>Fardamento</t>
        </is>
      </c>
      <c r="C35" s="120" t="inlineStr">
        <is>
          <t>Devolução de fardamento</t>
        </is>
      </c>
      <c r="D35" s="138">
        <f>'CUSTOS MENSAIS'!F1367</f>
        <v/>
      </c>
    </row>
    <row r="36" ht="15" customHeight="1" s="75">
      <c r="A36" s="119" t="inlineStr">
        <is>
          <t>Maio/2026</t>
        </is>
      </c>
      <c r="B36" s="119" t="inlineStr">
        <is>
          <t>Fardamento</t>
        </is>
      </c>
      <c r="C36" s="119" t="inlineStr">
        <is>
          <t>Substituição extra de Fardamento</t>
        </is>
      </c>
      <c r="D36" s="137">
        <f>'CUSTOS MENSAIS'!F1368</f>
        <v/>
      </c>
    </row>
    <row r="37" ht="15" customHeight="1" s="75">
      <c r="A37" s="120" t="inlineStr">
        <is>
          <t>Maio/2026</t>
        </is>
      </c>
      <c r="B37" s="120" t="inlineStr">
        <is>
          <t>Frota/Combustível</t>
        </is>
      </c>
      <c r="C37" s="120" t="inlineStr">
        <is>
          <t>Consumo de combustível</t>
        </is>
      </c>
      <c r="D37" s="138">
        <f>'CUSTOS MENSAIS'!F1369</f>
        <v/>
      </c>
    </row>
    <row r="38" ht="15" customHeight="1" s="75">
      <c r="A38" s="119" t="inlineStr">
        <is>
          <t>Maio/2026</t>
        </is>
      </c>
      <c r="B38" s="119" t="inlineStr">
        <is>
          <t>Benefícios</t>
        </is>
      </c>
      <c r="C38" s="119" t="inlineStr">
        <is>
          <t>Gympass</t>
        </is>
      </c>
      <c r="D38" s="137">
        <f>'CUSTOS MENSAIS'!F1370</f>
        <v/>
      </c>
    </row>
    <row r="39" ht="15" customHeight="1" s="75">
      <c r="A39" s="120" t="inlineStr">
        <is>
          <t>Maio/2026</t>
        </is>
      </c>
      <c r="B39" s="120" t="inlineStr">
        <is>
          <t>Benefícios</t>
        </is>
      </c>
      <c r="C39" s="120" t="inlineStr">
        <is>
          <t>Stargrid</t>
        </is>
      </c>
      <c r="D39" s="138">
        <f>'CUSTOS MENSAIS'!F1371</f>
        <v/>
      </c>
    </row>
    <row r="40" ht="15" customHeight="1" s="75">
      <c r="A40" s="119" t="inlineStr">
        <is>
          <t>Maio/2026</t>
        </is>
      </c>
      <c r="B40" s="119" t="inlineStr">
        <is>
          <t>Pessoal</t>
        </is>
      </c>
      <c r="C40" s="119" t="inlineStr">
        <is>
          <t>Rescisões/Despesas Trabalhistas extra folha</t>
        </is>
      </c>
      <c r="D40" s="137">
        <f>'CUSTOS MENSAIS'!F1372</f>
        <v/>
      </c>
    </row>
    <row r="41" ht="15" customHeight="1" s="75">
      <c r="A41" s="120" t="inlineStr">
        <is>
          <t>Maio/2026</t>
        </is>
      </c>
      <c r="B41" s="120" t="inlineStr">
        <is>
          <t>TI</t>
        </is>
      </c>
      <c r="C41" s="120" t="inlineStr">
        <is>
          <t>Datlo</t>
        </is>
      </c>
      <c r="D41" s="138">
        <f>'CUSTOS MENSAIS'!F1373</f>
        <v/>
      </c>
    </row>
    <row r="42" ht="15" customHeight="1" s="75">
      <c r="A42" s="119" t="inlineStr">
        <is>
          <t>Maio/2026</t>
        </is>
      </c>
      <c r="B42" s="119" t="inlineStr">
        <is>
          <t>TI</t>
        </is>
      </c>
      <c r="C42" s="119" t="inlineStr">
        <is>
          <t>Agendor (válido por 3 meses)</t>
        </is>
      </c>
      <c r="D42" s="137">
        <f>'CUSTOS MENSAIS'!F1374</f>
        <v/>
      </c>
    </row>
    <row r="43" ht="15" customHeight="1" s="75">
      <c r="A43" s="120" t="inlineStr">
        <is>
          <t>Maio/2026</t>
        </is>
      </c>
      <c r="B43" s="120" t="inlineStr">
        <is>
          <t>TI</t>
        </is>
      </c>
      <c r="C43" s="120" t="inlineStr">
        <is>
          <t>Dynamics (f001796)</t>
        </is>
      </c>
      <c r="D43" s="138">
        <f>'CUSTOS MENSAIS'!F1375</f>
        <v/>
      </c>
    </row>
    <row r="44" ht="15" customHeight="1" s="75">
      <c r="A44" s="119" t="inlineStr">
        <is>
          <t>Maio/2026</t>
        </is>
      </c>
      <c r="B44" s="119" t="inlineStr">
        <is>
          <t>TI</t>
        </is>
      </c>
      <c r="C44" s="119" t="inlineStr">
        <is>
          <t>Salesforce</t>
        </is>
      </c>
      <c r="D44" s="137">
        <f>'CUSTOS MENSAIS'!F1376</f>
        <v/>
      </c>
    </row>
    <row r="45" ht="15" customHeight="1" s="75">
      <c r="A45" s="139" t="inlineStr">
        <is>
          <t>Maio/2026</t>
        </is>
      </c>
      <c r="B45" s="139" t="n"/>
      <c r="C45" s="139" t="inlineStr">
        <is>
          <t>Total Maio/2026</t>
        </is>
      </c>
      <c r="D45" s="140">
        <f>SUM(D26:D44)</f>
        <v/>
      </c>
    </row>
    <row r="46" ht="14.25" customHeight="1" s="75"/>
    <row r="47" ht="15" customHeight="1" s="75"/>
    <row r="48" ht="15" customHeight="1" s="75">
      <c r="A48" s="141" t="inlineStr">
        <is>
          <t>INDICADOR — VALOR DA VENDA E CUSTO DO SETOR</t>
        </is>
      </c>
      <c r="B48" s="142" t="n"/>
      <c r="C48" s="142" t="n"/>
      <c r="D48" s="142" t="n"/>
      <c r="E48" s="142" t="n"/>
      <c r="F48" s="143" t="n"/>
    </row>
    <row r="49" ht="15" customHeight="1" s="75">
      <c r="A49" s="144" t="inlineStr">
        <is>
          <t>Mês</t>
        </is>
      </c>
      <c r="B49" s="144" t="inlineStr">
        <is>
          <t>Nº Colaboradores</t>
        </is>
      </c>
      <c r="C49" s="144" t="inlineStr">
        <is>
          <t>Vendas Instaladas</t>
        </is>
      </c>
      <c r="D49" s="144" t="inlineStr">
        <is>
          <t>Receita Vendas Instaladas (R$)</t>
        </is>
      </c>
      <c r="E49" s="144" t="inlineStr">
        <is>
          <t xml:space="preserve">Custo do Setor </t>
        </is>
      </c>
      <c r="F49" s="144" t="inlineStr">
        <is>
          <t xml:space="preserve">Valor da Venda </t>
        </is>
      </c>
    </row>
    <row r="50" ht="15" customHeight="1" s="75">
      <c r="A50" s="119" t="inlineStr">
        <is>
          <t>Junho/2026</t>
        </is>
      </c>
      <c r="B50" s="119" t="n">
        <v>4</v>
      </c>
      <c r="C50" s="119" t="n">
        <v>184</v>
      </c>
      <c r="D50" s="137" t="n">
        <v>395977.23</v>
      </c>
      <c r="E50" s="137">
        <f>SETORES!$D$65</f>
        <v/>
      </c>
      <c r="F50" s="137">
        <f>IFERROR(E50/C50,0)</f>
        <v/>
      </c>
    </row>
    <row r="51" ht="14.25" customHeight="1" s="75">
      <c r="A51" s="120" t="inlineStr">
        <is>
          <t>Maio/2026</t>
        </is>
      </c>
      <c r="B51" s="120" t="n">
        <v>4</v>
      </c>
      <c r="C51" s="120" t="n">
        <v>144</v>
      </c>
      <c r="D51" s="138" t="n">
        <v>369202.82</v>
      </c>
      <c r="E51" s="138">
        <f>SETORES!$D$19</f>
        <v/>
      </c>
      <c r="F51" s="138">
        <f>IFERROR(E51/C51,0)</f>
        <v/>
      </c>
    </row>
    <row r="52" ht="15" customHeight="1" s="75"/>
    <row r="53" ht="14.25" customHeight="1" s="75">
      <c r="A53" s="141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3" t="n"/>
    </row>
    <row r="54" ht="14.25" customHeight="1" s="75">
      <c r="A54" s="144" t="inlineStr">
        <is>
          <t>Mês</t>
        </is>
      </c>
      <c r="B54" s="144" t="inlineStr">
        <is>
          <t>Consultor</t>
        </is>
      </c>
      <c r="C54" s="144" t="inlineStr">
        <is>
          <t>Nº Planos Comerciais</t>
        </is>
      </c>
      <c r="D54" s="144" t="inlineStr">
        <is>
          <t>Receita Planos Comerciais (R$)</t>
        </is>
      </c>
      <c r="E54" s="144" t="inlineStr">
        <is>
          <t xml:space="preserve">Comissão Adelmir 15% </t>
        </is>
      </c>
      <c r="F54" s="144" t="inlineStr">
        <is>
          <t>Comissão Jorge 50%</t>
        </is>
      </c>
      <c r="G54" s="145" t="inlineStr">
        <is>
          <t>Receita Link Dedicado (R$)</t>
        </is>
      </c>
      <c r="H54" s="145" t="inlineStr">
        <is>
          <t>Receita Outros Produtos (R$)</t>
        </is>
      </c>
      <c r="I54" s="144" t="inlineStr">
        <is>
          <t xml:space="preserve">Receita Total </t>
        </is>
      </c>
      <c r="J54" s="144" t="inlineStr">
        <is>
          <t>Combustível</t>
        </is>
      </c>
      <c r="K54" s="144" t="inlineStr">
        <is>
          <t xml:space="preserve">Trabalhista Líquido </t>
        </is>
      </c>
      <c r="L54" s="144" t="inlineStr">
        <is>
          <t xml:space="preserve">Custo Total da Venda </t>
        </is>
      </c>
      <c r="M54" s="144" t="inlineStr">
        <is>
          <t>Custo por Venda (R$)</t>
        </is>
      </c>
      <c r="O54" s="74" t="inlineStr">
        <is>
          <t>Valor não identificado (Maio) — a confirmar com a Débora</t>
        </is>
      </c>
    </row>
    <row r="55" ht="14.25" customHeight="1" s="75">
      <c r="A55" s="119" t="inlineStr">
        <is>
          <t>Junho/2026</t>
        </is>
      </c>
      <c r="B55" s="119" t="inlineStr">
        <is>
          <t>Bartolomeu</t>
        </is>
      </c>
      <c r="C55" s="119" t="n">
        <v>48</v>
      </c>
      <c r="D55" s="137" t="n">
        <v>6854.1</v>
      </c>
      <c r="E55" s="137" t="n">
        <v>1028.11</v>
      </c>
      <c r="F55" s="137" t="n">
        <v>1631.07</v>
      </c>
      <c r="G55" s="137" t="n">
        <v>301240</v>
      </c>
      <c r="H55" s="137" t="n">
        <v>30000</v>
      </c>
      <c r="I55" s="137">
        <f>D55+G55+H55</f>
        <v/>
      </c>
      <c r="J55" s="137" t="n">
        <v>242.09</v>
      </c>
      <c r="K55" s="137" t="n">
        <v>13541.11</v>
      </c>
      <c r="L55" s="146">
        <f>K55+E55+F55+J55</f>
        <v/>
      </c>
      <c r="M55" s="146">
        <f>IFERROR(L55/C55,0)</f>
        <v/>
      </c>
    </row>
    <row r="56" ht="14.25" customHeight="1" s="75">
      <c r="A56" s="120" t="inlineStr">
        <is>
          <t>Junho/2026</t>
        </is>
      </c>
      <c r="B56" s="120" t="inlineStr">
        <is>
          <t>Paulo de Tarso</t>
        </is>
      </c>
      <c r="C56" s="120" t="n">
        <v>43</v>
      </c>
      <c r="D56" s="138" t="n">
        <v>6244.2</v>
      </c>
      <c r="E56" s="138" t="n">
        <v>936.63</v>
      </c>
      <c r="F56" s="138" t="n">
        <v>1561.07</v>
      </c>
      <c r="G56" s="138" t="n">
        <v>5900</v>
      </c>
      <c r="H56" s="138" t="n">
        <v>0</v>
      </c>
      <c r="I56" s="138">
        <f>D56+G56+H56</f>
        <v/>
      </c>
      <c r="J56" s="138" t="n">
        <v>1590</v>
      </c>
      <c r="K56" s="138" t="n">
        <v>10750.53</v>
      </c>
      <c r="L56" s="146">
        <f>K56+E56+F56+J56</f>
        <v/>
      </c>
      <c r="M56" s="146">
        <f>IFERROR(L56/C56,0)</f>
        <v/>
      </c>
    </row>
    <row r="57" ht="14.25" customHeight="1" s="75">
      <c r="A57" s="119" t="inlineStr">
        <is>
          <t>Junho/2026</t>
        </is>
      </c>
      <c r="B57" s="119" t="inlineStr">
        <is>
          <t>Pedro Grego</t>
        </is>
      </c>
      <c r="C57" s="119" t="n">
        <v>53</v>
      </c>
      <c r="D57" s="137" t="n">
        <v>14873.8</v>
      </c>
      <c r="E57" s="137" t="n">
        <v>2231.07</v>
      </c>
      <c r="F57" s="137" t="n">
        <v>2480.97</v>
      </c>
      <c r="G57" s="137" t="n">
        <v>10359.7</v>
      </c>
      <c r="H57" s="137" t="n">
        <v>0</v>
      </c>
      <c r="I57" s="137">
        <f>D57+G57+H57</f>
        <v/>
      </c>
      <c r="J57" s="137" t="n"/>
      <c r="K57" s="137" t="n">
        <v>17898.88</v>
      </c>
      <c r="L57" s="146">
        <f>K57+E57+F57+J57</f>
        <v/>
      </c>
      <c r="M57" s="146">
        <f>IFERROR(L57/C57,0)</f>
        <v/>
      </c>
    </row>
    <row r="58" ht="14.25" customHeight="1" s="75"/>
    <row r="59" ht="14.25" customHeight="1" s="75">
      <c r="A59" s="119" t="inlineStr">
        <is>
          <t>Maio/2026</t>
        </is>
      </c>
      <c r="B59" s="119" t="inlineStr">
        <is>
          <t>Bartolomeu</t>
        </is>
      </c>
      <c r="C59" s="119" t="n">
        <v>37</v>
      </c>
      <c r="D59" s="137" t="n">
        <v>4936</v>
      </c>
      <c r="E59" s="137" t="n">
        <v>740.4</v>
      </c>
      <c r="F59" s="137" t="n">
        <v>1234</v>
      </c>
      <c r="G59" s="137" t="n">
        <v>297690</v>
      </c>
      <c r="H59" s="137" t="n">
        <v>22859.4</v>
      </c>
      <c r="I59" s="137">
        <f>D59+G59+H59</f>
        <v/>
      </c>
      <c r="J59" s="137" t="n">
        <v>126.47</v>
      </c>
      <c r="K59" s="137" t="n">
        <v>10908.52</v>
      </c>
      <c r="L59" s="145">
        <f>K59+E59+F59+J59</f>
        <v/>
      </c>
      <c r="M59" s="146">
        <f>IFERROR(L59/C59,0)</f>
        <v/>
      </c>
      <c r="N59" s="146" t="n"/>
      <c r="O59" s="74" t="n">
        <v>25</v>
      </c>
    </row>
    <row r="60" ht="14.25" customHeight="1" s="75">
      <c r="A60" s="120" t="inlineStr">
        <is>
          <t>Maio/2026</t>
        </is>
      </c>
      <c r="B60" s="120" t="inlineStr">
        <is>
          <t>Paulo de Tarso</t>
        </is>
      </c>
      <c r="C60" s="120" t="n">
        <v>35</v>
      </c>
      <c r="D60" s="138" t="n">
        <v>5285.89</v>
      </c>
      <c r="E60" s="138" t="n">
        <v>792.88</v>
      </c>
      <c r="F60" s="138" t="n">
        <v>1321.27</v>
      </c>
      <c r="G60" s="138" t="n">
        <v>2900</v>
      </c>
      <c r="H60" s="138" t="n">
        <v>0</v>
      </c>
      <c r="I60" s="138">
        <f>D60+G60+H60</f>
        <v/>
      </c>
      <c r="J60" s="138" t="n">
        <v>2083.99</v>
      </c>
      <c r="K60" s="138" t="n">
        <v>7395.12</v>
      </c>
      <c r="L60" s="145">
        <f>K60+E60+F60+J60</f>
        <v/>
      </c>
      <c r="M60" s="146">
        <f>IFERROR(L60/C60,0)</f>
        <v/>
      </c>
      <c r="N60" s="146" t="n"/>
      <c r="O60" s="74" t="n">
        <v>2</v>
      </c>
    </row>
    <row r="61" ht="14.25" customHeight="1" s="75">
      <c r="A61" s="119" t="inlineStr">
        <is>
          <t>Maio/2026</t>
        </is>
      </c>
      <c r="B61" s="119" t="inlineStr">
        <is>
          <t>Pedro Grego</t>
        </is>
      </c>
      <c r="C61" s="119" t="n">
        <v>30</v>
      </c>
      <c r="D61" s="137" t="n">
        <v>5866.4</v>
      </c>
      <c r="E61" s="137" t="n">
        <v>879.96</v>
      </c>
      <c r="F61" s="137" t="n">
        <v>1196.6</v>
      </c>
      <c r="G61" s="137" t="n">
        <v>8959.700000000001</v>
      </c>
      <c r="H61" s="137" t="n">
        <v>0</v>
      </c>
      <c r="I61" s="137">
        <f>D61+G61+H61</f>
        <v/>
      </c>
      <c r="J61" s="137" t="n">
        <v>233.47</v>
      </c>
      <c r="K61" s="137" t="n">
        <v>9283.74</v>
      </c>
      <c r="L61" s="145">
        <f>K61+E61+F61+J61</f>
        <v/>
      </c>
      <c r="M61" s="146">
        <f>IFERROR(L61/C61,0)</f>
        <v/>
      </c>
      <c r="N61" s="146" t="n"/>
      <c r="O61" s="74" t="n">
        <v>6</v>
      </c>
    </row>
    <row r="62" ht="14.25" customHeight="1" s="75">
      <c r="A62" s="93" t="inlineStr">
        <is>
          <t>Maio/2026</t>
        </is>
      </c>
      <c r="B62" s="93" t="inlineStr">
        <is>
          <t>TOTAL</t>
        </is>
      </c>
      <c r="C62" s="93">
        <f>SUM(C59:C61)</f>
        <v/>
      </c>
      <c r="D62" s="147">
        <f>SUM(D59:D61)</f>
        <v/>
      </c>
      <c r="E62" s="147">
        <f>SUM(E59:E61)</f>
        <v/>
      </c>
      <c r="F62" s="147">
        <f>SUM(F59:F61)</f>
        <v/>
      </c>
      <c r="G62" s="147">
        <f>SUM(G59:G61)</f>
        <v/>
      </c>
      <c r="H62" s="147">
        <f>SUM(H59:H61)</f>
        <v/>
      </c>
      <c r="I62" s="147">
        <f>SUM(I59:I61)</f>
        <v/>
      </c>
      <c r="J62" s="147">
        <f>SUM(J59:J61)</f>
        <v/>
      </c>
      <c r="K62" s="147">
        <f>SUM(K59:K61)</f>
        <v/>
      </c>
      <c r="L62" s="145">
        <f>SUM(L59:L61)</f>
        <v/>
      </c>
      <c r="M62" s="146">
        <f>IFERROR(L62/C62,0)</f>
        <v/>
      </c>
      <c r="N62" s="146" t="n"/>
    </row>
    <row r="63" ht="14.25" customHeight="1" s="75"/>
    <row r="64" ht="15" customHeight="1" s="75"/>
    <row r="79" ht="15" customHeight="1" s="75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74" min="1" max="1"/>
    <col width="22" customWidth="1" style="74" min="2" max="2"/>
    <col width="46" customWidth="1" style="74" min="3" max="3"/>
    <col width="16" customWidth="1" style="74" min="4" max="4"/>
    <col width="13" customWidth="1" style="74" min="5" max="5"/>
    <col width="16" customWidth="1" style="74" min="6" max="7"/>
    <col width="60" customWidth="1" style="74" min="8" max="8"/>
  </cols>
  <sheetData>
    <row r="1" ht="15" customHeight="1" s="75">
      <c r="A1" s="148" t="inlineStr">
        <is>
          <t>REEMBOLSO GERAL — CUSTOS POR SETOR E EMPRESA (Base Geral 2026, aba Reembolso Geral)</t>
        </is>
      </c>
    </row>
    <row r="2" ht="15" customHeight="1" s="75">
      <c r="A2" s="149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5">
      <c r="A4" s="150" t="inlineStr">
        <is>
          <t>Mês</t>
        </is>
      </c>
      <c r="B4" s="150" t="inlineStr">
        <is>
          <t>Setor</t>
        </is>
      </c>
      <c r="C4" s="150" t="inlineStr">
        <is>
          <t>Descrição do Custo</t>
        </is>
      </c>
      <c r="D4" s="150" t="inlineStr">
        <is>
          <t>Empresa</t>
        </is>
      </c>
      <c r="E4" s="150" t="inlineStr">
        <is>
          <t>Quantidade</t>
        </is>
      </c>
      <c r="F4" s="150" t="inlineStr">
        <is>
          <t>Valor Unitário</t>
        </is>
      </c>
      <c r="G4" s="150" t="inlineStr">
        <is>
          <t>Valor Total</t>
        </is>
      </c>
      <c r="H4" s="150" t="inlineStr">
        <is>
          <t>Observação (forma de cálculo)</t>
        </is>
      </c>
    </row>
    <row r="5" ht="15" customHeight="1" s="75">
      <c r="A5" s="74" t="inlineStr">
        <is>
          <t>ABRIL/2026</t>
        </is>
      </c>
      <c r="B5" s="74" t="inlineStr">
        <is>
          <t>Adm Atendimento</t>
        </is>
      </c>
      <c r="C5" s="74" t="inlineStr">
        <is>
          <t>Adm atendimento presencial</t>
        </is>
      </c>
      <c r="D5" s="74" t="inlineStr">
        <is>
          <t>H&amp;A</t>
        </is>
      </c>
      <c r="E5" s="151" t="n">
        <v>13402</v>
      </c>
      <c r="F5" s="100" t="n">
        <v>0.187098400414136</v>
      </c>
      <c r="G5" s="100" t="n">
        <v>2507.49276235025</v>
      </c>
      <c r="H5" s="74" t="inlineStr">
        <is>
          <t>Cálculo por número de clientes ativos</t>
        </is>
      </c>
    </row>
    <row r="6" ht="15" customHeight="1" s="75">
      <c r="A6" s="74" t="inlineStr">
        <is>
          <t>ABRIL/2026</t>
        </is>
      </c>
      <c r="B6" s="74" t="inlineStr">
        <is>
          <t>Adm Qualidade</t>
        </is>
      </c>
      <c r="C6" s="74" t="inlineStr">
        <is>
          <t>Qualidade</t>
        </is>
      </c>
      <c r="D6" s="74" t="inlineStr">
        <is>
          <t>H&amp;A</t>
        </is>
      </c>
      <c r="E6" s="151" t="n">
        <v>13402</v>
      </c>
      <c r="F6" s="100" t="n">
        <v>0.208713221370437</v>
      </c>
      <c r="G6" s="100" t="n">
        <v>2797.1745928066</v>
      </c>
      <c r="H6" s="74" t="inlineStr">
        <is>
          <t>Cálculo por número de clientes ativos</t>
        </is>
      </c>
    </row>
    <row r="7" ht="15" customHeight="1" s="75">
      <c r="A7" s="74" t="inlineStr">
        <is>
          <t>ABRIL/2026</t>
        </is>
      </c>
      <c r="B7" s="74" t="inlineStr">
        <is>
          <t>Atendimento</t>
        </is>
      </c>
      <c r="C7" s="74" t="inlineStr">
        <is>
          <t>Material de escritório</t>
        </is>
      </c>
      <c r="D7" s="74" t="inlineStr">
        <is>
          <t>DX2</t>
        </is>
      </c>
      <c r="E7" s="151" t="n">
        <v>0</v>
      </c>
      <c r="F7" s="100" t="n">
        <v>0</v>
      </c>
      <c r="G7" s="100" t="n">
        <v>0</v>
      </c>
      <c r="H7" s="74" t="inlineStr">
        <is>
          <t>Capa de carnê</t>
        </is>
      </c>
    </row>
    <row r="8" ht="15" customHeight="1" s="75">
      <c r="A8" s="74" t="inlineStr">
        <is>
          <t>ABRIL/2026</t>
        </is>
      </c>
      <c r="B8" s="74" t="inlineStr">
        <is>
          <t>Atendimento</t>
        </is>
      </c>
      <c r="C8" s="74" t="inlineStr">
        <is>
          <t>Material de uso coletivo</t>
        </is>
      </c>
      <c r="D8" s="74" t="inlineStr">
        <is>
          <t>DX2</t>
        </is>
      </c>
      <c r="E8" s="151" t="n">
        <v>16</v>
      </c>
      <c r="F8" s="100" t="n">
        <v>2.85</v>
      </c>
      <c r="G8" s="100" t="n">
        <v>45.6</v>
      </c>
      <c r="H8" s="74" t="inlineStr">
        <is>
          <t>Água mineral</t>
        </is>
      </c>
    </row>
    <row r="9" ht="15" customHeight="1" s="75">
      <c r="A9" s="74" t="inlineStr">
        <is>
          <t>ABRIL/2026</t>
        </is>
      </c>
      <c r="B9" s="74" t="inlineStr">
        <is>
          <t>Atendimento</t>
        </is>
      </c>
      <c r="C9" s="74" t="inlineStr">
        <is>
          <t>Material de escritório</t>
        </is>
      </c>
      <c r="D9" s="74" t="inlineStr">
        <is>
          <t>H&amp;A</t>
        </is>
      </c>
      <c r="E9" s="151" t="n">
        <v>0</v>
      </c>
      <c r="F9" s="100" t="n">
        <v>0</v>
      </c>
      <c r="G9" s="100" t="n">
        <v>0</v>
      </c>
      <c r="H9" s="74" t="inlineStr">
        <is>
          <t>Porta panfleto</t>
        </is>
      </c>
    </row>
    <row r="10" ht="15" customHeight="1" s="75">
      <c r="A10" s="74" t="inlineStr">
        <is>
          <t>ABRIL/2026</t>
        </is>
      </c>
      <c r="B10" s="74" t="inlineStr">
        <is>
          <t>Atendimento</t>
        </is>
      </c>
      <c r="C10" s="74" t="inlineStr">
        <is>
          <t>Promotor autonomo Erika sonara</t>
        </is>
      </c>
      <c r="D10" s="74" t="inlineStr">
        <is>
          <t>H&amp;A</t>
        </is>
      </c>
      <c r="E10" s="151" t="n">
        <v>0</v>
      </c>
      <c r="F10" s="100" t="n">
        <v>0</v>
      </c>
      <c r="G10" s="100" t="n">
        <v>0</v>
      </c>
      <c r="H10" s="74" t="inlineStr">
        <is>
          <t>Comissionamento de vendas realizadas na h&amp;a paga pela Dtel fev.</t>
        </is>
      </c>
    </row>
    <row r="11" ht="15" customHeight="1" s="75">
      <c r="A11" s="74" t="inlineStr">
        <is>
          <t>ABRIL/2026</t>
        </is>
      </c>
      <c r="B11" s="74" t="inlineStr">
        <is>
          <t>Atendimento</t>
        </is>
      </c>
      <c r="C11" s="74" t="inlineStr">
        <is>
          <t>Material de escritório</t>
        </is>
      </c>
      <c r="D11" s="74" t="inlineStr">
        <is>
          <t>Soares e Lins</t>
        </is>
      </c>
      <c r="E11" s="151" t="n">
        <v>0</v>
      </c>
      <c r="F11" s="100" t="n">
        <v>0</v>
      </c>
      <c r="G11" s="100" t="n">
        <v>0</v>
      </c>
      <c r="H11" s="74" t="inlineStr">
        <is>
          <t>Porta panfleto</t>
        </is>
      </c>
    </row>
    <row r="12" ht="15" customHeight="1" s="75">
      <c r="A12" s="74" t="inlineStr">
        <is>
          <t>ABRIL/2026</t>
        </is>
      </c>
      <c r="B12" s="74" t="inlineStr">
        <is>
          <t>Atendimento</t>
        </is>
      </c>
      <c r="C12" s="74" t="inlineStr">
        <is>
          <t>Material de uso coletivo</t>
        </is>
      </c>
      <c r="D12" s="74" t="inlineStr">
        <is>
          <t>Soares e Lins</t>
        </is>
      </c>
      <c r="E12" s="151" t="n">
        <v>10</v>
      </c>
      <c r="F12" s="100" t="n">
        <v>2.85</v>
      </c>
      <c r="G12" s="100" t="n">
        <v>28.5</v>
      </c>
      <c r="H12" s="74" t="inlineStr">
        <is>
          <t>Água mineral</t>
        </is>
      </c>
    </row>
    <row r="13" ht="15" customHeight="1" s="75">
      <c r="A13" s="74" t="inlineStr">
        <is>
          <t>ABRIL/2026</t>
        </is>
      </c>
      <c r="B13" s="74" t="inlineStr">
        <is>
          <t>Atendimento</t>
        </is>
      </c>
      <c r="C13" s="74" t="inlineStr">
        <is>
          <t>Material de escritório</t>
        </is>
      </c>
      <c r="D13" s="74" t="inlineStr">
        <is>
          <t>Soares e Silva</t>
        </is>
      </c>
      <c r="E13" s="151" t="n">
        <v>0</v>
      </c>
      <c r="F13" s="100" t="n">
        <v>0</v>
      </c>
      <c r="G13" s="100" t="n">
        <v>0</v>
      </c>
      <c r="H13" s="74" t="inlineStr">
        <is>
          <t>Capa de carnê</t>
        </is>
      </c>
    </row>
    <row r="14" ht="15" customHeight="1" s="75">
      <c r="A14" s="74" t="inlineStr">
        <is>
          <t>ABRIL/2026</t>
        </is>
      </c>
      <c r="B14" s="74" t="inlineStr">
        <is>
          <t>Atendimento</t>
        </is>
      </c>
      <c r="C14" s="74" t="inlineStr">
        <is>
          <t>Material de uso coletivo</t>
        </is>
      </c>
      <c r="D14" s="74" t="inlineStr">
        <is>
          <t>Soares e Silva</t>
        </is>
      </c>
      <c r="E14" s="151" t="n">
        <v>0</v>
      </c>
      <c r="F14" s="100" t="n">
        <v>0</v>
      </c>
      <c r="G14" s="100" t="n">
        <v>0</v>
      </c>
      <c r="H14" s="74" t="inlineStr">
        <is>
          <t>Agua mineral</t>
        </is>
      </c>
    </row>
    <row r="15" ht="15" customHeight="1" s="75">
      <c r="A15" s="74" t="inlineStr">
        <is>
          <t>ABRIL/2026</t>
        </is>
      </c>
      <c r="B15" s="74" t="inlineStr">
        <is>
          <t>Atendimento</t>
        </is>
      </c>
      <c r="C15" s="74" t="inlineStr">
        <is>
          <t>Material de escritório</t>
        </is>
      </c>
      <c r="D15" s="74" t="inlineStr">
        <is>
          <t>Solon Araújo</t>
        </is>
      </c>
      <c r="E15" s="151" t="n">
        <v>0</v>
      </c>
      <c r="F15" s="100" t="n">
        <v>0</v>
      </c>
      <c r="G15" s="100" t="n">
        <v>0</v>
      </c>
      <c r="H15" s="74" t="inlineStr">
        <is>
          <t>Caixa de resma</t>
        </is>
      </c>
    </row>
    <row r="16" ht="15" customHeight="1" s="75">
      <c r="A16" s="74" t="inlineStr">
        <is>
          <t>ABRIL/2026</t>
        </is>
      </c>
      <c r="B16" s="74" t="inlineStr">
        <is>
          <t>Atendimento</t>
        </is>
      </c>
      <c r="C16" s="74" t="inlineStr">
        <is>
          <t>Material de uso coletivo</t>
        </is>
      </c>
      <c r="D16" s="74" t="inlineStr">
        <is>
          <t>Solon Araújo</t>
        </is>
      </c>
      <c r="E16" s="151" t="n">
        <v>20</v>
      </c>
      <c r="F16" s="100" t="n">
        <v>2.85</v>
      </c>
      <c r="G16" s="100" t="n">
        <v>57</v>
      </c>
      <c r="H16" s="74" t="inlineStr">
        <is>
          <t>Água mineral</t>
        </is>
      </c>
    </row>
    <row r="17" ht="15" customHeight="1" s="75">
      <c r="A17" s="74" t="inlineStr">
        <is>
          <t>ABRIL/2026</t>
        </is>
      </c>
      <c r="B17" s="74" t="inlineStr">
        <is>
          <t>Atendimento</t>
        </is>
      </c>
      <c r="C17" s="74" t="inlineStr">
        <is>
          <t>Material de escritório</t>
        </is>
      </c>
      <c r="D17" s="74" t="inlineStr">
        <is>
          <t>Souza e Silva</t>
        </is>
      </c>
      <c r="E17" s="151" t="n">
        <v>0</v>
      </c>
      <c r="F17" s="100" t="n">
        <v>0</v>
      </c>
      <c r="G17" s="100" t="n">
        <v>0</v>
      </c>
      <c r="H17" s="74" t="inlineStr">
        <is>
          <t>Porta panfleto</t>
        </is>
      </c>
    </row>
    <row r="18" ht="15" customHeight="1" s="75">
      <c r="A18" s="74" t="inlineStr">
        <is>
          <t>ABRIL/2026</t>
        </is>
      </c>
      <c r="B18" s="74" t="inlineStr">
        <is>
          <t>Atendimento</t>
        </is>
      </c>
      <c r="C18" s="74" t="inlineStr">
        <is>
          <t>Material de escritório</t>
        </is>
      </c>
      <c r="D18" s="74" t="inlineStr">
        <is>
          <t>Souza e Silva</t>
        </is>
      </c>
      <c r="E18" s="151" t="n">
        <v>0</v>
      </c>
      <c r="F18" s="100" t="n">
        <v>0</v>
      </c>
      <c r="G18" s="100" t="n">
        <v>0</v>
      </c>
      <c r="H18" s="74" t="inlineStr">
        <is>
          <t>Panfletos</t>
        </is>
      </c>
    </row>
    <row r="19" ht="15" customHeight="1" s="75">
      <c r="A19" s="74" t="inlineStr">
        <is>
          <t>ABRIL/2026</t>
        </is>
      </c>
      <c r="B19" s="74" t="inlineStr">
        <is>
          <t>COE</t>
        </is>
      </c>
      <c r="C19" s="74" t="inlineStr">
        <is>
          <t>Serviços do C.O.E distribuição de serviços</t>
        </is>
      </c>
      <c r="D19" s="74" t="inlineStr">
        <is>
          <t>Soares e Lins</t>
        </is>
      </c>
      <c r="E19" s="151" t="n">
        <v>3650</v>
      </c>
      <c r="F19" s="100" t="n">
        <v>0.457702446918301</v>
      </c>
      <c r="G19" s="100" t="n">
        <v>1670.6139312518</v>
      </c>
      <c r="H19" s="74" t="inlineStr">
        <is>
          <t>Cálculo por número de clientes ativos</t>
        </is>
      </c>
    </row>
    <row r="20" ht="15" customHeight="1" s="75">
      <c r="A20" s="74" t="inlineStr">
        <is>
          <t>ABRIL/2026</t>
        </is>
      </c>
      <c r="B20" s="74" t="inlineStr">
        <is>
          <t>COE</t>
        </is>
      </c>
      <c r="C20" s="74" t="inlineStr">
        <is>
          <t>Serviços do C.O.E distribuição de serviços</t>
        </is>
      </c>
      <c r="D20" s="74" t="inlineStr">
        <is>
          <t>Soares e Silva</t>
        </is>
      </c>
      <c r="E20" s="151" t="n">
        <v>6396</v>
      </c>
      <c r="F20" s="100" t="n">
        <v>0.457702446918301</v>
      </c>
      <c r="G20" s="100" t="n">
        <v>2927.46485048945</v>
      </c>
      <c r="H20" s="74" t="inlineStr">
        <is>
          <t>Cálculo por número de clientes ativos</t>
        </is>
      </c>
    </row>
    <row r="21" ht="15" customHeight="1" s="75">
      <c r="A21" s="74" t="inlineStr">
        <is>
          <t>ABRIL/2026</t>
        </is>
      </c>
      <c r="B21" s="74" t="inlineStr">
        <is>
          <t>COE</t>
        </is>
      </c>
      <c r="C21" s="74" t="inlineStr">
        <is>
          <t>Serviços do C.O.E distribuição de serviços</t>
        </is>
      </c>
      <c r="D21" s="74" t="inlineStr">
        <is>
          <t>Solon Araújo</t>
        </is>
      </c>
      <c r="E21" s="151" t="n">
        <v>14331</v>
      </c>
      <c r="F21" s="100" t="n">
        <v>0.457702446918301</v>
      </c>
      <c r="G21" s="100" t="n">
        <v>6559.33376678617</v>
      </c>
      <c r="H21" s="74" t="inlineStr">
        <is>
          <t>Cálculo por número de clientes ativos</t>
        </is>
      </c>
    </row>
    <row r="22" ht="15" customHeight="1" s="75">
      <c r="A22" s="74" t="inlineStr">
        <is>
          <t>ABRIL/2026</t>
        </is>
      </c>
      <c r="B22" s="74" t="inlineStr">
        <is>
          <t>COE</t>
        </is>
      </c>
      <c r="C22" s="74" t="inlineStr">
        <is>
          <t>Serviços do C.O.E distribuição de serviços</t>
        </is>
      </c>
      <c r="D22" s="74" t="inlineStr">
        <is>
          <t>Voicenet</t>
        </is>
      </c>
      <c r="E22" s="151" t="n">
        <v>4782</v>
      </c>
      <c r="F22" s="100" t="n">
        <v>0.457702446918301</v>
      </c>
      <c r="G22" s="100" t="n">
        <v>2188.73310116332</v>
      </c>
      <c r="H22" s="74" t="inlineStr">
        <is>
          <t>Cálculo por número de clientes ativos</t>
        </is>
      </c>
    </row>
    <row r="23" ht="15" customHeight="1" s="75">
      <c r="A23" s="74" t="inlineStr">
        <is>
          <t>ABRIL/2026</t>
        </is>
      </c>
      <c r="B23" s="74" t="inlineStr">
        <is>
          <t>Comercial</t>
        </is>
      </c>
      <c r="C23" s="74" t="inlineStr">
        <is>
          <t>Consultas e análises de crédito</t>
        </is>
      </c>
      <c r="D23" s="74" t="inlineStr">
        <is>
          <t>DTEL</t>
        </is>
      </c>
      <c r="E23" s="151" t="n">
        <v>6246</v>
      </c>
      <c r="F23" s="100" t="n">
        <v>1.86</v>
      </c>
      <c r="G23" s="100" t="n">
        <v>11617.56</v>
      </c>
      <c r="H23" s="74" t="inlineStr">
        <is>
          <t>Vendas cadastradas e consultadas pelo argos</t>
        </is>
      </c>
    </row>
    <row r="24" ht="15" customHeight="1" s="75">
      <c r="A24" s="74" t="inlineStr">
        <is>
          <t>ABRIL/2026</t>
        </is>
      </c>
      <c r="B24" s="74" t="inlineStr">
        <is>
          <t>Comercial</t>
        </is>
      </c>
      <c r="C24" s="74" t="inlineStr">
        <is>
          <t>Consultas e análises de crédito</t>
        </is>
      </c>
      <c r="D24" s="74" t="inlineStr">
        <is>
          <t>DX2</t>
        </is>
      </c>
      <c r="E24" s="151" t="n">
        <v>296</v>
      </c>
      <c r="F24" s="100" t="n">
        <v>1.86</v>
      </c>
      <c r="G24" s="100" t="n">
        <v>550.5599999999999</v>
      </c>
      <c r="H24" s="74" t="inlineStr">
        <is>
          <t>Vendas cadastradas e consultadas pelo argos</t>
        </is>
      </c>
    </row>
    <row r="25" ht="15" customHeight="1" s="75">
      <c r="A25" s="74" t="inlineStr">
        <is>
          <t>ABRIL/2026</t>
        </is>
      </c>
      <c r="B25" s="74" t="inlineStr">
        <is>
          <t>Comercial</t>
        </is>
      </c>
      <c r="C25" s="74" t="inlineStr">
        <is>
          <t>Despesa do consultor BARTOLOMEU</t>
        </is>
      </c>
      <c r="D25" s="74" t="inlineStr">
        <is>
          <t>DX2</t>
        </is>
      </c>
      <c r="E25" s="151" t="n">
        <v>2</v>
      </c>
      <c r="F25" s="100" t="n">
        <v>383.56</v>
      </c>
      <c r="G25" s="100" t="n">
        <v>767.12</v>
      </c>
      <c r="H25" s="74" t="inlineStr">
        <is>
          <t>Despesa trabalhista e combustivel do consultor dividido pelo total de vendas</t>
        </is>
      </c>
    </row>
    <row r="26" ht="15" customHeight="1" s="75">
      <c r="A26" s="74" t="inlineStr">
        <is>
          <t>ABRIL/2026</t>
        </is>
      </c>
      <c r="B26" s="74" t="inlineStr">
        <is>
          <t>Comercial</t>
        </is>
      </c>
      <c r="C26" s="74" t="inlineStr">
        <is>
          <t>Despesa do consultor PAULO MELO</t>
        </is>
      </c>
      <c r="D26" s="74" t="inlineStr">
        <is>
          <t>DX2</t>
        </is>
      </c>
      <c r="E26" s="151" t="n">
        <v>0</v>
      </c>
      <c r="F26" s="100" t="n">
        <v>0</v>
      </c>
      <c r="G26" s="100" t="n">
        <v>0</v>
      </c>
      <c r="H26" s="74" t="inlineStr">
        <is>
          <t>Despesa trabalhista e combustível do consultor dividido pelo total de vendas</t>
        </is>
      </c>
    </row>
    <row r="27" ht="15" customHeight="1" s="75">
      <c r="A27" s="74" t="inlineStr">
        <is>
          <t>ABRIL/2026</t>
        </is>
      </c>
      <c r="B27" s="74" t="inlineStr">
        <is>
          <t>Comercial</t>
        </is>
      </c>
      <c r="C27" s="74" t="inlineStr">
        <is>
          <t>Despesa do consultor PEDRO GREGO</t>
        </is>
      </c>
      <c r="D27" s="74" t="inlineStr">
        <is>
          <t>DX2</t>
        </is>
      </c>
      <c r="E27" s="151" t="n">
        <v>3</v>
      </c>
      <c r="F27" s="100" t="n">
        <v>300.37</v>
      </c>
      <c r="G27" s="100" t="n">
        <v>901.11</v>
      </c>
      <c r="H27" s="74" t="inlineStr">
        <is>
          <t>Despesa trabalhista e combustível do consultor dividido pelo total de vendas (cliente 12195,12634,12408)</t>
        </is>
      </c>
    </row>
    <row r="28" ht="15" customHeight="1" s="75">
      <c r="A28" s="74" t="inlineStr">
        <is>
          <t>ABRIL/2026</t>
        </is>
      </c>
      <c r="B28" s="74" t="inlineStr">
        <is>
          <t>Comercial</t>
        </is>
      </c>
      <c r="C28" s="74" t="inlineStr">
        <is>
          <t>Despesa do coordenador TIAGO, pela gestão da equipe</t>
        </is>
      </c>
      <c r="D28" s="74" t="inlineStr">
        <is>
          <t>DX2</t>
        </is>
      </c>
      <c r="E28" s="151" t="n">
        <v>-1</v>
      </c>
      <c r="F28" s="100" t="n">
        <v>812.42</v>
      </c>
      <c r="G28" s="100" t="n">
        <v>-812.42</v>
      </c>
      <c r="H28" s="74" t="inlineStr">
        <is>
          <t>Crédito por despesa com combustível e utilização de veÍculo dx2</t>
        </is>
      </c>
    </row>
    <row r="29" ht="15" customHeight="1" s="75">
      <c r="A29" s="74" t="inlineStr">
        <is>
          <t>ABRIL/2026</t>
        </is>
      </c>
      <c r="B29" s="74" t="inlineStr">
        <is>
          <t>Comercial</t>
        </is>
      </c>
      <c r="C29" s="74" t="inlineStr">
        <is>
          <t>Despesa do coordenador TIAGO, pela gestão da equipe</t>
        </is>
      </c>
      <c r="D29" s="74" t="inlineStr">
        <is>
          <t>DX2</t>
        </is>
      </c>
      <c r="E29" s="151" t="n">
        <v>-1</v>
      </c>
      <c r="F29" s="100" t="n">
        <v>4015.98</v>
      </c>
      <c r="G29" s="100" t="n">
        <v>-4015.98</v>
      </c>
      <c r="H29" s="74" t="inlineStr">
        <is>
          <t>Crédito por participação do coordenador na base h&amp;a e soares e silva</t>
        </is>
      </c>
    </row>
    <row r="30" ht="15" customHeight="1" s="75">
      <c r="A30" s="74" t="inlineStr">
        <is>
          <t>ABRIL/2026</t>
        </is>
      </c>
      <c r="B30" s="74" t="inlineStr">
        <is>
          <t>Comercial</t>
        </is>
      </c>
      <c r="C30" s="74" t="inlineStr">
        <is>
          <t>Vendas da equipe DX2 porta a porta P/ H&amp;A</t>
        </is>
      </c>
      <c r="D30" s="74" t="inlineStr">
        <is>
          <t>DX2</t>
        </is>
      </c>
      <c r="E30" s="151" t="n">
        <v>0</v>
      </c>
      <c r="F30" s="100" t="n">
        <v>0</v>
      </c>
      <c r="G30" s="100" t="n">
        <v>0</v>
      </c>
      <c r="H30" s="74" t="inlineStr">
        <is>
          <t>Vendas instaladas</t>
        </is>
      </c>
    </row>
    <row r="31" ht="15" customHeight="1" s="75">
      <c r="A31" s="74" t="inlineStr">
        <is>
          <t>ABRIL/2026</t>
        </is>
      </c>
      <c r="B31" s="74" t="inlineStr">
        <is>
          <t>Comercial</t>
        </is>
      </c>
      <c r="C31" s="74" t="inlineStr">
        <is>
          <t>Vendas da equipe Dtel porta a porta</t>
        </is>
      </c>
      <c r="D31" s="74" t="inlineStr">
        <is>
          <t>DX2</t>
        </is>
      </c>
      <c r="E31" s="151" t="n">
        <v>0</v>
      </c>
      <c r="F31" s="100" t="n">
        <v>0</v>
      </c>
      <c r="G31" s="100" t="n">
        <v>0</v>
      </c>
      <c r="H31" s="74" t="inlineStr">
        <is>
          <t>Vendas instaladas</t>
        </is>
      </c>
    </row>
    <row r="32" ht="15" customHeight="1" s="75">
      <c r="A32" s="74" t="inlineStr">
        <is>
          <t>ABRIL/2026</t>
        </is>
      </c>
      <c r="B32" s="74" t="inlineStr">
        <is>
          <t>Comercial</t>
        </is>
      </c>
      <c r="C32" s="74" t="inlineStr">
        <is>
          <t>Vendas da equipe Dx2 porta a porta p/ Dtel</t>
        </is>
      </c>
      <c r="D32" s="74" t="inlineStr">
        <is>
          <t>DX2</t>
        </is>
      </c>
      <c r="E32" s="151" t="n">
        <v>0</v>
      </c>
      <c r="F32" s="100" t="n">
        <v>0</v>
      </c>
      <c r="G32" s="100" t="n">
        <v>0</v>
      </c>
      <c r="H32" s="74" t="inlineStr">
        <is>
          <t>Vendas instaladas</t>
        </is>
      </c>
    </row>
    <row r="33" ht="15" customHeight="1" s="75">
      <c r="A33" s="74" t="inlineStr">
        <is>
          <t>ABRIL/2026</t>
        </is>
      </c>
      <c r="B33" s="74" t="inlineStr">
        <is>
          <t>Comercial</t>
        </is>
      </c>
      <c r="C33" s="74" t="inlineStr">
        <is>
          <t>Vendas da equipe H&amp;A porta a porta P/ DX2</t>
        </is>
      </c>
      <c r="D33" s="74" t="inlineStr">
        <is>
          <t>DX2</t>
        </is>
      </c>
      <c r="E33" s="151" t="n">
        <v>0</v>
      </c>
      <c r="F33" s="100" t="n">
        <v>0</v>
      </c>
      <c r="G33" s="100" t="n">
        <v>0</v>
      </c>
      <c r="H33" s="74" t="inlineStr">
        <is>
          <t>Vendas instaladas</t>
        </is>
      </c>
    </row>
    <row r="34" ht="15" customHeight="1" s="75">
      <c r="A34" s="74" t="inlineStr">
        <is>
          <t>ABRIL/2026</t>
        </is>
      </c>
      <c r="B34" s="74" t="inlineStr">
        <is>
          <t>Comercial</t>
        </is>
      </c>
      <c r="C34" s="74" t="inlineStr">
        <is>
          <t>Vendas da equipe VOICENET porta a porta P/  DX2</t>
        </is>
      </c>
      <c r="D34" s="74" t="inlineStr">
        <is>
          <t>DX2</t>
        </is>
      </c>
      <c r="E34" s="151" t="n">
        <v>0</v>
      </c>
      <c r="F34" s="100" t="n">
        <v>0</v>
      </c>
      <c r="G34" s="100" t="n">
        <v>0</v>
      </c>
      <c r="H34" s="74" t="inlineStr">
        <is>
          <t>Vendas instaladas</t>
        </is>
      </c>
    </row>
    <row r="35" ht="15" customHeight="1" s="75">
      <c r="A35" s="74" t="inlineStr">
        <is>
          <t>ABRIL/2026</t>
        </is>
      </c>
      <c r="B35" s="74" t="inlineStr">
        <is>
          <t>Comercial</t>
        </is>
      </c>
      <c r="C35" s="74" t="inlineStr">
        <is>
          <t>Comissão de manutenção da Totum</t>
        </is>
      </c>
      <c r="D35" s="74" t="inlineStr">
        <is>
          <t>H&amp;A</t>
        </is>
      </c>
      <c r="E35" s="151" t="n">
        <v>1</v>
      </c>
      <c r="F35" s="100" t="n">
        <v>33.5</v>
      </c>
      <c r="G35" s="100" t="n">
        <v>33.5</v>
      </c>
      <c r="H35" s="74" t="inlineStr">
        <is>
          <t>Conselho regional de enfermagem de PE</t>
        </is>
      </c>
    </row>
    <row r="36" ht="15" customHeight="1" s="75">
      <c r="A36" s="74" t="inlineStr">
        <is>
          <t>ABRIL/2026</t>
        </is>
      </c>
      <c r="B36" s="74" t="inlineStr">
        <is>
          <t>Comercial</t>
        </is>
      </c>
      <c r="C36" s="74" t="inlineStr">
        <is>
          <t>Comissão de manutenção da Totum</t>
        </is>
      </c>
      <c r="D36" s="74" t="inlineStr">
        <is>
          <t>H&amp;A</t>
        </is>
      </c>
      <c r="E36" s="151" t="n">
        <v>1</v>
      </c>
      <c r="F36" s="100" t="n">
        <v>22</v>
      </c>
      <c r="G36" s="100" t="n">
        <v>22</v>
      </c>
      <c r="H36" s="74" t="inlineStr">
        <is>
          <t>71 Batalhão De Infantaria Motorizado</t>
        </is>
      </c>
    </row>
    <row r="37" ht="15" customHeight="1" s="75">
      <c r="A37" s="74" t="inlineStr">
        <is>
          <t>ABRIL/2026</t>
        </is>
      </c>
      <c r="B37" s="74" t="inlineStr">
        <is>
          <t>Comercial</t>
        </is>
      </c>
      <c r="C37" s="74" t="inlineStr">
        <is>
          <t>Consultas e análises de crédito</t>
        </is>
      </c>
      <c r="D37" s="74" t="inlineStr">
        <is>
          <t>H&amp;A</t>
        </is>
      </c>
      <c r="E37" s="151" t="n">
        <v>328</v>
      </c>
      <c r="F37" s="100" t="n">
        <v>1.86</v>
      </c>
      <c r="G37" s="100" t="n">
        <v>610.08</v>
      </c>
      <c r="H37" s="74" t="inlineStr">
        <is>
          <t>Vendas cadastradas e consultadas pelo argos</t>
        </is>
      </c>
    </row>
    <row r="38" ht="15" customHeight="1" s="75">
      <c r="A38" s="74" t="inlineStr">
        <is>
          <t>ABRIL/2026</t>
        </is>
      </c>
      <c r="B38" s="74" t="inlineStr">
        <is>
          <t>Comercial</t>
        </is>
      </c>
      <c r="C38" s="74" t="inlineStr">
        <is>
          <t>Despesa do consultor BARTOLOMEU</t>
        </is>
      </c>
      <c r="D38" s="74" t="inlineStr">
        <is>
          <t>H&amp;A</t>
        </is>
      </c>
      <c r="E38" s="151" t="n">
        <v>5</v>
      </c>
      <c r="F38" s="100" t="n">
        <v>383.56</v>
      </c>
      <c r="G38" s="100" t="n">
        <v>1917.8</v>
      </c>
      <c r="H38" s="74" t="inlineStr">
        <is>
          <t>Despesa trabalhista e combustível do consultor dividido pelo total de vendas (cliente 29895,29928,29948,29974,29930)</t>
        </is>
      </c>
    </row>
    <row r="39" ht="15" customHeight="1" s="75">
      <c r="A39" s="74" t="inlineStr">
        <is>
          <t>ABRIL/2026</t>
        </is>
      </c>
      <c r="B39" s="74" t="inlineStr">
        <is>
          <t>Comercial</t>
        </is>
      </c>
      <c r="C39" s="74" t="inlineStr">
        <is>
          <t>Despesa do consultor PAULO MELO</t>
        </is>
      </c>
      <c r="D39" s="74" t="inlineStr">
        <is>
          <t>H&amp;A</t>
        </is>
      </c>
      <c r="E39" s="151" t="n">
        <v>1</v>
      </c>
      <c r="F39" s="100" t="n">
        <v>338.53</v>
      </c>
      <c r="G39" s="100" t="n">
        <v>338.53</v>
      </c>
      <c r="H39" s="74" t="inlineStr">
        <is>
          <t>Despesa trabalhista e combustível do consultor dividido pelo total de vendas(cliente 30172,29955,30042)</t>
        </is>
      </c>
    </row>
    <row r="40" ht="15" customHeight="1" s="75">
      <c r="A40" s="74" t="inlineStr">
        <is>
          <t>ABRIL/2026</t>
        </is>
      </c>
      <c r="B40" s="74" t="inlineStr">
        <is>
          <t>Comercial</t>
        </is>
      </c>
      <c r="C40" s="74" t="inlineStr">
        <is>
          <t>Despesa do consultor PEDRO GREGO</t>
        </is>
      </c>
      <c r="D40" s="74" t="inlineStr">
        <is>
          <t>H&amp;A</t>
        </is>
      </c>
      <c r="E40" s="151" t="n">
        <v>1</v>
      </c>
      <c r="F40" s="100" t="n">
        <v>400.26</v>
      </c>
      <c r="G40" s="100" t="n">
        <v>400.26</v>
      </c>
      <c r="H40" s="74" t="inlineStr">
        <is>
          <t>Despesa trabalhista e combustível do consultor dividido pelo total de vendas (ciente 29740,30064,30038,30076)</t>
        </is>
      </c>
    </row>
    <row r="41" ht="15" customHeight="1" s="75">
      <c r="A41" s="74" t="inlineStr">
        <is>
          <t>ABRIL/2026</t>
        </is>
      </c>
      <c r="B41" s="74" t="inlineStr">
        <is>
          <t>Comercial</t>
        </is>
      </c>
      <c r="C41" s="74" t="inlineStr">
        <is>
          <t>Despesa do coordenador TIAGO, pela gestão da equipe</t>
        </is>
      </c>
      <c r="D41" s="74" t="inlineStr">
        <is>
          <t>H&amp;A</t>
        </is>
      </c>
      <c r="E41" s="151" t="n">
        <v>1</v>
      </c>
      <c r="F41" s="100" t="n">
        <v>268.13</v>
      </c>
      <c r="G41" s="100" t="n">
        <v>268.13</v>
      </c>
      <c r="H41" s="74" t="inlineStr">
        <is>
          <t>Despesa com combustÍvel e utilização de veiculo dx2</t>
        </is>
      </c>
    </row>
    <row r="42" ht="15" customHeight="1" s="75">
      <c r="A42" s="74" t="inlineStr">
        <is>
          <t>ABRIL/2026</t>
        </is>
      </c>
      <c r="B42" s="74" t="inlineStr">
        <is>
          <t>Comercial</t>
        </is>
      </c>
      <c r="C42" s="74" t="inlineStr">
        <is>
          <t>Despesa do coordenador TIAGO, pela gestão da equipe</t>
        </is>
      </c>
      <c r="D42" s="74" t="inlineStr">
        <is>
          <t>H&amp;A</t>
        </is>
      </c>
      <c r="E42" s="151" t="n">
        <v>52</v>
      </c>
      <c r="F42" s="100" t="n">
        <v>20.06</v>
      </c>
      <c r="G42" s="100" t="n">
        <v>1043.12</v>
      </c>
      <c r="H42" s="74" t="inlineStr">
        <is>
          <t>Despesa trabalhista dividida pela quantidade de vendas</t>
        </is>
      </c>
    </row>
    <row r="43" ht="15" customHeight="1" s="75">
      <c r="A43" s="74" t="inlineStr">
        <is>
          <t>ABRIL/2026</t>
        </is>
      </c>
      <c r="B43" s="74" t="inlineStr">
        <is>
          <t>Comercial</t>
        </is>
      </c>
      <c r="C43" s="74" t="inlineStr">
        <is>
          <t>Vendas da equipe DX2 para H&amp;A</t>
        </is>
      </c>
      <c r="D43" s="74" t="inlineStr">
        <is>
          <t>H&amp;A</t>
        </is>
      </c>
      <c r="E43" s="151" t="n">
        <v>0</v>
      </c>
      <c r="F43" s="100" t="n">
        <v>0</v>
      </c>
      <c r="G43" s="100" t="n">
        <v>0</v>
      </c>
      <c r="H43" s="74" t="inlineStr">
        <is>
          <t>Vendas instaladas</t>
        </is>
      </c>
    </row>
    <row r="44" ht="15" customHeight="1" s="75">
      <c r="A44" s="74" t="inlineStr">
        <is>
          <t>ABRIL/2026</t>
        </is>
      </c>
      <c r="B44" s="74" t="inlineStr">
        <is>
          <t>Comercial</t>
        </is>
      </c>
      <c r="C44" s="74" t="inlineStr">
        <is>
          <t>Vendas da equipe Dtel porta a porta</t>
        </is>
      </c>
      <c r="D44" s="74" t="inlineStr">
        <is>
          <t>H&amp;A</t>
        </is>
      </c>
      <c r="E44" s="151" t="n">
        <v>1</v>
      </c>
      <c r="F44" s="100" t="n">
        <v>0</v>
      </c>
      <c r="G44" s="100" t="n">
        <v>0</v>
      </c>
      <c r="H44" s="74" t="inlineStr">
        <is>
          <t>Vendas instaladas</t>
        </is>
      </c>
    </row>
    <row r="45" ht="15" customHeight="1" s="75">
      <c r="A45" s="74" t="inlineStr">
        <is>
          <t>ABRIL/2026</t>
        </is>
      </c>
      <c r="B45" s="74" t="inlineStr">
        <is>
          <t>Comercial</t>
        </is>
      </c>
      <c r="C45" s="74" t="inlineStr">
        <is>
          <t>Vendas da equipe H&amp;A P/ VOICENET</t>
        </is>
      </c>
      <c r="D45" s="74" t="inlineStr">
        <is>
          <t>H&amp;A</t>
        </is>
      </c>
      <c r="E45" s="151" t="n">
        <v>0</v>
      </c>
      <c r="F45" s="100" t="n">
        <v>0</v>
      </c>
      <c r="G45" s="100" t="n">
        <v>0</v>
      </c>
      <c r="H45" s="74" t="inlineStr">
        <is>
          <t>Vendas instaladas</t>
        </is>
      </c>
    </row>
    <row r="46" ht="15" customHeight="1" s="75">
      <c r="A46" s="74" t="inlineStr">
        <is>
          <t>ABRIL/2026</t>
        </is>
      </c>
      <c r="B46" s="74" t="inlineStr">
        <is>
          <t>Comercial</t>
        </is>
      </c>
      <c r="C46" s="74" t="inlineStr">
        <is>
          <t>Vendas da equipe H&amp;A para Dtel</t>
        </is>
      </c>
      <c r="D46" s="74" t="inlineStr">
        <is>
          <t>H&amp;A</t>
        </is>
      </c>
      <c r="E46" s="151" t="n">
        <v>1</v>
      </c>
      <c r="F46" s="100" t="n">
        <v>0</v>
      </c>
      <c r="G46" s="100" t="n">
        <v>0</v>
      </c>
      <c r="H46" s="74" t="inlineStr">
        <is>
          <t>Vendas instaladas</t>
        </is>
      </c>
    </row>
    <row r="47" ht="15" customHeight="1" s="75">
      <c r="A47" s="74" t="inlineStr">
        <is>
          <t>ABRIL/2026</t>
        </is>
      </c>
      <c r="B47" s="74" t="inlineStr">
        <is>
          <t>Comercial</t>
        </is>
      </c>
      <c r="C47" s="74" t="inlineStr">
        <is>
          <t>Vendas da equipe H&amp;A para Dx2</t>
        </is>
      </c>
      <c r="D47" s="74" t="inlineStr">
        <is>
          <t>H&amp;A</t>
        </is>
      </c>
      <c r="E47" s="151" t="n">
        <v>0</v>
      </c>
      <c r="F47" s="100" t="n">
        <v>0</v>
      </c>
      <c r="G47" s="100" t="n">
        <v>0</v>
      </c>
      <c r="H47" s="74" t="inlineStr">
        <is>
          <t>Vendas instaladas</t>
        </is>
      </c>
    </row>
    <row r="48" ht="15" customHeight="1" s="75">
      <c r="A48" s="74" t="inlineStr">
        <is>
          <t>ABRIL/2026</t>
        </is>
      </c>
      <c r="B48" s="74" t="inlineStr">
        <is>
          <t>Comercial</t>
        </is>
      </c>
      <c r="C48" s="74" t="inlineStr">
        <is>
          <t>Vendas da equipe H&amp;A para soares e silva</t>
        </is>
      </c>
      <c r="D48" s="74" t="inlineStr">
        <is>
          <t>H&amp;A</t>
        </is>
      </c>
      <c r="E48" s="151" t="n">
        <v>0</v>
      </c>
      <c r="F48" s="100" t="n">
        <v>0</v>
      </c>
      <c r="G48" s="100" t="n">
        <v>0</v>
      </c>
      <c r="H48" s="74" t="inlineStr">
        <is>
          <t>Vendas instaladas</t>
        </is>
      </c>
    </row>
    <row r="49" ht="15" customHeight="1" s="75">
      <c r="A49" s="74" t="inlineStr">
        <is>
          <t>ABRIL/2026</t>
        </is>
      </c>
      <c r="B49" s="74" t="inlineStr">
        <is>
          <t>Comercial</t>
        </is>
      </c>
      <c r="C49" s="74" t="inlineStr">
        <is>
          <t>Consultas e análises de crédito</t>
        </is>
      </c>
      <c r="D49" s="74" t="inlineStr">
        <is>
          <t>Soares e Lins</t>
        </is>
      </c>
      <c r="E49" s="151" t="n">
        <v>236</v>
      </c>
      <c r="F49" s="100" t="n">
        <v>1.86</v>
      </c>
      <c r="G49" s="100" t="n">
        <v>438.96</v>
      </c>
      <c r="H49" s="74" t="inlineStr">
        <is>
          <t>Vendas cadastradas e consultadas pelo argos</t>
        </is>
      </c>
    </row>
    <row r="50" ht="15" customHeight="1" s="75">
      <c r="A50" s="74" t="inlineStr">
        <is>
          <t>ABRIL/2026</t>
        </is>
      </c>
      <c r="B50" s="74" t="inlineStr">
        <is>
          <t>Comercial</t>
        </is>
      </c>
      <c r="C50" s="74" t="inlineStr">
        <is>
          <t>Despesa do consultor BARTOLOMEU</t>
        </is>
      </c>
      <c r="D50" s="74" t="inlineStr">
        <is>
          <t>Soares e Lins</t>
        </is>
      </c>
      <c r="E50" s="151" t="n">
        <v>0</v>
      </c>
      <c r="F50" s="100" t="n">
        <v>0</v>
      </c>
      <c r="G50" s="100" t="n">
        <v>0</v>
      </c>
      <c r="H50" s="74" t="inlineStr">
        <is>
          <t>Despesa trabalhista e combustivel do consultor dividido pelo total de vendas</t>
        </is>
      </c>
    </row>
    <row r="51" ht="15" customHeight="1" s="75">
      <c r="A51" s="74" t="inlineStr">
        <is>
          <t>ABRIL/2026</t>
        </is>
      </c>
      <c r="B51" s="74" t="inlineStr">
        <is>
          <t>Comercial</t>
        </is>
      </c>
      <c r="C51" s="74" t="inlineStr">
        <is>
          <t>Despesa do consultor PAULO MELO</t>
        </is>
      </c>
      <c r="D51" s="74" t="inlineStr">
        <is>
          <t>Soares e Lins</t>
        </is>
      </c>
      <c r="E51" s="151" t="n">
        <v>2</v>
      </c>
      <c r="F51" s="100" t="n">
        <v>338.53</v>
      </c>
      <c r="G51" s="100" t="n">
        <v>677.0599999999999</v>
      </c>
      <c r="H51" s="74" t="inlineStr">
        <is>
          <t>Despesa trabalhista e combustivel do consultor dividido pelo total de vendas</t>
        </is>
      </c>
    </row>
    <row r="52" ht="15" customHeight="1" s="75">
      <c r="A52" s="74" t="inlineStr">
        <is>
          <t>ABRIL/2026</t>
        </is>
      </c>
      <c r="B52" s="74" t="inlineStr">
        <is>
          <t>Comercial</t>
        </is>
      </c>
      <c r="C52" s="74" t="inlineStr">
        <is>
          <t>Despesa do consultor PEDRO GREGO</t>
        </is>
      </c>
      <c r="D52" s="74" t="inlineStr">
        <is>
          <t>Soares e Lins</t>
        </is>
      </c>
      <c r="E52" s="151" t="n">
        <v>1</v>
      </c>
      <c r="F52" s="100" t="n">
        <v>300.37</v>
      </c>
      <c r="G52" s="100" t="n">
        <v>300.37</v>
      </c>
      <c r="H52" s="74" t="inlineStr">
        <is>
          <t>Despesa trabalhista e combustível do consultor dividido pelo total de vendas(cliente 7777)</t>
        </is>
      </c>
    </row>
    <row r="53" ht="15" customHeight="1" s="75">
      <c r="A53" s="74" t="inlineStr">
        <is>
          <t>ABRIL/2026</t>
        </is>
      </c>
      <c r="B53" s="74" t="inlineStr">
        <is>
          <t>Comercial</t>
        </is>
      </c>
      <c r="C53" s="74" t="inlineStr">
        <is>
          <t>Vendas da equipe Dtel porta a porta</t>
        </is>
      </c>
      <c r="D53" s="74" t="inlineStr">
        <is>
          <t>Soares e Lins</t>
        </is>
      </c>
      <c r="E53" s="151" t="n">
        <v>1</v>
      </c>
      <c r="F53" s="100" t="n">
        <v>0</v>
      </c>
      <c r="G53" s="100" t="n">
        <v>0</v>
      </c>
      <c r="H53" s="74" t="inlineStr">
        <is>
          <t>Vendas instaladas</t>
        </is>
      </c>
    </row>
    <row r="54" ht="15" customHeight="1" s="75">
      <c r="A54" s="74" t="inlineStr">
        <is>
          <t>ABRIL/2026</t>
        </is>
      </c>
      <c r="B54" s="74" t="inlineStr">
        <is>
          <t>Comercial</t>
        </is>
      </c>
      <c r="C54" s="74" t="inlineStr">
        <is>
          <t>Vendas da equipe Soares e lins p/ Dtel</t>
        </is>
      </c>
      <c r="D54" s="74" t="inlineStr">
        <is>
          <t>Soares e Lins</t>
        </is>
      </c>
      <c r="E54" s="151" t="n">
        <v>1</v>
      </c>
      <c r="F54" s="100" t="n">
        <v>0</v>
      </c>
      <c r="G54" s="100" t="n">
        <v>0</v>
      </c>
      <c r="H54" s="74" t="inlineStr">
        <is>
          <t>Vendas instaladas</t>
        </is>
      </c>
    </row>
    <row r="55" ht="15" customHeight="1" s="75">
      <c r="A55" s="74" t="inlineStr">
        <is>
          <t>ABRIL/2026</t>
        </is>
      </c>
      <c r="B55" s="74" t="inlineStr">
        <is>
          <t>Comercial</t>
        </is>
      </c>
      <c r="C55" s="74" t="inlineStr">
        <is>
          <t>Vendas da equipe Soares e lins p/ solon</t>
        </is>
      </c>
      <c r="D55" s="74" t="inlineStr">
        <is>
          <t>Soares e Lins</t>
        </is>
      </c>
      <c r="E55" s="151" t="n">
        <v>0</v>
      </c>
      <c r="F55" s="100" t="n">
        <v>0</v>
      </c>
      <c r="G55" s="100" t="n">
        <v>0</v>
      </c>
      <c r="H55" s="74" t="inlineStr">
        <is>
          <t>Vendas instaladas</t>
        </is>
      </c>
    </row>
    <row r="56" ht="15" customHeight="1" s="75">
      <c r="A56" s="74" t="inlineStr">
        <is>
          <t>ABRIL/2026</t>
        </is>
      </c>
      <c r="B56" s="74" t="inlineStr">
        <is>
          <t>Comercial</t>
        </is>
      </c>
      <c r="C56" s="74" t="inlineStr">
        <is>
          <t>Vendas da equipe voicenet P/ SOARES E LINS</t>
        </is>
      </c>
      <c r="D56" s="74" t="inlineStr">
        <is>
          <t>Soares e Lins</t>
        </is>
      </c>
      <c r="E56" s="151" t="n">
        <v>0</v>
      </c>
      <c r="F56" s="100" t="n">
        <v>0</v>
      </c>
      <c r="G56" s="100" t="n">
        <v>0</v>
      </c>
      <c r="H56" s="74" t="inlineStr">
        <is>
          <t>Vendas instaladas</t>
        </is>
      </c>
    </row>
    <row r="57" ht="15" customHeight="1" s="75">
      <c r="A57" s="74" t="inlineStr">
        <is>
          <t>ABRIL/2026</t>
        </is>
      </c>
      <c r="B57" s="74" t="inlineStr">
        <is>
          <t>Comercial</t>
        </is>
      </c>
      <c r="C57" s="74" t="inlineStr">
        <is>
          <t>Consultas e análises de crédito</t>
        </is>
      </c>
      <c r="D57" s="74" t="inlineStr">
        <is>
          <t>Soares e Silva</t>
        </is>
      </c>
      <c r="E57" s="151" t="n">
        <v>666</v>
      </c>
      <c r="F57" s="100" t="n">
        <v>1.86</v>
      </c>
      <c r="G57" s="100" t="n">
        <v>1238.76</v>
      </c>
      <c r="H57" s="74" t="inlineStr">
        <is>
          <t>Vendas cadastradas e consultadas pelo argos</t>
        </is>
      </c>
    </row>
    <row r="58" ht="15" customHeight="1" s="75">
      <c r="A58" s="74" t="inlineStr">
        <is>
          <t>ABRIL/2026</t>
        </is>
      </c>
      <c r="B58" s="74" t="inlineStr">
        <is>
          <t>Comercial</t>
        </is>
      </c>
      <c r="C58" s="74" t="inlineStr">
        <is>
          <t>Despesa do consultor BARTOLOMEU</t>
        </is>
      </c>
      <c r="D58" s="74" t="inlineStr">
        <is>
          <t>Soares e Silva</t>
        </is>
      </c>
      <c r="E58" s="151" t="n">
        <v>4</v>
      </c>
      <c r="F58" s="100" t="n">
        <v>383.56</v>
      </c>
      <c r="G58" s="100" t="n">
        <v>1534.24</v>
      </c>
      <c r="H58" s="74" t="inlineStr">
        <is>
          <t>Despesa trabalhista e combustÍvel do consultor dividido pelo total de vendas (cliente 11663,11670,11886)</t>
        </is>
      </c>
    </row>
    <row r="59" ht="15" customHeight="1" s="75">
      <c r="A59" s="74" t="inlineStr">
        <is>
          <t>ABRIL/2026</t>
        </is>
      </c>
      <c r="B59" s="74" t="inlineStr">
        <is>
          <t>Comercial</t>
        </is>
      </c>
      <c r="C59" s="74" t="inlineStr">
        <is>
          <t>Despesa do consultor PAULO MELO</t>
        </is>
      </c>
      <c r="D59" s="74" t="inlineStr">
        <is>
          <t>Soares e Silva</t>
        </is>
      </c>
      <c r="E59" s="151" t="n">
        <v>4</v>
      </c>
      <c r="F59" s="100" t="n">
        <v>338.53</v>
      </c>
      <c r="G59" s="100" t="n">
        <v>1354.12</v>
      </c>
      <c r="H59" s="74" t="inlineStr">
        <is>
          <t>Despesa trabalhista e combustÍvel dividida pela quantidade de vendas(cliente 12023,11614)</t>
        </is>
      </c>
    </row>
    <row r="60" ht="15" customHeight="1" s="75">
      <c r="A60" s="74" t="inlineStr">
        <is>
          <t>ABRIL/2026</t>
        </is>
      </c>
      <c r="B60" s="74" t="inlineStr">
        <is>
          <t>Comercial</t>
        </is>
      </c>
      <c r="C60" s="74" t="inlineStr">
        <is>
          <t>Despesa do consultor PEDRO GREGO</t>
        </is>
      </c>
      <c r="D60" s="74" t="inlineStr">
        <is>
          <t>Soares e Silva</t>
        </is>
      </c>
      <c r="E60" s="151" t="n">
        <v>2</v>
      </c>
      <c r="F60" s="100" t="n">
        <v>400.26</v>
      </c>
      <c r="G60" s="100" t="n">
        <v>800.52</v>
      </c>
      <c r="H60" s="74" t="inlineStr">
        <is>
          <t>Despesa trabalhista e combustÍvel dividida pela quantidade de vendas (cliente 11395,11810)</t>
        </is>
      </c>
    </row>
    <row r="61" ht="15" customHeight="1" s="75">
      <c r="A61" s="74" t="inlineStr">
        <is>
          <t>ABRIL/2026</t>
        </is>
      </c>
      <c r="B61" s="74" t="inlineStr">
        <is>
          <t>Comercial</t>
        </is>
      </c>
      <c r="C61" s="74" t="inlineStr">
        <is>
          <t>Despesa do coordenador TIAGO, pela gestão da equipe</t>
        </is>
      </c>
      <c r="D61" s="74" t="inlineStr">
        <is>
          <t>Soares e Silva</t>
        </is>
      </c>
      <c r="E61" s="151" t="n">
        <v>1</v>
      </c>
      <c r="F61" s="100" t="n">
        <v>588.98</v>
      </c>
      <c r="G61" s="100" t="n">
        <v>588.98</v>
      </c>
      <c r="H61" s="74" t="inlineStr">
        <is>
          <t>Despesa com combustÍvel e utilização de veÍculo dx2</t>
        </is>
      </c>
    </row>
    <row r="62" ht="15" customHeight="1" s="75">
      <c r="A62" s="74" t="inlineStr">
        <is>
          <t>ABRIL/2026</t>
        </is>
      </c>
      <c r="B62" s="74" t="inlineStr">
        <is>
          <t>Comercial</t>
        </is>
      </c>
      <c r="C62" s="74" t="inlineStr">
        <is>
          <t>Despesa do coordenador TIAGO, pela gestão da equipe</t>
        </is>
      </c>
      <c r="D62" s="74" t="inlineStr">
        <is>
          <t>Soares e Silva</t>
        </is>
      </c>
      <c r="E62" s="151" t="n">
        <v>149</v>
      </c>
      <c r="F62" s="100" t="n">
        <v>20.06</v>
      </c>
      <c r="G62" s="100" t="n">
        <v>2988.94</v>
      </c>
      <c r="H62" s="74" t="inlineStr">
        <is>
          <t>Despesa trabalhista e pela quantidade de vendas</t>
        </is>
      </c>
    </row>
    <row r="63" ht="15" customHeight="1" s="75">
      <c r="A63" s="74" t="inlineStr">
        <is>
          <t>ABRIL/2026</t>
        </is>
      </c>
      <c r="B63" s="74" t="inlineStr">
        <is>
          <t>Comercial</t>
        </is>
      </c>
      <c r="C63" s="74" t="inlineStr">
        <is>
          <t>Vendas da equipe Dtel porta a porta p/ Soares e silva</t>
        </is>
      </c>
      <c r="D63" s="74" t="inlineStr">
        <is>
          <t>Soares e Silva</t>
        </is>
      </c>
      <c r="E63" s="151" t="n">
        <v>2</v>
      </c>
      <c r="F63" s="100" t="n">
        <v>0</v>
      </c>
      <c r="G63" s="100" t="n">
        <v>0</v>
      </c>
      <c r="H63" s="74" t="inlineStr">
        <is>
          <t>Vendas instaladas</t>
        </is>
      </c>
    </row>
    <row r="64" ht="15" customHeight="1" s="75">
      <c r="A64" s="74" t="inlineStr">
        <is>
          <t>ABRIL/2026</t>
        </is>
      </c>
      <c r="B64" s="74" t="inlineStr">
        <is>
          <t>Comercial</t>
        </is>
      </c>
      <c r="C64" s="74" t="inlineStr">
        <is>
          <t>Vendas da equipe H&amp;A para Soares e Silva</t>
        </is>
      </c>
      <c r="D64" s="74" t="inlineStr">
        <is>
          <t>Soares e Silva</t>
        </is>
      </c>
      <c r="E64" s="151" t="n">
        <v>0</v>
      </c>
      <c r="F64" s="100" t="n">
        <v>0</v>
      </c>
      <c r="G64" s="100" t="n">
        <v>0</v>
      </c>
      <c r="H64" s="74" t="inlineStr">
        <is>
          <t>Vendas instaladas</t>
        </is>
      </c>
    </row>
    <row r="65" ht="15" customHeight="1" s="75">
      <c r="A65" s="74" t="inlineStr">
        <is>
          <t>ABRIL/2026</t>
        </is>
      </c>
      <c r="B65" s="74" t="inlineStr">
        <is>
          <t>Comercial</t>
        </is>
      </c>
      <c r="C65" s="74" t="inlineStr">
        <is>
          <t>Vendas da equipe Soares e Silva p/ DTEL</t>
        </is>
      </c>
      <c r="D65" s="74" t="inlineStr">
        <is>
          <t>Soares e Silva</t>
        </is>
      </c>
      <c r="E65" s="151" t="n">
        <v>2</v>
      </c>
      <c r="F65" s="100" t="n">
        <v>0</v>
      </c>
      <c r="G65" s="100" t="n">
        <v>0</v>
      </c>
      <c r="H65" s="74" t="inlineStr">
        <is>
          <t>Vendas instaladas</t>
        </is>
      </c>
    </row>
    <row r="66" ht="15" customHeight="1" s="75">
      <c r="A66" s="74" t="inlineStr">
        <is>
          <t>ABRIL/2026</t>
        </is>
      </c>
      <c r="B66" s="74" t="inlineStr">
        <is>
          <t>Comercial</t>
        </is>
      </c>
      <c r="C66" s="74" t="inlineStr">
        <is>
          <t>Vendas da equipe soares e lins porta a porta p/ Soares e silva</t>
        </is>
      </c>
      <c r="D66" s="74" t="inlineStr">
        <is>
          <t>Soares e Silva</t>
        </is>
      </c>
      <c r="E66" s="151" t="n">
        <v>0</v>
      </c>
      <c r="F66" s="100" t="n">
        <v>0</v>
      </c>
      <c r="G66" s="100" t="n">
        <v>0</v>
      </c>
      <c r="H66" s="74" t="inlineStr">
        <is>
          <t>Vendas instaladas</t>
        </is>
      </c>
    </row>
    <row r="67" ht="15" customHeight="1" s="75">
      <c r="A67" s="74" t="inlineStr">
        <is>
          <t>ABRIL/2026</t>
        </is>
      </c>
      <c r="B67" s="74" t="inlineStr">
        <is>
          <t>Comercial</t>
        </is>
      </c>
      <c r="C67" s="74" t="inlineStr">
        <is>
          <t>Consultas e análises de crédito</t>
        </is>
      </c>
      <c r="D67" s="74" t="inlineStr">
        <is>
          <t>Solon Araújo</t>
        </is>
      </c>
      <c r="E67" s="151" t="n">
        <v>537</v>
      </c>
      <c r="F67" s="100" t="n">
        <v>1.86</v>
      </c>
      <c r="G67" s="100" t="n">
        <v>998.8200000000001</v>
      </c>
      <c r="H67" s="74" t="inlineStr">
        <is>
          <t>Vendas cadastradas e consultadas pelo argos</t>
        </is>
      </c>
    </row>
    <row r="68" ht="15" customHeight="1" s="75">
      <c r="A68" s="74" t="inlineStr">
        <is>
          <t>ABRIL/2026</t>
        </is>
      </c>
      <c r="B68" s="74" t="inlineStr">
        <is>
          <t>Comercial</t>
        </is>
      </c>
      <c r="C68" s="74" t="inlineStr">
        <is>
          <t>Despesa do consultor BARTOLOMEU</t>
        </is>
      </c>
      <c r="D68" s="74" t="inlineStr">
        <is>
          <t>Solon Araújo</t>
        </is>
      </c>
      <c r="E68" s="151" t="n">
        <v>1</v>
      </c>
      <c r="F68" s="100" t="n">
        <v>383.56</v>
      </c>
      <c r="G68" s="100" t="n">
        <v>383.56</v>
      </c>
      <c r="H68" s="74" t="inlineStr">
        <is>
          <t>Despesa trabalhista e combustível do consultor dividido pelo total de vendas (cliente 28304,27900)</t>
        </is>
      </c>
    </row>
    <row r="69" ht="15" customHeight="1" s="75">
      <c r="A69" s="74" t="inlineStr">
        <is>
          <t>ABRIL/2026</t>
        </is>
      </c>
      <c r="B69" s="74" t="inlineStr">
        <is>
          <t>Comercial</t>
        </is>
      </c>
      <c r="C69" s="74" t="inlineStr">
        <is>
          <t>Despesa do consultor PAULO MELO</t>
        </is>
      </c>
      <c r="D69" s="74" t="inlineStr">
        <is>
          <t>Solon Araújo</t>
        </is>
      </c>
      <c r="E69" s="151" t="n">
        <v>4</v>
      </c>
      <c r="F69" s="100" t="n">
        <v>338.53</v>
      </c>
      <c r="G69" s="100" t="n">
        <v>1354.12</v>
      </c>
      <c r="H69" s="74" t="inlineStr">
        <is>
          <t>Despesa trabalhista e combustível dividida pela quantidade de vendas(cliente 28844)</t>
        </is>
      </c>
    </row>
    <row r="70" ht="15" customHeight="1" s="75">
      <c r="A70" s="74" t="inlineStr">
        <is>
          <t>ABRIL/2026</t>
        </is>
      </c>
      <c r="B70" s="74" t="inlineStr">
        <is>
          <t>Comercial</t>
        </is>
      </c>
      <c r="C70" s="74" t="inlineStr">
        <is>
          <t>Despesa do consultor PEDRO GREGO</t>
        </is>
      </c>
      <c r="D70" s="74" t="inlineStr">
        <is>
          <t>Solon Araújo</t>
        </is>
      </c>
      <c r="E70" s="151" t="n">
        <v>1</v>
      </c>
      <c r="F70" s="100" t="n">
        <v>400.26</v>
      </c>
      <c r="G70" s="100" t="n">
        <v>400.26</v>
      </c>
      <c r="H70" s="74" t="inlineStr">
        <is>
          <t>Despesa trabalhista e combustível dividida pela quantidade de vendas (cliente 28561,28511,28473,28474)</t>
        </is>
      </c>
    </row>
    <row r="71" ht="15" customHeight="1" s="75">
      <c r="A71" s="74" t="inlineStr">
        <is>
          <t>ABRIL/2026</t>
        </is>
      </c>
      <c r="B71" s="74" t="inlineStr">
        <is>
          <t>Comercial</t>
        </is>
      </c>
      <c r="C71" s="74" t="inlineStr">
        <is>
          <t>Despesa do coordenador TARCIZIO, pela gestão da equipe</t>
        </is>
      </c>
      <c r="D71" s="74" t="inlineStr">
        <is>
          <t>Solon Araújo</t>
        </is>
      </c>
      <c r="E71" s="151" t="n">
        <v>1</v>
      </c>
      <c r="F71" s="100" t="n">
        <v>434.14</v>
      </c>
      <c r="G71" s="100" t="n">
        <v>434.14</v>
      </c>
      <c r="H71" s="74" t="inlineStr">
        <is>
          <t>Despesa com combustivel e utilização carro dtel</t>
        </is>
      </c>
    </row>
    <row r="72" ht="15" customHeight="1" s="75">
      <c r="A72" s="74" t="inlineStr">
        <is>
          <t>ABRIL/2026</t>
        </is>
      </c>
      <c r="B72" s="74" t="inlineStr">
        <is>
          <t>Comercial</t>
        </is>
      </c>
      <c r="C72" s="74" t="inlineStr">
        <is>
          <t>Despesa do coordenador TARCIZIO, pela gestão da equipe</t>
        </is>
      </c>
      <c r="D72" s="74" t="inlineStr">
        <is>
          <t>Solon Araújo</t>
        </is>
      </c>
      <c r="E72" s="151" t="n">
        <v>9</v>
      </c>
      <c r="F72" s="100" t="n">
        <v>9.699999999999999</v>
      </c>
      <c r="G72" s="100" t="n">
        <v>87.3</v>
      </c>
      <c r="H72" s="74" t="inlineStr">
        <is>
          <t>Despesa trabalhista dividida pela quantidade de vendas</t>
        </is>
      </c>
    </row>
    <row r="73" ht="15" customHeight="1" s="75">
      <c r="A73" s="74" t="inlineStr">
        <is>
          <t>ABRIL/2026</t>
        </is>
      </c>
      <c r="B73" s="74" t="inlineStr">
        <is>
          <t>Comercial</t>
        </is>
      </c>
      <c r="C73" s="74" t="inlineStr">
        <is>
          <t>Vendas da equipe Dtel porta a porta</t>
        </is>
      </c>
      <c r="D73" s="74" t="inlineStr">
        <is>
          <t>Solon Araújo</t>
        </is>
      </c>
      <c r="E73" s="151" t="n">
        <v>15</v>
      </c>
      <c r="F73" s="100" t="n">
        <v>0</v>
      </c>
      <c r="G73" s="100" t="n">
        <v>0</v>
      </c>
      <c r="H73" s="74" t="inlineStr">
        <is>
          <t>Vendas instaladas</t>
        </is>
      </c>
    </row>
    <row r="74" ht="15" customHeight="1" s="75">
      <c r="A74" s="74" t="inlineStr">
        <is>
          <t>ABRIL/2026</t>
        </is>
      </c>
      <c r="B74" s="74" t="inlineStr">
        <is>
          <t>Comercial</t>
        </is>
      </c>
      <c r="C74" s="74" t="inlineStr">
        <is>
          <t>Vendas da equipe Litoral p/ Dtel</t>
        </is>
      </c>
      <c r="D74" s="74" t="inlineStr">
        <is>
          <t>Solon Araújo</t>
        </is>
      </c>
      <c r="E74" s="151" t="n">
        <v>0</v>
      </c>
      <c r="F74" s="100" t="n">
        <v>0</v>
      </c>
      <c r="G74" s="100" t="n">
        <v>0</v>
      </c>
      <c r="H74" s="74" t="inlineStr">
        <is>
          <t>Vendas instaladas</t>
        </is>
      </c>
    </row>
    <row r="75" ht="15" customHeight="1" s="75">
      <c r="A75" s="74" t="inlineStr">
        <is>
          <t>ABRIL/2026</t>
        </is>
      </c>
      <c r="B75" s="74" t="inlineStr">
        <is>
          <t>Comercial</t>
        </is>
      </c>
      <c r="C75" s="74" t="inlineStr">
        <is>
          <t>Vendas da equipe Voicenet p/ Solon</t>
        </is>
      </c>
      <c r="D75" s="74" t="inlineStr">
        <is>
          <t>Solon Araújo</t>
        </is>
      </c>
      <c r="E75" s="151" t="n">
        <v>0</v>
      </c>
      <c r="F75" s="100" t="n">
        <v>0</v>
      </c>
      <c r="G75" s="100" t="n">
        <v>0</v>
      </c>
      <c r="H75" s="74" t="inlineStr">
        <is>
          <t>Vendas instaladas</t>
        </is>
      </c>
    </row>
    <row r="76" ht="15" customHeight="1" s="75">
      <c r="A76" s="74" t="inlineStr">
        <is>
          <t>ABRIL/2026</t>
        </is>
      </c>
      <c r="B76" s="74" t="inlineStr">
        <is>
          <t>Comercial</t>
        </is>
      </c>
      <c r="C76" s="74" t="inlineStr">
        <is>
          <t>Vendas da equipe da soares e lins para Solon</t>
        </is>
      </c>
      <c r="D76" s="74" t="inlineStr">
        <is>
          <t>Solon Araújo</t>
        </is>
      </c>
      <c r="E76" s="151" t="n">
        <v>0</v>
      </c>
      <c r="F76" s="100" t="n">
        <v>0</v>
      </c>
      <c r="G76" s="100" t="n">
        <v>0</v>
      </c>
      <c r="H76" s="74" t="inlineStr">
        <is>
          <t>Vendas instaladas</t>
        </is>
      </c>
    </row>
    <row r="77" ht="15" customHeight="1" s="75">
      <c r="A77" s="74" t="inlineStr">
        <is>
          <t>ABRIL/2026</t>
        </is>
      </c>
      <c r="B77" s="74" t="inlineStr">
        <is>
          <t>Comercial</t>
        </is>
      </c>
      <c r="C77" s="74" t="inlineStr">
        <is>
          <t>Consultas e análises de crédito</t>
        </is>
      </c>
      <c r="D77" s="74" t="inlineStr">
        <is>
          <t>Souza e Silva</t>
        </is>
      </c>
      <c r="E77" s="151" t="n">
        <v>163</v>
      </c>
      <c r="F77" s="100" t="n">
        <v>1.86</v>
      </c>
      <c r="G77" s="100" t="n">
        <v>303.18</v>
      </c>
      <c r="H77" s="74" t="inlineStr">
        <is>
          <t>Vendas cadastradas e consultadas pelo argos</t>
        </is>
      </c>
    </row>
    <row r="78" ht="15" customHeight="1" s="75">
      <c r="A78" s="74" t="inlineStr">
        <is>
          <t>ABRIL/2026</t>
        </is>
      </c>
      <c r="B78" s="74" t="inlineStr">
        <is>
          <t>Comercial</t>
        </is>
      </c>
      <c r="C78" s="74" t="inlineStr">
        <is>
          <t>Despesa do consultor BARTOLOMEU</t>
        </is>
      </c>
      <c r="D78" s="74" t="inlineStr">
        <is>
          <t>Souza e Silva</t>
        </is>
      </c>
      <c r="E78" s="151" t="n">
        <v>1</v>
      </c>
      <c r="F78" s="100" t="n">
        <v>383.56</v>
      </c>
      <c r="G78" s="100" t="n">
        <v>383.56</v>
      </c>
      <c r="H78" s="74" t="inlineStr">
        <is>
          <t>Despesa trabalhista e combustível do consultor dividido pelo total de vendas (9691,9772,9805)</t>
        </is>
      </c>
    </row>
    <row r="79" ht="15" customHeight="1" s="75">
      <c r="A79" s="74" t="inlineStr">
        <is>
          <t>ABRIL/2026</t>
        </is>
      </c>
      <c r="B79" s="74" t="inlineStr">
        <is>
          <t>Comercial</t>
        </is>
      </c>
      <c r="C79" s="74" t="inlineStr">
        <is>
          <t>Despesa do consultor PAULO MELO</t>
        </is>
      </c>
      <c r="D79" s="74" t="inlineStr">
        <is>
          <t>Souza e Silva</t>
        </is>
      </c>
      <c r="E79" s="151" t="n">
        <v>0</v>
      </c>
      <c r="F79" s="100" t="n">
        <v>0</v>
      </c>
      <c r="G79" s="100" t="n">
        <v>0</v>
      </c>
      <c r="H79" s="74" t="inlineStr">
        <is>
          <t>Despesa trabalhista e combustivel dividida pela quantidade de vendas</t>
        </is>
      </c>
    </row>
    <row r="80" ht="15" customHeight="1" s="75">
      <c r="A80" s="74" t="inlineStr">
        <is>
          <t>ABRIL/2026</t>
        </is>
      </c>
      <c r="B80" s="74" t="inlineStr">
        <is>
          <t>Comercial</t>
        </is>
      </c>
      <c r="C80" s="74" t="inlineStr">
        <is>
          <t>Despesa do consultor PEDRO GREGO</t>
        </is>
      </c>
      <c r="D80" s="74" t="inlineStr">
        <is>
          <t>Souza e Silva</t>
        </is>
      </c>
      <c r="E80" s="151" t="n">
        <v>1</v>
      </c>
      <c r="F80" s="100" t="n">
        <v>400.26</v>
      </c>
      <c r="G80" s="100" t="n">
        <v>400.26</v>
      </c>
      <c r="H80" s="74" t="inlineStr">
        <is>
          <t>Despesa trabalhista e combustivel do consultor dividido pelo total de vendas</t>
        </is>
      </c>
    </row>
    <row r="81" ht="15" customHeight="1" s="75">
      <c r="A81" s="74" t="inlineStr">
        <is>
          <t>ABRIL/2026</t>
        </is>
      </c>
      <c r="B81" s="74" t="inlineStr">
        <is>
          <t>Comercial</t>
        </is>
      </c>
      <c r="C81" s="74" t="inlineStr">
        <is>
          <t>Despesa do coordenador TARCIZIO, pela gestão da equipe</t>
        </is>
      </c>
      <c r="D81" s="74" t="inlineStr">
        <is>
          <t>Souza e Silva</t>
        </is>
      </c>
      <c r="E81" s="151" t="n">
        <v>1</v>
      </c>
      <c r="F81" s="100" t="n">
        <v>867</v>
      </c>
      <c r="G81" s="100" t="n">
        <v>867</v>
      </c>
      <c r="H81" s="74" t="inlineStr">
        <is>
          <t>Despesa com combustível e utilização carro dtel</t>
        </is>
      </c>
    </row>
    <row r="82" ht="15" customHeight="1" s="75">
      <c r="A82" s="74" t="inlineStr">
        <is>
          <t>ABRIL/2026</t>
        </is>
      </c>
      <c r="B82" s="74" t="inlineStr">
        <is>
          <t>Comercial</t>
        </is>
      </c>
      <c r="C82" s="74" t="inlineStr">
        <is>
          <t>Despesa do coordenador TARCIZIO, pela gestão da equipe</t>
        </is>
      </c>
      <c r="D82" s="74" t="inlineStr">
        <is>
          <t>Souza e Silva</t>
        </is>
      </c>
      <c r="E82" s="151" t="n">
        <v>21</v>
      </c>
      <c r="F82" s="100" t="n">
        <v>9.699999999999999</v>
      </c>
      <c r="G82" s="100" t="n">
        <v>203.7</v>
      </c>
      <c r="H82" s="74" t="inlineStr">
        <is>
          <t>Despesa trabalhista dividida pela quantidade de vendas</t>
        </is>
      </c>
    </row>
    <row r="83" ht="15" customHeight="1" s="75">
      <c r="A83" s="74" t="inlineStr">
        <is>
          <t>ABRIL/2026</t>
        </is>
      </c>
      <c r="B83" s="74" t="inlineStr">
        <is>
          <t>Comercial</t>
        </is>
      </c>
      <c r="C83" s="74" t="inlineStr">
        <is>
          <t>Vendas da equipe Dtel porta a porta</t>
        </is>
      </c>
      <c r="D83" s="74" t="inlineStr">
        <is>
          <t>Souza e Silva</t>
        </is>
      </c>
      <c r="E83" s="151" t="n">
        <v>0</v>
      </c>
      <c r="F83" s="100" t="n">
        <v>0</v>
      </c>
      <c r="G83" s="100" t="n">
        <v>0</v>
      </c>
      <c r="H83" s="74" t="inlineStr">
        <is>
          <t>Vendas instaladas</t>
        </is>
      </c>
    </row>
    <row r="84" ht="15" customHeight="1" s="75">
      <c r="A84" s="74" t="inlineStr">
        <is>
          <t>ABRIL/2026</t>
        </is>
      </c>
      <c r="B84" s="74" t="inlineStr">
        <is>
          <t>Comercial</t>
        </is>
      </c>
      <c r="C84" s="74" t="inlineStr">
        <is>
          <t>Vendas da equipe Souza e silva p/ DTEL</t>
        </is>
      </c>
      <c r="D84" s="74" t="inlineStr">
        <is>
          <t>Souza e Silva</t>
        </is>
      </c>
      <c r="E84" s="151" t="n">
        <v>0</v>
      </c>
      <c r="F84" s="100" t="n">
        <v>0</v>
      </c>
      <c r="G84" s="100" t="n">
        <v>0</v>
      </c>
      <c r="H84" s="74" t="inlineStr">
        <is>
          <t>Vendas instaladas</t>
        </is>
      </c>
    </row>
    <row r="85" ht="15" customHeight="1" s="75">
      <c r="A85" s="74" t="inlineStr">
        <is>
          <t>ABRIL/2026</t>
        </is>
      </c>
      <c r="B85" s="74" t="inlineStr">
        <is>
          <t>Comercial</t>
        </is>
      </c>
      <c r="C85" s="74" t="inlineStr">
        <is>
          <t>Consultas e análises de crédito</t>
        </is>
      </c>
      <c r="D85" s="74" t="inlineStr">
        <is>
          <t>Voicenet</t>
        </is>
      </c>
      <c r="E85" s="151" t="n">
        <v>378</v>
      </c>
      <c r="F85" s="100" t="n">
        <v>1.86</v>
      </c>
      <c r="G85" s="100" t="n">
        <v>703.08</v>
      </c>
      <c r="H85" s="74" t="inlineStr">
        <is>
          <t>Vendas cadastradas e consultadas pelo argos</t>
        </is>
      </c>
    </row>
    <row r="86" ht="15" customHeight="1" s="75">
      <c r="A86" s="74" t="inlineStr">
        <is>
          <t>ABRIL/2026</t>
        </is>
      </c>
      <c r="B86" s="74" t="inlineStr">
        <is>
          <t>Comercial</t>
        </is>
      </c>
      <c r="C86" s="74" t="inlineStr">
        <is>
          <t>Despesa do consultor BARTOLOMEU</t>
        </is>
      </c>
      <c r="D86" s="74" t="inlineStr">
        <is>
          <t>Voicenet</t>
        </is>
      </c>
      <c r="E86" s="151" t="n">
        <v>1</v>
      </c>
      <c r="F86" s="100" t="n">
        <v>383.56</v>
      </c>
      <c r="G86" s="100" t="n">
        <v>383.56</v>
      </c>
      <c r="H86" s="74" t="inlineStr">
        <is>
          <t>Despesa trabalhista e combustivel dividida pela quantidade de vendas (cliente 15595)</t>
        </is>
      </c>
    </row>
    <row r="87" ht="15" customHeight="1" s="75">
      <c r="A87" s="74" t="inlineStr">
        <is>
          <t>ABRIL/2026</t>
        </is>
      </c>
      <c r="B87" s="74" t="inlineStr">
        <is>
          <t>Comercial</t>
        </is>
      </c>
      <c r="C87" s="74" t="inlineStr">
        <is>
          <t>Despesa do consultor PAULO MELO</t>
        </is>
      </c>
      <c r="D87" s="74" t="inlineStr">
        <is>
          <t>Voicenet</t>
        </is>
      </c>
      <c r="E87" s="151" t="n">
        <v>2</v>
      </c>
      <c r="F87" s="100" t="n">
        <v>338.53</v>
      </c>
      <c r="G87" s="100" t="n">
        <v>677.0599999999999</v>
      </c>
      <c r="H87" s="74" t="inlineStr">
        <is>
          <t>Despesa trabalhista e combustivel do consultor dividido pelo total de vendas(cliente 15826, 15746)</t>
        </is>
      </c>
    </row>
    <row r="88" ht="15" customHeight="1" s="75">
      <c r="A88" s="74" t="inlineStr">
        <is>
          <t>ABRIL/2026</t>
        </is>
      </c>
      <c r="B88" s="74" t="inlineStr">
        <is>
          <t>Comercial</t>
        </is>
      </c>
      <c r="C88" s="74" t="inlineStr">
        <is>
          <t>Despesa do consultor PEDRO GREGO</t>
        </is>
      </c>
      <c r="D88" s="74" t="inlineStr">
        <is>
          <t>Voicenet</t>
        </is>
      </c>
      <c r="E88" s="151" t="n">
        <v>2</v>
      </c>
      <c r="F88" s="100" t="n">
        <v>400.26</v>
      </c>
      <c r="G88" s="100" t="n">
        <v>800.52</v>
      </c>
      <c r="H88" s="74" t="inlineStr">
        <is>
          <t>Despesa trabalhista e combustivel dividida pela quantidade de vendas(cliente 15745,15735)</t>
        </is>
      </c>
    </row>
    <row r="89" ht="15" customHeight="1" s="75">
      <c r="A89" s="74" t="inlineStr">
        <is>
          <t>ABRIL/2026</t>
        </is>
      </c>
      <c r="B89" s="74" t="inlineStr">
        <is>
          <t>Comercial</t>
        </is>
      </c>
      <c r="C89" s="74" t="inlineStr">
        <is>
          <t>Vendas da equipe Dtel porta a porta</t>
        </is>
      </c>
      <c r="D89" s="74" t="inlineStr">
        <is>
          <t>Voicenet</t>
        </is>
      </c>
      <c r="E89" s="151" t="n">
        <v>4</v>
      </c>
      <c r="F89" s="100" t="n">
        <v>0</v>
      </c>
      <c r="G89" s="100" t="n">
        <v>0</v>
      </c>
      <c r="H89" s="74" t="inlineStr">
        <is>
          <t>Vendas instaladas</t>
        </is>
      </c>
    </row>
    <row r="90" ht="15" customHeight="1" s="75">
      <c r="A90" s="74" t="inlineStr">
        <is>
          <t>ABRIL/2026</t>
        </is>
      </c>
      <c r="B90" s="74" t="inlineStr">
        <is>
          <t>Comercial</t>
        </is>
      </c>
      <c r="C90" s="74" t="inlineStr">
        <is>
          <t>Vendas da equipe H&amp;A p/ voice</t>
        </is>
      </c>
      <c r="D90" s="74" t="inlineStr">
        <is>
          <t>Voicenet</t>
        </is>
      </c>
      <c r="E90" s="151" t="n">
        <v>0</v>
      </c>
      <c r="F90" s="100" t="n">
        <v>0</v>
      </c>
      <c r="G90" s="100" t="n">
        <v>0</v>
      </c>
      <c r="H90" s="74" t="inlineStr">
        <is>
          <t>Vendas instaladas</t>
        </is>
      </c>
    </row>
    <row r="91" ht="15" customHeight="1" s="75">
      <c r="A91" s="74" t="inlineStr">
        <is>
          <t>ABRIL/2026</t>
        </is>
      </c>
      <c r="B91" s="74" t="inlineStr">
        <is>
          <t>Comercial</t>
        </is>
      </c>
      <c r="C91" s="74" t="inlineStr">
        <is>
          <t>Vendas da equipe Voicenet para Dtel</t>
        </is>
      </c>
      <c r="D91" s="74" t="inlineStr">
        <is>
          <t>Voicenet</t>
        </is>
      </c>
      <c r="E91" s="151" t="n">
        <v>-15</v>
      </c>
      <c r="F91" s="100" t="n">
        <v>0</v>
      </c>
      <c r="G91" s="100" t="n">
        <v>0</v>
      </c>
      <c r="H91" s="74" t="inlineStr">
        <is>
          <t>Vendas instaladas</t>
        </is>
      </c>
    </row>
    <row r="92" ht="15" customHeight="1" s="75">
      <c r="A92" s="74" t="inlineStr">
        <is>
          <t>ABRIL/2026</t>
        </is>
      </c>
      <c r="B92" s="74" t="inlineStr">
        <is>
          <t>Comercial</t>
        </is>
      </c>
      <c r="C92" s="74" t="inlineStr">
        <is>
          <t>Vendas da equipe da Voicenet para S &amp; L</t>
        </is>
      </c>
      <c r="D92" s="74" t="inlineStr">
        <is>
          <t>Voicenet</t>
        </is>
      </c>
      <c r="E92" s="151" t="n">
        <v>0</v>
      </c>
      <c r="F92" s="100" t="n">
        <v>0</v>
      </c>
      <c r="G92" s="100" t="n">
        <v>0</v>
      </c>
      <c r="H92" s="74" t="inlineStr">
        <is>
          <t>Vendas instaladas</t>
        </is>
      </c>
    </row>
    <row r="93" ht="15" customHeight="1" s="75">
      <c r="A93" s="74" t="inlineStr">
        <is>
          <t>ABRIL/2026</t>
        </is>
      </c>
      <c r="B93" s="74" t="inlineStr">
        <is>
          <t>Comercial</t>
        </is>
      </c>
      <c r="C93" s="74" t="inlineStr">
        <is>
          <t>Vendas da equipe voicenet p/ Solon</t>
        </is>
      </c>
      <c r="D93" s="74" t="inlineStr">
        <is>
          <t>Voicenet</t>
        </is>
      </c>
      <c r="E93" s="151" t="n">
        <v>0</v>
      </c>
      <c r="F93" s="100" t="n">
        <v>0</v>
      </c>
      <c r="G93" s="100" t="n">
        <v>0</v>
      </c>
      <c r="H93" s="74" t="inlineStr">
        <is>
          <t>Vendas instaladas</t>
        </is>
      </c>
    </row>
    <row r="94" ht="15" customHeight="1" s="75">
      <c r="A94" s="74" t="inlineStr">
        <is>
          <t>ABRIL/2026</t>
        </is>
      </c>
      <c r="B94" s="74" t="inlineStr">
        <is>
          <t>Configuração</t>
        </is>
      </c>
      <c r="C94" s="74" t="inlineStr">
        <is>
          <t>Serviços de configuração e suporte ao Técnico</t>
        </is>
      </c>
      <c r="D94" s="74" t="inlineStr">
        <is>
          <t>DX2</t>
        </is>
      </c>
      <c r="E94" s="151" t="n">
        <v>6280</v>
      </c>
      <c r="F94" s="100" t="n">
        <v>0.178624545023269</v>
      </c>
      <c r="G94" s="100" t="n">
        <v>1121.76214274613</v>
      </c>
      <c r="H94" s="74" t="inlineStr">
        <is>
          <t>Cálculo por número de clientes ativos</t>
        </is>
      </c>
    </row>
    <row r="95" ht="15" customHeight="1" s="75">
      <c r="A95" s="74" t="inlineStr">
        <is>
          <t>ABRIL/2026</t>
        </is>
      </c>
      <c r="B95" s="74" t="inlineStr">
        <is>
          <t>Configuração</t>
        </is>
      </c>
      <c r="C95" s="74" t="inlineStr">
        <is>
          <t>Serviços de configuração e suporte ao Técnico</t>
        </is>
      </c>
      <c r="D95" s="74" t="inlineStr">
        <is>
          <t>H&amp;A</t>
        </is>
      </c>
      <c r="E95" s="151" t="n">
        <v>13402</v>
      </c>
      <c r="F95" s="100" t="n">
        <v>0.178624545023269</v>
      </c>
      <c r="G95" s="100" t="n">
        <v>2393.92615240185</v>
      </c>
      <c r="H95" s="74" t="inlineStr">
        <is>
          <t>Cálculo por número de clientes ativos</t>
        </is>
      </c>
    </row>
    <row r="96" ht="15" customHeight="1" s="75">
      <c r="A96" s="74" t="inlineStr">
        <is>
          <t>ABRIL/2026</t>
        </is>
      </c>
      <c r="B96" s="74" t="inlineStr">
        <is>
          <t>Configuração</t>
        </is>
      </c>
      <c r="C96" s="74" t="inlineStr">
        <is>
          <t>Serviços de configuração e suporte ao Técnico</t>
        </is>
      </c>
      <c r="D96" s="74" t="inlineStr">
        <is>
          <t>Soares e Lins</t>
        </is>
      </c>
      <c r="E96" s="151" t="n">
        <v>3650</v>
      </c>
      <c r="F96" s="100" t="n">
        <v>0.178624545023269</v>
      </c>
      <c r="G96" s="100" t="n">
        <v>651.979589334932</v>
      </c>
      <c r="H96" s="74" t="inlineStr">
        <is>
          <t>Cálculo por número de clientes ativos</t>
        </is>
      </c>
    </row>
    <row r="97" ht="15" customHeight="1" s="75">
      <c r="A97" s="74" t="inlineStr">
        <is>
          <t>ABRIL/2026</t>
        </is>
      </c>
      <c r="B97" s="74" t="inlineStr">
        <is>
          <t>Configuração</t>
        </is>
      </c>
      <c r="C97" s="74" t="inlineStr">
        <is>
          <t>Serviços de configuração e suporte ao Técnico</t>
        </is>
      </c>
      <c r="D97" s="74" t="inlineStr">
        <is>
          <t>Soares e Silva</t>
        </is>
      </c>
      <c r="E97" s="151" t="n">
        <v>6396</v>
      </c>
      <c r="F97" s="100" t="n">
        <v>0.178624545023269</v>
      </c>
      <c r="G97" s="100" t="n">
        <v>1142.48258996883</v>
      </c>
      <c r="H97" s="74" t="inlineStr">
        <is>
          <t>Cálculo por número de clientes ativos</t>
        </is>
      </c>
    </row>
    <row r="98" ht="15" customHeight="1" s="75">
      <c r="A98" s="74" t="inlineStr">
        <is>
          <t>ABRIL/2026</t>
        </is>
      </c>
      <c r="B98" s="74" t="inlineStr">
        <is>
          <t>Configuração</t>
        </is>
      </c>
      <c r="C98" s="74" t="inlineStr">
        <is>
          <t>Serviços de configuração e suporte ao Técnico</t>
        </is>
      </c>
      <c r="D98" s="74" t="inlineStr">
        <is>
          <t>Solon Araújo</t>
        </is>
      </c>
      <c r="E98" s="151" t="n">
        <v>14331</v>
      </c>
      <c r="F98" s="100" t="n">
        <v>0.178624545023269</v>
      </c>
      <c r="G98" s="100" t="n">
        <v>2559.86835472847</v>
      </c>
      <c r="H98" s="74" t="inlineStr">
        <is>
          <t>Cálculo por número de clientes ativos</t>
        </is>
      </c>
    </row>
    <row r="99" ht="15" customHeight="1" s="75">
      <c r="A99" s="74" t="inlineStr">
        <is>
          <t>ABRIL/2026</t>
        </is>
      </c>
      <c r="B99" s="74" t="inlineStr">
        <is>
          <t>Configuração</t>
        </is>
      </c>
      <c r="C99" s="74" t="inlineStr">
        <is>
          <t>Serviços de configuração e suporte ao Técnico</t>
        </is>
      </c>
      <c r="D99" s="74" t="inlineStr">
        <is>
          <t>Souza e Silva</t>
        </is>
      </c>
      <c r="E99" s="151" t="n">
        <v>4730</v>
      </c>
      <c r="F99" s="100" t="n">
        <v>0.178624545023269</v>
      </c>
      <c r="G99" s="100" t="n">
        <v>844.894097960063</v>
      </c>
      <c r="H99" s="74" t="inlineStr">
        <is>
          <t>Cálculo por número de clientes ativos</t>
        </is>
      </c>
    </row>
    <row r="100" ht="15" customHeight="1" s="75">
      <c r="A100" s="74" t="inlineStr">
        <is>
          <t>ABRIL/2026</t>
        </is>
      </c>
      <c r="B100" s="74" t="inlineStr">
        <is>
          <t>Configuração</t>
        </is>
      </c>
      <c r="C100" s="74" t="inlineStr">
        <is>
          <t>Serviços de configuração e suporte ao Técnico</t>
        </is>
      </c>
      <c r="D100" s="74" t="inlineStr">
        <is>
          <t>Voicenet</t>
        </is>
      </c>
      <c r="E100" s="151" t="n">
        <v>4782</v>
      </c>
      <c r="F100" s="100" t="n">
        <v>0.178624545023269</v>
      </c>
      <c r="G100" s="100" t="n">
        <v>854.182574301273</v>
      </c>
      <c r="H100" s="74" t="inlineStr">
        <is>
          <t>Cálculo por número de clientes ativos</t>
        </is>
      </c>
    </row>
    <row r="101" ht="15" customHeight="1" s="75">
      <c r="A101" s="74" t="inlineStr">
        <is>
          <t>ABRIL/2026</t>
        </is>
      </c>
      <c r="B101" s="74" t="inlineStr">
        <is>
          <t>Contabilidade</t>
        </is>
      </c>
      <c r="C101" s="74" t="inlineStr">
        <is>
          <t>Saldo restante de reembolso</t>
        </is>
      </c>
      <c r="D101" s="74" t="inlineStr">
        <is>
          <t>H&amp;A</t>
        </is>
      </c>
      <c r="E101" s="151" t="n">
        <v>1</v>
      </c>
      <c r="F101" s="100" t="n">
        <v>80</v>
      </c>
      <c r="G101" s="100" t="n">
        <v>80</v>
      </c>
      <c r="H101" s="74" t="inlineStr">
        <is>
          <t>Parcela de reembolso gerado menor que o valor enviado no email de reembolso de março</t>
        </is>
      </c>
    </row>
    <row r="102" ht="15" customHeight="1" s="75">
      <c r="A102" s="74" t="inlineStr">
        <is>
          <t>ABRIL/2026</t>
        </is>
      </c>
      <c r="B102" s="74" t="inlineStr">
        <is>
          <t>Desenvolvimento</t>
        </is>
      </c>
      <c r="C102" s="74" t="inlineStr">
        <is>
          <t>Setor de Desenvolvimento</t>
        </is>
      </c>
      <c r="D102" s="74" t="inlineStr">
        <is>
          <t>H&amp;A</t>
        </is>
      </c>
      <c r="E102" s="151" t="n">
        <v>13402</v>
      </c>
      <c r="F102" s="100" t="n">
        <v>0.0871424396912673</v>
      </c>
      <c r="G102" s="100" t="n">
        <v>1167.88297674237</v>
      </c>
      <c r="H102" s="74" t="inlineStr">
        <is>
          <t>Cálculo por número de clientes ativos</t>
        </is>
      </c>
    </row>
    <row r="103" ht="15" customHeight="1" s="75">
      <c r="A103" s="74" t="inlineStr">
        <is>
          <t>ABRIL/2026</t>
        </is>
      </c>
      <c r="B103" s="74" t="inlineStr">
        <is>
          <t>Engenharia</t>
        </is>
      </c>
      <c r="C103" s="74" t="inlineStr">
        <is>
          <t>Uso mútuo de Postes</t>
        </is>
      </c>
      <c r="D103" s="74" t="inlineStr">
        <is>
          <t>DX2</t>
        </is>
      </c>
      <c r="E103" s="151" t="n">
        <v>1</v>
      </c>
      <c r="F103" s="100" t="n">
        <v>9145.68</v>
      </c>
      <c r="G103" s="100" t="n">
        <v>9145.68</v>
      </c>
      <c r="H103" s="74" t="inlineStr">
        <is>
          <t>Contrato das empresas que está em nome da Dtel</t>
        </is>
      </c>
    </row>
    <row r="104" ht="15" customHeight="1" s="75">
      <c r="A104" s="74" t="inlineStr">
        <is>
          <t>ABRIL/2026</t>
        </is>
      </c>
      <c r="B104" s="74" t="inlineStr">
        <is>
          <t>Engenharia</t>
        </is>
      </c>
      <c r="C104" s="74" t="inlineStr">
        <is>
          <t>Uso mútuo de Postes</t>
        </is>
      </c>
      <c r="D104" s="74" t="inlineStr">
        <is>
          <t>Soares e Lins</t>
        </is>
      </c>
      <c r="E104" s="151" t="n">
        <v>1</v>
      </c>
      <c r="F104" s="100" t="n">
        <v>3372.11</v>
      </c>
      <c r="G104" s="100" t="n">
        <v>3372.11</v>
      </c>
      <c r="H104" s="74" t="inlineStr">
        <is>
          <t>Contrato das empresas que está em nome da Dtel</t>
        </is>
      </c>
    </row>
    <row r="105" ht="15" customHeight="1" s="75">
      <c r="A105" s="74" t="inlineStr">
        <is>
          <t>ABRIL/2026</t>
        </is>
      </c>
      <c r="B105" s="74" t="inlineStr">
        <is>
          <t>Engenharia</t>
        </is>
      </c>
      <c r="C105" s="74" t="inlineStr">
        <is>
          <t>Uso mútuo de Postes</t>
        </is>
      </c>
      <c r="D105" s="74" t="inlineStr">
        <is>
          <t>Souza e Silva</t>
        </is>
      </c>
      <c r="E105" s="151" t="n">
        <v>1</v>
      </c>
      <c r="F105" s="100" t="n">
        <v>15695.77</v>
      </c>
      <c r="G105" s="100" t="n">
        <v>15695.77</v>
      </c>
      <c r="H105" s="74" t="inlineStr">
        <is>
          <t>Contrato das empresas que está em nome da Dtel</t>
        </is>
      </c>
    </row>
    <row r="106" ht="15" customHeight="1" s="75">
      <c r="A106" s="74" t="inlineStr">
        <is>
          <t>ABRIL/2026</t>
        </is>
      </c>
      <c r="B106" s="74" t="inlineStr">
        <is>
          <t>Engenharia</t>
        </is>
      </c>
      <c r="C106" s="74" t="inlineStr">
        <is>
          <t>Despesas da equipe de Engenharia</t>
        </is>
      </c>
      <c r="D106" s="74" t="inlineStr">
        <is>
          <t>Voicenet</t>
        </is>
      </c>
      <c r="E106" s="151" t="n">
        <v>0</v>
      </c>
      <c r="F106" s="100" t="n">
        <v>0</v>
      </c>
      <c r="G106" s="100" t="n">
        <v>0</v>
      </c>
      <c r="H106" s="74" t="inlineStr">
        <is>
          <t>Combustível, alimentação</t>
        </is>
      </c>
    </row>
    <row r="107" ht="15" customHeight="1" s="75">
      <c r="A107" s="74" t="inlineStr">
        <is>
          <t>ABRIL/2026</t>
        </is>
      </c>
      <c r="B107" s="74" t="inlineStr">
        <is>
          <t>Estoque</t>
        </is>
      </c>
      <c r="C107" s="74" t="inlineStr">
        <is>
          <t>Serviços realizados pelo estoque</t>
        </is>
      </c>
      <c r="D107" s="74" t="inlineStr">
        <is>
          <t>DX2</t>
        </is>
      </c>
      <c r="E107" s="151" t="n">
        <v>1</v>
      </c>
      <c r="F107" s="100" t="n">
        <v>1128</v>
      </c>
      <c r="G107" s="100" t="n">
        <v>1128</v>
      </c>
      <c r="H107" s="74" t="inlineStr">
        <is>
          <t>Serviços de marcação de equipamentos</t>
        </is>
      </c>
    </row>
    <row r="108" ht="15" customHeight="1" s="75">
      <c r="A108" s="74" t="inlineStr">
        <is>
          <t>ABRIL/2026</t>
        </is>
      </c>
      <c r="B108" s="74" t="inlineStr">
        <is>
          <t>Estoque</t>
        </is>
      </c>
      <c r="C108" s="74" t="inlineStr">
        <is>
          <t>Serviços realizados pelo estoque</t>
        </is>
      </c>
      <c r="D108" s="74" t="inlineStr">
        <is>
          <t>H&amp;A</t>
        </is>
      </c>
      <c r="E108" s="151" t="n">
        <v>1</v>
      </c>
      <c r="F108" s="100" t="n">
        <v>676.8</v>
      </c>
      <c r="G108" s="100" t="n">
        <v>676.8</v>
      </c>
      <c r="H108" s="74" t="inlineStr">
        <is>
          <t>Serviços de marcação de equipamentos</t>
        </is>
      </c>
    </row>
    <row r="109" ht="15" customHeight="1" s="75">
      <c r="A109" s="74" t="inlineStr">
        <is>
          <t>ABRIL/2026</t>
        </is>
      </c>
      <c r="B109" s="74" t="inlineStr">
        <is>
          <t>Estoque</t>
        </is>
      </c>
      <c r="C109" s="74" t="inlineStr">
        <is>
          <t>Serviços realizados pelo estoque</t>
        </is>
      </c>
      <c r="D109" s="74" t="inlineStr">
        <is>
          <t>Soares e Lins</t>
        </is>
      </c>
      <c r="E109" s="151" t="n">
        <v>1</v>
      </c>
      <c r="F109" s="100" t="n">
        <v>676.8</v>
      </c>
      <c r="G109" s="100" t="n">
        <v>676.8</v>
      </c>
      <c r="H109" s="74" t="inlineStr">
        <is>
          <t>Serviços de marcação de equipamentos</t>
        </is>
      </c>
    </row>
    <row r="110" ht="15" customHeight="1" s="75">
      <c r="A110" s="74" t="inlineStr">
        <is>
          <t>ABRIL/2026</t>
        </is>
      </c>
      <c r="B110" s="74" t="inlineStr">
        <is>
          <t>Estoque</t>
        </is>
      </c>
      <c r="C110" s="74" t="inlineStr">
        <is>
          <t>Serviços realizados pelo estoque</t>
        </is>
      </c>
      <c r="D110" s="74" t="inlineStr">
        <is>
          <t>Soares e Silva</t>
        </is>
      </c>
      <c r="E110" s="151" t="n">
        <v>1</v>
      </c>
      <c r="F110" s="100" t="n">
        <v>676.8</v>
      </c>
      <c r="G110" s="100" t="n">
        <v>676.8</v>
      </c>
      <c r="H110" s="74" t="inlineStr">
        <is>
          <t>Horas trabalhas em serviços realizado da oficina Dtel p/ soares e silva</t>
        </is>
      </c>
    </row>
    <row r="111" ht="15" customHeight="1" s="75">
      <c r="A111" s="74" t="inlineStr">
        <is>
          <t>ABRIL/2026</t>
        </is>
      </c>
      <c r="B111" s="74" t="inlineStr">
        <is>
          <t>Estoque</t>
        </is>
      </c>
      <c r="C111" s="74" t="inlineStr">
        <is>
          <t>Serviços realizados pelo estoque</t>
        </is>
      </c>
      <c r="D111" s="74" t="inlineStr">
        <is>
          <t>Soares e Silva</t>
        </is>
      </c>
      <c r="E111" s="151" t="n">
        <v>1</v>
      </c>
      <c r="F111" s="100" t="n">
        <v>338.4</v>
      </c>
      <c r="G111" s="100" t="n">
        <v>338.4</v>
      </c>
      <c r="H111" s="74" t="inlineStr">
        <is>
          <t>Serviços de marcação de equipamentos</t>
        </is>
      </c>
    </row>
    <row r="112" ht="15" customHeight="1" s="75">
      <c r="A112" s="74" t="inlineStr">
        <is>
          <t>ABRIL/2026</t>
        </is>
      </c>
      <c r="B112" s="74" t="inlineStr">
        <is>
          <t>Estoque</t>
        </is>
      </c>
      <c r="C112" s="74" t="inlineStr">
        <is>
          <t>Serviços realizados pelo estoque</t>
        </is>
      </c>
      <c r="D112" s="74" t="inlineStr">
        <is>
          <t>Solon Araújo</t>
        </is>
      </c>
      <c r="E112" s="151" t="n">
        <v>1</v>
      </c>
      <c r="F112" s="100" t="n">
        <v>676.8</v>
      </c>
      <c r="G112" s="100" t="n">
        <v>676.8</v>
      </c>
      <c r="H112" s="74" t="inlineStr">
        <is>
          <t>Horas trabalhas em serviços realizado da oficina Dtel p/ litoral</t>
        </is>
      </c>
    </row>
    <row r="113" ht="15" customHeight="1" s="75">
      <c r="A113" s="74" t="inlineStr">
        <is>
          <t>ABRIL/2026</t>
        </is>
      </c>
      <c r="B113" s="74" t="inlineStr">
        <is>
          <t>Estoque</t>
        </is>
      </c>
      <c r="C113" s="74" t="inlineStr">
        <is>
          <t>Serviços realizados pelo estoque</t>
        </is>
      </c>
      <c r="D113" s="74" t="inlineStr">
        <is>
          <t>Solon Araújo</t>
        </is>
      </c>
      <c r="E113" s="151" t="n">
        <v>1</v>
      </c>
      <c r="F113" s="100" t="n">
        <v>2387.6</v>
      </c>
      <c r="G113" s="100" t="n">
        <v>2387.6</v>
      </c>
      <c r="H113" s="74" t="inlineStr">
        <is>
          <t>Serviços de marcação de equipamentos</t>
        </is>
      </c>
    </row>
    <row r="114" ht="15" customHeight="1" s="75">
      <c r="A114" s="74" t="inlineStr">
        <is>
          <t>ABRIL/2026</t>
        </is>
      </c>
      <c r="B114" s="74" t="inlineStr">
        <is>
          <t>Estoque</t>
        </is>
      </c>
      <c r="C114" s="74" t="inlineStr">
        <is>
          <t>Serviços realizados pelo estoque</t>
        </is>
      </c>
      <c r="D114" s="74" t="inlineStr">
        <is>
          <t>Souza e Silva</t>
        </is>
      </c>
      <c r="E114" s="151" t="n">
        <v>1</v>
      </c>
      <c r="F114" s="100" t="n">
        <v>676.8</v>
      </c>
      <c r="G114" s="100" t="n">
        <v>676.8</v>
      </c>
      <c r="H114" s="74" t="inlineStr">
        <is>
          <t>Serviços de marcação de equipamentos</t>
        </is>
      </c>
    </row>
    <row r="115" ht="15" customHeight="1" s="75">
      <c r="A115" s="74" t="inlineStr">
        <is>
          <t>ABRIL/2026</t>
        </is>
      </c>
      <c r="B115" s="74" t="inlineStr">
        <is>
          <t>Estoque</t>
        </is>
      </c>
      <c r="C115" s="74" t="inlineStr">
        <is>
          <t>Serviços realizados pelo estoque</t>
        </is>
      </c>
      <c r="D115" s="74" t="inlineStr">
        <is>
          <t>Voicenet</t>
        </is>
      </c>
      <c r="E115" s="151" t="n">
        <v>1</v>
      </c>
      <c r="F115" s="100" t="n">
        <v>569.64</v>
      </c>
      <c r="G115" s="100" t="n">
        <v>569.64</v>
      </c>
      <c r="H115" s="74" t="inlineStr">
        <is>
          <t>Serviços de marcação de equipamentos</t>
        </is>
      </c>
    </row>
    <row r="116" ht="15" customHeight="1" s="75">
      <c r="A116" s="74" t="inlineStr">
        <is>
          <t>ABRIL/2026</t>
        </is>
      </c>
      <c r="B116" s="74" t="inlineStr">
        <is>
          <t>Frota</t>
        </is>
      </c>
      <c r="C116" s="74" t="inlineStr">
        <is>
          <t>Abastecimento</t>
        </is>
      </c>
      <c r="D116" s="74" t="inlineStr">
        <is>
          <t>DX2</t>
        </is>
      </c>
      <c r="E116" s="151" t="n">
        <v>0</v>
      </c>
      <c r="F116" s="100" t="n">
        <v>0</v>
      </c>
      <c r="G116" s="100" t="n">
        <v>0</v>
      </c>
      <c r="H116" s="74" t="inlineStr">
        <is>
          <t>Abastecimento da van da dx2 com cartao Dtel</t>
        </is>
      </c>
    </row>
    <row r="117" ht="15" customHeight="1" s="75">
      <c r="A117" s="74" t="inlineStr">
        <is>
          <t>ABRIL/2026</t>
        </is>
      </c>
      <c r="B117" s="74" t="inlineStr">
        <is>
          <t>Frota</t>
        </is>
      </c>
      <c r="C117" s="74" t="inlineStr">
        <is>
          <t>Locação de veículos</t>
        </is>
      </c>
      <c r="D117" s="74" t="inlineStr">
        <is>
          <t>DX2</t>
        </is>
      </c>
      <c r="E117" s="151" t="n">
        <v>0</v>
      </c>
      <c r="F117" s="100" t="n">
        <v>0</v>
      </c>
      <c r="G117" s="100" t="n">
        <v>0</v>
      </c>
      <c r="H117" s="74" t="inlineStr">
        <is>
          <t>Veiculos Dtel emprestado para serviços na DX2 (2 carros)</t>
        </is>
      </c>
    </row>
    <row r="118" ht="15" customHeight="1" s="75">
      <c r="A118" s="74" t="inlineStr">
        <is>
          <t>ABRIL/2026</t>
        </is>
      </c>
      <c r="B118" s="74" t="inlineStr">
        <is>
          <t>Frota</t>
        </is>
      </c>
      <c r="C118" s="74" t="inlineStr">
        <is>
          <t>Rastreamento veicular</t>
        </is>
      </c>
      <c r="D118" s="74" t="inlineStr">
        <is>
          <t>DX2</t>
        </is>
      </c>
      <c r="E118" s="151" t="n">
        <v>10</v>
      </c>
      <c r="F118" s="100" t="n">
        <v>20</v>
      </c>
      <c r="G118" s="100" t="n">
        <v>200</v>
      </c>
      <c r="H118" s="74" t="inlineStr">
        <is>
          <t>Rastreamento dos veículos</t>
        </is>
      </c>
    </row>
    <row r="119" ht="15" customHeight="1" s="75">
      <c r="A119" s="74" t="inlineStr">
        <is>
          <t>ABRIL/2026</t>
        </is>
      </c>
      <c r="B119" s="74" t="inlineStr">
        <is>
          <t>Frota</t>
        </is>
      </c>
      <c r="C119" s="74" t="inlineStr">
        <is>
          <t>Transporte de produtos</t>
        </is>
      </c>
      <c r="D119" s="74" t="inlineStr">
        <is>
          <t>DX2</t>
        </is>
      </c>
      <c r="E119" s="151" t="n">
        <v>0</v>
      </c>
      <c r="F119" s="100" t="n">
        <v>0</v>
      </c>
      <c r="G119" s="100" t="n">
        <v>0</v>
      </c>
      <c r="H119" s="74" t="inlineStr">
        <is>
          <t>Transportes entre CD01 e empresas no rateio da rota</t>
        </is>
      </c>
    </row>
    <row r="120" ht="15" customHeight="1" s="75">
      <c r="A120" s="74" t="inlineStr">
        <is>
          <t>ABRIL/2026</t>
        </is>
      </c>
      <c r="B120" s="74" t="inlineStr">
        <is>
          <t>Frota</t>
        </is>
      </c>
      <c r="C120" s="74" t="inlineStr">
        <is>
          <t>Troca de Oleo e Filtro</t>
        </is>
      </c>
      <c r="D120" s="74" t="inlineStr">
        <is>
          <t>DX2</t>
        </is>
      </c>
      <c r="E120" s="151" t="n">
        <v>0</v>
      </c>
      <c r="F120" s="100" t="n">
        <v>0</v>
      </c>
      <c r="G120" s="100" t="n">
        <v>0</v>
      </c>
      <c r="H120" s="74" t="inlineStr">
        <is>
          <t>Manutenção veicular</t>
        </is>
      </c>
    </row>
    <row r="121" ht="15" customHeight="1" s="75">
      <c r="A121" s="74" t="inlineStr">
        <is>
          <t>ABRIL/2026</t>
        </is>
      </c>
      <c r="B121" s="74" t="inlineStr">
        <is>
          <t>Frota</t>
        </is>
      </c>
      <c r="C121" s="74" t="inlineStr">
        <is>
          <t>Transporte de produtos</t>
        </is>
      </c>
      <c r="D121" s="74" t="inlineStr">
        <is>
          <t>H&amp;A</t>
        </is>
      </c>
      <c r="E121" s="151" t="n">
        <v>1</v>
      </c>
      <c r="F121" s="100" t="n">
        <v>1112.18</v>
      </c>
      <c r="G121" s="100" t="n">
        <v>1112.18</v>
      </c>
      <c r="H121" s="74" t="inlineStr">
        <is>
          <t>Transportes entre CD01 e empresas no rateio da rota</t>
        </is>
      </c>
    </row>
    <row r="122" ht="15" customHeight="1" s="75">
      <c r="A122" s="74" t="inlineStr">
        <is>
          <t>ABRIL/2026</t>
        </is>
      </c>
      <c r="B122" s="74" t="inlineStr">
        <is>
          <t>Frota</t>
        </is>
      </c>
      <c r="C122" s="74" t="inlineStr">
        <is>
          <t>Rastreamento veicular</t>
        </is>
      </c>
      <c r="D122" s="74" t="inlineStr">
        <is>
          <t>Soares e Lins</t>
        </is>
      </c>
      <c r="E122" s="151" t="n">
        <v>3</v>
      </c>
      <c r="F122" s="100" t="n">
        <v>20</v>
      </c>
      <c r="G122" s="100" t="n">
        <v>60</v>
      </c>
      <c r="H122" s="74" t="inlineStr">
        <is>
          <t>Rastreamento dos veículos</t>
        </is>
      </c>
    </row>
    <row r="123" ht="15" customHeight="1" s="75">
      <c r="A123" s="74" t="inlineStr">
        <is>
          <t>ABRIL/2026</t>
        </is>
      </c>
      <c r="B123" s="74" t="inlineStr">
        <is>
          <t>Frota</t>
        </is>
      </c>
      <c r="C123" s="74" t="inlineStr">
        <is>
          <t>Transporte de produtos</t>
        </is>
      </c>
      <c r="D123" s="74" t="inlineStr">
        <is>
          <t>Soares e Lins</t>
        </is>
      </c>
      <c r="E123" s="151" t="n">
        <v>1</v>
      </c>
      <c r="F123" s="100" t="n">
        <v>387.64</v>
      </c>
      <c r="G123" s="100" t="n">
        <v>387.64</v>
      </c>
      <c r="H123" s="74" t="inlineStr">
        <is>
          <t>Transportes entre CD01 e empresas no rateio da rota</t>
        </is>
      </c>
    </row>
    <row r="124" ht="15" customHeight="1" s="75">
      <c r="A124" s="74" t="inlineStr">
        <is>
          <t>ABRIL/2026</t>
        </is>
      </c>
      <c r="B124" s="74" t="inlineStr">
        <is>
          <t>Frota</t>
        </is>
      </c>
      <c r="C124" s="74" t="inlineStr">
        <is>
          <t>Troca de Oleo e Filtro</t>
        </is>
      </c>
      <c r="D124" s="74" t="inlineStr">
        <is>
          <t>Soares e Lins</t>
        </is>
      </c>
      <c r="E124" s="151" t="n">
        <v>0</v>
      </c>
      <c r="F124" s="100" t="n">
        <v>0</v>
      </c>
      <c r="G124" s="100" t="n">
        <v>0</v>
      </c>
      <c r="H124" s="74" t="inlineStr">
        <is>
          <t>Manutenção veicular</t>
        </is>
      </c>
    </row>
    <row r="125" ht="15" customHeight="1" s="75">
      <c r="A125" s="74" t="inlineStr">
        <is>
          <t>ABRIL/2026</t>
        </is>
      </c>
      <c r="B125" s="74" t="inlineStr">
        <is>
          <t>Frota</t>
        </is>
      </c>
      <c r="C125" s="74" t="inlineStr">
        <is>
          <t>Abastecimento</t>
        </is>
      </c>
      <c r="D125" s="74" t="inlineStr">
        <is>
          <t>Soares e Silva</t>
        </is>
      </c>
      <c r="E125" s="151" t="n">
        <v>0</v>
      </c>
      <c r="F125" s="100" t="n">
        <v>0</v>
      </c>
      <c r="G125" s="100" t="n">
        <v>0</v>
      </c>
      <c r="H125" s="74" t="inlineStr">
        <is>
          <t>Abastecimento de 2 veiculos</t>
        </is>
      </c>
    </row>
    <row r="126" ht="15" customHeight="1" s="75">
      <c r="A126" s="74" t="inlineStr">
        <is>
          <t>ABRIL/2026</t>
        </is>
      </c>
      <c r="B126" s="74" t="inlineStr">
        <is>
          <t>Frota</t>
        </is>
      </c>
      <c r="C126" s="74" t="inlineStr">
        <is>
          <t>Locação de veículos</t>
        </is>
      </c>
      <c r="D126" s="74" t="inlineStr">
        <is>
          <t>Soares e Silva</t>
        </is>
      </c>
      <c r="E126" s="151" t="n">
        <v>0</v>
      </c>
      <c r="F126" s="100" t="n">
        <v>0</v>
      </c>
      <c r="G126" s="100" t="n">
        <v>0</v>
      </c>
      <c r="H126" s="74" t="inlineStr">
        <is>
          <t>Veiculos Dtel emprestado para serviços 2 carros</t>
        </is>
      </c>
    </row>
    <row r="127" ht="15" customHeight="1" s="75">
      <c r="A127" s="74" t="inlineStr">
        <is>
          <t>ABRIL/2026</t>
        </is>
      </c>
      <c r="B127" s="74" t="inlineStr">
        <is>
          <t>Frota</t>
        </is>
      </c>
      <c r="C127" s="74" t="inlineStr">
        <is>
          <t>Manutenção de veiculo</t>
        </is>
      </c>
      <c r="D127" s="74" t="inlineStr">
        <is>
          <t>Soares e Silva</t>
        </is>
      </c>
      <c r="E127" s="151" t="n">
        <v>0</v>
      </c>
      <c r="F127" s="100" t="n">
        <v>0</v>
      </c>
      <c r="G127" s="100" t="n">
        <v>0</v>
      </c>
      <c r="H127" s="74" t="inlineStr">
        <is>
          <t>Manutenção veicular</t>
        </is>
      </c>
    </row>
    <row r="128" ht="15" customHeight="1" s="75">
      <c r="A128" s="74" t="inlineStr">
        <is>
          <t>ABRIL/2026</t>
        </is>
      </c>
      <c r="B128" s="74" t="inlineStr">
        <is>
          <t>Frota</t>
        </is>
      </c>
      <c r="C128" s="74" t="inlineStr">
        <is>
          <t>Rastreamento veicular</t>
        </is>
      </c>
      <c r="D128" s="74" t="inlineStr">
        <is>
          <t>Soares e Silva</t>
        </is>
      </c>
      <c r="E128" s="151" t="n">
        <v>13</v>
      </c>
      <c r="F128" s="100" t="n">
        <v>20</v>
      </c>
      <c r="G128" s="100" t="n">
        <v>260</v>
      </c>
      <c r="H128" s="74" t="inlineStr">
        <is>
          <t>Rastreamento dos veículos</t>
        </is>
      </c>
    </row>
    <row r="129" ht="15" customHeight="1" s="75">
      <c r="A129" s="74" t="inlineStr">
        <is>
          <t>ABRIL/2026</t>
        </is>
      </c>
      <c r="B129" s="74" t="inlineStr">
        <is>
          <t>Frota</t>
        </is>
      </c>
      <c r="C129" s="74" t="inlineStr">
        <is>
          <t>Transporte de produtos</t>
        </is>
      </c>
      <c r="D129" s="74" t="inlineStr">
        <is>
          <t>Soares e Silva</t>
        </is>
      </c>
      <c r="E129" s="151" t="n">
        <v>0</v>
      </c>
      <c r="F129" s="100" t="n">
        <v>0</v>
      </c>
      <c r="G129" s="100" t="n">
        <v>0</v>
      </c>
      <c r="H129" s="74" t="inlineStr">
        <is>
          <t>Transportes entre CD01 e empresas no rateio da rota</t>
        </is>
      </c>
    </row>
    <row r="130" ht="15" customHeight="1" s="75">
      <c r="A130" s="74" t="inlineStr">
        <is>
          <t>ABRIL/2026</t>
        </is>
      </c>
      <c r="B130" s="74" t="inlineStr">
        <is>
          <t>Frota</t>
        </is>
      </c>
      <c r="C130" s="74" t="inlineStr">
        <is>
          <t>Troca de Oleo e Filtro</t>
        </is>
      </c>
      <c r="D130" s="74" t="inlineStr">
        <is>
          <t>Soares e Silva</t>
        </is>
      </c>
      <c r="E130" s="151" t="n">
        <v>0</v>
      </c>
      <c r="F130" s="100" t="n">
        <v>0</v>
      </c>
      <c r="G130" s="100" t="n">
        <v>0</v>
      </c>
      <c r="H130" s="74" t="inlineStr">
        <is>
          <t>Manutenção veicular</t>
        </is>
      </c>
    </row>
    <row r="131" ht="15" customHeight="1" s="75">
      <c r="A131" s="74" t="inlineStr">
        <is>
          <t>ABRIL/2026</t>
        </is>
      </c>
      <c r="B131" s="74" t="inlineStr">
        <is>
          <t>Frota</t>
        </is>
      </c>
      <c r="C131" s="74" t="inlineStr">
        <is>
          <t>Rastreamento veicular</t>
        </is>
      </c>
      <c r="D131" s="74" t="inlineStr">
        <is>
          <t>Solon Araújo</t>
        </is>
      </c>
      <c r="E131" s="151" t="n">
        <v>19</v>
      </c>
      <c r="F131" s="100" t="n">
        <v>20</v>
      </c>
      <c r="G131" s="100" t="n">
        <v>380</v>
      </c>
      <c r="H131" s="74" t="inlineStr">
        <is>
          <t>Rastreamento dos veículos</t>
        </is>
      </c>
    </row>
    <row r="132" ht="15" customHeight="1" s="75">
      <c r="A132" s="74" t="inlineStr">
        <is>
          <t>ABRIL/2026</t>
        </is>
      </c>
      <c r="B132" s="74" t="inlineStr">
        <is>
          <t>Frota</t>
        </is>
      </c>
      <c r="C132" s="74" t="inlineStr">
        <is>
          <t>Transporte de produtos</t>
        </is>
      </c>
      <c r="D132" s="74" t="inlineStr">
        <is>
          <t>Solon Araújo</t>
        </is>
      </c>
      <c r="E132" s="151" t="n">
        <v>1</v>
      </c>
      <c r="F132" s="100" t="n">
        <v>1092.02</v>
      </c>
      <c r="G132" s="100" t="n">
        <v>1092.02</v>
      </c>
      <c r="H132" s="74" t="inlineStr">
        <is>
          <t>Transportes entre CD01 e empresas no rateio da rota</t>
        </is>
      </c>
    </row>
    <row r="133" ht="15" customHeight="1" s="75">
      <c r="A133" s="74" t="inlineStr">
        <is>
          <t>ABRIL/2026</t>
        </is>
      </c>
      <c r="B133" s="74" t="inlineStr">
        <is>
          <t>Frota</t>
        </is>
      </c>
      <c r="C133" s="74" t="inlineStr">
        <is>
          <t>Troca de Óleo e Filtro</t>
        </is>
      </c>
      <c r="D133" s="74" t="inlineStr">
        <is>
          <t>Solon Araújo</t>
        </is>
      </c>
      <c r="E133" s="151" t="n">
        <v>1</v>
      </c>
      <c r="F133" s="100" t="n">
        <v>1326.53</v>
      </c>
      <c r="G133" s="100" t="n">
        <v>1326.53</v>
      </c>
      <c r="H133" s="74" t="inlineStr">
        <is>
          <t>Manutenção veicular</t>
        </is>
      </c>
    </row>
    <row r="134" ht="15" customHeight="1" s="75">
      <c r="A134" s="74" t="inlineStr">
        <is>
          <t>ABRIL/2026</t>
        </is>
      </c>
      <c r="B134" s="74" t="inlineStr">
        <is>
          <t>Frota</t>
        </is>
      </c>
      <c r="C134" s="74" t="inlineStr">
        <is>
          <t>Manutenção de veiculo</t>
        </is>
      </c>
      <c r="D134" s="74" t="inlineStr">
        <is>
          <t>Souza e Silva</t>
        </is>
      </c>
      <c r="E134" s="151" t="n">
        <v>0</v>
      </c>
      <c r="F134" s="100" t="n">
        <v>0</v>
      </c>
      <c r="G134" s="100" t="n">
        <v>0</v>
      </c>
      <c r="H134" s="74" t="inlineStr">
        <is>
          <t>Reboque de carro</t>
        </is>
      </c>
    </row>
    <row r="135" ht="15" customHeight="1" s="75">
      <c r="A135" s="74" t="inlineStr">
        <is>
          <t>ABRIL/2026</t>
        </is>
      </c>
      <c r="B135" s="74" t="inlineStr">
        <is>
          <t>Frota</t>
        </is>
      </c>
      <c r="C135" s="74" t="inlineStr">
        <is>
          <t>Rastreamento veicular</t>
        </is>
      </c>
      <c r="D135" s="74" t="inlineStr">
        <is>
          <t>Souza e Silva</t>
        </is>
      </c>
      <c r="E135" s="151" t="n">
        <v>4</v>
      </c>
      <c r="F135" s="100" t="n">
        <v>20</v>
      </c>
      <c r="G135" s="100" t="n">
        <v>80</v>
      </c>
      <c r="H135" s="74" t="inlineStr">
        <is>
          <t>Rastreamento dos veículos</t>
        </is>
      </c>
    </row>
    <row r="136" ht="15" customHeight="1" s="75">
      <c r="A136" s="74" t="inlineStr">
        <is>
          <t>ABRIL/2026</t>
        </is>
      </c>
      <c r="B136" s="74" t="inlineStr">
        <is>
          <t>Frota</t>
        </is>
      </c>
      <c r="C136" s="74" t="inlineStr">
        <is>
          <t>Transporte de produtos</t>
        </is>
      </c>
      <c r="D136" s="74" t="inlineStr">
        <is>
          <t>Souza e Silva</t>
        </is>
      </c>
      <c r="E136" s="151" t="n">
        <v>0</v>
      </c>
      <c r="F136" s="100" t="n">
        <v>0</v>
      </c>
      <c r="G136" s="100" t="n">
        <v>0</v>
      </c>
      <c r="H136" s="74" t="inlineStr">
        <is>
          <t>Transportes entre CD01 e empresas no rateio da rota</t>
        </is>
      </c>
    </row>
    <row r="137" ht="15" customHeight="1" s="75">
      <c r="A137" s="74" t="inlineStr">
        <is>
          <t>ABRIL/2026</t>
        </is>
      </c>
      <c r="B137" s="74" t="inlineStr">
        <is>
          <t>Frota</t>
        </is>
      </c>
      <c r="C137" s="74" t="inlineStr">
        <is>
          <t>Troca de Óleo e Filtro</t>
        </is>
      </c>
      <c r="D137" s="74" t="inlineStr">
        <is>
          <t>Souza e Silva</t>
        </is>
      </c>
      <c r="E137" s="151" t="n">
        <v>1</v>
      </c>
      <c r="F137" s="100" t="n">
        <v>366.53</v>
      </c>
      <c r="G137" s="100" t="n">
        <v>366.53</v>
      </c>
      <c r="H137" s="74" t="inlineStr">
        <is>
          <t>Manutenção veicular</t>
        </is>
      </c>
    </row>
    <row r="138" ht="15" customHeight="1" s="75">
      <c r="A138" s="74" t="inlineStr">
        <is>
          <t>ABRIL/2026</t>
        </is>
      </c>
      <c r="B138" s="74" t="inlineStr">
        <is>
          <t>Frota</t>
        </is>
      </c>
      <c r="C138" s="74" t="inlineStr">
        <is>
          <t>Abastecimento</t>
        </is>
      </c>
      <c r="D138" s="74" t="inlineStr">
        <is>
          <t>Voicenet</t>
        </is>
      </c>
      <c r="E138" s="151" t="n">
        <v>0</v>
      </c>
      <c r="F138" s="100" t="n">
        <v>0</v>
      </c>
      <c r="G138" s="100" t="n">
        <v>0</v>
      </c>
      <c r="H138" s="74" t="inlineStr">
        <is>
          <t>Abastecimento de veiculos</t>
        </is>
      </c>
    </row>
    <row r="139" ht="15" customHeight="1" s="75">
      <c r="A139" s="74" t="inlineStr">
        <is>
          <t>ABRIL/2026</t>
        </is>
      </c>
      <c r="B139" s="74" t="inlineStr">
        <is>
          <t>Frota</t>
        </is>
      </c>
      <c r="C139" s="74" t="inlineStr">
        <is>
          <t>Rastreamento veicular</t>
        </is>
      </c>
      <c r="D139" s="74" t="inlineStr">
        <is>
          <t>Voicenet</t>
        </is>
      </c>
      <c r="E139" s="151" t="n">
        <v>8</v>
      </c>
      <c r="F139" s="100" t="n">
        <v>20</v>
      </c>
      <c r="G139" s="100" t="n">
        <v>160</v>
      </c>
      <c r="H139" s="74" t="inlineStr">
        <is>
          <t>Rastreamento dos veículos</t>
        </is>
      </c>
    </row>
    <row r="140" ht="15" customHeight="1" s="75">
      <c r="A140" s="74" t="inlineStr">
        <is>
          <t>ABRIL/2026</t>
        </is>
      </c>
      <c r="B140" s="74" t="inlineStr">
        <is>
          <t>Frota</t>
        </is>
      </c>
      <c r="C140" s="74" t="inlineStr">
        <is>
          <t>Transporte de produtos</t>
        </is>
      </c>
      <c r="D140" s="74" t="inlineStr">
        <is>
          <t>Voicenet</t>
        </is>
      </c>
      <c r="E140" s="151" t="n">
        <v>1</v>
      </c>
      <c r="F140" s="100" t="n">
        <v>643.2</v>
      </c>
      <c r="G140" s="100" t="n">
        <v>643.2</v>
      </c>
      <c r="H140" s="74" t="inlineStr">
        <is>
          <t>Transportes entre CD01 e empresas no rateio da rota</t>
        </is>
      </c>
    </row>
    <row r="141" ht="15" customHeight="1" s="75">
      <c r="A141" s="74" t="inlineStr">
        <is>
          <t>ABRIL/2026</t>
        </is>
      </c>
      <c r="B141" s="74" t="inlineStr">
        <is>
          <t>Frota</t>
        </is>
      </c>
      <c r="C141" s="74" t="inlineStr">
        <is>
          <t>Troca de Oleo e Filtro</t>
        </is>
      </c>
      <c r="D141" s="74" t="inlineStr">
        <is>
          <t>Voicenet</t>
        </is>
      </c>
      <c r="E141" s="151" t="n">
        <v>1</v>
      </c>
      <c r="F141" s="100" t="n">
        <v>664.27</v>
      </c>
      <c r="G141" s="100" t="n">
        <v>664.27</v>
      </c>
      <c r="H141" s="74" t="inlineStr">
        <is>
          <t>Manutenção veicular</t>
        </is>
      </c>
    </row>
    <row r="142" ht="15" customHeight="1" s="75">
      <c r="A142" s="74" t="inlineStr">
        <is>
          <t>ABRIL/2026</t>
        </is>
      </c>
      <c r="B142" s="74" t="inlineStr">
        <is>
          <t>Instalação</t>
        </is>
      </c>
      <c r="C142" s="74" t="inlineStr">
        <is>
          <t>KM rodado para serviços técnicos DX2 para SOLON</t>
        </is>
      </c>
      <c r="D142" s="74" t="inlineStr">
        <is>
          <t>DX2</t>
        </is>
      </c>
      <c r="E142" s="151" t="n">
        <v>0</v>
      </c>
      <c r="F142" s="100" t="n">
        <v>0</v>
      </c>
      <c r="G142" s="100" t="n">
        <v>0</v>
      </c>
      <c r="H142" s="74" t="inlineStr">
        <is>
          <t>Serviços das equipes dx2 p/ solon</t>
        </is>
      </c>
    </row>
    <row r="143" ht="15" customHeight="1" s="75">
      <c r="A143" s="74" t="inlineStr">
        <is>
          <t>ABRIL/2026</t>
        </is>
      </c>
      <c r="B143" s="74" t="inlineStr">
        <is>
          <t>Instalação</t>
        </is>
      </c>
      <c r="C143" s="74" t="inlineStr">
        <is>
          <t>KM rodado para serviços técnicos Dx2 p/ Soares &amp; silva</t>
        </is>
      </c>
      <c r="D143" s="74" t="inlineStr">
        <is>
          <t>DX2</t>
        </is>
      </c>
      <c r="E143" s="151" t="n">
        <v>0</v>
      </c>
      <c r="F143" s="100" t="n">
        <v>0</v>
      </c>
      <c r="G143" s="100" t="n">
        <v>0</v>
      </c>
      <c r="H143" s="74" t="inlineStr">
        <is>
          <t>Serviços das equipes dx2 p/ soares e silva</t>
        </is>
      </c>
    </row>
    <row r="144" ht="15" customHeight="1" s="75">
      <c r="A144" s="74" t="inlineStr">
        <is>
          <t>ABRIL/2026</t>
        </is>
      </c>
      <c r="B144" s="74" t="inlineStr">
        <is>
          <t>Instalação</t>
        </is>
      </c>
      <c r="C144" s="74" t="inlineStr">
        <is>
          <t>Serviços técnicos da DX2 P/ SOLON</t>
        </is>
      </c>
      <c r="D144" s="74" t="inlineStr">
        <is>
          <t>DX2</t>
        </is>
      </c>
      <c r="E144" s="151" t="n">
        <v>0</v>
      </c>
      <c r="F144" s="100" t="n">
        <v>0</v>
      </c>
      <c r="G144" s="100" t="n">
        <v>0</v>
      </c>
      <c r="H144" s="74" t="inlineStr">
        <is>
          <t>Serviços das equipes técnicas Dx2 p/ solon</t>
        </is>
      </c>
    </row>
    <row r="145" ht="15" customHeight="1" s="75">
      <c r="A145" s="74" t="inlineStr">
        <is>
          <t>ABRIL/2026</t>
        </is>
      </c>
      <c r="B145" s="74" t="inlineStr">
        <is>
          <t>Instalação</t>
        </is>
      </c>
      <c r="C145" s="74" t="inlineStr">
        <is>
          <t>Serviços técnicos da Dx2 p/ Soares &amp; Silva</t>
        </is>
      </c>
      <c r="D145" s="74" t="inlineStr">
        <is>
          <t>DX2</t>
        </is>
      </c>
      <c r="E145" s="151" t="n">
        <v>0</v>
      </c>
      <c r="F145" s="100" t="n">
        <v>0</v>
      </c>
      <c r="G145" s="100" t="n">
        <v>0</v>
      </c>
      <c r="H145" s="74" t="inlineStr">
        <is>
          <t>Serviços das equipes técnicas Dx2 p/ soares e silva</t>
        </is>
      </c>
    </row>
    <row r="146" ht="15" customHeight="1" s="75">
      <c r="A146" s="74" t="inlineStr">
        <is>
          <t>ABRIL/2026</t>
        </is>
      </c>
      <c r="B146" s="74" t="inlineStr">
        <is>
          <t>Instalação</t>
        </is>
      </c>
      <c r="C146" s="74" t="inlineStr">
        <is>
          <t>Serviços técnicos da DX2 P/ H&amp;A</t>
        </is>
      </c>
      <c r="D146" s="74" t="inlineStr">
        <is>
          <t>H&amp;A</t>
        </is>
      </c>
      <c r="E146" s="151" t="n">
        <v>1</v>
      </c>
      <c r="F146" s="100" t="n">
        <v>315.66</v>
      </c>
      <c r="G146" s="100" t="n">
        <v>315.66</v>
      </c>
      <c r="H146" s="74" t="inlineStr">
        <is>
          <t>Deslocamento de equipes</t>
        </is>
      </c>
    </row>
    <row r="147" ht="15" customHeight="1" s="75">
      <c r="A147" s="74" t="inlineStr">
        <is>
          <t>ABRIL/2026</t>
        </is>
      </c>
      <c r="B147" s="74" t="inlineStr">
        <is>
          <t>Instalação</t>
        </is>
      </c>
      <c r="C147" s="74" t="inlineStr">
        <is>
          <t>km rodado da equipe DX2 para H&amp;A</t>
        </is>
      </c>
      <c r="D147" s="74" t="inlineStr">
        <is>
          <t>H&amp;A</t>
        </is>
      </c>
      <c r="E147" s="151" t="n">
        <v>0</v>
      </c>
      <c r="F147" s="100" t="n">
        <v>0</v>
      </c>
      <c r="G147" s="100" t="n">
        <v>0</v>
      </c>
      <c r="H147" s="74" t="inlineStr">
        <is>
          <t>Serviços das equipes técnicas Dtel</t>
        </is>
      </c>
    </row>
    <row r="148" ht="15" customHeight="1" s="75">
      <c r="A148" s="74" t="inlineStr">
        <is>
          <t>ABRIL/2026</t>
        </is>
      </c>
      <c r="B148" s="74" t="inlineStr">
        <is>
          <t>Instalação</t>
        </is>
      </c>
      <c r="C148" s="74" t="inlineStr">
        <is>
          <t>KM rodado para serviços técnicos Dtel p/ S&amp;L</t>
        </is>
      </c>
      <c r="D148" s="74" t="inlineStr">
        <is>
          <t>Soares e Lins</t>
        </is>
      </c>
      <c r="E148" s="151" t="n">
        <v>1</v>
      </c>
      <c r="F148" s="100" t="n">
        <v>64.68000000000001</v>
      </c>
      <c r="G148" s="100" t="n">
        <v>64.68000000000001</v>
      </c>
      <c r="H148" s="74" t="inlineStr">
        <is>
          <t>Deslocamento de equipes dtel</t>
        </is>
      </c>
    </row>
    <row r="149" ht="15" customHeight="1" s="75">
      <c r="A149" s="74" t="inlineStr">
        <is>
          <t>ABRIL/2026</t>
        </is>
      </c>
      <c r="B149" s="74" t="inlineStr">
        <is>
          <t>Instalação</t>
        </is>
      </c>
      <c r="C149" s="74" t="inlineStr">
        <is>
          <t>KM rodado para serviços técnicos S&amp;L para DTEL</t>
        </is>
      </c>
      <c r="D149" s="74" t="inlineStr">
        <is>
          <t>Soares e Lins</t>
        </is>
      </c>
      <c r="E149" s="151" t="n">
        <v>-1</v>
      </c>
      <c r="F149" s="100" t="n">
        <v>2120.72</v>
      </c>
      <c r="G149" s="100" t="n">
        <v>-2120.72</v>
      </c>
      <c r="H149" s="74" t="inlineStr">
        <is>
          <t>Deslocamento de equipes soares e lins</t>
        </is>
      </c>
    </row>
    <row r="150" ht="15" customHeight="1" s="75">
      <c r="A150" s="74" t="inlineStr">
        <is>
          <t>ABRIL/2026</t>
        </is>
      </c>
      <c r="B150" s="74" t="inlineStr">
        <is>
          <t>Instalação</t>
        </is>
      </c>
      <c r="C150" s="74" t="inlineStr">
        <is>
          <t>KM rodado para serviços técnicos da S&amp;L para DTEL</t>
        </is>
      </c>
      <c r="D150" s="74" t="inlineStr">
        <is>
          <t>Soares e Lins</t>
        </is>
      </c>
      <c r="E150" s="151" t="n">
        <v>0</v>
      </c>
      <c r="F150" s="100" t="n">
        <v>0</v>
      </c>
      <c r="G150" s="100" t="n">
        <v>0</v>
      </c>
      <c r="H150" s="74" t="inlineStr">
        <is>
          <t>Deslocamento de equipes</t>
        </is>
      </c>
    </row>
    <row r="151" ht="15" customHeight="1" s="75">
      <c r="A151" s="74" t="inlineStr">
        <is>
          <t>ABRIL/2026</t>
        </is>
      </c>
      <c r="B151" s="74" t="inlineStr">
        <is>
          <t>Instalação</t>
        </is>
      </c>
      <c r="C151" s="74" t="inlineStr">
        <is>
          <t>Serviços técnicos da Dtel para S&amp;L</t>
        </is>
      </c>
      <c r="D151" s="74" t="inlineStr">
        <is>
          <t>Soares e Lins</t>
        </is>
      </c>
      <c r="E151" s="151" t="n">
        <v>1</v>
      </c>
      <c r="F151" s="100" t="n">
        <v>310.32</v>
      </c>
      <c r="G151" s="100" t="n">
        <v>310.32</v>
      </c>
      <c r="H151" s="74" t="inlineStr">
        <is>
          <t>Serviços da equipe técnica</t>
        </is>
      </c>
    </row>
    <row r="152" ht="15" customHeight="1" s="75">
      <c r="A152" s="74" t="inlineStr">
        <is>
          <t>ABRIL/2026</t>
        </is>
      </c>
      <c r="B152" s="74" t="inlineStr">
        <is>
          <t>Instalação</t>
        </is>
      </c>
      <c r="C152" s="74" t="inlineStr">
        <is>
          <t>Serviços técnicos da S&amp;L para DTEL</t>
        </is>
      </c>
      <c r="D152" s="74" t="inlineStr">
        <is>
          <t>Soares e Lins</t>
        </is>
      </c>
      <c r="E152" s="151" t="n">
        <v>-1</v>
      </c>
      <c r="F152" s="100" t="n">
        <v>4279.74</v>
      </c>
      <c r="G152" s="100" t="n">
        <v>-4279.74</v>
      </c>
      <c r="H152" s="74" t="inlineStr">
        <is>
          <t>Serviços da equipe técnica</t>
        </is>
      </c>
    </row>
    <row r="153" ht="15" customHeight="1" s="75">
      <c r="A153" s="74" t="inlineStr">
        <is>
          <t>ABRIL/2026</t>
        </is>
      </c>
      <c r="B153" s="74" t="inlineStr">
        <is>
          <t>Instalação</t>
        </is>
      </c>
      <c r="C153" s="74" t="inlineStr">
        <is>
          <t>Supervisor JOSUE DE MOURA SILVA JUNIOR</t>
        </is>
      </c>
      <c r="D153" s="74" t="inlineStr">
        <is>
          <t>Soares e Lins</t>
        </is>
      </c>
      <c r="E153" s="151" t="n">
        <v>1</v>
      </c>
      <c r="F153" s="100" t="n">
        <v>1612.93</v>
      </c>
      <c r="G153" s="100" t="n">
        <v>1612.93</v>
      </c>
      <c r="H153" s="74" t="inlineStr">
        <is>
          <t>Despesa dividida entre s&amp;l e dtel pelo supervisor JOSUE estar assumindo as bases</t>
        </is>
      </c>
    </row>
    <row r="154" ht="15" customHeight="1" s="75">
      <c r="A154" s="74" t="inlineStr">
        <is>
          <t>ABRIL/2026</t>
        </is>
      </c>
      <c r="B154" s="74" t="inlineStr">
        <is>
          <t>Instalação</t>
        </is>
      </c>
      <c r="C154" s="74" t="inlineStr">
        <is>
          <t>KM rodado para serviços técnicos Dx2 p/ soares e silva</t>
        </is>
      </c>
      <c r="D154" s="74" t="inlineStr">
        <is>
          <t>Soares e Silva</t>
        </is>
      </c>
      <c r="E154" s="151" t="n">
        <v>0</v>
      </c>
      <c r="F154" s="100" t="n">
        <v>0</v>
      </c>
      <c r="G154" s="100" t="n">
        <v>0</v>
      </c>
      <c r="H154" s="74" t="inlineStr">
        <is>
          <t>Deslocamento de equipes</t>
        </is>
      </c>
    </row>
    <row r="155" ht="15" customHeight="1" s="75">
      <c r="A155" s="74" t="inlineStr">
        <is>
          <t>ABRIL/2026</t>
        </is>
      </c>
      <c r="B155" s="74" t="inlineStr">
        <is>
          <t>Instalação</t>
        </is>
      </c>
      <c r="C155" s="74" t="inlineStr">
        <is>
          <t>Serviços técnicos da Dx2 p/ soares e silva</t>
        </is>
      </c>
      <c r="D155" s="74" t="inlineStr">
        <is>
          <t>Soares e Silva</t>
        </is>
      </c>
      <c r="E155" s="151" t="n">
        <v>0</v>
      </c>
      <c r="F155" s="100" t="n">
        <v>0</v>
      </c>
      <c r="G155" s="100" t="n">
        <v>0</v>
      </c>
      <c r="H155" s="74" t="inlineStr">
        <is>
          <t>Serviços das equipes técnicas</t>
        </is>
      </c>
    </row>
    <row r="156" ht="15" customHeight="1" s="75">
      <c r="A156" s="74" t="inlineStr">
        <is>
          <t>ABRIL/2026</t>
        </is>
      </c>
      <c r="B156" s="74" t="inlineStr">
        <is>
          <t>Instalação</t>
        </is>
      </c>
      <c r="C156" s="74" t="inlineStr">
        <is>
          <t>KM rodado para serviços técnicos Souza e Silva p/ Solon</t>
        </is>
      </c>
      <c r="D156" s="74" t="inlineStr">
        <is>
          <t>Solon Araújo</t>
        </is>
      </c>
      <c r="E156" s="151" t="n">
        <v>0</v>
      </c>
      <c r="F156" s="100" t="n">
        <v>0</v>
      </c>
      <c r="G156" s="100" t="n">
        <v>0</v>
      </c>
      <c r="H156" s="74" t="inlineStr">
        <is>
          <t>Deslocamento de equipes da DTEL</t>
        </is>
      </c>
    </row>
    <row r="157" ht="15" customHeight="1" s="75">
      <c r="A157" s="74" t="inlineStr">
        <is>
          <t>ABRIL/2026</t>
        </is>
      </c>
      <c r="B157" s="74" t="inlineStr">
        <is>
          <t>Instalação</t>
        </is>
      </c>
      <c r="C157" s="74" t="inlineStr">
        <is>
          <t>KM rodado para serviços técnicos dx2 p/ Solon</t>
        </is>
      </c>
      <c r="D157" s="74" t="inlineStr">
        <is>
          <t>Solon Araújo</t>
        </is>
      </c>
      <c r="E157" s="151" t="n">
        <v>0</v>
      </c>
      <c r="F157" s="100" t="n">
        <v>0</v>
      </c>
      <c r="G157" s="100" t="n">
        <v>0</v>
      </c>
      <c r="H157" s="74" t="inlineStr">
        <is>
          <t>Serviços das equipes dx2 p/ solon</t>
        </is>
      </c>
    </row>
    <row r="158" ht="15" customHeight="1" s="75">
      <c r="A158" s="74" t="inlineStr">
        <is>
          <t>ABRIL/2026</t>
        </is>
      </c>
      <c r="B158" s="74" t="inlineStr">
        <is>
          <t>Instalação</t>
        </is>
      </c>
      <c r="C158" s="74" t="inlineStr">
        <is>
          <t>Serviços técnicos da Dx2 p/ Solon</t>
        </is>
      </c>
      <c r="D158" s="74" t="inlineStr">
        <is>
          <t>Solon Araújo</t>
        </is>
      </c>
      <c r="E158" s="151" t="n">
        <v>0</v>
      </c>
      <c r="F158" s="100" t="n">
        <v>0</v>
      </c>
      <c r="G158" s="100" t="n">
        <v>0</v>
      </c>
      <c r="H158" s="74" t="inlineStr">
        <is>
          <t>Serviços das equipes técnicas Dx2 p/ solon</t>
        </is>
      </c>
    </row>
    <row r="159" ht="15" customHeight="1" s="75">
      <c r="A159" s="74" t="inlineStr">
        <is>
          <t>ABRIL/2026</t>
        </is>
      </c>
      <c r="B159" s="74" t="inlineStr">
        <is>
          <t>Instalação</t>
        </is>
      </c>
      <c r="C159" s="74" t="inlineStr">
        <is>
          <t>Serviços técnicos da Souza p/ Solon</t>
        </is>
      </c>
      <c r="D159" s="74" t="inlineStr">
        <is>
          <t>Solon Araújo</t>
        </is>
      </c>
      <c r="E159" s="151" t="n">
        <v>0</v>
      </c>
      <c r="F159" s="100" t="n">
        <v>0</v>
      </c>
      <c r="G159" s="100" t="n">
        <v>0</v>
      </c>
      <c r="H159" s="74" t="inlineStr">
        <is>
          <t>Serviços das equipes técnicas Dtel</t>
        </is>
      </c>
    </row>
    <row r="160" ht="15" customHeight="1" s="75">
      <c r="A160" s="74" t="inlineStr">
        <is>
          <t>ABRIL/2026</t>
        </is>
      </c>
      <c r="B160" s="74" t="inlineStr">
        <is>
          <t>Instalação</t>
        </is>
      </c>
      <c r="C160" s="74" t="inlineStr">
        <is>
          <t>KM rodado para serviços técnicos Souza e Silva p/ Solon</t>
        </is>
      </c>
      <c r="D160" s="74" t="inlineStr">
        <is>
          <t>Souza e Silva</t>
        </is>
      </c>
      <c r="E160" s="151" t="n">
        <v>0</v>
      </c>
      <c r="F160" s="100" t="n">
        <v>0</v>
      </c>
      <c r="G160" s="100" t="n">
        <v>0</v>
      </c>
      <c r="H160" s="74" t="inlineStr">
        <is>
          <t>Deslocamento de equipes</t>
        </is>
      </c>
    </row>
    <row r="161" ht="15" customHeight="1" s="75">
      <c r="A161" s="74" t="inlineStr">
        <is>
          <t>ABRIL/2026</t>
        </is>
      </c>
      <c r="B161" s="74" t="inlineStr">
        <is>
          <t>Instalação</t>
        </is>
      </c>
      <c r="C161" s="74" t="inlineStr">
        <is>
          <t>KM rodado para serviços técnicos Souza e silva p/ soares e silva</t>
        </is>
      </c>
      <c r="D161" s="74" t="inlineStr">
        <is>
          <t>Souza e Silva</t>
        </is>
      </c>
      <c r="E161" s="151" t="n">
        <v>0</v>
      </c>
      <c r="F161" s="100" t="n">
        <v>0</v>
      </c>
      <c r="G161" s="100" t="n">
        <v>0</v>
      </c>
      <c r="H161" s="74" t="inlineStr">
        <is>
          <t>Deslocamento de equipes</t>
        </is>
      </c>
    </row>
    <row r="162" ht="15" customHeight="1" s="75">
      <c r="A162" s="74" t="inlineStr">
        <is>
          <t>ABRIL/2026</t>
        </is>
      </c>
      <c r="B162" s="74" t="inlineStr">
        <is>
          <t>Instalação</t>
        </is>
      </c>
      <c r="C162" s="74" t="inlineStr">
        <is>
          <t>Serviços técnicos da Souza e silva p/ soares e silva</t>
        </is>
      </c>
      <c r="D162" s="74" t="inlineStr">
        <is>
          <t>Souza e Silva</t>
        </is>
      </c>
      <c r="E162" s="151" t="n">
        <v>0</v>
      </c>
      <c r="F162" s="100" t="n">
        <v>0</v>
      </c>
      <c r="G162" s="100" t="n">
        <v>0</v>
      </c>
      <c r="H162" s="74" t="inlineStr">
        <is>
          <t>Serviços das equipes técnicas</t>
        </is>
      </c>
    </row>
    <row r="163" ht="15" customHeight="1" s="75">
      <c r="A163" s="74" t="inlineStr">
        <is>
          <t>ABRIL/2026</t>
        </is>
      </c>
      <c r="B163" s="74" t="inlineStr">
        <is>
          <t>Instalação</t>
        </is>
      </c>
      <c r="C163" s="74" t="inlineStr">
        <is>
          <t>Serviços técnicos da Souza p/ Solon</t>
        </is>
      </c>
      <c r="D163" s="74" t="inlineStr">
        <is>
          <t>Souza e Silva</t>
        </is>
      </c>
      <c r="E163" s="151" t="n">
        <v>0</v>
      </c>
      <c r="F163" s="100" t="n">
        <v>0</v>
      </c>
      <c r="G163" s="100" t="n">
        <v>0</v>
      </c>
      <c r="H163" s="74" t="inlineStr">
        <is>
          <t>Serviços das equipes técnicas da Dtel</t>
        </is>
      </c>
    </row>
    <row r="164" ht="15" customHeight="1" s="75">
      <c r="A164" s="74" t="inlineStr">
        <is>
          <t>ABRIL/2026</t>
        </is>
      </c>
      <c r="B164" s="74" t="inlineStr">
        <is>
          <t>Instalação</t>
        </is>
      </c>
      <c r="C164" s="74" t="inlineStr">
        <is>
          <t>Gestão Regional MICHELANGELO</t>
        </is>
      </c>
      <c r="D164" s="74" t="inlineStr">
        <is>
          <t>Voicenet</t>
        </is>
      </c>
      <c r="E164" s="151" t="n">
        <v>4782</v>
      </c>
      <c r="F164" s="100" t="n">
        <v>0.31</v>
      </c>
      <c r="G164" s="100" t="n">
        <v>1482.42</v>
      </c>
      <c r="H164" s="74" t="inlineStr">
        <is>
          <t>Cálculo por número de clientes ativos</t>
        </is>
      </c>
    </row>
    <row r="165" ht="15" customHeight="1" s="75">
      <c r="A165" s="74" t="inlineStr">
        <is>
          <t>ABRIL/2026</t>
        </is>
      </c>
      <c r="B165" s="74" t="inlineStr">
        <is>
          <t>Instalação</t>
        </is>
      </c>
      <c r="C165" s="74" t="inlineStr">
        <is>
          <t>KM rodado para serviços técnicos Dtel para Voicenet</t>
        </is>
      </c>
      <c r="D165" s="74" t="inlineStr">
        <is>
          <t>Voicenet</t>
        </is>
      </c>
      <c r="E165" s="151" t="n">
        <v>1</v>
      </c>
      <c r="F165" s="100" t="n">
        <v>2480.38</v>
      </c>
      <c r="G165" s="100" t="n">
        <v>2480.38</v>
      </c>
      <c r="H165" s="74" t="inlineStr">
        <is>
          <t>Deslocamento de equipes</t>
        </is>
      </c>
    </row>
    <row r="166" ht="15" customHeight="1" s="75">
      <c r="A166" s="74" t="inlineStr">
        <is>
          <t>ABRIL/2026</t>
        </is>
      </c>
      <c r="B166" s="74" t="inlineStr">
        <is>
          <t>Instalação</t>
        </is>
      </c>
      <c r="C166" s="74" t="inlineStr">
        <is>
          <t>KM rodado para serviços técnicos Voicenet p/ Dtel</t>
        </is>
      </c>
      <c r="D166" s="74" t="inlineStr">
        <is>
          <t>Voicenet</t>
        </is>
      </c>
      <c r="E166" s="151" t="n">
        <v>0</v>
      </c>
      <c r="F166" s="100" t="n">
        <v>0</v>
      </c>
      <c r="G166" s="100" t="n">
        <v>0</v>
      </c>
      <c r="H166" s="74" t="inlineStr">
        <is>
          <t>Deslocamento de equipes</t>
        </is>
      </c>
    </row>
    <row r="167" ht="15" customHeight="1" s="75">
      <c r="A167" s="74" t="inlineStr">
        <is>
          <t>ABRIL/2026</t>
        </is>
      </c>
      <c r="B167" s="74" t="inlineStr">
        <is>
          <t>Instalação</t>
        </is>
      </c>
      <c r="C167" s="74" t="inlineStr">
        <is>
          <t>Serviços técnicos da Dtel para voice net</t>
        </is>
      </c>
      <c r="D167" s="74" t="inlineStr">
        <is>
          <t>Voicenet</t>
        </is>
      </c>
      <c r="E167" s="151" t="n">
        <v>1</v>
      </c>
      <c r="F167" s="100" t="n">
        <v>13877.08</v>
      </c>
      <c r="G167" s="100" t="n">
        <v>13877.08</v>
      </c>
      <c r="H167" s="74" t="inlineStr">
        <is>
          <t>Serviços das equipes técnicas da Dtel</t>
        </is>
      </c>
    </row>
    <row r="168" ht="15" customHeight="1" s="75">
      <c r="A168" s="74" t="inlineStr">
        <is>
          <t>ABRIL/2026</t>
        </is>
      </c>
      <c r="B168" s="74" t="inlineStr">
        <is>
          <t>Instalação</t>
        </is>
      </c>
      <c r="C168" s="74" t="inlineStr">
        <is>
          <t>Serviços técnicos da voicenet p/ Dtel</t>
        </is>
      </c>
      <c r="D168" s="74" t="inlineStr">
        <is>
          <t>Voicenet</t>
        </is>
      </c>
      <c r="E168" s="151" t="n">
        <v>0</v>
      </c>
      <c r="F168" s="100" t="n">
        <v>0</v>
      </c>
      <c r="G168" s="100" t="n">
        <v>0</v>
      </c>
      <c r="H168" s="74" t="inlineStr">
        <is>
          <t>Serviços das equipes técnicas</t>
        </is>
      </c>
    </row>
    <row r="169" ht="15" customHeight="1" s="75">
      <c r="A169" s="74" t="inlineStr">
        <is>
          <t>ABRIL/2026</t>
        </is>
      </c>
      <c r="B169" s="74" t="inlineStr">
        <is>
          <t>Licitação</t>
        </is>
      </c>
      <c r="C169" s="74" t="inlineStr">
        <is>
          <t>Conselho Regional De Enfermagem De Alagoas</t>
        </is>
      </c>
      <c r="D169" s="74" t="inlineStr">
        <is>
          <t>H&amp;A</t>
        </is>
      </c>
      <c r="E169" s="151" t="n">
        <v>1</v>
      </c>
      <c r="F169" s="100" t="n">
        <v>238.88</v>
      </c>
      <c r="G169" s="100" t="n">
        <v>238.88</v>
      </c>
      <c r="H169" s="74" t="inlineStr">
        <is>
          <t>Mensalidade recebida pela H&amp;A (parcela abril)</t>
        </is>
      </c>
    </row>
    <row r="170" ht="15" customHeight="1" s="75">
      <c r="A170" s="74" t="inlineStr">
        <is>
          <t>ABRIL/2026</t>
        </is>
      </c>
      <c r="B170" s="74" t="inlineStr">
        <is>
          <t>Licitação</t>
        </is>
      </c>
      <c r="C170" s="74" t="inlineStr">
        <is>
          <t>Conselho Regional de Enfermagem de Pernambuco - Coren PE</t>
        </is>
      </c>
      <c r="D170" s="74" t="inlineStr">
        <is>
          <t>H&amp;A</t>
        </is>
      </c>
      <c r="E170" s="151" t="n">
        <v>1</v>
      </c>
      <c r="F170" s="100" t="n">
        <v>609.17</v>
      </c>
      <c r="G170" s="100" t="n">
        <v>609.17</v>
      </c>
      <c r="H170" s="74" t="inlineStr">
        <is>
          <t>Mensalidade recebida pela H&amp;A (parcela abril)</t>
        </is>
      </c>
    </row>
    <row r="171" ht="15" customHeight="1" s="75">
      <c r="A171" s="74" t="inlineStr">
        <is>
          <t>ABRIL/2026</t>
        </is>
      </c>
      <c r="B171" s="74" t="inlineStr">
        <is>
          <t>Licitação</t>
        </is>
      </c>
      <c r="C171" s="74" t="inlineStr">
        <is>
          <t>Conselho regional de farmacia dos estado de pernambuco</t>
        </is>
      </c>
      <c r="D171" s="74" t="inlineStr">
        <is>
          <t>H&amp;A</t>
        </is>
      </c>
      <c r="E171" s="151" t="n">
        <v>1</v>
      </c>
      <c r="F171" s="100" t="n">
        <v>510</v>
      </c>
      <c r="G171" s="100" t="n">
        <v>510</v>
      </c>
      <c r="H171" s="74" t="inlineStr">
        <is>
          <t>Mensalidade recebida pela H&amp;A (parcela abril)</t>
        </is>
      </c>
    </row>
    <row r="172" ht="15" customHeight="1" s="75">
      <c r="A172" s="74" t="inlineStr">
        <is>
          <t>ABRIL/2026</t>
        </is>
      </c>
      <c r="B172" s="74" t="inlineStr">
        <is>
          <t>Licitação</t>
        </is>
      </c>
      <c r="C172" s="74" t="inlineStr">
        <is>
          <t>Câmara de vereadores-Vitória de Stº Antão</t>
        </is>
      </c>
      <c r="D172" s="74" t="inlineStr">
        <is>
          <t>H&amp;A</t>
        </is>
      </c>
      <c r="E172" s="151" t="n">
        <v>1</v>
      </c>
      <c r="F172" s="100" t="n">
        <v>333.1</v>
      </c>
      <c r="G172" s="100" t="n">
        <v>333.1</v>
      </c>
      <c r="H172" s="74" t="inlineStr">
        <is>
          <t>Mensalidade recebida pela H&amp;A (parcela maio)</t>
        </is>
      </c>
    </row>
    <row r="173" ht="15" customHeight="1" s="75">
      <c r="A173" s="74" t="inlineStr">
        <is>
          <t>ABRIL/2026</t>
        </is>
      </c>
      <c r="B173" s="74" t="inlineStr">
        <is>
          <t>Licitação</t>
        </is>
      </c>
      <c r="C173" s="74" t="inlineStr">
        <is>
          <t>FUNDO MUNICIPAL DE ASSISTÊNCIA SOCIAL DE PRIMAVERA</t>
        </is>
      </c>
      <c r="D173" s="74" t="inlineStr">
        <is>
          <t>H&amp;A</t>
        </is>
      </c>
      <c r="E173" s="151" t="n">
        <v>1</v>
      </c>
      <c r="F173" s="100" t="n">
        <v>1833.24</v>
      </c>
      <c r="G173" s="100" t="n">
        <v>1833.24</v>
      </c>
      <c r="H173" s="74" t="inlineStr">
        <is>
          <t>Mensalidade recebida pela H&amp;A (parcela abril)</t>
        </is>
      </c>
    </row>
    <row r="174" ht="15" customHeight="1" s="75">
      <c r="A174" s="74" t="inlineStr">
        <is>
          <t>ABRIL/2026</t>
        </is>
      </c>
      <c r="B174" s="74" t="inlineStr">
        <is>
          <t>Licitação</t>
        </is>
      </c>
      <c r="C174" s="74" t="inlineStr">
        <is>
          <t>Fundo Municipal De Saude De Primavera</t>
        </is>
      </c>
      <c r="D174" s="74" t="inlineStr">
        <is>
          <t>H&amp;A</t>
        </is>
      </c>
      <c r="E174" s="151" t="n">
        <v>1</v>
      </c>
      <c r="F174" s="100" t="n">
        <v>2973.2</v>
      </c>
      <c r="G174" s="100" t="n">
        <v>2973.2</v>
      </c>
      <c r="H174" s="74" t="inlineStr">
        <is>
          <t>Mensalidade recebida pela H&amp;A (parcela abril)</t>
        </is>
      </c>
    </row>
    <row r="175" ht="15" customHeight="1" s="75">
      <c r="A175" s="74" t="inlineStr">
        <is>
          <t>ABRIL/2026</t>
        </is>
      </c>
      <c r="B175" s="74" t="inlineStr">
        <is>
          <t>Licitação</t>
        </is>
      </c>
      <c r="C175" s="74" t="inlineStr">
        <is>
          <t>Municipio De Primavera</t>
        </is>
      </c>
      <c r="D175" s="74" t="inlineStr">
        <is>
          <t>H&amp;A</t>
        </is>
      </c>
      <c r="E175" s="151" t="n">
        <v>1</v>
      </c>
      <c r="F175" s="100" t="n">
        <v>7615.46</v>
      </c>
      <c r="G175" s="100" t="n">
        <v>7615.46</v>
      </c>
      <c r="H175" s="74" t="inlineStr">
        <is>
          <t>Mensalidade recebida pela H&amp;A (parcela abril)</t>
        </is>
      </c>
    </row>
    <row r="176" ht="15" customHeight="1" s="75">
      <c r="A176" s="74" t="inlineStr">
        <is>
          <t>ABRIL/2026</t>
        </is>
      </c>
      <c r="B176" s="74" t="inlineStr">
        <is>
          <t>Licitação</t>
        </is>
      </c>
      <c r="C176" s="74" t="inlineStr">
        <is>
          <t>AGÊNCIA REGULADORA DOS SERVIÇOS PÚBLICOS DO ESTADO DE ALAGOAS - ARSAL</t>
        </is>
      </c>
      <c r="D176" s="74" t="inlineStr">
        <is>
          <t>Soares e Silva</t>
        </is>
      </c>
      <c r="E176" s="151" t="n">
        <v>-1</v>
      </c>
      <c r="F176" s="100" t="n">
        <v>837.25</v>
      </c>
      <c r="G176" s="100" t="n">
        <v>-837.25</v>
      </c>
      <c r="H176" s="74" t="inlineStr">
        <is>
          <t>Mensalidade recebida pela Dtel (parcela abril)</t>
        </is>
      </c>
    </row>
    <row r="177" ht="15" customHeight="1" s="75">
      <c r="A177" s="74" t="inlineStr">
        <is>
          <t>ABRIL/2026</t>
        </is>
      </c>
      <c r="B177" s="74" t="inlineStr">
        <is>
          <t>Licitação</t>
        </is>
      </c>
      <c r="C177" s="74" t="inlineStr">
        <is>
          <t>Conselho Regional De Enfermagem De Alagoas</t>
        </is>
      </c>
      <c r="D177" s="74" t="inlineStr">
        <is>
          <t>Soares e Silva</t>
        </is>
      </c>
      <c r="E177" s="151" t="n">
        <v>-1</v>
      </c>
      <c r="F177" s="100" t="n">
        <v>238.88</v>
      </c>
      <c r="G177" s="100" t="n">
        <v>-238.88</v>
      </c>
      <c r="H177" s="74" t="inlineStr">
        <is>
          <t>Mensalidade recebida pela H&amp;A (parcela abril)</t>
        </is>
      </c>
    </row>
    <row r="178" ht="15" customHeight="1" s="75">
      <c r="A178" s="74" t="inlineStr">
        <is>
          <t>ABRIL/2026</t>
        </is>
      </c>
      <c r="B178" s="74" t="inlineStr">
        <is>
          <t>Licitação</t>
        </is>
      </c>
      <c r="C178" s="74" t="inlineStr">
        <is>
          <t>Conselho Regional De Enfermagem De Alagoas</t>
        </is>
      </c>
      <c r="D178" s="74" t="inlineStr">
        <is>
          <t>Soares e Silva</t>
        </is>
      </c>
      <c r="E178" s="151" t="n">
        <v>1</v>
      </c>
      <c r="F178" s="100" t="n">
        <v>34.83</v>
      </c>
      <c r="G178" s="100" t="n">
        <v>34.83</v>
      </c>
      <c r="H178" s="74" t="inlineStr">
        <is>
          <t>Imposto pago pela h&amp;a sob o recebimento da licitação</t>
        </is>
      </c>
    </row>
    <row r="179" ht="15" customHeight="1" s="75">
      <c r="A179" s="74" t="inlineStr">
        <is>
          <t>ABRIL/2026</t>
        </is>
      </c>
      <c r="B179" s="74" t="inlineStr">
        <is>
          <t>Licitação</t>
        </is>
      </c>
      <c r="C179" s="74" t="inlineStr">
        <is>
          <t>Comissão de manutenção da Totum</t>
        </is>
      </c>
      <c r="D179" s="74" t="inlineStr">
        <is>
          <t>Voicenet</t>
        </is>
      </c>
      <c r="E179" s="151" t="n">
        <v>1</v>
      </c>
      <c r="F179" s="100" t="n">
        <v>25.5</v>
      </c>
      <c r="G179" s="100" t="n">
        <v>25.5</v>
      </c>
      <c r="H179" s="74" t="inlineStr">
        <is>
          <t>Conselho regional de farmacia do estado de PE</t>
        </is>
      </c>
    </row>
    <row r="180" ht="15" customHeight="1" s="75">
      <c r="A180" s="74" t="inlineStr">
        <is>
          <t>ABRIL/2026</t>
        </is>
      </c>
      <c r="B180" s="74" t="inlineStr">
        <is>
          <t>Licitação</t>
        </is>
      </c>
      <c r="C180" s="74" t="inlineStr">
        <is>
          <t>Conselho regional de farmacia dos estado de pernambuco</t>
        </is>
      </c>
      <c r="D180" s="74" t="inlineStr">
        <is>
          <t>Voicenet</t>
        </is>
      </c>
      <c r="E180" s="151" t="n">
        <v>1</v>
      </c>
      <c r="F180" s="100" t="n">
        <v>67.33</v>
      </c>
      <c r="G180" s="100" t="n">
        <v>67.33</v>
      </c>
      <c r="H180" s="74" t="inlineStr">
        <is>
          <t>Imposto pago pela h&amp;a, pelo recebimento da licitação</t>
        </is>
      </c>
    </row>
    <row r="181" ht="15" customHeight="1" s="75">
      <c r="A181" s="74" t="inlineStr">
        <is>
          <t>ABRIL/2026</t>
        </is>
      </c>
      <c r="B181" s="74" t="inlineStr">
        <is>
          <t>Licitação</t>
        </is>
      </c>
      <c r="C181" s="74" t="inlineStr">
        <is>
          <t>Conselho regional de farmacia dos estado de pernambuco</t>
        </is>
      </c>
      <c r="D181" s="74" t="inlineStr">
        <is>
          <t>Voicenet</t>
        </is>
      </c>
      <c r="E181" s="151" t="n">
        <v>-1</v>
      </c>
      <c r="F181" s="100" t="n">
        <v>510</v>
      </c>
      <c r="G181" s="100" t="n">
        <v>-510</v>
      </c>
      <c r="H181" s="74" t="inlineStr">
        <is>
          <t>Mensalidade recebida pela H&amp;A (parcela abril)</t>
        </is>
      </c>
    </row>
    <row r="182" ht="15" customHeight="1" s="75">
      <c r="A182" s="74" t="inlineStr">
        <is>
          <t>ABRIL/2026</t>
        </is>
      </c>
      <c r="B182" s="74" t="inlineStr">
        <is>
          <t>Manutenção Predial</t>
        </is>
      </c>
      <c r="C182" s="74" t="inlineStr">
        <is>
          <t>Manutenção predial</t>
        </is>
      </c>
      <c r="D182" s="74" t="inlineStr">
        <is>
          <t>DX2</t>
        </is>
      </c>
      <c r="E182" s="151" t="n">
        <v>1</v>
      </c>
      <c r="F182" s="100" t="n">
        <v>7780.43</v>
      </c>
      <c r="G182" s="100" t="n">
        <v>7780.43</v>
      </c>
      <c r="H182" s="74" t="inlineStr">
        <is>
          <t>Serviços executados para verificação de tacaimbó, e manut. de alarme e sensor loja pesqueira, despesa com comb. e colab.</t>
        </is>
      </c>
    </row>
    <row r="183" ht="15" customHeight="1" s="75">
      <c r="A183" s="74" t="inlineStr">
        <is>
          <t>ABRIL/2026</t>
        </is>
      </c>
      <c r="B183" s="74" t="inlineStr">
        <is>
          <t>Manutenção Predial</t>
        </is>
      </c>
      <c r="C183" s="74" t="inlineStr">
        <is>
          <t>Manutenção predial</t>
        </is>
      </c>
      <c r="D183" s="74" t="inlineStr">
        <is>
          <t>H&amp;A</t>
        </is>
      </c>
      <c r="E183" s="151" t="n">
        <v>1</v>
      </c>
      <c r="F183" s="100" t="n">
        <v>2777.71</v>
      </c>
      <c r="G183" s="100" t="n">
        <v>2777.71</v>
      </c>
      <c r="H183" s="74" t="inlineStr">
        <is>
          <t>Despesa com combust. e colaborador para manutenção de ar condicionado do estoque</t>
        </is>
      </c>
    </row>
    <row r="184" ht="15" customHeight="1" s="75">
      <c r="A184" s="74" t="inlineStr">
        <is>
          <t>ABRIL/2026</t>
        </is>
      </c>
      <c r="B184" s="74" t="inlineStr">
        <is>
          <t>Manutenção Predial</t>
        </is>
      </c>
      <c r="C184" s="74" t="inlineStr">
        <is>
          <t>Manutenção predial</t>
        </is>
      </c>
      <c r="D184" s="74" t="inlineStr">
        <is>
          <t>Soares e Lins</t>
        </is>
      </c>
      <c r="E184" s="151" t="n">
        <v>0</v>
      </c>
      <c r="F184" s="100" t="n">
        <v>0</v>
      </c>
      <c r="G184" s="100" t="n">
        <v>0</v>
      </c>
      <c r="H184" s="74" t="inlineStr">
        <is>
          <t>Serviços executados</t>
        </is>
      </c>
    </row>
    <row r="185" ht="15" customHeight="1" s="75">
      <c r="A185" s="74" t="inlineStr">
        <is>
          <t>ABRIL/2026</t>
        </is>
      </c>
      <c r="B185" s="74" t="inlineStr">
        <is>
          <t>Manutenção Predial</t>
        </is>
      </c>
      <c r="C185" s="74" t="inlineStr">
        <is>
          <t>Manutenção predial</t>
        </is>
      </c>
      <c r="D185" s="74" t="inlineStr">
        <is>
          <t>Soares e Silva</t>
        </is>
      </c>
      <c r="E185" s="151" t="n">
        <v>1</v>
      </c>
      <c r="F185" s="100" t="n">
        <v>4438.18</v>
      </c>
      <c r="G185" s="100" t="n">
        <v>4438.18</v>
      </c>
      <c r="H185" s="74" t="inlineStr">
        <is>
          <t>Serviços executados, despesa com combustÍvel e colaborador para reforma pop b, e passagem de tubulação de condensadora</t>
        </is>
      </c>
    </row>
    <row r="186" ht="15" customHeight="1" s="75">
      <c r="A186" s="74" t="inlineStr">
        <is>
          <t>ABRIL/2026</t>
        </is>
      </c>
      <c r="B186" s="74" t="inlineStr">
        <is>
          <t>Manutenção Predial</t>
        </is>
      </c>
      <c r="C186" s="74" t="inlineStr">
        <is>
          <t>Manutenção predial</t>
        </is>
      </c>
      <c r="D186" s="74" t="inlineStr">
        <is>
          <t>Solon Araújo</t>
        </is>
      </c>
      <c r="E186" s="151" t="n">
        <v>1</v>
      </c>
      <c r="F186" s="100" t="n">
        <v>5054.07</v>
      </c>
      <c r="G186" s="100" t="n">
        <v>5054.07</v>
      </c>
      <c r="H186" s="74" t="inlineStr">
        <is>
          <t>Despesa com material, combust, e colaborador para manut. de ar, e manut. de telhado</t>
        </is>
      </c>
    </row>
    <row r="187" ht="15" customHeight="1" s="75">
      <c r="A187" s="74" t="inlineStr">
        <is>
          <t>ABRIL/2026</t>
        </is>
      </c>
      <c r="B187" s="74" t="inlineStr">
        <is>
          <t>Manutenção Predial</t>
        </is>
      </c>
      <c r="C187" s="74" t="inlineStr">
        <is>
          <t>Manutenção predial</t>
        </is>
      </c>
      <c r="D187" s="74" t="inlineStr">
        <is>
          <t>Souza e Silva</t>
        </is>
      </c>
      <c r="E187" s="151" t="n">
        <v>0</v>
      </c>
      <c r="F187" s="100" t="n">
        <v>0</v>
      </c>
      <c r="G187" s="100" t="n">
        <v>0</v>
      </c>
      <c r="H187" s="74" t="inlineStr">
        <is>
          <t>Serviços executados</t>
        </is>
      </c>
    </row>
    <row r="188" ht="15" customHeight="1" s="75">
      <c r="A188" s="74" t="inlineStr">
        <is>
          <t>ABRIL/2026</t>
        </is>
      </c>
      <c r="B188" s="74" t="inlineStr">
        <is>
          <t>Manutenção Predial</t>
        </is>
      </c>
      <c r="C188" s="74" t="inlineStr">
        <is>
          <t>Manutenção predial</t>
        </is>
      </c>
      <c r="D188" s="74" t="inlineStr">
        <is>
          <t>Voicenet</t>
        </is>
      </c>
      <c r="E188" s="151" t="n">
        <v>1</v>
      </c>
      <c r="F188" s="100" t="n">
        <v>1379.96</v>
      </c>
      <c r="G188" s="100" t="n">
        <v>1379.96</v>
      </c>
      <c r="H188" s="74" t="inlineStr">
        <is>
          <t>Serviços executados despesas com comb. e colaborador para urgencia na base</t>
        </is>
      </c>
    </row>
    <row r="189" ht="15" customHeight="1" s="75">
      <c r="A189" s="74" t="inlineStr">
        <is>
          <t>ABRIL/2026</t>
        </is>
      </c>
      <c r="B189" s="74" t="inlineStr">
        <is>
          <t>Marketing</t>
        </is>
      </c>
      <c r="C189" s="74" t="inlineStr">
        <is>
          <t>Vendas do site Mundiale</t>
        </is>
      </c>
      <c r="D189" s="74" t="inlineStr">
        <is>
          <t>DTEL</t>
        </is>
      </c>
      <c r="E189" s="151" t="n">
        <v>1</v>
      </c>
      <c r="F189" s="100" t="n">
        <v>404.4</v>
      </c>
      <c r="G189" s="100" t="n">
        <v>404.4</v>
      </c>
      <c r="H189" s="74" t="inlineStr">
        <is>
          <t>Vendas instaladas do impulsionamento site mundiale (VENDAS MUNDIALE - MAIO 2026.xlsx)</t>
        </is>
      </c>
    </row>
    <row r="190" ht="15" customHeight="1" s="75">
      <c r="A190" s="74" t="inlineStr">
        <is>
          <t>ABRIL/2026</t>
        </is>
      </c>
      <c r="B190" s="74" t="inlineStr">
        <is>
          <t>Marketing</t>
        </is>
      </c>
      <c r="C190" s="74" t="inlineStr">
        <is>
          <t>Vendas do site Mundiale</t>
        </is>
      </c>
      <c r="D190" s="74" t="inlineStr">
        <is>
          <t>DTEL</t>
        </is>
      </c>
      <c r="E190" s="151" t="n">
        <v>139</v>
      </c>
      <c r="F190" s="100" t="n">
        <v>124.1</v>
      </c>
      <c r="G190" s="100" t="n">
        <v>17249.9</v>
      </c>
      <c r="H190" s="74" t="inlineStr">
        <is>
          <t>Vendas instaladas do impulsionamento site mundiale</t>
        </is>
      </c>
    </row>
    <row r="191" ht="15" customHeight="1" s="75">
      <c r="A191" s="74" t="inlineStr">
        <is>
          <t>ABRIL/2026</t>
        </is>
      </c>
      <c r="B191" s="74" t="inlineStr">
        <is>
          <t>Marketing</t>
        </is>
      </c>
      <c r="C191" s="74" t="inlineStr">
        <is>
          <t>Vendas do site Mundiale</t>
        </is>
      </c>
      <c r="D191" s="74" t="inlineStr">
        <is>
          <t>DX2</t>
        </is>
      </c>
      <c r="E191" s="151" t="n">
        <v>3</v>
      </c>
      <c r="F191" s="100" t="n">
        <v>143.82</v>
      </c>
      <c r="G191" s="100" t="n">
        <v>431.46</v>
      </c>
      <c r="H191" s="74" t="inlineStr">
        <is>
          <t>Vendas instaladas do impulsionamento site mundiale</t>
        </is>
      </c>
    </row>
    <row r="192" ht="15" customHeight="1" s="75">
      <c r="A192" s="74" t="inlineStr">
        <is>
          <t>ABRIL/2026</t>
        </is>
      </c>
      <c r="B192" s="74" t="inlineStr">
        <is>
          <t>Marketing</t>
        </is>
      </c>
      <c r="C192" s="74" t="inlineStr">
        <is>
          <t>Vendas do site Mundiale</t>
        </is>
      </c>
      <c r="D192" s="74" t="inlineStr">
        <is>
          <t>H&amp;A</t>
        </is>
      </c>
      <c r="E192" s="151" t="n">
        <v>12</v>
      </c>
      <c r="F192" s="100" t="n">
        <v>133.21</v>
      </c>
      <c r="G192" s="100" t="n">
        <v>1598.52</v>
      </c>
      <c r="H192" s="74" t="inlineStr">
        <is>
          <t>Vendas instaladas do impulsionamento site mundiale</t>
        </is>
      </c>
    </row>
    <row r="193" ht="15" customHeight="1" s="75">
      <c r="A193" s="74" t="inlineStr">
        <is>
          <t>ABRIL/2026</t>
        </is>
      </c>
      <c r="B193" s="74" t="inlineStr">
        <is>
          <t>Marketing</t>
        </is>
      </c>
      <c r="C193" s="74" t="inlineStr">
        <is>
          <t>Vendas do site Mundiale</t>
        </is>
      </c>
      <c r="D193" s="74" t="inlineStr">
        <is>
          <t>Soares e Lins</t>
        </is>
      </c>
      <c r="E193" s="151" t="n">
        <v>15</v>
      </c>
      <c r="F193" s="100" t="n">
        <v>151.02</v>
      </c>
      <c r="G193" s="100" t="n">
        <v>2265.3</v>
      </c>
      <c r="H193" s="74" t="inlineStr">
        <is>
          <t>Vendas instaladas do impulsionamento site mundiale</t>
        </is>
      </c>
    </row>
    <row r="194" ht="15" customHeight="1" s="75">
      <c r="A194" s="74" t="inlineStr">
        <is>
          <t>ABRIL/2026</t>
        </is>
      </c>
      <c r="B194" s="74" t="inlineStr">
        <is>
          <t>Marketing</t>
        </is>
      </c>
      <c r="C194" s="74" t="inlineStr">
        <is>
          <t>Vendas do site Mundiale</t>
        </is>
      </c>
      <c r="D194" s="74" t="inlineStr">
        <is>
          <t>Soares e Silva</t>
        </is>
      </c>
      <c r="E194" s="151" t="n">
        <v>20</v>
      </c>
      <c r="F194" s="100" t="n">
        <v>151.92</v>
      </c>
      <c r="G194" s="100" t="n">
        <v>3038.4</v>
      </c>
      <c r="H194" s="74" t="inlineStr">
        <is>
          <t>Vendas instaladas do impulsionamento site mundiale</t>
        </is>
      </c>
    </row>
    <row r="195" ht="15" customHeight="1" s="75">
      <c r="A195" s="74" t="inlineStr">
        <is>
          <t>ABRIL/2026</t>
        </is>
      </c>
      <c r="B195" s="74" t="inlineStr">
        <is>
          <t>Marketing</t>
        </is>
      </c>
      <c r="C195" s="74" t="inlineStr">
        <is>
          <t>Vendas do site Mundiale</t>
        </is>
      </c>
      <c r="D195" s="74" t="inlineStr">
        <is>
          <t>Solon Araújo</t>
        </is>
      </c>
      <c r="E195" s="151" t="n">
        <v>10</v>
      </c>
      <c r="F195" s="100" t="n">
        <v>151.02</v>
      </c>
      <c r="G195" s="100" t="n">
        <v>1510.2</v>
      </c>
      <c r="H195" s="74" t="inlineStr">
        <is>
          <t>Vendas instaladas do impulsionamento site mundiale</t>
        </is>
      </c>
    </row>
    <row r="196" ht="15" customHeight="1" s="75">
      <c r="A196" s="74" t="inlineStr">
        <is>
          <t>ABRIL/2026</t>
        </is>
      </c>
      <c r="B196" s="74" t="inlineStr">
        <is>
          <t>Marketing</t>
        </is>
      </c>
      <c r="C196" s="74" t="inlineStr">
        <is>
          <t>Vendas do site Mundiale</t>
        </is>
      </c>
      <c r="D196" s="74" t="inlineStr">
        <is>
          <t>Souza e Silva</t>
        </is>
      </c>
      <c r="E196" s="151" t="n">
        <v>1</v>
      </c>
      <c r="F196" s="100" t="n">
        <v>143.82</v>
      </c>
      <c r="G196" s="100" t="n">
        <v>143.82</v>
      </c>
      <c r="H196" s="74" t="inlineStr">
        <is>
          <t>Vendas instaladas do impulsionamento site mundiale</t>
        </is>
      </c>
    </row>
    <row r="197" ht="15" customHeight="1" s="75">
      <c r="A197" s="74" t="inlineStr">
        <is>
          <t>ABRIL/2026</t>
        </is>
      </c>
      <c r="B197" s="74" t="inlineStr">
        <is>
          <t>Marketing</t>
        </is>
      </c>
      <c r="C197" s="74" t="inlineStr">
        <is>
          <t>Vendas do site Mundiale</t>
        </is>
      </c>
      <c r="D197" s="74" t="inlineStr">
        <is>
          <t>Voicenet</t>
        </is>
      </c>
      <c r="E197" s="151" t="n">
        <v>9</v>
      </c>
      <c r="F197" s="100" t="n">
        <v>123.18</v>
      </c>
      <c r="G197" s="100" t="n">
        <v>1108.62</v>
      </c>
      <c r="H197" s="74" t="inlineStr">
        <is>
          <t>Vendas instaladas do impulsionamento site mundiale</t>
        </is>
      </c>
    </row>
    <row r="198" ht="15" customHeight="1" s="75">
      <c r="A198" s="74" t="inlineStr">
        <is>
          <t>ABRIL/2026</t>
        </is>
      </c>
      <c r="B198" s="74" t="inlineStr">
        <is>
          <t>RH</t>
        </is>
      </c>
      <c r="C198" s="74" t="inlineStr">
        <is>
          <t>Fardamentos</t>
        </is>
      </c>
      <c r="D198" s="74" t="inlineStr">
        <is>
          <t>DX2</t>
        </is>
      </c>
      <c r="E198" s="151" t="n">
        <v>1</v>
      </c>
      <c r="F198" s="100" t="n">
        <v>209</v>
      </c>
      <c r="G198" s="100" t="n">
        <v>209</v>
      </c>
      <c r="H198" s="74" t="inlineStr">
        <is>
          <t>Solicitações de fardamentos administrativos</t>
        </is>
      </c>
    </row>
    <row r="199" ht="15" customHeight="1" s="75">
      <c r="A199" s="74" t="inlineStr">
        <is>
          <t>ABRIL/2026</t>
        </is>
      </c>
      <c r="B199" s="74" t="inlineStr">
        <is>
          <t>RH</t>
        </is>
      </c>
      <c r="C199" s="74" t="inlineStr">
        <is>
          <t>Treinamentos/integração</t>
        </is>
      </c>
      <c r="D199" s="74" t="inlineStr">
        <is>
          <t>DX2</t>
        </is>
      </c>
      <c r="E199" s="151" t="n">
        <v>1</v>
      </c>
      <c r="F199" s="100" t="n">
        <v>419.64</v>
      </c>
      <c r="G199" s="100" t="n">
        <v>419.64</v>
      </c>
      <c r="H199" s="74" t="inlineStr">
        <is>
          <t>Despesas com seleção, treinamentos...</t>
        </is>
      </c>
    </row>
    <row r="200" ht="15" customHeight="1" s="75">
      <c r="A200" s="74" t="inlineStr">
        <is>
          <t>ABRIL/2026</t>
        </is>
      </c>
      <c r="B200" s="74" t="inlineStr">
        <is>
          <t>RH</t>
        </is>
      </c>
      <c r="C200" s="74" t="inlineStr">
        <is>
          <t>Fardamentos</t>
        </is>
      </c>
      <c r="D200" s="74" t="inlineStr">
        <is>
          <t>H&amp;A</t>
        </is>
      </c>
      <c r="E200" s="151" t="n">
        <v>0</v>
      </c>
      <c r="F200" s="100" t="n">
        <v>0</v>
      </c>
      <c r="G200" s="100" t="n">
        <v>0</v>
      </c>
      <c r="H200" s="74" t="inlineStr">
        <is>
          <t>Solicitações de fardamentos administrativos</t>
        </is>
      </c>
    </row>
    <row r="201" ht="15" customHeight="1" s="75">
      <c r="A201" s="74" t="inlineStr">
        <is>
          <t>ABRIL/2026</t>
        </is>
      </c>
      <c r="B201" s="74" t="inlineStr">
        <is>
          <t>RH</t>
        </is>
      </c>
      <c r="C201" s="74" t="inlineStr">
        <is>
          <t>Fardamentos</t>
        </is>
      </c>
      <c r="D201" s="74" t="inlineStr">
        <is>
          <t>H&amp;A</t>
        </is>
      </c>
      <c r="E201" s="151" t="n">
        <v>0</v>
      </c>
      <c r="F201" s="100" t="n">
        <v>0</v>
      </c>
      <c r="G201" s="100" t="n">
        <v>0</v>
      </c>
      <c r="H201" s="74" t="inlineStr">
        <is>
          <t>Solicitações de fardamentos administrativos</t>
        </is>
      </c>
    </row>
    <row r="202" ht="15" customHeight="1" s="75">
      <c r="A202" s="74" t="inlineStr">
        <is>
          <t>ABRIL/2026</t>
        </is>
      </c>
      <c r="B202" s="74" t="inlineStr">
        <is>
          <t>RH</t>
        </is>
      </c>
      <c r="C202" s="74" t="inlineStr">
        <is>
          <t>Treinamentos/integração</t>
        </is>
      </c>
      <c r="D202" s="74" t="inlineStr">
        <is>
          <t>H&amp;A</t>
        </is>
      </c>
      <c r="E202" s="151" t="n">
        <v>0</v>
      </c>
      <c r="F202" s="100" t="n">
        <v>0</v>
      </c>
      <c r="G202" s="100" t="n">
        <v>0</v>
      </c>
      <c r="H202" s="74" t="inlineStr">
        <is>
          <t>Despesas com seleção, treinamentos...</t>
        </is>
      </c>
    </row>
    <row r="203" ht="15" customHeight="1" s="75">
      <c r="A203" s="74" t="inlineStr">
        <is>
          <t>ABRIL/2026</t>
        </is>
      </c>
      <c r="B203" s="74" t="inlineStr">
        <is>
          <t>RH</t>
        </is>
      </c>
      <c r="C203" s="74" t="inlineStr">
        <is>
          <t>Fardamentos</t>
        </is>
      </c>
      <c r="D203" s="74" t="inlineStr">
        <is>
          <t>Soares e Lins</t>
        </is>
      </c>
      <c r="E203" s="151" t="n">
        <v>0</v>
      </c>
      <c r="F203" s="100" t="n">
        <v>0</v>
      </c>
      <c r="G203" s="100" t="n">
        <v>0</v>
      </c>
      <c r="H203" s="74" t="inlineStr">
        <is>
          <t>Solicitações de fardamentos administrativos</t>
        </is>
      </c>
    </row>
    <row r="204" ht="15" customHeight="1" s="75">
      <c r="A204" s="74" t="inlineStr">
        <is>
          <t>ABRIL/2026</t>
        </is>
      </c>
      <c r="B204" s="74" t="inlineStr">
        <is>
          <t>RH</t>
        </is>
      </c>
      <c r="C204" s="74" t="inlineStr">
        <is>
          <t>Treinamentos/integração</t>
        </is>
      </c>
      <c r="D204" s="74" t="inlineStr">
        <is>
          <t>Soares e Lins</t>
        </is>
      </c>
      <c r="E204" s="151" t="n">
        <v>0</v>
      </c>
      <c r="F204" s="100" t="n">
        <v>0</v>
      </c>
      <c r="G204" s="100" t="n">
        <v>0</v>
      </c>
      <c r="H204" s="74" t="inlineStr">
        <is>
          <t>Despesa com integração/alimentação</t>
        </is>
      </c>
    </row>
    <row r="205" ht="15" customHeight="1" s="75">
      <c r="A205" s="74" t="inlineStr">
        <is>
          <t>ABRIL/2026</t>
        </is>
      </c>
      <c r="B205" s="74" t="inlineStr">
        <is>
          <t>RH</t>
        </is>
      </c>
      <c r="C205" s="74" t="inlineStr">
        <is>
          <t>Fardamentos</t>
        </is>
      </c>
      <c r="D205" s="74" t="inlineStr">
        <is>
          <t>Soares e Silva</t>
        </is>
      </c>
      <c r="E205" s="151" t="n">
        <v>1</v>
      </c>
      <c r="F205" s="100" t="n">
        <v>280</v>
      </c>
      <c r="G205" s="100" t="n">
        <v>280</v>
      </c>
      <c r="H205" s="74" t="inlineStr">
        <is>
          <t>Solicitações de fardamentos administrativos</t>
        </is>
      </c>
    </row>
    <row r="206" ht="15" customHeight="1" s="75">
      <c r="A206" s="74" t="inlineStr">
        <is>
          <t>ABRIL/2026</t>
        </is>
      </c>
      <c r="B206" s="74" t="inlineStr">
        <is>
          <t>RH</t>
        </is>
      </c>
      <c r="C206" s="74" t="inlineStr">
        <is>
          <t>Fardamentos</t>
        </is>
      </c>
      <c r="D206" s="74" t="inlineStr">
        <is>
          <t>Soares e Silva</t>
        </is>
      </c>
      <c r="E206" s="151" t="n">
        <v>0</v>
      </c>
      <c r="F206" s="100" t="n">
        <v>0</v>
      </c>
      <c r="G206" s="100" t="n">
        <v>0</v>
      </c>
      <c r="H206" s="74" t="inlineStr">
        <is>
          <t>Solicitações de fardamentos administrativos</t>
        </is>
      </c>
    </row>
    <row r="207" ht="15" customHeight="1" s="75">
      <c r="A207" s="74" t="inlineStr">
        <is>
          <t>ABRIL/2026</t>
        </is>
      </c>
      <c r="B207" s="74" t="inlineStr">
        <is>
          <t>RH</t>
        </is>
      </c>
      <c r="C207" s="74" t="inlineStr">
        <is>
          <t>Fardamentos</t>
        </is>
      </c>
      <c r="D207" s="74" t="inlineStr">
        <is>
          <t>Solon Araújo</t>
        </is>
      </c>
      <c r="E207" s="151" t="n">
        <v>1</v>
      </c>
      <c r="F207" s="100" t="n">
        <v>492</v>
      </c>
      <c r="G207" s="100" t="n">
        <v>492</v>
      </c>
      <c r="H207" s="74" t="inlineStr">
        <is>
          <t>Solicitações de fardamentos administrativos</t>
        </is>
      </c>
    </row>
    <row r="208" ht="15" customHeight="1" s="75">
      <c r="A208" s="74" t="inlineStr">
        <is>
          <t>ABRIL/2026</t>
        </is>
      </c>
      <c r="B208" s="74" t="inlineStr">
        <is>
          <t>RH</t>
        </is>
      </c>
      <c r="C208" s="74" t="inlineStr">
        <is>
          <t>Treinamentos/integração</t>
        </is>
      </c>
      <c r="D208" s="74" t="inlineStr">
        <is>
          <t>Solon Araújo</t>
        </is>
      </c>
      <c r="E208" s="151" t="n">
        <v>1</v>
      </c>
      <c r="F208" s="100" t="n">
        <v>668.79</v>
      </c>
      <c r="G208" s="100" t="n">
        <v>668.79</v>
      </c>
      <c r="H208" s="74" t="inlineStr">
        <is>
          <t>Despesas com seleção, treinamentos...</t>
        </is>
      </c>
    </row>
    <row r="209" ht="15" customHeight="1" s="75">
      <c r="A209" s="74" t="inlineStr">
        <is>
          <t>ABRIL/2026</t>
        </is>
      </c>
      <c r="B209" s="74" t="inlineStr">
        <is>
          <t>RH</t>
        </is>
      </c>
      <c r="C209" s="74" t="inlineStr">
        <is>
          <t>Fardamentos</t>
        </is>
      </c>
      <c r="D209" s="74" t="inlineStr">
        <is>
          <t>Souza e Silva</t>
        </is>
      </c>
      <c r="E209" s="151" t="n">
        <v>0</v>
      </c>
      <c r="F209" s="100" t="n">
        <v>0</v>
      </c>
      <c r="G209" s="100" t="n">
        <v>0</v>
      </c>
      <c r="H209" s="74" t="inlineStr">
        <is>
          <t>Solicitações de fardamentos administrativos</t>
        </is>
      </c>
    </row>
    <row r="210" ht="15" customHeight="1" s="75">
      <c r="A210" s="74" t="inlineStr">
        <is>
          <t>ABRIL/2026</t>
        </is>
      </c>
      <c r="B210" s="74" t="inlineStr">
        <is>
          <t>RH</t>
        </is>
      </c>
      <c r="C210" s="74" t="inlineStr">
        <is>
          <t>Fardamentos</t>
        </is>
      </c>
      <c r="D210" s="74" t="inlineStr">
        <is>
          <t>Voicenet</t>
        </is>
      </c>
      <c r="E210" s="151" t="n">
        <v>1</v>
      </c>
      <c r="F210" s="100" t="n">
        <v>204</v>
      </c>
      <c r="G210" s="100" t="n">
        <v>204</v>
      </c>
      <c r="H210" s="74" t="inlineStr">
        <is>
          <t>Solicitações de fardamentos administrativos</t>
        </is>
      </c>
    </row>
    <row r="211" ht="15" customHeight="1" s="75">
      <c r="A211" s="74" t="inlineStr">
        <is>
          <t>ABRIL/2026</t>
        </is>
      </c>
      <c r="B211" s="74" t="inlineStr">
        <is>
          <t>RH</t>
        </is>
      </c>
      <c r="C211" s="74" t="inlineStr">
        <is>
          <t>Treinamentos/integração</t>
        </is>
      </c>
      <c r="D211" s="74" t="inlineStr">
        <is>
          <t>Voicenet</t>
        </is>
      </c>
      <c r="E211" s="151" t="n">
        <v>1</v>
      </c>
      <c r="F211" s="100" t="n">
        <v>348.7</v>
      </c>
      <c r="G211" s="100" t="n">
        <v>348.7</v>
      </c>
      <c r="H211" s="74" t="inlineStr">
        <is>
          <t>Despesa de alimentação de colaboradores em integração</t>
        </is>
      </c>
    </row>
    <row r="212" ht="15" customHeight="1" s="75">
      <c r="A212" s="74" t="inlineStr">
        <is>
          <t>ABRIL/2026</t>
        </is>
      </c>
      <c r="B212" s="74" t="inlineStr">
        <is>
          <t>Relacionamento</t>
        </is>
      </c>
      <c r="C212" s="74" t="inlineStr">
        <is>
          <t>Relacionamento Dtel</t>
        </is>
      </c>
      <c r="D212" s="74" t="inlineStr">
        <is>
          <t>H&amp;A</t>
        </is>
      </c>
      <c r="E212" s="151" t="n">
        <v>13402</v>
      </c>
      <c r="F212" s="100" t="n">
        <v>2.21459650529971</v>
      </c>
      <c r="G212" s="100" t="n">
        <v>29680.0223640267</v>
      </c>
      <c r="H212" s="74" t="inlineStr">
        <is>
          <t>Cálculo por número de clientes ativos</t>
        </is>
      </c>
    </row>
    <row r="213" ht="15" customHeight="1" s="75">
      <c r="A213" s="74" t="inlineStr">
        <is>
          <t>ABRIL/2026</t>
        </is>
      </c>
      <c r="B213" s="74" t="inlineStr">
        <is>
          <t>Segurança do Trabalho</t>
        </is>
      </c>
      <c r="C213" s="74" t="inlineStr">
        <is>
          <t>Equipamentos de Segurança</t>
        </is>
      </c>
      <c r="D213" s="74" t="inlineStr">
        <is>
          <t>DX2</t>
        </is>
      </c>
      <c r="E213" s="151" t="n">
        <v>0</v>
      </c>
      <c r="F213" s="100" t="n">
        <v>0</v>
      </c>
      <c r="G213" s="100" t="n">
        <v>0</v>
      </c>
      <c r="H213" s="74" t="inlineStr">
        <is>
          <t>Devolução de Crédito</t>
        </is>
      </c>
    </row>
    <row r="214" ht="15" customHeight="1" s="75">
      <c r="A214" s="74" t="inlineStr">
        <is>
          <t>ABRIL/2026</t>
        </is>
      </c>
      <c r="B214" s="74" t="inlineStr">
        <is>
          <t>Segurança do Trabalho</t>
        </is>
      </c>
      <c r="C214" s="74" t="inlineStr">
        <is>
          <t>Equipamentos de Segurança</t>
        </is>
      </c>
      <c r="D214" s="74" t="inlineStr">
        <is>
          <t>DX2</t>
        </is>
      </c>
      <c r="E214" s="151" t="n">
        <v>1</v>
      </c>
      <c r="F214" s="100" t="n">
        <v>13006.38</v>
      </c>
      <c r="G214" s="100" t="n">
        <v>13006.38</v>
      </c>
      <c r="H214" s="74" t="inlineStr">
        <is>
          <t>EPI, EPC, Fardamento</t>
        </is>
      </c>
    </row>
    <row r="215" ht="15" customHeight="1" s="75">
      <c r="A215" s="74" t="inlineStr">
        <is>
          <t>ABRIL/2026</t>
        </is>
      </c>
      <c r="B215" s="74" t="inlineStr">
        <is>
          <t>Segurança do Trabalho</t>
        </is>
      </c>
      <c r="C215" s="74" t="inlineStr">
        <is>
          <t>Equipamentos de Segurança</t>
        </is>
      </c>
      <c r="D215" s="74" t="inlineStr">
        <is>
          <t>H&amp;A</t>
        </is>
      </c>
      <c r="E215" s="151" t="n">
        <v>0</v>
      </c>
      <c r="F215" s="100" t="n">
        <v>0</v>
      </c>
      <c r="G215" s="100" t="n">
        <v>0</v>
      </c>
      <c r="H215" s="74" t="inlineStr">
        <is>
          <t>EPI, EPC, Fardamento</t>
        </is>
      </c>
    </row>
    <row r="216" ht="15" customHeight="1" s="75">
      <c r="A216" s="74" t="inlineStr">
        <is>
          <t>ABRIL/2026</t>
        </is>
      </c>
      <c r="B216" s="74" t="inlineStr">
        <is>
          <t>Segurança do Trabalho</t>
        </is>
      </c>
      <c r="C216" s="74" t="inlineStr">
        <is>
          <t>Km rodado Segurança e Saúde do Trabalho dtel p/ H&amp;a</t>
        </is>
      </c>
      <c r="D216" s="74" t="inlineStr">
        <is>
          <t>H&amp;A</t>
        </is>
      </c>
      <c r="E216" s="151" t="n">
        <v>0</v>
      </c>
      <c r="F216" s="100" t="n">
        <v>0</v>
      </c>
      <c r="G216" s="100" t="n">
        <v>0</v>
      </c>
      <c r="H216" s="74" t="inlineStr">
        <is>
          <t>Deslocamento da equipe para Horas cursos de normas e reciclagem ou visitas</t>
        </is>
      </c>
    </row>
    <row r="217" ht="15" customHeight="1" s="75">
      <c r="A217" s="74" t="inlineStr">
        <is>
          <t>ABRIL/2026</t>
        </is>
      </c>
      <c r="B217" s="74" t="inlineStr">
        <is>
          <t>Segurança do Trabalho</t>
        </is>
      </c>
      <c r="C217" s="74" t="inlineStr">
        <is>
          <t>Saude e segurança no trabalho</t>
        </is>
      </c>
      <c r="D217" s="74" t="inlineStr">
        <is>
          <t>H&amp;A</t>
        </is>
      </c>
      <c r="E217" s="151" t="n">
        <v>0</v>
      </c>
      <c r="F217" s="100" t="n">
        <v>0</v>
      </c>
      <c r="G217" s="100" t="n">
        <v>0</v>
      </c>
      <c r="H217" s="74" t="inlineStr">
        <is>
          <t>Rateio do departamento (despesa por colaborador, mês de jan fev e março)</t>
        </is>
      </c>
    </row>
    <row r="218" ht="15" customHeight="1" s="75">
      <c r="A218" s="74" t="inlineStr">
        <is>
          <t>ABRIL/2026</t>
        </is>
      </c>
      <c r="B218" s="74" t="inlineStr">
        <is>
          <t>Segurança do Trabalho</t>
        </is>
      </c>
      <c r="C218" s="74" t="inlineStr">
        <is>
          <t>Serviços prestados pela equipe Segurança do trabalho dtel p/ h&amp;a</t>
        </is>
      </c>
      <c r="D218" s="74" t="inlineStr">
        <is>
          <t>H&amp;A</t>
        </is>
      </c>
      <c r="E218" s="151" t="n">
        <v>0</v>
      </c>
      <c r="F218" s="100" t="n">
        <v>0</v>
      </c>
      <c r="G218" s="100" t="n">
        <v>0</v>
      </c>
      <c r="H218" s="74" t="inlineStr">
        <is>
          <t>Serviços da equipe para Horas cursos de normas e reciclagem ou visitas</t>
        </is>
      </c>
    </row>
    <row r="219" ht="15" customHeight="1" s="75">
      <c r="A219" s="74" t="inlineStr">
        <is>
          <t>ABRIL/2026</t>
        </is>
      </c>
      <c r="B219" s="74" t="inlineStr">
        <is>
          <t>Segurança do Trabalho</t>
        </is>
      </c>
      <c r="C219" s="74" t="inlineStr">
        <is>
          <t>Equipamentos de Segurança</t>
        </is>
      </c>
      <c r="D219" s="74" t="inlineStr">
        <is>
          <t>Soares e Lins</t>
        </is>
      </c>
      <c r="E219" s="151" t="n">
        <v>0</v>
      </c>
      <c r="F219" s="100" t="n">
        <v>0</v>
      </c>
      <c r="G219" s="100" t="n">
        <v>0</v>
      </c>
      <c r="H219" s="74" t="inlineStr">
        <is>
          <t>Devolução de Crédito</t>
        </is>
      </c>
    </row>
    <row r="220" ht="15" customHeight="1" s="75">
      <c r="A220" s="74" t="inlineStr">
        <is>
          <t>ABRIL/2026</t>
        </is>
      </c>
      <c r="B220" s="74" t="inlineStr">
        <is>
          <t>Segurança do Trabalho</t>
        </is>
      </c>
      <c r="C220" s="74" t="inlineStr">
        <is>
          <t>Equipamentos de Segurança</t>
        </is>
      </c>
      <c r="D220" s="74" t="inlineStr">
        <is>
          <t>Soares e Lins</t>
        </is>
      </c>
      <c r="E220" s="151" t="n">
        <v>1</v>
      </c>
      <c r="F220" s="100" t="n">
        <v>1234.54</v>
      </c>
      <c r="G220" s="100" t="n">
        <v>1234.54</v>
      </c>
      <c r="H220" s="74" t="inlineStr">
        <is>
          <t>EPI, EPC, Fardamento</t>
        </is>
      </c>
    </row>
    <row r="221" ht="15" customHeight="1" s="75">
      <c r="A221" s="74" t="inlineStr">
        <is>
          <t>ABRIL/2026</t>
        </is>
      </c>
      <c r="B221" s="74" t="inlineStr">
        <is>
          <t>Segurança do Trabalho</t>
        </is>
      </c>
      <c r="C221" s="74" t="inlineStr">
        <is>
          <t>Km rodado Segurança e Saúde do Trabalho dtel p/ soares e lins</t>
        </is>
      </c>
      <c r="D221" s="74" t="inlineStr">
        <is>
          <t>Soares e Lins</t>
        </is>
      </c>
      <c r="E221" s="151" t="n">
        <v>0</v>
      </c>
      <c r="F221" s="100" t="n">
        <v>0</v>
      </c>
      <c r="G221" s="100" t="n">
        <v>0</v>
      </c>
      <c r="H221" s="74" t="inlineStr">
        <is>
          <t>Deslocamento da equipe para Horas cursos de normas e reciclagem ou visitas</t>
        </is>
      </c>
    </row>
    <row r="222" ht="15" customHeight="1" s="75">
      <c r="A222" s="74" t="inlineStr">
        <is>
          <t>ABRIL/2026</t>
        </is>
      </c>
      <c r="B222" s="74" t="inlineStr">
        <is>
          <t>Segurança do Trabalho</t>
        </is>
      </c>
      <c r="C222" s="74" t="inlineStr">
        <is>
          <t>Serviços prestados pela equipe Segurança do trabalho</t>
        </is>
      </c>
      <c r="D222" s="74" t="inlineStr">
        <is>
          <t>Soares e Lins</t>
        </is>
      </c>
      <c r="E222" s="151" t="n">
        <v>0</v>
      </c>
      <c r="F222" s="100" t="n">
        <v>0</v>
      </c>
      <c r="G222" s="100" t="n">
        <v>0</v>
      </c>
      <c r="H222" s="74" t="inlineStr">
        <is>
          <t>Serviços da equipe para Horas cursos de normas e reciclagem ou visitas</t>
        </is>
      </c>
    </row>
    <row r="223" ht="15" customHeight="1" s="75">
      <c r="A223" s="74" t="inlineStr">
        <is>
          <t>ABRIL/2026</t>
        </is>
      </c>
      <c r="B223" s="74" t="inlineStr">
        <is>
          <t>Segurança do Trabalho</t>
        </is>
      </c>
      <c r="C223" s="74" t="inlineStr">
        <is>
          <t>Equipamentos de Segurança</t>
        </is>
      </c>
      <c r="D223" s="74" t="inlineStr">
        <is>
          <t>Soares e Silva</t>
        </is>
      </c>
      <c r="E223" s="151" t="n">
        <v>-1</v>
      </c>
      <c r="F223" s="100" t="n">
        <v>1580.87</v>
      </c>
      <c r="G223" s="100" t="n">
        <v>-1580.87</v>
      </c>
      <c r="H223" s="74" t="inlineStr">
        <is>
          <t>Devolução de Crédito</t>
        </is>
      </c>
    </row>
    <row r="224" ht="15" customHeight="1" s="75">
      <c r="A224" s="74" t="inlineStr">
        <is>
          <t>ABRIL/2026</t>
        </is>
      </c>
      <c r="B224" s="74" t="inlineStr">
        <is>
          <t>Segurança do Trabalho</t>
        </is>
      </c>
      <c r="C224" s="74" t="inlineStr">
        <is>
          <t>Equipamentos de Segurança</t>
        </is>
      </c>
      <c r="D224" s="74" t="inlineStr">
        <is>
          <t>Soares e Silva</t>
        </is>
      </c>
      <c r="E224" s="151" t="n">
        <v>1</v>
      </c>
      <c r="F224" s="100" t="n">
        <v>577</v>
      </c>
      <c r="G224" s="100" t="n">
        <v>577</v>
      </c>
      <c r="H224" s="74" t="inlineStr">
        <is>
          <t>EPI, EPC, Fardamento</t>
        </is>
      </c>
    </row>
    <row r="225" ht="15" customHeight="1" s="75">
      <c r="A225" s="74" t="inlineStr">
        <is>
          <t>ABRIL/2026</t>
        </is>
      </c>
      <c r="B225" s="74" t="inlineStr">
        <is>
          <t>Segurança do Trabalho</t>
        </is>
      </c>
      <c r="C225" s="74" t="inlineStr">
        <is>
          <t>Km rodado Segurança e Saúde do Trabalho soares e silva p/ Dtel</t>
        </is>
      </c>
      <c r="D225" s="74" t="inlineStr">
        <is>
          <t>Soares e Silva</t>
        </is>
      </c>
      <c r="E225" s="151" t="n">
        <v>0</v>
      </c>
      <c r="F225" s="100" t="n">
        <v>0</v>
      </c>
      <c r="G225" s="100" t="n">
        <v>0</v>
      </c>
      <c r="H225" s="74" t="inlineStr">
        <is>
          <t>Deslocamento da equipe para Horas cursos de normas e reciclagem ou visitas</t>
        </is>
      </c>
    </row>
    <row r="226" ht="15" customHeight="1" s="75">
      <c r="A226" s="74" t="inlineStr">
        <is>
          <t>ABRIL/2026</t>
        </is>
      </c>
      <c r="B226" s="74" t="inlineStr">
        <is>
          <t>Segurança do Trabalho</t>
        </is>
      </c>
      <c r="C226" s="74" t="inlineStr">
        <is>
          <t>Km rodado Segurança e Saúde do Trabalho soares e silva p/ LITORAL</t>
        </is>
      </c>
      <c r="D226" s="74" t="inlineStr">
        <is>
          <t>Soares e Silva</t>
        </is>
      </c>
      <c r="E226" s="151" t="n">
        <v>0</v>
      </c>
      <c r="F226" s="100" t="n">
        <v>0</v>
      </c>
      <c r="G226" s="100" t="n">
        <v>0</v>
      </c>
      <c r="H226" s="74" t="inlineStr">
        <is>
          <t>Deslocamento da equipe para Horas cursos de normas e reciclagem ou visitas</t>
        </is>
      </c>
    </row>
    <row r="227" ht="15" customHeight="1" s="75">
      <c r="A227" s="74" t="inlineStr">
        <is>
          <t>ABRIL/2026</t>
        </is>
      </c>
      <c r="B227" s="74" t="inlineStr">
        <is>
          <t>Segurança do Trabalho</t>
        </is>
      </c>
      <c r="C227" s="74" t="inlineStr">
        <is>
          <t>Serviços prestados pela equipe Segurança do trabalho soares e silva p/ LITORAL</t>
        </is>
      </c>
      <c r="D227" s="74" t="inlineStr">
        <is>
          <t>Soares e Silva</t>
        </is>
      </c>
      <c r="E227" s="151" t="n">
        <v>0</v>
      </c>
      <c r="F227" s="100" t="n">
        <v>0</v>
      </c>
      <c r="G227" s="100" t="n">
        <v>0</v>
      </c>
      <c r="H227" s="74" t="inlineStr">
        <is>
          <t>Serviços da equipe para Horas cursos de normas e reciclagem ou visitas</t>
        </is>
      </c>
    </row>
    <row r="228" ht="15" customHeight="1" s="75">
      <c r="A228" s="74" t="inlineStr">
        <is>
          <t>ABRIL/2026</t>
        </is>
      </c>
      <c r="B228" s="74" t="inlineStr">
        <is>
          <t>Segurança do Trabalho</t>
        </is>
      </c>
      <c r="C228" s="74" t="inlineStr">
        <is>
          <t>Serviços prestados pela equipe Segurança do trabalho soares e silva p/ dtel</t>
        </is>
      </c>
      <c r="D228" s="74" t="inlineStr">
        <is>
          <t>Soares e Silva</t>
        </is>
      </c>
      <c r="E228" s="151" t="n">
        <v>0</v>
      </c>
      <c r="F228" s="100" t="n">
        <v>0</v>
      </c>
      <c r="G228" s="100" t="n">
        <v>0</v>
      </c>
      <c r="H228" s="74" t="inlineStr">
        <is>
          <t>Serviços da equipe para Horas cursos de normas e reciclagem ou visitas</t>
        </is>
      </c>
    </row>
    <row r="229" ht="15" customHeight="1" s="75">
      <c r="A229" s="74" t="inlineStr">
        <is>
          <t>ABRIL/2026</t>
        </is>
      </c>
      <c r="B229" s="74" t="inlineStr">
        <is>
          <t>Segurança do Trabalho</t>
        </is>
      </c>
      <c r="C229" s="74" t="inlineStr">
        <is>
          <t>Equipamentos de Segurança</t>
        </is>
      </c>
      <c r="D229" s="74" t="inlineStr">
        <is>
          <t>Solon Araújo</t>
        </is>
      </c>
      <c r="E229" s="151" t="n">
        <v>-1</v>
      </c>
      <c r="F229" s="100" t="n">
        <v>1333.53</v>
      </c>
      <c r="G229" s="100" t="n">
        <v>-1333.53</v>
      </c>
      <c r="H229" s="74" t="inlineStr">
        <is>
          <t>Devolução de Crédito</t>
        </is>
      </c>
    </row>
    <row r="230" ht="15" customHeight="1" s="75">
      <c r="A230" s="74" t="inlineStr">
        <is>
          <t>ABRIL/2026</t>
        </is>
      </c>
      <c r="B230" s="74" t="inlineStr">
        <is>
          <t>Segurança do Trabalho</t>
        </is>
      </c>
      <c r="C230" s="74" t="inlineStr">
        <is>
          <t>Equipamentos de Segurança</t>
        </is>
      </c>
      <c r="D230" s="74" t="inlineStr">
        <is>
          <t>Solon Araújo</t>
        </is>
      </c>
      <c r="E230" s="151" t="n">
        <v>1</v>
      </c>
      <c r="F230" s="100" t="n">
        <v>3555.83</v>
      </c>
      <c r="G230" s="100" t="n">
        <v>3555.83</v>
      </c>
      <c r="H230" s="74" t="inlineStr">
        <is>
          <t>EPI, EPC, Fardamento</t>
        </is>
      </c>
    </row>
    <row r="231" ht="15" customHeight="1" s="75">
      <c r="A231" s="74" t="inlineStr">
        <is>
          <t>ABRIL/2026</t>
        </is>
      </c>
      <c r="B231" s="74" t="inlineStr">
        <is>
          <t>Segurança do Trabalho</t>
        </is>
      </c>
      <c r="C231" s="74" t="inlineStr">
        <is>
          <t>Km rodado Segurança e Saúde do Trabalho soares e silva p/ LITORAL</t>
        </is>
      </c>
      <c r="D231" s="74" t="inlineStr">
        <is>
          <t>Solon Araújo</t>
        </is>
      </c>
      <c r="E231" s="151" t="n">
        <v>0</v>
      </c>
      <c r="F231" s="100" t="n">
        <v>0</v>
      </c>
      <c r="G231" s="100" t="n">
        <v>0</v>
      </c>
      <c r="H231" s="74" t="inlineStr">
        <is>
          <t>Serviços da equipe para Horas cursos de normas e reciclagem ou visitas</t>
        </is>
      </c>
    </row>
    <row r="232" ht="15" customHeight="1" s="75">
      <c r="A232" s="74" t="inlineStr">
        <is>
          <t>ABRIL/2026</t>
        </is>
      </c>
      <c r="B232" s="74" t="inlineStr">
        <is>
          <t>Segurança do Trabalho</t>
        </is>
      </c>
      <c r="C232" s="74" t="inlineStr">
        <is>
          <t>Serviços prestados pela equipe Segurança do trabalho soares e silva p/ LITORAL</t>
        </is>
      </c>
      <c r="D232" s="74" t="inlineStr">
        <is>
          <t>Solon Araújo</t>
        </is>
      </c>
      <c r="E232" s="151" t="n">
        <v>0</v>
      </c>
      <c r="F232" s="100" t="n">
        <v>0</v>
      </c>
      <c r="G232" s="100" t="n">
        <v>0</v>
      </c>
      <c r="H232" s="74" t="inlineStr">
        <is>
          <t>Serviços da equipe para Horas cursos de normas e reciclagem ou visitas</t>
        </is>
      </c>
    </row>
    <row r="233" ht="15" customHeight="1" s="75">
      <c r="A233" s="74" t="inlineStr">
        <is>
          <t>ABRIL/2026</t>
        </is>
      </c>
      <c r="B233" s="74" t="inlineStr">
        <is>
          <t>Segurança do Trabalho</t>
        </is>
      </c>
      <c r="C233" s="74" t="inlineStr">
        <is>
          <t>Equipamentos de Segurança</t>
        </is>
      </c>
      <c r="D233" s="74" t="inlineStr">
        <is>
          <t>Souza e Silva</t>
        </is>
      </c>
      <c r="E233" s="151" t="n">
        <v>1</v>
      </c>
      <c r="F233" s="100" t="n">
        <v>1957.68</v>
      </c>
      <c r="G233" s="100" t="n">
        <v>1957.68</v>
      </c>
      <c r="H233" s="74" t="inlineStr">
        <is>
          <t>EPI, EPC, Fardamento</t>
        </is>
      </c>
    </row>
    <row r="234" ht="15" customHeight="1" s="75">
      <c r="A234" s="74" t="inlineStr">
        <is>
          <t>ABRIL/2026</t>
        </is>
      </c>
      <c r="B234" s="74" t="inlineStr">
        <is>
          <t>Segurança do Trabalho</t>
        </is>
      </c>
      <c r="C234" s="74" t="inlineStr">
        <is>
          <t>Equipamentos de Segurança</t>
        </is>
      </c>
      <c r="D234" s="74" t="inlineStr">
        <is>
          <t>Souza e Silva</t>
        </is>
      </c>
      <c r="E234" s="151" t="n">
        <v>0</v>
      </c>
      <c r="F234" s="100" t="n">
        <v>0</v>
      </c>
      <c r="G234" s="100" t="n">
        <v>0</v>
      </c>
      <c r="H234" s="74" t="inlineStr">
        <is>
          <t>Devolução de Crédito</t>
        </is>
      </c>
    </row>
    <row r="235" ht="15" customHeight="1" s="75">
      <c r="A235" s="74" t="inlineStr">
        <is>
          <t>ABRIL/2026</t>
        </is>
      </c>
      <c r="B235" s="74" t="inlineStr">
        <is>
          <t>Segurança do Trabalho</t>
        </is>
      </c>
      <c r="C235" s="74" t="inlineStr">
        <is>
          <t>Equipamentos de Segurança</t>
        </is>
      </c>
      <c r="D235" s="74" t="inlineStr">
        <is>
          <t>Voicenet</t>
        </is>
      </c>
      <c r="E235" s="151" t="n">
        <v>1</v>
      </c>
      <c r="F235" s="100" t="n">
        <v>3624.23</v>
      </c>
      <c r="G235" s="100" t="n">
        <v>3624.23</v>
      </c>
      <c r="H235" s="74" t="inlineStr">
        <is>
          <t>EPI, EPC, Fardamento</t>
        </is>
      </c>
    </row>
    <row r="236" ht="15" customHeight="1" s="75">
      <c r="A236" s="74" t="inlineStr">
        <is>
          <t>ABRIL/2026</t>
        </is>
      </c>
      <c r="B236" s="74" t="inlineStr">
        <is>
          <t>Segurança do Trabalho</t>
        </is>
      </c>
      <c r="C236" s="74" t="inlineStr">
        <is>
          <t>Equipamentos de Segurança</t>
        </is>
      </c>
      <c r="D236" s="74" t="inlineStr">
        <is>
          <t>Voicenet</t>
        </is>
      </c>
      <c r="E236" s="151" t="n">
        <v>-1</v>
      </c>
      <c r="F236" s="100" t="n">
        <v>494.68</v>
      </c>
      <c r="G236" s="100" t="n">
        <v>-494.68</v>
      </c>
      <c r="H236" s="74" t="inlineStr">
        <is>
          <t>Devolução de Crédito</t>
        </is>
      </c>
    </row>
    <row r="237" ht="15" customHeight="1" s="75">
      <c r="A237" s="74" t="inlineStr">
        <is>
          <t>ABRIL/2026</t>
        </is>
      </c>
      <c r="B237" s="74" t="inlineStr">
        <is>
          <t>Segurança do Trabalho</t>
        </is>
      </c>
      <c r="C237" s="74" t="inlineStr">
        <is>
          <t>Km rodado Segurança e Saúde do Trabalho dtel p/ voice net</t>
        </is>
      </c>
      <c r="D237" s="74" t="inlineStr">
        <is>
          <t>Voicenet</t>
        </is>
      </c>
      <c r="E237" s="151" t="n">
        <v>0</v>
      </c>
      <c r="F237" s="100" t="n">
        <v>0</v>
      </c>
      <c r="G237" s="100" t="n">
        <v>0</v>
      </c>
      <c r="H237" s="74" t="inlineStr">
        <is>
          <t>Deslocamento da equipe para Horas cursos de normas e reciclagem ou visitas</t>
        </is>
      </c>
    </row>
    <row r="238" ht="15" customHeight="1" s="75">
      <c r="A238" s="74" t="inlineStr">
        <is>
          <t>ABRIL/2026</t>
        </is>
      </c>
      <c r="B238" s="74" t="inlineStr">
        <is>
          <t>Segurança do Trabalho</t>
        </is>
      </c>
      <c r="C238" s="74" t="inlineStr">
        <is>
          <t>Serviços prestados pela equipe Segurança do trabalho</t>
        </is>
      </c>
      <c r="D238" s="74" t="inlineStr">
        <is>
          <t>Voicenet</t>
        </is>
      </c>
      <c r="E238" s="151" t="n">
        <v>0</v>
      </c>
      <c r="F238" s="100" t="n">
        <v>0</v>
      </c>
      <c r="G238" s="100" t="n">
        <v>0</v>
      </c>
      <c r="H238" s="74" t="inlineStr">
        <is>
          <t>Serviços da equipe para Horas cursos de normas e reciclagem ou visitas</t>
        </is>
      </c>
    </row>
    <row r="239" ht="15" customHeight="1" s="75">
      <c r="A239" s="74" t="inlineStr">
        <is>
          <t>ABRIL/2026</t>
        </is>
      </c>
      <c r="B239" s="74" t="inlineStr">
        <is>
          <t>TIC</t>
        </is>
      </c>
      <c r="C239" s="74" t="inlineStr">
        <is>
          <t>E-mail Dtel</t>
        </is>
      </c>
      <c r="D239" s="74" t="inlineStr">
        <is>
          <t>DX2</t>
        </is>
      </c>
      <c r="E239" s="151" t="n">
        <v>2</v>
      </c>
      <c r="F239" s="100" t="n">
        <v>50</v>
      </c>
      <c r="G239" s="100" t="n">
        <v>100</v>
      </c>
      <c r="H239" s="74" t="inlineStr">
        <is>
          <t>Utilização de email corporativo</t>
        </is>
      </c>
    </row>
    <row r="240" ht="15" customHeight="1" s="75">
      <c r="A240" s="74" t="inlineStr">
        <is>
          <t>ABRIL/2026</t>
        </is>
      </c>
      <c r="B240" s="74" t="inlineStr">
        <is>
          <t>TIC</t>
        </is>
      </c>
      <c r="C240" s="74" t="inlineStr">
        <is>
          <t>E-mail Dtel</t>
        </is>
      </c>
      <c r="D240" s="74" t="inlineStr">
        <is>
          <t>H&amp;A</t>
        </is>
      </c>
      <c r="E240" s="151" t="n">
        <v>2</v>
      </c>
      <c r="F240" s="100" t="n">
        <v>50</v>
      </c>
      <c r="G240" s="100" t="n">
        <v>100</v>
      </c>
      <c r="H240" s="74" t="inlineStr">
        <is>
          <t>Utilização de email corporativo</t>
        </is>
      </c>
    </row>
    <row r="241" ht="15" customHeight="1" s="75">
      <c r="A241" s="74" t="inlineStr">
        <is>
          <t>ABRIL/2026</t>
        </is>
      </c>
      <c r="B241" s="74" t="inlineStr">
        <is>
          <t>TIC</t>
        </is>
      </c>
      <c r="C241" s="74" t="inlineStr">
        <is>
          <t>E-mail Dtel</t>
        </is>
      </c>
      <c r="D241" s="74" t="inlineStr">
        <is>
          <t>Soares e Lins</t>
        </is>
      </c>
      <c r="E241" s="151" t="n">
        <v>1</v>
      </c>
      <c r="F241" s="100" t="n">
        <v>10</v>
      </c>
      <c r="G241" s="100" t="n">
        <v>10</v>
      </c>
      <c r="H241" s="74" t="inlineStr">
        <is>
          <t>Utilização de email corporativo</t>
        </is>
      </c>
    </row>
    <row r="242" ht="15" customHeight="1" s="75">
      <c r="A242" s="74" t="inlineStr">
        <is>
          <t>ABRIL/2026</t>
        </is>
      </c>
      <c r="B242" s="74" t="inlineStr">
        <is>
          <t>TIC</t>
        </is>
      </c>
      <c r="C242" s="74" t="inlineStr">
        <is>
          <t>E-mail Dtel</t>
        </is>
      </c>
      <c r="D242" s="74" t="inlineStr">
        <is>
          <t>Soares e Silva</t>
        </is>
      </c>
      <c r="E242" s="151" t="n">
        <v>1</v>
      </c>
      <c r="F242" s="100" t="n">
        <v>10</v>
      </c>
      <c r="G242" s="100" t="n">
        <v>10</v>
      </c>
      <c r="H242" s="74" t="inlineStr">
        <is>
          <t>Utilização de email corporativo</t>
        </is>
      </c>
    </row>
    <row r="243" ht="15" customHeight="1" s="75">
      <c r="A243" s="74" t="inlineStr">
        <is>
          <t>ABRIL/2026</t>
        </is>
      </c>
      <c r="B243" s="74" t="inlineStr">
        <is>
          <t>TIC</t>
        </is>
      </c>
      <c r="C243" s="74" t="inlineStr">
        <is>
          <t>E-mail Dtel</t>
        </is>
      </c>
      <c r="D243" s="74" t="inlineStr">
        <is>
          <t>Soares e Silva</t>
        </is>
      </c>
      <c r="E243" s="151" t="n">
        <v>5</v>
      </c>
      <c r="F243" s="100" t="n">
        <v>50</v>
      </c>
      <c r="G243" s="100" t="n">
        <v>250</v>
      </c>
      <c r="H243" s="74" t="inlineStr">
        <is>
          <t>Utilização de email corporativo</t>
        </is>
      </c>
    </row>
    <row r="244" ht="15" customHeight="1" s="75">
      <c r="A244" s="74" t="inlineStr">
        <is>
          <t>ABRIL/2026</t>
        </is>
      </c>
      <c r="B244" s="74" t="inlineStr">
        <is>
          <t>TIC</t>
        </is>
      </c>
      <c r="C244" s="74" t="inlineStr">
        <is>
          <t>E-mail Dtel</t>
        </is>
      </c>
      <c r="D244" s="74" t="inlineStr">
        <is>
          <t>Solon Araújo</t>
        </is>
      </c>
      <c r="E244" s="151" t="n">
        <v>2</v>
      </c>
      <c r="F244" s="100" t="n">
        <v>50</v>
      </c>
      <c r="G244" s="100" t="n">
        <v>100</v>
      </c>
      <c r="H244" s="74" t="inlineStr">
        <is>
          <t>Utilização de email corporativo</t>
        </is>
      </c>
    </row>
    <row r="245" ht="15" customHeight="1" s="75">
      <c r="A245" s="74" t="inlineStr">
        <is>
          <t>ABRIL/2026</t>
        </is>
      </c>
      <c r="B245" s="74" t="inlineStr">
        <is>
          <t>TIC</t>
        </is>
      </c>
      <c r="C245" s="74" t="inlineStr">
        <is>
          <t>E-mail Dtel</t>
        </is>
      </c>
      <c r="D245" s="74" t="inlineStr">
        <is>
          <t>Souza e Silva</t>
        </is>
      </c>
      <c r="E245" s="151" t="n">
        <v>1</v>
      </c>
      <c r="F245" s="100" t="n">
        <v>50</v>
      </c>
      <c r="G245" s="100" t="n">
        <v>50</v>
      </c>
      <c r="H245" s="74" t="inlineStr">
        <is>
          <t>Utilização de email corporativo</t>
        </is>
      </c>
    </row>
    <row r="246" ht="15" customHeight="1" s="75">
      <c r="A246" s="74" t="inlineStr">
        <is>
          <t>ABRIL/2026</t>
        </is>
      </c>
      <c r="B246" s="74" t="inlineStr">
        <is>
          <t>TIC</t>
        </is>
      </c>
      <c r="C246" s="74" t="inlineStr">
        <is>
          <t>E-mail Dtel</t>
        </is>
      </c>
      <c r="D246" s="74" t="inlineStr">
        <is>
          <t>Voicenet</t>
        </is>
      </c>
      <c r="E246" s="151" t="n">
        <v>1</v>
      </c>
      <c r="F246" s="100" t="n">
        <v>90</v>
      </c>
      <c r="G246" s="100" t="n">
        <v>90</v>
      </c>
      <c r="H246" s="74" t="inlineStr">
        <is>
          <t>Utilização de email corporativo</t>
        </is>
      </c>
    </row>
    <row r="247" ht="15" customHeight="1" s="75">
      <c r="A247" s="74" t="inlineStr">
        <is>
          <t>ABRIL/2026</t>
        </is>
      </c>
      <c r="B247" s="74" t="inlineStr">
        <is>
          <t>TIC</t>
        </is>
      </c>
      <c r="C247" s="74" t="inlineStr">
        <is>
          <t>E-mail Dtel</t>
        </is>
      </c>
      <c r="D247" s="74" t="inlineStr">
        <is>
          <t>Voicenet</t>
        </is>
      </c>
      <c r="E247" s="151" t="n">
        <v>2</v>
      </c>
      <c r="F247" s="100" t="n">
        <v>10</v>
      </c>
      <c r="G247" s="100" t="n">
        <v>20</v>
      </c>
      <c r="H247" s="74" t="inlineStr">
        <is>
          <t>Utilização de email corporativo</t>
        </is>
      </c>
    </row>
    <row r="248" ht="15" customHeight="1" s="75">
      <c r="A248" s="74" t="inlineStr">
        <is>
          <t>ABRIL/2026</t>
        </is>
      </c>
      <c r="B248" s="74" t="inlineStr">
        <is>
          <t>TIC</t>
        </is>
      </c>
      <c r="C248" s="74" t="inlineStr">
        <is>
          <t>E-mail Dtel</t>
        </is>
      </c>
      <c r="D248" s="74" t="inlineStr">
        <is>
          <t>Voicenet</t>
        </is>
      </c>
      <c r="E248" s="151" t="n">
        <v>3</v>
      </c>
      <c r="F248" s="100" t="n">
        <v>50</v>
      </c>
      <c r="G248" s="100" t="n">
        <v>150</v>
      </c>
      <c r="H248" s="74" t="inlineStr">
        <is>
          <t>Utilização de email corporativo</t>
        </is>
      </c>
    </row>
    <row r="249" ht="15" customHeight="1" s="75">
      <c r="A249" s="74" t="inlineStr">
        <is>
          <t>MAIO/2026</t>
        </is>
      </c>
      <c r="B249" s="74" t="inlineStr">
        <is>
          <t>Adm Atendimento</t>
        </is>
      </c>
      <c r="C249" s="74" t="inlineStr">
        <is>
          <t>Adm atendimento presencial</t>
        </is>
      </c>
      <c r="D249" s="74" t="inlineStr">
        <is>
          <t>H&amp;A</t>
        </is>
      </c>
      <c r="E249" s="151" t="n">
        <v>13402</v>
      </c>
      <c r="F249" s="100" t="n">
        <v>0.369625478903327</v>
      </c>
      <c r="G249" s="100" t="n">
        <v>4953.72066826238</v>
      </c>
      <c r="H249" s="74" t="inlineStr">
        <is>
          <t>Cálculo por número de clientes ativos</t>
        </is>
      </c>
    </row>
    <row r="250" ht="15" customHeight="1" s="75">
      <c r="A250" s="74" t="inlineStr">
        <is>
          <t>MAIO/2026</t>
        </is>
      </c>
      <c r="B250" s="74" t="inlineStr">
        <is>
          <t>Adm Qualidade</t>
        </is>
      </c>
      <c r="C250" s="74" t="inlineStr">
        <is>
          <t>Qualidade</t>
        </is>
      </c>
      <c r="D250" s="74" t="inlineStr">
        <is>
          <t>H&amp;A</t>
        </is>
      </c>
      <c r="E250" s="151" t="n">
        <v>13402</v>
      </c>
      <c r="F250" s="100" t="n">
        <v>0.213162125376571</v>
      </c>
      <c r="G250" s="100" t="n">
        <v>2856.7988042968</v>
      </c>
      <c r="H250" s="74" t="inlineStr">
        <is>
          <t>Cálculo por número de clientes ativos</t>
        </is>
      </c>
    </row>
    <row r="251" ht="15" customHeight="1" s="75">
      <c r="A251" s="74" t="inlineStr">
        <is>
          <t>MAIO/2026</t>
        </is>
      </c>
      <c r="B251" s="74" t="inlineStr">
        <is>
          <t>Atendimento</t>
        </is>
      </c>
      <c r="C251" s="74" t="inlineStr">
        <is>
          <t>Material de escritório</t>
        </is>
      </c>
      <c r="D251" s="74" t="inlineStr">
        <is>
          <t>DTEL</t>
        </is>
      </c>
      <c r="E251" s="151" t="n">
        <v>1</v>
      </c>
      <c r="F251" s="100" t="n">
        <v>1391.04</v>
      </c>
      <c r="G251" s="100" t="n">
        <v>1391.04</v>
      </c>
      <c r="H251" s="74" t="inlineStr">
        <is>
          <t>Preenchido da planilha de materiais (materiais recebidos em 05-2026.xlsx)</t>
        </is>
      </c>
    </row>
    <row r="252" ht="15" customHeight="1" s="75">
      <c r="A252" s="74" t="inlineStr">
        <is>
          <t>MAIO/2026</t>
        </is>
      </c>
      <c r="B252" s="74" t="inlineStr">
        <is>
          <t>Atendimento</t>
        </is>
      </c>
      <c r="C252" s="74" t="inlineStr">
        <is>
          <t>Material de uso coletivo</t>
        </is>
      </c>
      <c r="D252" s="74" t="inlineStr">
        <is>
          <t>DTEL</t>
        </is>
      </c>
      <c r="E252" s="151" t="n">
        <v>1</v>
      </c>
      <c r="F252" s="100" t="n">
        <v>6752.06</v>
      </c>
      <c r="G252" s="100" t="n">
        <v>6752.06</v>
      </c>
      <c r="H252" s="74" t="inlineStr">
        <is>
          <t>Preenchido da planilha de materiais (materiais recebidos em 05-2026.xlsx)</t>
        </is>
      </c>
    </row>
    <row r="253" ht="15" customHeight="1" s="75">
      <c r="A253" s="74" t="inlineStr">
        <is>
          <t>MAIO/2026</t>
        </is>
      </c>
      <c r="B253" s="74" t="inlineStr">
        <is>
          <t>Atendimento</t>
        </is>
      </c>
      <c r="C253" s="74" t="inlineStr">
        <is>
          <t>Material de escritório</t>
        </is>
      </c>
      <c r="D253" s="74" t="inlineStr">
        <is>
          <t>DX2</t>
        </is>
      </c>
      <c r="E253" s="151" t="n">
        <v>0</v>
      </c>
      <c r="F253" s="100" t="n">
        <v>0</v>
      </c>
      <c r="G253" s="100" t="n">
        <v>0</v>
      </c>
      <c r="H253" s="74" t="inlineStr">
        <is>
          <t>Capa de carnê</t>
        </is>
      </c>
    </row>
    <row r="254" ht="15" customHeight="1" s="75">
      <c r="A254" s="74" t="inlineStr">
        <is>
          <t>MAIO/2026</t>
        </is>
      </c>
      <c r="B254" s="74" t="inlineStr">
        <is>
          <t>Atendimento</t>
        </is>
      </c>
      <c r="C254" s="74" t="inlineStr">
        <is>
          <t>Material de uso coletivo</t>
        </is>
      </c>
      <c r="D254" s="74" t="inlineStr">
        <is>
          <t>DX2</t>
        </is>
      </c>
      <c r="E254" s="151" t="n">
        <v>1</v>
      </c>
      <c r="F254" s="100" t="n">
        <v>71.25</v>
      </c>
      <c r="G254" s="100" t="n">
        <v>71.25</v>
      </c>
      <c r="H254" s="74" t="inlineStr">
        <is>
          <t>Preenchido da planilha de materiais (materiais recebidos em 05-2026.xlsx)</t>
        </is>
      </c>
    </row>
    <row r="255" ht="15" customHeight="1" s="75">
      <c r="A255" s="74" t="inlineStr">
        <is>
          <t>MAIO/2026</t>
        </is>
      </c>
      <c r="B255" s="74" t="inlineStr">
        <is>
          <t>Atendimento</t>
        </is>
      </c>
      <c r="C255" s="74" t="inlineStr">
        <is>
          <t>Material de escritório</t>
        </is>
      </c>
      <c r="D255" s="74" t="inlineStr">
        <is>
          <t>H&amp;A</t>
        </is>
      </c>
      <c r="E255" s="151" t="n">
        <v>0</v>
      </c>
      <c r="F255" s="100" t="n">
        <v>0</v>
      </c>
      <c r="G255" s="100" t="n">
        <v>0</v>
      </c>
      <c r="H255" s="74" t="inlineStr">
        <is>
          <t>Porta panfleto</t>
        </is>
      </c>
    </row>
    <row r="256" ht="15" customHeight="1" s="75">
      <c r="A256" s="74" t="inlineStr">
        <is>
          <t>MAIO/2026</t>
        </is>
      </c>
      <c r="B256" s="74" t="inlineStr">
        <is>
          <t>Atendimento</t>
        </is>
      </c>
      <c r="C256" s="74" t="inlineStr">
        <is>
          <t>Promotor autonomo Erika sonara</t>
        </is>
      </c>
      <c r="D256" s="74" t="inlineStr">
        <is>
          <t>H&amp;A</t>
        </is>
      </c>
      <c r="E256" s="151" t="n">
        <v>0</v>
      </c>
      <c r="F256" s="100" t="n">
        <v>0</v>
      </c>
      <c r="G256" s="100" t="n">
        <v>0</v>
      </c>
      <c r="H256" s="74" t="inlineStr">
        <is>
          <t>Comissionamento de vendas realizadas na h&amp;a paga pela Dtel fev.</t>
        </is>
      </c>
    </row>
    <row r="257" ht="15" customHeight="1" s="75">
      <c r="A257" s="74" t="inlineStr">
        <is>
          <t>MAIO/2026</t>
        </is>
      </c>
      <c r="B257" s="74" t="inlineStr">
        <is>
          <t>Atendimento</t>
        </is>
      </c>
      <c r="C257" s="74" t="inlineStr">
        <is>
          <t>Material de escritório</t>
        </is>
      </c>
      <c r="D257" s="74" t="inlineStr">
        <is>
          <t>Soares e Lins</t>
        </is>
      </c>
      <c r="E257" s="151" t="n">
        <v>0</v>
      </c>
      <c r="F257" s="100" t="n">
        <v>0</v>
      </c>
      <c r="G257" s="100" t="n">
        <v>0</v>
      </c>
      <c r="H257" s="74" t="inlineStr">
        <is>
          <t>Porta panfleto</t>
        </is>
      </c>
    </row>
    <row r="258" ht="15" customHeight="1" s="75">
      <c r="A258" s="74" t="inlineStr">
        <is>
          <t>MAIO/2026</t>
        </is>
      </c>
      <c r="B258" s="74" t="inlineStr">
        <is>
          <t>Atendimento</t>
        </is>
      </c>
      <c r="C258" s="74" t="inlineStr">
        <is>
          <t>Material de uso coletivo</t>
        </is>
      </c>
      <c r="D258" s="74" t="inlineStr">
        <is>
          <t>Soares e Lins</t>
        </is>
      </c>
      <c r="E258" s="151" t="n">
        <v>1</v>
      </c>
      <c r="F258" s="100" t="n">
        <v>38.5</v>
      </c>
      <c r="G258" s="100" t="n">
        <v>38.5</v>
      </c>
      <c r="H258" s="74" t="inlineStr">
        <is>
          <t>Preenchido da planilha de materiais (materiais recebidos em 05-2026.xlsx)</t>
        </is>
      </c>
    </row>
    <row r="259" ht="15" customHeight="1" s="75">
      <c r="A259" s="74" t="inlineStr">
        <is>
          <t>MAIO/2026</t>
        </is>
      </c>
      <c r="B259" s="74" t="inlineStr">
        <is>
          <t>Atendimento</t>
        </is>
      </c>
      <c r="C259" s="74" t="inlineStr">
        <is>
          <t>Material de escritório</t>
        </is>
      </c>
      <c r="D259" s="74" t="inlineStr">
        <is>
          <t>Soares e Silva</t>
        </is>
      </c>
      <c r="E259" s="151" t="n">
        <v>0</v>
      </c>
      <c r="F259" s="100" t="n">
        <v>0</v>
      </c>
      <c r="G259" s="100" t="n">
        <v>0</v>
      </c>
      <c r="H259" s="74" t="inlineStr">
        <is>
          <t>Capa de carnê</t>
        </is>
      </c>
    </row>
    <row r="260" ht="15" customHeight="1" s="75">
      <c r="A260" s="74" t="inlineStr">
        <is>
          <t>MAIO/2026</t>
        </is>
      </c>
      <c r="B260" s="74" t="inlineStr">
        <is>
          <t>Atendimento</t>
        </is>
      </c>
      <c r="C260" s="74" t="inlineStr">
        <is>
          <t>Material de uso coletivo</t>
        </is>
      </c>
      <c r="D260" s="74" t="inlineStr">
        <is>
          <t>Soares e Silva</t>
        </is>
      </c>
      <c r="E260" s="151" t="n">
        <v>0</v>
      </c>
      <c r="F260" s="100" t="n">
        <v>0</v>
      </c>
      <c r="G260" s="100" t="n">
        <v>0</v>
      </c>
      <c r="H260" s="74" t="inlineStr">
        <is>
          <t>Agua mineral</t>
        </is>
      </c>
    </row>
    <row r="261" ht="15" customHeight="1" s="75">
      <c r="A261" s="74" t="inlineStr">
        <is>
          <t>MAIO/2026</t>
        </is>
      </c>
      <c r="B261" s="74" t="inlineStr">
        <is>
          <t>Atendimento</t>
        </is>
      </c>
      <c r="C261" s="74" t="inlineStr">
        <is>
          <t>Material de escritório</t>
        </is>
      </c>
      <c r="D261" s="74" t="inlineStr">
        <is>
          <t>Solon Araújo</t>
        </is>
      </c>
      <c r="E261" s="151" t="n">
        <v>0</v>
      </c>
      <c r="F261" s="100" t="n">
        <v>0</v>
      </c>
      <c r="G261" s="100" t="n">
        <v>0</v>
      </c>
      <c r="H261" s="74" t="inlineStr">
        <is>
          <t>Caixa de resma</t>
        </is>
      </c>
    </row>
    <row r="262" ht="15" customHeight="1" s="75">
      <c r="A262" s="74" t="inlineStr">
        <is>
          <t>MAIO/2026</t>
        </is>
      </c>
      <c r="B262" s="74" t="inlineStr">
        <is>
          <t>Atendimento</t>
        </is>
      </c>
      <c r="C262" s="74" t="inlineStr">
        <is>
          <t>Material de uso coletivo</t>
        </is>
      </c>
      <c r="D262" s="74" t="inlineStr">
        <is>
          <t>Solon Araújo</t>
        </is>
      </c>
      <c r="E262" s="151" t="n">
        <v>1</v>
      </c>
      <c r="F262" s="100" t="n">
        <v>114</v>
      </c>
      <c r="G262" s="100" t="n">
        <v>114</v>
      </c>
      <c r="H262" s="74" t="inlineStr">
        <is>
          <t>Preenchido da planilha de materiais (materiais recebidos em 05-2026.xlsx)</t>
        </is>
      </c>
    </row>
    <row r="263" ht="15" customHeight="1" s="75">
      <c r="A263" s="74" t="inlineStr">
        <is>
          <t>MAIO/2026</t>
        </is>
      </c>
      <c r="B263" s="74" t="inlineStr">
        <is>
          <t>Atendimento</t>
        </is>
      </c>
      <c r="C263" s="74" t="inlineStr">
        <is>
          <t>Material de uso coletivo</t>
        </is>
      </c>
      <c r="D263" s="74" t="inlineStr">
        <is>
          <t>Solon Araújo</t>
        </is>
      </c>
      <c r="E263" s="151" t="n">
        <v>0</v>
      </c>
      <c r="F263" s="100" t="n">
        <v>0</v>
      </c>
      <c r="G263" s="100" t="n">
        <v>0</v>
      </c>
      <c r="H263" s="74" t="inlineStr">
        <is>
          <t>Água mineral</t>
        </is>
      </c>
    </row>
    <row r="264" ht="15" customHeight="1" s="75">
      <c r="A264" s="74" t="inlineStr">
        <is>
          <t>MAIO/2026</t>
        </is>
      </c>
      <c r="B264" s="74" t="inlineStr">
        <is>
          <t>Atendimento</t>
        </is>
      </c>
      <c r="C264" s="74" t="inlineStr">
        <is>
          <t>Material de escritório</t>
        </is>
      </c>
      <c r="D264" s="74" t="inlineStr">
        <is>
          <t>Souza e Silva</t>
        </is>
      </c>
      <c r="E264" s="151" t="n">
        <v>0</v>
      </c>
      <c r="F264" s="100" t="n">
        <v>0</v>
      </c>
      <c r="G264" s="100" t="n">
        <v>0</v>
      </c>
      <c r="H264" s="74" t="inlineStr">
        <is>
          <t>Porta panfleto</t>
        </is>
      </c>
    </row>
    <row r="265" ht="15" customHeight="1" s="75">
      <c r="A265" s="74" t="inlineStr">
        <is>
          <t>MAIO/2026</t>
        </is>
      </c>
      <c r="B265" s="74" t="inlineStr">
        <is>
          <t>Atendimento</t>
        </is>
      </c>
      <c r="C265" s="74" t="inlineStr">
        <is>
          <t>Material de escritório</t>
        </is>
      </c>
      <c r="D265" s="74" t="inlineStr">
        <is>
          <t>Souza e Silva</t>
        </is>
      </c>
      <c r="E265" s="151" t="n">
        <v>0</v>
      </c>
      <c r="F265" s="100" t="n">
        <v>0</v>
      </c>
      <c r="G265" s="100" t="n">
        <v>0</v>
      </c>
      <c r="H265" s="74" t="inlineStr">
        <is>
          <t>Panfletos</t>
        </is>
      </c>
    </row>
    <row r="266" ht="15" customHeight="1" s="75">
      <c r="A266" s="74" t="inlineStr">
        <is>
          <t>MAIO/2026</t>
        </is>
      </c>
      <c r="B266" s="74" t="inlineStr">
        <is>
          <t>COE</t>
        </is>
      </c>
      <c r="C266" s="74" t="inlineStr">
        <is>
          <t>Serviços do C.O.E distribuição de serviços</t>
        </is>
      </c>
      <c r="D266" s="74" t="inlineStr">
        <is>
          <t>Soares e Lins</t>
        </is>
      </c>
      <c r="E266" s="151" t="n">
        <v>3650</v>
      </c>
      <c r="F266" s="100" t="n">
        <v>0.526319311045773</v>
      </c>
      <c r="G266" s="100" t="n">
        <v>1921.06548531707</v>
      </c>
      <c r="H266" s="74" t="inlineStr">
        <is>
          <t>Cálculo por número de clientes ativos</t>
        </is>
      </c>
    </row>
    <row r="267" ht="15" customHeight="1" s="75">
      <c r="A267" s="74" t="inlineStr">
        <is>
          <t>MAIO/2026</t>
        </is>
      </c>
      <c r="B267" s="74" t="inlineStr">
        <is>
          <t>COE</t>
        </is>
      </c>
      <c r="C267" s="74" t="inlineStr">
        <is>
          <t>Serviços do C.O.E distribuição de serviços</t>
        </is>
      </c>
      <c r="D267" s="74" t="inlineStr">
        <is>
          <t>Soares e Silva</t>
        </is>
      </c>
      <c r="E267" s="151" t="n">
        <v>6396</v>
      </c>
      <c r="F267" s="100" t="n">
        <v>0.526319311045773</v>
      </c>
      <c r="G267" s="100" t="n">
        <v>3366.33831344876</v>
      </c>
      <c r="H267" s="74" t="inlineStr">
        <is>
          <t>Cálculo por número de clientes ativos</t>
        </is>
      </c>
    </row>
    <row r="268" ht="15" customHeight="1" s="75">
      <c r="A268" s="74" t="inlineStr">
        <is>
          <t>MAIO/2026</t>
        </is>
      </c>
      <c r="B268" s="74" t="inlineStr">
        <is>
          <t>COE</t>
        </is>
      </c>
      <c r="C268" s="74" t="inlineStr">
        <is>
          <t>Serviços do C.O.E distribuição de serviços</t>
        </is>
      </c>
      <c r="D268" s="74" t="inlineStr">
        <is>
          <t>Solon Araújo</t>
        </is>
      </c>
      <c r="E268" s="151" t="n">
        <v>14331</v>
      </c>
      <c r="F268" s="100" t="n">
        <v>0.526319311045773</v>
      </c>
      <c r="G268" s="100" t="n">
        <v>7542.68204659697</v>
      </c>
      <c r="H268" s="74" t="inlineStr">
        <is>
          <t>Cálculo por número de clientes ativos</t>
        </is>
      </c>
    </row>
    <row r="269" ht="15" customHeight="1" s="75">
      <c r="A269" s="74" t="inlineStr">
        <is>
          <t>MAIO/2026</t>
        </is>
      </c>
      <c r="B269" s="74" t="inlineStr">
        <is>
          <t>COE</t>
        </is>
      </c>
      <c r="C269" s="74" t="inlineStr">
        <is>
          <t>Serviços do C.O.E distribuição de serviços</t>
        </is>
      </c>
      <c r="D269" s="74" t="inlineStr">
        <is>
          <t>Voicenet</t>
        </is>
      </c>
      <c r="E269" s="151" t="n">
        <v>4782</v>
      </c>
      <c r="F269" s="100" t="n">
        <v>0.526319311045773</v>
      </c>
      <c r="G269" s="100" t="n">
        <v>2516.85894542089</v>
      </c>
      <c r="H269" s="74" t="inlineStr">
        <is>
          <t>Cálculo por número de clientes ativos</t>
        </is>
      </c>
    </row>
    <row r="270" ht="15" customHeight="1" s="75">
      <c r="A270" s="74" t="inlineStr">
        <is>
          <t>MAIO/2026</t>
        </is>
      </c>
      <c r="B270" s="74" t="inlineStr">
        <is>
          <t>Comercial</t>
        </is>
      </c>
      <c r="C270" s="74" t="inlineStr">
        <is>
          <t>Consultas e análises de crédito</t>
        </is>
      </c>
      <c r="D270" s="74" t="inlineStr">
        <is>
          <t>DTEL</t>
        </is>
      </c>
      <c r="E270" s="151" t="n">
        <v>4995</v>
      </c>
      <c r="F270" s="100" t="n">
        <v>1.86</v>
      </c>
      <c r="G270" s="100" t="n">
        <v>9290.700000000001</v>
      </c>
      <c r="H270" s="74" t="inlineStr">
        <is>
          <t>Vendas cadastradas e consultadas pelo argos (Consultas e analise de credito - Maio26.xlsx)</t>
        </is>
      </c>
    </row>
    <row r="271" ht="15" customHeight="1" s="75">
      <c r="A271" s="74" t="inlineStr">
        <is>
          <t>MAIO/2026</t>
        </is>
      </c>
      <c r="B271" s="74" t="inlineStr">
        <is>
          <t>Comercial</t>
        </is>
      </c>
      <c r="C271" s="74" t="inlineStr">
        <is>
          <t>Consultas e análises de crédito</t>
        </is>
      </c>
      <c r="D271" s="74" t="inlineStr">
        <is>
          <t>DTEL</t>
        </is>
      </c>
      <c r="E271" s="151" t="n">
        <v>4995</v>
      </c>
      <c r="F271" s="100" t="n">
        <v>1.86</v>
      </c>
      <c r="G271" s="100" t="n">
        <v>9290.700000000001</v>
      </c>
      <c r="H271" s="74" t="inlineStr">
        <is>
          <t>Vendas cadastradas e consultadas pelo argos (Consultas e analise de credito - Maio26.xlsx)</t>
        </is>
      </c>
    </row>
    <row r="272" ht="15" customHeight="1" s="75">
      <c r="A272" s="74" t="inlineStr">
        <is>
          <t>MAIO/2026</t>
        </is>
      </c>
      <c r="B272" s="74" t="inlineStr">
        <is>
          <t>Comercial</t>
        </is>
      </c>
      <c r="C272" s="74" t="inlineStr">
        <is>
          <t>Consultas e análises de crédito</t>
        </is>
      </c>
      <c r="D272" s="74" t="inlineStr">
        <is>
          <t>DX2</t>
        </is>
      </c>
      <c r="E272" s="151" t="n">
        <v>305</v>
      </c>
      <c r="F272" s="100" t="n">
        <v>1.86</v>
      </c>
      <c r="G272" s="100" t="n">
        <v>567.3</v>
      </c>
      <c r="H272" s="74" t="inlineStr">
        <is>
          <t>Vendas cadastradas e consultadas pelo argos (Consultas e analise de credito - Maio26.xlsx)</t>
        </is>
      </c>
    </row>
    <row r="273" ht="15" customHeight="1" s="75">
      <c r="A273" s="74" t="inlineStr">
        <is>
          <t>MAIO/2026</t>
        </is>
      </c>
      <c r="B273" s="74" t="inlineStr">
        <is>
          <t>Comercial</t>
        </is>
      </c>
      <c r="C273" s="74" t="inlineStr">
        <is>
          <t>Consultas e análises de crédito</t>
        </is>
      </c>
      <c r="D273" s="74" t="inlineStr">
        <is>
          <t>DX2</t>
        </is>
      </c>
      <c r="E273" s="151" t="n">
        <v>305</v>
      </c>
      <c r="F273" s="100" t="n">
        <v>1.86</v>
      </c>
      <c r="G273" s="100" t="n">
        <v>567.3</v>
      </c>
      <c r="H273" s="74" t="inlineStr">
        <is>
          <t>Vendas cadastradas e consultadas pelo argos (Consultas e analise de credito - Maio26.xlsx)</t>
        </is>
      </c>
    </row>
    <row r="274" ht="15" customHeight="1" s="75">
      <c r="A274" s="74" t="inlineStr">
        <is>
          <t>MAIO/2026</t>
        </is>
      </c>
      <c r="B274" s="74" t="inlineStr">
        <is>
          <t>Comercial</t>
        </is>
      </c>
      <c r="C274" s="74" t="inlineStr">
        <is>
          <t>Despesa do consultor BARTOLOMEU</t>
        </is>
      </c>
      <c r="D274" s="74" t="inlineStr">
        <is>
          <t>DX2</t>
        </is>
      </c>
      <c r="E274" s="151" t="n">
        <v>2</v>
      </c>
      <c r="F274" s="100" t="n">
        <v>383.56</v>
      </c>
      <c r="G274" s="100" t="n">
        <v>767.12</v>
      </c>
      <c r="H274" s="74" t="inlineStr">
        <is>
          <t>Despesa trabalhista e combustivel do consultor dividido pelo total de vendas</t>
        </is>
      </c>
    </row>
    <row r="275" ht="15" customHeight="1" s="75">
      <c r="A275" s="74" t="inlineStr">
        <is>
          <t>MAIO/2026</t>
        </is>
      </c>
      <c r="B275" s="74" t="inlineStr">
        <is>
          <t>Comercial</t>
        </is>
      </c>
      <c r="C275" s="74" t="inlineStr">
        <is>
          <t>Despesa do consultor PAULO MELO</t>
        </is>
      </c>
      <c r="D275" s="74" t="inlineStr">
        <is>
          <t>DX2</t>
        </is>
      </c>
      <c r="E275" s="151" t="n">
        <v>0</v>
      </c>
      <c r="F275" s="100" t="n">
        <v>0</v>
      </c>
      <c r="G275" s="100" t="n">
        <v>0</v>
      </c>
      <c r="H275" s="74" t="inlineStr">
        <is>
          <t>Despesa trabalhista e combustível do consultor dividido pelo total de vendas</t>
        </is>
      </c>
    </row>
    <row r="276" ht="15" customHeight="1" s="75">
      <c r="A276" s="74" t="inlineStr">
        <is>
          <t>MAIO/2026</t>
        </is>
      </c>
      <c r="B276" s="74" t="inlineStr">
        <is>
          <t>Comercial</t>
        </is>
      </c>
      <c r="C276" s="74" t="inlineStr">
        <is>
          <t>Despesa do consultor PEDRO GREGO</t>
        </is>
      </c>
      <c r="D276" s="74" t="inlineStr">
        <is>
          <t>DX2</t>
        </is>
      </c>
      <c r="E276" s="151" t="n">
        <v>0</v>
      </c>
      <c r="F276" s="100" t="n">
        <v>0</v>
      </c>
      <c r="G276" s="100" t="n">
        <v>0</v>
      </c>
      <c r="H276" s="74" t="inlineStr">
        <is>
          <t>Despesa trabalhista e combustível do consultor dividido pelo total de vendas (cliente 12195,12634,12408)</t>
        </is>
      </c>
    </row>
    <row r="277" ht="15" customHeight="1" s="75">
      <c r="A277" s="74" t="inlineStr">
        <is>
          <t>MAIO/2026</t>
        </is>
      </c>
      <c r="B277" s="74" t="inlineStr">
        <is>
          <t>Comercial</t>
        </is>
      </c>
      <c r="C277" s="74" t="inlineStr">
        <is>
          <t>Despesa do coordenador TIAGO, pela gestão da equipe</t>
        </is>
      </c>
      <c r="D277" s="74" t="inlineStr">
        <is>
          <t>DX2</t>
        </is>
      </c>
      <c r="E277" s="151" t="n">
        <v>-1</v>
      </c>
      <c r="F277" s="100" t="n">
        <v>774.2</v>
      </c>
      <c r="G277" s="100" t="n">
        <v>-774.2</v>
      </c>
      <c r="H277" s="74" t="inlineStr">
        <is>
          <t>Crédito por despesa com combustível e utilização de veÍculo dx2</t>
        </is>
      </c>
    </row>
    <row r="278" ht="15" customHeight="1" s="75">
      <c r="A278" s="74" t="inlineStr">
        <is>
          <t>MAIO/2026</t>
        </is>
      </c>
      <c r="B278" s="74" t="inlineStr">
        <is>
          <t>Comercial</t>
        </is>
      </c>
      <c r="C278" s="74" t="inlineStr">
        <is>
          <t>Despesa do coordenador TIAGO, pela gestão da equipe</t>
        </is>
      </c>
      <c r="D278" s="74" t="inlineStr">
        <is>
          <t>DX2</t>
        </is>
      </c>
      <c r="E278" s="151" t="n">
        <v>-1</v>
      </c>
      <c r="F278" s="100" t="n">
        <v>4167</v>
      </c>
      <c r="G278" s="100" t="n">
        <v>-4167</v>
      </c>
      <c r="H278" s="74" t="inlineStr">
        <is>
          <t>Crédito por participação do coordenador na base h&amp;a e soares e silva</t>
        </is>
      </c>
    </row>
    <row r="279" ht="15" customHeight="1" s="75">
      <c r="A279" s="74" t="inlineStr">
        <is>
          <t>MAIO/2026</t>
        </is>
      </c>
      <c r="B279" s="74" t="inlineStr">
        <is>
          <t>Comercial</t>
        </is>
      </c>
      <c r="C279" s="74" t="inlineStr">
        <is>
          <t>Vendas da equipe DX2 porta a porta P/ H&amp;A</t>
        </is>
      </c>
      <c r="D279" s="74" t="inlineStr">
        <is>
          <t>DX2</t>
        </is>
      </c>
      <c r="E279" s="151" t="n">
        <v>3</v>
      </c>
      <c r="F279" s="100" t="n">
        <v>0</v>
      </c>
      <c r="G279" s="100" t="n">
        <v>0</v>
      </c>
      <c r="H279" s="74" t="inlineStr">
        <is>
          <t>Vendas instaladas</t>
        </is>
      </c>
    </row>
    <row r="280" ht="15" customHeight="1" s="75">
      <c r="A280" s="74" t="inlineStr">
        <is>
          <t>MAIO/2026</t>
        </is>
      </c>
      <c r="B280" s="74" t="inlineStr">
        <is>
          <t>Comercial</t>
        </is>
      </c>
      <c r="C280" s="74" t="inlineStr">
        <is>
          <t>Vendas da equipe Dtel porta a porta</t>
        </is>
      </c>
      <c r="D280" s="74" t="inlineStr">
        <is>
          <t>DX2</t>
        </is>
      </c>
      <c r="E280" s="151" t="n">
        <v>0</v>
      </c>
      <c r="F280" s="100" t="n">
        <v>0</v>
      </c>
      <c r="G280" s="100" t="n">
        <v>0</v>
      </c>
      <c r="H280" s="74" t="inlineStr">
        <is>
          <t>Vendas instaladas</t>
        </is>
      </c>
    </row>
    <row r="281" ht="15" customHeight="1" s="75">
      <c r="A281" s="74" t="inlineStr">
        <is>
          <t>MAIO/2026</t>
        </is>
      </c>
      <c r="B281" s="74" t="inlineStr">
        <is>
          <t>Comercial</t>
        </is>
      </c>
      <c r="C281" s="74" t="inlineStr">
        <is>
          <t>Vendas da equipe Dx2 porta a porta p/ Dtel</t>
        </is>
      </c>
      <c r="D281" s="74" t="inlineStr">
        <is>
          <t>DX2</t>
        </is>
      </c>
      <c r="E281" s="151" t="n">
        <v>0</v>
      </c>
      <c r="F281" s="100" t="n">
        <v>0</v>
      </c>
      <c r="G281" s="100" t="n">
        <v>0</v>
      </c>
      <c r="H281" s="74" t="inlineStr">
        <is>
          <t>Vendas instaladas</t>
        </is>
      </c>
    </row>
    <row r="282" ht="15" customHeight="1" s="75">
      <c r="A282" s="74" t="inlineStr">
        <is>
          <t>MAIO/2026</t>
        </is>
      </c>
      <c r="B282" s="74" t="inlineStr">
        <is>
          <t>Comercial</t>
        </is>
      </c>
      <c r="C282" s="74" t="inlineStr">
        <is>
          <t>Vendas da equipe H&amp;A porta a porta P/ DX2</t>
        </is>
      </c>
      <c r="D282" s="74" t="inlineStr">
        <is>
          <t>DX2</t>
        </is>
      </c>
      <c r="E282" s="151" t="n">
        <v>5</v>
      </c>
      <c r="F282" s="100" t="n">
        <v>0</v>
      </c>
      <c r="G282" s="100" t="n">
        <v>0</v>
      </c>
      <c r="H282" s="74" t="inlineStr">
        <is>
          <t>Vendas instaladas</t>
        </is>
      </c>
    </row>
    <row r="283" ht="15" customHeight="1" s="75">
      <c r="A283" s="74" t="inlineStr">
        <is>
          <t>MAIO/2026</t>
        </is>
      </c>
      <c r="B283" s="74" t="inlineStr">
        <is>
          <t>Comercial</t>
        </is>
      </c>
      <c r="C283" s="74" t="inlineStr">
        <is>
          <t>Vendas da equipe VOICENET porta a porta P/  DX2</t>
        </is>
      </c>
      <c r="D283" s="74" t="inlineStr">
        <is>
          <t>DX2</t>
        </is>
      </c>
      <c r="E283" s="151" t="n">
        <v>0</v>
      </c>
      <c r="F283" s="100" t="n">
        <v>0</v>
      </c>
      <c r="G283" s="100" t="n">
        <v>0</v>
      </c>
      <c r="H283" s="74" t="inlineStr">
        <is>
          <t>Vendas instaladas</t>
        </is>
      </c>
    </row>
    <row r="284" ht="15" customHeight="1" s="75">
      <c r="A284" s="74" t="inlineStr">
        <is>
          <t>MAIO/2026</t>
        </is>
      </c>
      <c r="B284" s="74" t="inlineStr">
        <is>
          <t>Comercial</t>
        </is>
      </c>
      <c r="C284" s="74" t="inlineStr">
        <is>
          <t>Comissão de manutenção da Totum</t>
        </is>
      </c>
      <c r="D284" s="74" t="inlineStr">
        <is>
          <t>H&amp;A</t>
        </is>
      </c>
      <c r="E284" s="151" t="n">
        <v>1</v>
      </c>
      <c r="F284" s="100" t="n">
        <v>33.5</v>
      </c>
      <c r="G284" s="100" t="n">
        <v>33.5</v>
      </c>
      <c r="H284" s="74" t="inlineStr">
        <is>
          <t>Conselho regional de enfermagem de PE</t>
        </is>
      </c>
    </row>
    <row r="285" ht="15" customHeight="1" s="75">
      <c r="A285" s="74" t="inlineStr">
        <is>
          <t>MAIO/2026</t>
        </is>
      </c>
      <c r="B285" s="74" t="inlineStr">
        <is>
          <t>Comercial</t>
        </is>
      </c>
      <c r="C285" s="74" t="inlineStr">
        <is>
          <t>Comissão de manutenção da Totum</t>
        </is>
      </c>
      <c r="D285" s="74" t="inlineStr">
        <is>
          <t>H&amp;A</t>
        </is>
      </c>
      <c r="E285" s="151" t="n">
        <v>1</v>
      </c>
      <c r="F285" s="100" t="n">
        <v>22</v>
      </c>
      <c r="G285" s="100" t="n">
        <v>22</v>
      </c>
      <c r="H285" s="74" t="inlineStr">
        <is>
          <t>71 Batalhão De Infantaria Motorizado</t>
        </is>
      </c>
    </row>
    <row r="286" ht="15" customHeight="1" s="75">
      <c r="A286" s="74" t="inlineStr">
        <is>
          <t>MAIO/2026</t>
        </is>
      </c>
      <c r="B286" s="74" t="inlineStr">
        <is>
          <t>Comercial</t>
        </is>
      </c>
      <c r="C286" s="74" t="inlineStr">
        <is>
          <t>Consultas e análises de crédito</t>
        </is>
      </c>
      <c r="D286" s="74" t="inlineStr">
        <is>
          <t>H&amp;A</t>
        </is>
      </c>
      <c r="E286" s="151" t="n">
        <v>322</v>
      </c>
      <c r="F286" s="100" t="n">
        <v>1.86</v>
      </c>
      <c r="G286" s="100" t="n">
        <v>598.92</v>
      </c>
      <c r="H286" s="74" t="inlineStr">
        <is>
          <t>Vendas cadastradas e consultadas pelo argos (Consultas e analise de credito - Maio26.xlsx)</t>
        </is>
      </c>
    </row>
    <row r="287" ht="15" customHeight="1" s="75">
      <c r="A287" s="74" t="inlineStr">
        <is>
          <t>MAIO/2026</t>
        </is>
      </c>
      <c r="B287" s="74" t="inlineStr">
        <is>
          <t>Comercial</t>
        </is>
      </c>
      <c r="C287" s="74" t="inlineStr">
        <is>
          <t>Consultas e análises de crédito</t>
        </is>
      </c>
      <c r="D287" s="74" t="inlineStr">
        <is>
          <t>H&amp;A</t>
        </is>
      </c>
      <c r="E287" s="151" t="n">
        <v>322</v>
      </c>
      <c r="F287" s="100" t="n">
        <v>1.86</v>
      </c>
      <c r="G287" s="100" t="n">
        <v>598.92</v>
      </c>
      <c r="H287" s="74" t="inlineStr">
        <is>
          <t>Vendas cadastradas e consultadas pelo argos (Consultas e analise de credito - Maio26.xlsx)</t>
        </is>
      </c>
    </row>
    <row r="288" ht="15" customHeight="1" s="75">
      <c r="A288" s="74" t="inlineStr">
        <is>
          <t>MAIO/2026</t>
        </is>
      </c>
      <c r="B288" s="74" t="inlineStr">
        <is>
          <t>Comercial</t>
        </is>
      </c>
      <c r="C288" s="74" t="inlineStr">
        <is>
          <t>Despesa do consultor BARTOLOMEU</t>
        </is>
      </c>
      <c r="D288" s="74" t="inlineStr">
        <is>
          <t>H&amp;A</t>
        </is>
      </c>
      <c r="E288" s="151" t="n">
        <v>5</v>
      </c>
      <c r="F288" s="100" t="n">
        <v>383.56</v>
      </c>
      <c r="G288" s="100" t="n">
        <v>1917.8</v>
      </c>
      <c r="H288" s="74" t="inlineStr">
        <is>
          <t>Despesa trabalhista e combustível do consultor dividido pelo total de vendas (cliente 29895,29928,29948,29974,29930)</t>
        </is>
      </c>
    </row>
    <row r="289" ht="15" customHeight="1" s="75">
      <c r="A289" s="74" t="inlineStr">
        <is>
          <t>MAIO/2026</t>
        </is>
      </c>
      <c r="B289" s="74" t="inlineStr">
        <is>
          <t>Comercial</t>
        </is>
      </c>
      <c r="C289" s="74" t="inlineStr">
        <is>
          <t>Despesa do consultor PAULO MELO</t>
        </is>
      </c>
      <c r="D289" s="74" t="inlineStr">
        <is>
          <t>H&amp;A</t>
        </is>
      </c>
      <c r="E289" s="151" t="n">
        <v>1</v>
      </c>
      <c r="F289" s="100" t="n">
        <v>338.53</v>
      </c>
      <c r="G289" s="100" t="n">
        <v>338.53</v>
      </c>
      <c r="H289" s="74" t="inlineStr">
        <is>
          <t>Despesa trabalhista e combustível do consultor dividido pelo total de vendas(cliente 30172,29955,30042)</t>
        </is>
      </c>
    </row>
    <row r="290" ht="15" customHeight="1" s="75">
      <c r="A290" s="74" t="inlineStr">
        <is>
          <t>MAIO/2026</t>
        </is>
      </c>
      <c r="B290" s="74" t="inlineStr">
        <is>
          <t>Comercial</t>
        </is>
      </c>
      <c r="C290" s="74" t="inlineStr">
        <is>
          <t>Despesa do consultor PEDRO GREGO</t>
        </is>
      </c>
      <c r="D290" s="74" t="inlineStr">
        <is>
          <t>H&amp;A</t>
        </is>
      </c>
      <c r="E290" s="151" t="n">
        <v>1</v>
      </c>
      <c r="F290" s="100" t="n">
        <v>400.26</v>
      </c>
      <c r="G290" s="100" t="n">
        <v>400.26</v>
      </c>
      <c r="H290" s="74" t="inlineStr">
        <is>
          <t>Despesa trabalhista e combustível do consultor dividido pelo total de vendas (ciente 29740,30064,30038,30076)</t>
        </is>
      </c>
    </row>
    <row r="291" ht="15" customHeight="1" s="75">
      <c r="A291" s="74" t="inlineStr">
        <is>
          <t>MAIO/2026</t>
        </is>
      </c>
      <c r="B291" s="74" t="inlineStr">
        <is>
          <t>Comercial</t>
        </is>
      </c>
      <c r="C291" s="74" t="inlineStr">
        <is>
          <t>Despesa do coordenador TIAGO, pela gestão da equipe</t>
        </is>
      </c>
      <c r="D291" s="74" t="inlineStr">
        <is>
          <t>H&amp;A</t>
        </is>
      </c>
      <c r="E291" s="151" t="n">
        <v>1</v>
      </c>
      <c r="F291" s="100" t="n">
        <v>324</v>
      </c>
      <c r="G291" s="100" t="n">
        <v>324</v>
      </c>
      <c r="H291" s="74" t="inlineStr">
        <is>
          <t>Despesa com combustÍvel e utilização de veiculo dx2</t>
        </is>
      </c>
    </row>
    <row r="292" ht="15" customHeight="1" s="75">
      <c r="A292" s="74" t="inlineStr">
        <is>
          <t>MAIO/2026</t>
        </is>
      </c>
      <c r="B292" s="74" t="inlineStr">
        <is>
          <t>Comercial</t>
        </is>
      </c>
      <c r="C292" s="74" t="inlineStr">
        <is>
          <t>Despesa do coordenador TIAGO, pela gestão da equipe</t>
        </is>
      </c>
      <c r="D292" s="74" t="inlineStr">
        <is>
          <t>H&amp;A</t>
        </is>
      </c>
      <c r="E292" s="151" t="n">
        <v>64</v>
      </c>
      <c r="F292" s="100" t="n">
        <v>23.15</v>
      </c>
      <c r="G292" s="100" t="n">
        <v>1481.6</v>
      </c>
      <c r="H292" s="74" t="inlineStr">
        <is>
          <t>Despesa trabalhista dividida pela quantidade de vendas</t>
        </is>
      </c>
    </row>
    <row r="293" ht="15" customHeight="1" s="75">
      <c r="A293" s="74" t="inlineStr">
        <is>
          <t>MAIO/2026</t>
        </is>
      </c>
      <c r="B293" s="74" t="inlineStr">
        <is>
          <t>Comercial</t>
        </is>
      </c>
      <c r="C293" s="74" t="inlineStr">
        <is>
          <t>Vendas da equipe DX2 para H&amp;A</t>
        </is>
      </c>
      <c r="D293" s="74" t="inlineStr">
        <is>
          <t>H&amp;A</t>
        </is>
      </c>
      <c r="E293" s="151" t="n">
        <v>3</v>
      </c>
      <c r="F293" s="100" t="n">
        <v>0</v>
      </c>
      <c r="G293" s="100" t="n">
        <v>0</v>
      </c>
      <c r="H293" s="74" t="inlineStr">
        <is>
          <t>Vendas instaladas</t>
        </is>
      </c>
    </row>
    <row r="294" ht="15" customHeight="1" s="75">
      <c r="A294" s="74" t="inlineStr">
        <is>
          <t>MAIO/2026</t>
        </is>
      </c>
      <c r="B294" s="74" t="inlineStr">
        <is>
          <t>Comercial</t>
        </is>
      </c>
      <c r="C294" s="74" t="inlineStr">
        <is>
          <t>Vendas da equipe Dtel porta a porta</t>
        </is>
      </c>
      <c r="D294" s="74" t="inlineStr">
        <is>
          <t>H&amp;A</t>
        </is>
      </c>
      <c r="E294" s="151" t="n">
        <v>1</v>
      </c>
      <c r="F294" s="100" t="n">
        <v>0</v>
      </c>
      <c r="G294" s="100" t="n">
        <v>0</v>
      </c>
      <c r="H294" s="74" t="inlineStr">
        <is>
          <t>Vendas instaladas</t>
        </is>
      </c>
    </row>
    <row r="295" ht="15" customHeight="1" s="75">
      <c r="A295" s="74" t="inlineStr">
        <is>
          <t>MAIO/2026</t>
        </is>
      </c>
      <c r="B295" s="74" t="inlineStr">
        <is>
          <t>Comercial</t>
        </is>
      </c>
      <c r="C295" s="74" t="inlineStr">
        <is>
          <t>Vendas da equipe H&amp;A P/ VOICENET</t>
        </is>
      </c>
      <c r="D295" s="74" t="inlineStr">
        <is>
          <t>H&amp;A</t>
        </is>
      </c>
      <c r="E295" s="151" t="n">
        <v>0</v>
      </c>
      <c r="F295" s="100" t="n">
        <v>0</v>
      </c>
      <c r="G295" s="100" t="n">
        <v>0</v>
      </c>
      <c r="H295" s="74" t="inlineStr">
        <is>
          <t>Vendas instaladas</t>
        </is>
      </c>
    </row>
    <row r="296" ht="15" customHeight="1" s="75">
      <c r="A296" s="74" t="inlineStr">
        <is>
          <t>MAIO/2026</t>
        </is>
      </c>
      <c r="B296" s="74" t="inlineStr">
        <is>
          <t>Comercial</t>
        </is>
      </c>
      <c r="C296" s="74" t="inlineStr">
        <is>
          <t>Vendas da equipe H&amp;A para Dtel</t>
        </is>
      </c>
      <c r="D296" s="74" t="inlineStr">
        <is>
          <t>H&amp;A</t>
        </is>
      </c>
      <c r="E296" s="151" t="n">
        <v>2</v>
      </c>
      <c r="F296" s="100" t="n">
        <v>0</v>
      </c>
      <c r="G296" s="100" t="n">
        <v>0</v>
      </c>
      <c r="H296" s="74" t="inlineStr">
        <is>
          <t>Vendas instaladas</t>
        </is>
      </c>
    </row>
    <row r="297" ht="15" customHeight="1" s="75">
      <c r="A297" s="74" t="inlineStr">
        <is>
          <t>MAIO/2026</t>
        </is>
      </c>
      <c r="B297" s="74" t="inlineStr">
        <is>
          <t>Comercial</t>
        </is>
      </c>
      <c r="C297" s="74" t="inlineStr">
        <is>
          <t>Vendas da equipe H&amp;A para Dx2</t>
        </is>
      </c>
      <c r="D297" s="74" t="inlineStr">
        <is>
          <t>H&amp;A</t>
        </is>
      </c>
      <c r="E297" s="151" t="n">
        <v>5</v>
      </c>
      <c r="F297" s="100" t="n">
        <v>0</v>
      </c>
      <c r="G297" s="100" t="n">
        <v>0</v>
      </c>
      <c r="H297" s="74" t="inlineStr">
        <is>
          <t>Vendas instaladas</t>
        </is>
      </c>
    </row>
    <row r="298" ht="15" customHeight="1" s="75">
      <c r="A298" s="74" t="inlineStr">
        <is>
          <t>MAIO/2026</t>
        </is>
      </c>
      <c r="B298" s="74" t="inlineStr">
        <is>
          <t>Comercial</t>
        </is>
      </c>
      <c r="C298" s="74" t="inlineStr">
        <is>
          <t>Vendas da equipe H&amp;A para soares e silva</t>
        </is>
      </c>
      <c r="D298" s="74" t="inlineStr">
        <is>
          <t>H&amp;A</t>
        </is>
      </c>
      <c r="E298" s="151" t="n">
        <v>0</v>
      </c>
      <c r="F298" s="100" t="n">
        <v>0</v>
      </c>
      <c r="G298" s="100" t="n">
        <v>0</v>
      </c>
      <c r="H298" s="74" t="inlineStr">
        <is>
          <t>Vendas instaladas</t>
        </is>
      </c>
    </row>
    <row r="299" ht="15" customHeight="1" s="75">
      <c r="A299" s="74" t="inlineStr">
        <is>
          <t>MAIO/2026</t>
        </is>
      </c>
      <c r="B299" s="74" t="inlineStr">
        <is>
          <t>Comercial</t>
        </is>
      </c>
      <c r="C299" s="74" t="inlineStr">
        <is>
          <t>Consultas e análises de crédito</t>
        </is>
      </c>
      <c r="D299" s="74" t="inlineStr">
        <is>
          <t>Soares e Lins</t>
        </is>
      </c>
      <c r="E299" s="151" t="n">
        <v>240</v>
      </c>
      <c r="F299" s="100" t="n">
        <v>1.86</v>
      </c>
      <c r="G299" s="100" t="n">
        <v>446.4</v>
      </c>
      <c r="H299" s="74" t="inlineStr">
        <is>
          <t>Vendas cadastradas e consultadas pelo argos (Consultas e analise de credito - Maio26.xlsx)</t>
        </is>
      </c>
    </row>
    <row r="300" ht="15" customHeight="1" s="75">
      <c r="A300" s="74" t="inlineStr">
        <is>
          <t>MAIO/2026</t>
        </is>
      </c>
      <c r="B300" s="74" t="inlineStr">
        <is>
          <t>Comercial</t>
        </is>
      </c>
      <c r="C300" s="74" t="inlineStr">
        <is>
          <t>Consultas e análises de crédito</t>
        </is>
      </c>
      <c r="D300" s="74" t="inlineStr">
        <is>
          <t>Soares e Lins</t>
        </is>
      </c>
      <c r="E300" s="151" t="n">
        <v>240</v>
      </c>
      <c r="F300" s="100" t="n">
        <v>1.86</v>
      </c>
      <c r="G300" s="100" t="n">
        <v>446.4</v>
      </c>
      <c r="H300" s="74" t="inlineStr">
        <is>
          <t>Vendas cadastradas e consultadas pelo argos (Consultas e analise de credito - Maio26.xlsx)</t>
        </is>
      </c>
    </row>
    <row r="301" ht="15" customHeight="1" s="75">
      <c r="A301" s="74" t="inlineStr">
        <is>
          <t>MAIO/2026</t>
        </is>
      </c>
      <c r="B301" s="74" t="inlineStr">
        <is>
          <t>Comercial</t>
        </is>
      </c>
      <c r="C301" s="74" t="inlineStr">
        <is>
          <t>Despesa do consultor BARTOLOMEU</t>
        </is>
      </c>
      <c r="D301" s="74" t="inlineStr">
        <is>
          <t>Soares e Lins</t>
        </is>
      </c>
      <c r="E301" s="151" t="n">
        <v>0</v>
      </c>
      <c r="F301" s="100" t="n">
        <v>0</v>
      </c>
      <c r="G301" s="100" t="n">
        <v>0</v>
      </c>
      <c r="H301" s="74" t="inlineStr">
        <is>
          <t>Despesa trabalhista e combustivel do consultor dividido pelo total de vendas</t>
        </is>
      </c>
    </row>
    <row r="302" ht="15" customHeight="1" s="75">
      <c r="A302" s="74" t="inlineStr">
        <is>
          <t>MAIO/2026</t>
        </is>
      </c>
      <c r="B302" s="74" t="inlineStr">
        <is>
          <t>Comercial</t>
        </is>
      </c>
      <c r="C302" s="74" t="inlineStr">
        <is>
          <t>Despesa do consultor PAULO MELO</t>
        </is>
      </c>
      <c r="D302" s="74" t="inlineStr">
        <is>
          <t>Soares e Lins</t>
        </is>
      </c>
      <c r="E302" s="151" t="n">
        <v>2</v>
      </c>
      <c r="F302" s="100" t="n">
        <v>338.53</v>
      </c>
      <c r="G302" s="100" t="n">
        <v>677.0599999999999</v>
      </c>
      <c r="H302" s="74" t="inlineStr">
        <is>
          <t>Despesa trabalhista e combustivel do consultor dividido pelo total de vendas</t>
        </is>
      </c>
    </row>
    <row r="303" ht="15" customHeight="1" s="75">
      <c r="A303" s="74" t="inlineStr">
        <is>
          <t>MAIO/2026</t>
        </is>
      </c>
      <c r="B303" s="74" t="inlineStr">
        <is>
          <t>Comercial</t>
        </is>
      </c>
      <c r="C303" s="74" t="inlineStr">
        <is>
          <t>Despesa do consultor PEDRO GREGO</t>
        </is>
      </c>
      <c r="D303" s="74" t="inlineStr">
        <is>
          <t>Soares e Lins</t>
        </is>
      </c>
      <c r="E303" s="151" t="n">
        <v>0</v>
      </c>
      <c r="F303" s="100" t="n">
        <v>0</v>
      </c>
      <c r="G303" s="100" t="n">
        <v>0</v>
      </c>
      <c r="H303" s="74" t="inlineStr">
        <is>
          <t>Despesa trabalhista e combustível do consultor dividido pelo total de vendas(cliente 7777)</t>
        </is>
      </c>
    </row>
    <row r="304" ht="15" customHeight="1" s="75">
      <c r="A304" s="74" t="inlineStr">
        <is>
          <t>MAIO/2026</t>
        </is>
      </c>
      <c r="B304" s="74" t="inlineStr">
        <is>
          <t>Comercial</t>
        </is>
      </c>
      <c r="C304" s="74" t="inlineStr">
        <is>
          <t>Vendas da equipe Dtel porta a porta</t>
        </is>
      </c>
      <c r="D304" s="74" t="inlineStr">
        <is>
          <t>Soares e Lins</t>
        </is>
      </c>
      <c r="E304" s="151" t="n">
        <v>1</v>
      </c>
      <c r="F304" s="100" t="n">
        <v>0</v>
      </c>
      <c r="G304" s="100" t="n">
        <v>0</v>
      </c>
      <c r="H304" s="74" t="inlineStr">
        <is>
          <t>Vendas instaladas</t>
        </is>
      </c>
    </row>
    <row r="305" ht="15" customHeight="1" s="75">
      <c r="A305" s="74" t="inlineStr">
        <is>
          <t>MAIO/2026</t>
        </is>
      </c>
      <c r="B305" s="74" t="inlineStr">
        <is>
          <t>Comercial</t>
        </is>
      </c>
      <c r="C305" s="74" t="inlineStr">
        <is>
          <t>Vendas da equipe Soares e lins p/ Dtel</t>
        </is>
      </c>
      <c r="D305" s="74" t="inlineStr">
        <is>
          <t>Soares e Lins</t>
        </is>
      </c>
      <c r="E305" s="151" t="n">
        <v>3</v>
      </c>
      <c r="F305" s="100" t="n">
        <v>0</v>
      </c>
      <c r="G305" s="100" t="n">
        <v>0</v>
      </c>
      <c r="H305" s="74" t="inlineStr">
        <is>
          <t>Vendas instaladas</t>
        </is>
      </c>
    </row>
    <row r="306" ht="15" customHeight="1" s="75">
      <c r="A306" s="74" t="inlineStr">
        <is>
          <t>MAIO/2026</t>
        </is>
      </c>
      <c r="B306" s="74" t="inlineStr">
        <is>
          <t>Comercial</t>
        </is>
      </c>
      <c r="C306" s="74" t="inlineStr">
        <is>
          <t>Vendas da equipe Soares e lins p/ solon</t>
        </is>
      </c>
      <c r="D306" s="74" t="inlineStr">
        <is>
          <t>Soares e Lins</t>
        </is>
      </c>
      <c r="E306" s="151" t="n">
        <v>0</v>
      </c>
      <c r="F306" s="100" t="n">
        <v>0</v>
      </c>
      <c r="G306" s="100" t="n">
        <v>0</v>
      </c>
      <c r="H306" s="74" t="inlineStr">
        <is>
          <t>Vendas instaladas</t>
        </is>
      </c>
    </row>
    <row r="307" ht="15" customHeight="1" s="75">
      <c r="A307" s="74" t="inlineStr">
        <is>
          <t>MAIO/2026</t>
        </is>
      </c>
      <c r="B307" s="74" t="inlineStr">
        <is>
          <t>Comercial</t>
        </is>
      </c>
      <c r="C307" s="74" t="inlineStr">
        <is>
          <t>Vendas da equipe voicenet P/ SOARES E LINS</t>
        </is>
      </c>
      <c r="D307" s="74" t="inlineStr">
        <is>
          <t>Soares e Lins</t>
        </is>
      </c>
      <c r="E307" s="151" t="n">
        <v>0</v>
      </c>
      <c r="F307" s="100" t="n">
        <v>0</v>
      </c>
      <c r="G307" s="100" t="n">
        <v>0</v>
      </c>
      <c r="H307" s="74" t="inlineStr">
        <is>
          <t>Vendas instaladas</t>
        </is>
      </c>
    </row>
    <row r="308" ht="15" customHeight="1" s="75">
      <c r="A308" s="74" t="inlineStr">
        <is>
          <t>MAIO/2026</t>
        </is>
      </c>
      <c r="B308" s="74" t="inlineStr">
        <is>
          <t>Comercial</t>
        </is>
      </c>
      <c r="C308" s="74" t="inlineStr">
        <is>
          <t>Consultas e análises de crédito</t>
        </is>
      </c>
      <c r="D308" s="74" t="inlineStr">
        <is>
          <t>Soares e Silva</t>
        </is>
      </c>
      <c r="E308" s="151" t="n">
        <v>679</v>
      </c>
      <c r="F308" s="100" t="n">
        <v>1.86</v>
      </c>
      <c r="G308" s="100" t="n">
        <v>1262.94</v>
      </c>
      <c r="H308" s="74" t="inlineStr">
        <is>
          <t>Vendas cadastradas e consultadas pelo argos (Consultas e analise de credito - Maio26.xlsx)</t>
        </is>
      </c>
    </row>
    <row r="309" ht="15" customHeight="1" s="75">
      <c r="A309" s="74" t="inlineStr">
        <is>
          <t>MAIO/2026</t>
        </is>
      </c>
      <c r="B309" s="74" t="inlineStr">
        <is>
          <t>Comercial</t>
        </is>
      </c>
      <c r="C309" s="74" t="inlineStr">
        <is>
          <t>Consultas e análises de crédito</t>
        </is>
      </c>
      <c r="D309" s="74" t="inlineStr">
        <is>
          <t>Soares e Silva</t>
        </is>
      </c>
      <c r="E309" s="151" t="n">
        <v>679</v>
      </c>
      <c r="F309" s="100" t="n">
        <v>1.86</v>
      </c>
      <c r="G309" s="100" t="n">
        <v>1262.94</v>
      </c>
      <c r="H309" s="74" t="inlineStr">
        <is>
          <t>Vendas cadastradas e consultadas pelo argos (Consultas e analise de credito - Maio26.xlsx)</t>
        </is>
      </c>
    </row>
    <row r="310" ht="15" customHeight="1" s="75">
      <c r="A310" s="74" t="inlineStr">
        <is>
          <t>MAIO/2026</t>
        </is>
      </c>
      <c r="B310" s="74" t="inlineStr">
        <is>
          <t>Comercial</t>
        </is>
      </c>
      <c r="C310" s="74" t="inlineStr">
        <is>
          <t>Despesa do consultor BARTOLOMEU</t>
        </is>
      </c>
      <c r="D310" s="74" t="inlineStr">
        <is>
          <t>Soares e Silva</t>
        </is>
      </c>
      <c r="E310" s="151" t="n">
        <v>4</v>
      </c>
      <c r="F310" s="100" t="n">
        <v>383.56</v>
      </c>
      <c r="G310" s="100" t="n">
        <v>1534.24</v>
      </c>
      <c r="H310" s="74" t="inlineStr">
        <is>
          <t>Despesa trabalhista e combustÍvel do consultor dividido pelo total de vendas (cliente 11663,11670,11886)</t>
        </is>
      </c>
    </row>
    <row r="311" ht="15" customHeight="1" s="75">
      <c r="A311" s="74" t="inlineStr">
        <is>
          <t>MAIO/2026</t>
        </is>
      </c>
      <c r="B311" s="74" t="inlineStr">
        <is>
          <t>Comercial</t>
        </is>
      </c>
      <c r="C311" s="74" t="inlineStr">
        <is>
          <t>Despesa do consultor PAULO MELO</t>
        </is>
      </c>
      <c r="D311" s="74" t="inlineStr">
        <is>
          <t>Soares e Silva</t>
        </is>
      </c>
      <c r="E311" s="151" t="n">
        <v>4</v>
      </c>
      <c r="F311" s="100" t="n">
        <v>338.53</v>
      </c>
      <c r="G311" s="100" t="n">
        <v>1354.12</v>
      </c>
      <c r="H311" s="74" t="inlineStr">
        <is>
          <t>Despesa trabalhista e combustÍvel dividida pela quantidade de vendas(cliente 12023,11614)</t>
        </is>
      </c>
    </row>
    <row r="312" ht="15" customHeight="1" s="75">
      <c r="A312" s="74" t="inlineStr">
        <is>
          <t>MAIO/2026</t>
        </is>
      </c>
      <c r="B312" s="74" t="inlineStr">
        <is>
          <t>Comercial</t>
        </is>
      </c>
      <c r="C312" s="74" t="inlineStr">
        <is>
          <t>Despesa do consultor PEDRO GREGO</t>
        </is>
      </c>
      <c r="D312" s="74" t="inlineStr">
        <is>
          <t>Soares e Silva</t>
        </is>
      </c>
      <c r="E312" s="151" t="n">
        <v>2</v>
      </c>
      <c r="F312" s="100" t="n">
        <v>400.26</v>
      </c>
      <c r="G312" s="100" t="n">
        <v>800.52</v>
      </c>
      <c r="H312" s="74" t="inlineStr">
        <is>
          <t>Despesa trabalhista e combustÍvel dividida pela quantidade de vendas (cliente 11395,11810)</t>
        </is>
      </c>
    </row>
    <row r="313" ht="15" customHeight="1" s="75">
      <c r="A313" s="74" t="inlineStr">
        <is>
          <t>MAIO/2026</t>
        </is>
      </c>
      <c r="B313" s="74" t="inlineStr">
        <is>
          <t>Comercial</t>
        </is>
      </c>
      <c r="C313" s="74" t="inlineStr">
        <is>
          <t>Despesa do coordenador TIAGO, pela gestão da equipe</t>
        </is>
      </c>
      <c r="D313" s="74" t="inlineStr">
        <is>
          <t>Soares e Silva</t>
        </is>
      </c>
      <c r="E313" s="151" t="n">
        <v>1</v>
      </c>
      <c r="F313" s="100" t="n">
        <v>448</v>
      </c>
      <c r="G313" s="100" t="n">
        <v>448</v>
      </c>
      <c r="H313" s="74" t="inlineStr">
        <is>
          <t>Despesa com combustÍvel e utilização de veÍculo dx2</t>
        </is>
      </c>
    </row>
    <row r="314" ht="15" customHeight="1" s="75">
      <c r="A314" s="74" t="inlineStr">
        <is>
          <t>MAIO/2026</t>
        </is>
      </c>
      <c r="B314" s="74" t="inlineStr">
        <is>
          <t>Comercial</t>
        </is>
      </c>
      <c r="C314" s="74" t="inlineStr">
        <is>
          <t>Despesa do coordenador TIAGO, pela gestão da equipe</t>
        </is>
      </c>
      <c r="D314" s="74" t="inlineStr">
        <is>
          <t>Soares e Silva</t>
        </is>
      </c>
      <c r="E314" s="151" t="n">
        <v>116</v>
      </c>
      <c r="F314" s="100" t="n">
        <v>23.15</v>
      </c>
      <c r="G314" s="100" t="n">
        <v>2685.4</v>
      </c>
      <c r="H314" s="74" t="inlineStr">
        <is>
          <t>Despesa trabalhista e pela quantidade de vendas</t>
        </is>
      </c>
    </row>
    <row r="315" ht="15" customHeight="1" s="75">
      <c r="A315" s="74" t="inlineStr">
        <is>
          <t>MAIO/2026</t>
        </is>
      </c>
      <c r="B315" s="74" t="inlineStr">
        <is>
          <t>Comercial</t>
        </is>
      </c>
      <c r="C315" s="74" t="inlineStr">
        <is>
          <t>Vendas da equipe Dtel porta a porta p/ Soares e silva</t>
        </is>
      </c>
      <c r="D315" s="74" t="inlineStr">
        <is>
          <t>Soares e Silva</t>
        </is>
      </c>
      <c r="E315" s="151" t="n">
        <v>2</v>
      </c>
      <c r="F315" s="100" t="n">
        <v>0</v>
      </c>
      <c r="G315" s="100" t="n">
        <v>0</v>
      </c>
      <c r="H315" s="74" t="inlineStr">
        <is>
          <t>Vendas instaladas</t>
        </is>
      </c>
    </row>
    <row r="316" ht="15" customHeight="1" s="75">
      <c r="A316" s="74" t="inlineStr">
        <is>
          <t>MAIO/2026</t>
        </is>
      </c>
      <c r="B316" s="74" t="inlineStr">
        <is>
          <t>Comercial</t>
        </is>
      </c>
      <c r="C316" s="74" t="inlineStr">
        <is>
          <t>Vendas da equipe H&amp;A para Soares e Silva</t>
        </is>
      </c>
      <c r="D316" s="74" t="inlineStr">
        <is>
          <t>Soares e Silva</t>
        </is>
      </c>
      <c r="E316" s="151" t="n">
        <v>0</v>
      </c>
      <c r="F316" s="100" t="n">
        <v>0</v>
      </c>
      <c r="G316" s="100" t="n">
        <v>0</v>
      </c>
      <c r="H316" s="74" t="inlineStr">
        <is>
          <t>Vendas instaladas</t>
        </is>
      </c>
    </row>
    <row r="317" ht="15" customHeight="1" s="75">
      <c r="A317" s="74" t="inlineStr">
        <is>
          <t>MAIO/2026</t>
        </is>
      </c>
      <c r="B317" s="74" t="inlineStr">
        <is>
          <t>Comercial</t>
        </is>
      </c>
      <c r="C317" s="74" t="inlineStr">
        <is>
          <t>Vendas da equipe Soares e Silva p/ DTEL</t>
        </is>
      </c>
      <c r="D317" s="74" t="inlineStr">
        <is>
          <t>Soares e Silva</t>
        </is>
      </c>
      <c r="E317" s="151" t="n">
        <v>0</v>
      </c>
      <c r="F317" s="100" t="n">
        <v>0</v>
      </c>
      <c r="G317" s="100" t="n">
        <v>0</v>
      </c>
      <c r="H317" s="74" t="inlineStr">
        <is>
          <t>Vendas instaladas</t>
        </is>
      </c>
    </row>
    <row r="318" ht="15" customHeight="1" s="75">
      <c r="A318" s="74" t="inlineStr">
        <is>
          <t>MAIO/2026</t>
        </is>
      </c>
      <c r="B318" s="74" t="inlineStr">
        <is>
          <t>Comercial</t>
        </is>
      </c>
      <c r="C318" s="74" t="inlineStr">
        <is>
          <t>Vendas da equipe soares e lins porta a porta p/ Soares e silva</t>
        </is>
      </c>
      <c r="D318" s="74" t="inlineStr">
        <is>
          <t>Soares e Silva</t>
        </is>
      </c>
      <c r="E318" s="151" t="n">
        <v>0</v>
      </c>
      <c r="F318" s="100" t="n">
        <v>0</v>
      </c>
      <c r="G318" s="100" t="n">
        <v>0</v>
      </c>
      <c r="H318" s="74" t="inlineStr">
        <is>
          <t>Vendas instaladas</t>
        </is>
      </c>
    </row>
    <row r="319" ht="15" customHeight="1" s="75">
      <c r="A319" s="74" t="inlineStr">
        <is>
          <t>MAIO/2026</t>
        </is>
      </c>
      <c r="B319" s="74" t="inlineStr">
        <is>
          <t>Comercial</t>
        </is>
      </c>
      <c r="C319" s="74" t="inlineStr">
        <is>
          <t>Consultas e análises de crédito</t>
        </is>
      </c>
      <c r="D319" s="74" t="inlineStr">
        <is>
          <t>Solon Araújo</t>
        </is>
      </c>
      <c r="E319" s="151" t="n">
        <v>508</v>
      </c>
      <c r="F319" s="100" t="n">
        <v>1.86</v>
      </c>
      <c r="G319" s="100" t="n">
        <v>944.88</v>
      </c>
      <c r="H319" s="74" t="inlineStr">
        <is>
          <t>Vendas cadastradas e consultadas pelo argos (Consultas e analise de credito - Maio26.xlsx)</t>
        </is>
      </c>
    </row>
    <row r="320" ht="15" customHeight="1" s="75">
      <c r="A320" s="74" t="inlineStr">
        <is>
          <t>MAIO/2026</t>
        </is>
      </c>
      <c r="B320" s="74" t="inlineStr">
        <is>
          <t>Comercial</t>
        </is>
      </c>
      <c r="C320" s="74" t="inlineStr">
        <is>
          <t>Consultas e análises de crédito</t>
        </is>
      </c>
      <c r="D320" s="74" t="inlineStr">
        <is>
          <t>Solon Araújo</t>
        </is>
      </c>
      <c r="E320" s="151" t="n">
        <v>508</v>
      </c>
      <c r="F320" s="100" t="n">
        <v>1.86</v>
      </c>
      <c r="G320" s="100" t="n">
        <v>944.88</v>
      </c>
      <c r="H320" s="74" t="inlineStr">
        <is>
          <t>Vendas cadastradas e consultadas pelo argos (Consultas e analise de credito - Maio26.xlsx)</t>
        </is>
      </c>
    </row>
    <row r="321" ht="15" customHeight="1" s="75">
      <c r="A321" s="74" t="inlineStr">
        <is>
          <t>MAIO/2026</t>
        </is>
      </c>
      <c r="B321" s="74" t="inlineStr">
        <is>
          <t>Comercial</t>
        </is>
      </c>
      <c r="C321" s="74" t="inlineStr">
        <is>
          <t>Despesa do consultor BARTOLOMEU</t>
        </is>
      </c>
      <c r="D321" s="74" t="inlineStr">
        <is>
          <t>Solon Araújo</t>
        </is>
      </c>
      <c r="E321" s="151" t="n">
        <v>1</v>
      </c>
      <c r="F321" s="100" t="n">
        <v>383.56</v>
      </c>
      <c r="G321" s="100" t="n">
        <v>383.56</v>
      </c>
      <c r="H321" s="74" t="inlineStr">
        <is>
          <t>Despesa trabalhista e combustível do consultor dividido pelo total de vendas (cliente 28304,27900)</t>
        </is>
      </c>
    </row>
    <row r="322" ht="15" customHeight="1" s="75">
      <c r="A322" s="74" t="inlineStr">
        <is>
          <t>MAIO/2026</t>
        </is>
      </c>
      <c r="B322" s="74" t="inlineStr">
        <is>
          <t>Comercial</t>
        </is>
      </c>
      <c r="C322" s="74" t="inlineStr">
        <is>
          <t>Despesa do consultor PAULO MELO</t>
        </is>
      </c>
      <c r="D322" s="74" t="inlineStr">
        <is>
          <t>Solon Araújo</t>
        </is>
      </c>
      <c r="E322" s="151" t="n">
        <v>4</v>
      </c>
      <c r="F322" s="100" t="n">
        <v>338.53</v>
      </c>
      <c r="G322" s="100" t="n">
        <v>1354.12</v>
      </c>
      <c r="H322" s="74" t="inlineStr">
        <is>
          <t>Despesa trabalhista e combustível dividida pela quantidade de vendas(cliente 28844)</t>
        </is>
      </c>
    </row>
    <row r="323" ht="15" customHeight="1" s="75">
      <c r="A323" s="74" t="inlineStr">
        <is>
          <t>MAIO/2026</t>
        </is>
      </c>
      <c r="B323" s="74" t="inlineStr">
        <is>
          <t>Comercial</t>
        </is>
      </c>
      <c r="C323" s="74" t="inlineStr">
        <is>
          <t>Despesa do consultor PEDRO GREGO</t>
        </is>
      </c>
      <c r="D323" s="74" t="inlineStr">
        <is>
          <t>Solon Araújo</t>
        </is>
      </c>
      <c r="E323" s="151" t="n">
        <v>1</v>
      </c>
      <c r="F323" s="100" t="n">
        <v>400.26</v>
      </c>
      <c r="G323" s="100" t="n">
        <v>400.26</v>
      </c>
      <c r="H323" s="74" t="inlineStr">
        <is>
          <t>Despesa trabalhista e combustível dividida pela quantidade de vendas (cliente 28561,28511,28473,28474)</t>
        </is>
      </c>
    </row>
    <row r="324" ht="15" customHeight="1" s="75">
      <c r="A324" s="74" t="inlineStr">
        <is>
          <t>MAIO/2026</t>
        </is>
      </c>
      <c r="B324" s="74" t="inlineStr">
        <is>
          <t>Comercial</t>
        </is>
      </c>
      <c r="C324" s="74" t="inlineStr">
        <is>
          <t>Despesa do coordenador TARCIZIO, pela gestão da equipe</t>
        </is>
      </c>
      <c r="D324" s="74" t="inlineStr">
        <is>
          <t>Solon Araújo</t>
        </is>
      </c>
      <c r="E324" s="151" t="n">
        <v>1</v>
      </c>
      <c r="F324" s="100" t="n">
        <v>443</v>
      </c>
      <c r="G324" s="100" t="n">
        <v>443</v>
      </c>
      <c r="H324" s="74" t="inlineStr">
        <is>
          <t>Despesa com combustivel e utilização carro dtel</t>
        </is>
      </c>
    </row>
    <row r="325" ht="15" customHeight="1" s="75">
      <c r="A325" s="74" t="inlineStr">
        <is>
          <t>MAIO/2026</t>
        </is>
      </c>
      <c r="B325" s="74" t="inlineStr">
        <is>
          <t>Comercial</t>
        </is>
      </c>
      <c r="C325" s="74" t="inlineStr">
        <is>
          <t>Despesa do coordenador TARCIZIO, pela gestão da equipe</t>
        </is>
      </c>
      <c r="D325" s="74" t="inlineStr">
        <is>
          <t>Solon Araújo</t>
        </is>
      </c>
      <c r="E325" s="151" t="n">
        <v>182</v>
      </c>
      <c r="F325" s="100" t="n">
        <v>12.34</v>
      </c>
      <c r="G325" s="100" t="n">
        <v>2245.88</v>
      </c>
      <c r="H325" s="74" t="inlineStr">
        <is>
          <t>Despesa trabalhista dividida pela quantidade de vendas</t>
        </is>
      </c>
    </row>
    <row r="326" ht="15" customHeight="1" s="75">
      <c r="A326" s="74" t="inlineStr">
        <is>
          <t>MAIO/2026</t>
        </is>
      </c>
      <c r="B326" s="74" t="inlineStr">
        <is>
          <t>Comercial</t>
        </is>
      </c>
      <c r="C326" s="74" t="inlineStr">
        <is>
          <t>Vendas da equipe Dtel porta a porta</t>
        </is>
      </c>
      <c r="D326" s="74" t="inlineStr">
        <is>
          <t>Solon Araújo</t>
        </is>
      </c>
      <c r="E326" s="151" t="n">
        <v>15</v>
      </c>
      <c r="F326" s="100" t="n">
        <v>0</v>
      </c>
      <c r="G326" s="100" t="n">
        <v>0</v>
      </c>
      <c r="H326" s="74" t="inlineStr">
        <is>
          <t>Vendas instaladas</t>
        </is>
      </c>
    </row>
    <row r="327" ht="15" customHeight="1" s="75">
      <c r="A327" s="74" t="inlineStr">
        <is>
          <t>MAIO/2026</t>
        </is>
      </c>
      <c r="B327" s="74" t="inlineStr">
        <is>
          <t>Comercial</t>
        </is>
      </c>
      <c r="C327" s="74" t="inlineStr">
        <is>
          <t>Vendas da equipe Litoral p/ Dtel</t>
        </is>
      </c>
      <c r="D327" s="74" t="inlineStr">
        <is>
          <t>Solon Araújo</t>
        </is>
      </c>
      <c r="E327" s="151" t="n">
        <v>0</v>
      </c>
      <c r="F327" s="100" t="n">
        <v>0</v>
      </c>
      <c r="G327" s="100" t="n">
        <v>0</v>
      </c>
      <c r="H327" s="74" t="inlineStr">
        <is>
          <t>Vendas instaladas</t>
        </is>
      </c>
    </row>
    <row r="328" ht="15" customHeight="1" s="75">
      <c r="A328" s="74" t="inlineStr">
        <is>
          <t>MAIO/2026</t>
        </is>
      </c>
      <c r="B328" s="74" t="inlineStr">
        <is>
          <t>Comercial</t>
        </is>
      </c>
      <c r="C328" s="74" t="inlineStr">
        <is>
          <t>Vendas da equipe Voicenet p/ Solon</t>
        </is>
      </c>
      <c r="D328" s="74" t="inlineStr">
        <is>
          <t>Solon Araújo</t>
        </is>
      </c>
      <c r="E328" s="151" t="n">
        <v>0</v>
      </c>
      <c r="F328" s="100" t="n">
        <v>0</v>
      </c>
      <c r="G328" s="100" t="n">
        <v>0</v>
      </c>
      <c r="H328" s="74" t="inlineStr">
        <is>
          <t>Vendas instaladas</t>
        </is>
      </c>
    </row>
    <row r="329" ht="15" customHeight="1" s="75">
      <c r="A329" s="74" t="inlineStr">
        <is>
          <t>MAIO/2026</t>
        </is>
      </c>
      <c r="B329" s="74" t="inlineStr">
        <is>
          <t>Comercial</t>
        </is>
      </c>
      <c r="C329" s="74" t="inlineStr">
        <is>
          <t>Vendas da equipe da soares e lins para Solon</t>
        </is>
      </c>
      <c r="D329" s="74" t="inlineStr">
        <is>
          <t>Solon Araújo</t>
        </is>
      </c>
      <c r="E329" s="151" t="n">
        <v>0</v>
      </c>
      <c r="F329" s="100" t="n">
        <v>0</v>
      </c>
      <c r="G329" s="100" t="n">
        <v>0</v>
      </c>
      <c r="H329" s="74" t="inlineStr">
        <is>
          <t>Vendas instaladas</t>
        </is>
      </c>
    </row>
    <row r="330" ht="15" customHeight="1" s="75">
      <c r="A330" s="74" t="inlineStr">
        <is>
          <t>MAIO/2026</t>
        </is>
      </c>
      <c r="B330" s="74" t="inlineStr">
        <is>
          <t>Comercial</t>
        </is>
      </c>
      <c r="C330" s="74" t="inlineStr">
        <is>
          <t>Consultas e análises de crédito</t>
        </is>
      </c>
      <c r="D330" s="74" t="inlineStr">
        <is>
          <t>Souza e Silva</t>
        </is>
      </c>
      <c r="E330" s="151" t="n">
        <v>111</v>
      </c>
      <c r="F330" s="100" t="n">
        <v>1.86</v>
      </c>
      <c r="G330" s="100" t="n">
        <v>206.46</v>
      </c>
      <c r="H330" s="74" t="inlineStr">
        <is>
          <t>Vendas cadastradas e consultadas pelo argos (Consultas e analise de credito - Maio26.xlsx)</t>
        </is>
      </c>
    </row>
    <row r="331" ht="15" customHeight="1" s="75">
      <c r="A331" s="74" t="inlineStr">
        <is>
          <t>MAIO/2026</t>
        </is>
      </c>
      <c r="B331" s="74" t="inlineStr">
        <is>
          <t>Comercial</t>
        </is>
      </c>
      <c r="C331" s="74" t="inlineStr">
        <is>
          <t>Consultas e análises de crédito</t>
        </is>
      </c>
      <c r="D331" s="74" t="inlineStr">
        <is>
          <t>Souza e Silva</t>
        </is>
      </c>
      <c r="E331" s="151" t="n">
        <v>111</v>
      </c>
      <c r="F331" s="100" t="n">
        <v>1.86</v>
      </c>
      <c r="G331" s="100" t="n">
        <v>206.46</v>
      </c>
      <c r="H331" s="74" t="inlineStr">
        <is>
          <t>Vendas cadastradas e consultadas pelo argos (Consultas e analise de credito - Maio26.xlsx)</t>
        </is>
      </c>
    </row>
    <row r="332" ht="15" customHeight="1" s="75">
      <c r="A332" s="74" t="inlineStr">
        <is>
          <t>MAIO/2026</t>
        </is>
      </c>
      <c r="B332" s="74" t="inlineStr">
        <is>
          <t>Comercial</t>
        </is>
      </c>
      <c r="C332" s="74" t="inlineStr">
        <is>
          <t>Despesa do consultor BARTOLOMEU</t>
        </is>
      </c>
      <c r="D332" s="74" t="inlineStr">
        <is>
          <t>Souza e Silva</t>
        </is>
      </c>
      <c r="E332" s="151" t="n">
        <v>1</v>
      </c>
      <c r="F332" s="100" t="n">
        <v>383.56</v>
      </c>
      <c r="G332" s="100" t="n">
        <v>383.56</v>
      </c>
      <c r="H332" s="74" t="inlineStr">
        <is>
          <t>Despesa trabalhista e combustível do consultor dividido pelo total de vendas (9691,9772,9805)</t>
        </is>
      </c>
    </row>
    <row r="333" ht="15" customHeight="1" s="75">
      <c r="A333" s="74" t="inlineStr">
        <is>
          <t>MAIO/2026</t>
        </is>
      </c>
      <c r="B333" s="74" t="inlineStr">
        <is>
          <t>Comercial</t>
        </is>
      </c>
      <c r="C333" s="74" t="inlineStr">
        <is>
          <t>Despesa do consultor PAULO MELO</t>
        </is>
      </c>
      <c r="D333" s="74" t="inlineStr">
        <is>
          <t>Souza e Silva</t>
        </is>
      </c>
      <c r="E333" s="151" t="n">
        <v>0</v>
      </c>
      <c r="F333" s="100" t="n">
        <v>0</v>
      </c>
      <c r="G333" s="100" t="n">
        <v>0</v>
      </c>
      <c r="H333" s="74" t="inlineStr">
        <is>
          <t>Despesa trabalhista e combustivel dividida pela quantidade de vendas</t>
        </is>
      </c>
    </row>
    <row r="334" ht="15" customHeight="1" s="75">
      <c r="A334" s="74" t="inlineStr">
        <is>
          <t>MAIO/2026</t>
        </is>
      </c>
      <c r="B334" s="74" t="inlineStr">
        <is>
          <t>Comercial</t>
        </is>
      </c>
      <c r="C334" s="74" t="inlineStr">
        <is>
          <t>Despesa do consultor PEDRO GREGO</t>
        </is>
      </c>
      <c r="D334" s="74" t="inlineStr">
        <is>
          <t>Souza e Silva</t>
        </is>
      </c>
      <c r="E334" s="151" t="n">
        <v>1</v>
      </c>
      <c r="F334" s="100" t="n">
        <v>400.26</v>
      </c>
      <c r="G334" s="100" t="n">
        <v>400.26</v>
      </c>
      <c r="H334" s="74" t="inlineStr">
        <is>
          <t>Despesa trabalhista e combustivel do consultor dividido pelo total de vendas</t>
        </is>
      </c>
    </row>
    <row r="335" ht="15" customHeight="1" s="75">
      <c r="A335" s="74" t="inlineStr">
        <is>
          <t>MAIO/2026</t>
        </is>
      </c>
      <c r="B335" s="74" t="inlineStr">
        <is>
          <t>Comercial</t>
        </is>
      </c>
      <c r="C335" s="74" t="inlineStr">
        <is>
          <t>Despesa do coordenador TARCIZIO, pela gestão da equipe</t>
        </is>
      </c>
      <c r="D335" s="74" t="inlineStr">
        <is>
          <t>Souza e Silva</t>
        </is>
      </c>
      <c r="E335" s="151" t="n">
        <v>1</v>
      </c>
      <c r="F335" s="100" t="n">
        <v>867</v>
      </c>
      <c r="G335" s="100" t="n">
        <v>867</v>
      </c>
      <c r="H335" s="74" t="inlineStr">
        <is>
          <t>Despesa com combustível e utilização carro dtel</t>
        </is>
      </c>
    </row>
    <row r="336" ht="15" customHeight="1" s="75">
      <c r="A336" s="74" t="inlineStr">
        <is>
          <t>MAIO/2026</t>
        </is>
      </c>
      <c r="B336" s="74" t="inlineStr">
        <is>
          <t>Comercial</t>
        </is>
      </c>
      <c r="C336" s="74" t="inlineStr">
        <is>
          <t>Despesa do coordenador TARCIZIO, pela gestão da equipe</t>
        </is>
      </c>
      <c r="D336" s="74" t="inlineStr">
        <is>
          <t>Souza e Silva</t>
        </is>
      </c>
      <c r="E336" s="151" t="n">
        <v>96</v>
      </c>
      <c r="F336" s="100" t="n">
        <v>12.34</v>
      </c>
      <c r="G336" s="100" t="n">
        <v>1184.64</v>
      </c>
      <c r="H336" s="74" t="inlineStr">
        <is>
          <t>Despesa trabalhista dividida pela quantidade de vendas</t>
        </is>
      </c>
    </row>
    <row r="337" ht="15" customHeight="1" s="75">
      <c r="A337" s="74" t="inlineStr">
        <is>
          <t>MAIO/2026</t>
        </is>
      </c>
      <c r="B337" s="74" t="inlineStr">
        <is>
          <t>Comercial</t>
        </is>
      </c>
      <c r="C337" s="74" t="inlineStr">
        <is>
          <t>Vendas da equipe Dtel porta a porta</t>
        </is>
      </c>
      <c r="D337" s="74" t="inlineStr">
        <is>
          <t>Souza e Silva</t>
        </is>
      </c>
      <c r="E337" s="151" t="n">
        <v>1</v>
      </c>
      <c r="F337" s="100" t="n">
        <v>0</v>
      </c>
      <c r="G337" s="100" t="n">
        <v>0</v>
      </c>
      <c r="H337" s="74" t="inlineStr">
        <is>
          <t>Vendas instaladas</t>
        </is>
      </c>
    </row>
    <row r="338" ht="15" customHeight="1" s="75">
      <c r="A338" s="74" t="inlineStr">
        <is>
          <t>MAIO/2026</t>
        </is>
      </c>
      <c r="B338" s="74" t="inlineStr">
        <is>
          <t>Comercial</t>
        </is>
      </c>
      <c r="C338" s="74" t="inlineStr">
        <is>
          <t>Vendas da equipe Souza e silva p/ DTEL</t>
        </is>
      </c>
      <c r="D338" s="74" t="inlineStr">
        <is>
          <t>Souza e Silva</t>
        </is>
      </c>
      <c r="E338" s="151" t="n">
        <v>2</v>
      </c>
      <c r="F338" s="100" t="n">
        <v>0</v>
      </c>
      <c r="G338" s="100" t="n">
        <v>0</v>
      </c>
      <c r="H338" s="74" t="inlineStr">
        <is>
          <t>Vendas instaladas</t>
        </is>
      </c>
    </row>
    <row r="339" ht="15" customHeight="1" s="75">
      <c r="A339" s="74" t="inlineStr">
        <is>
          <t>MAIO/2026</t>
        </is>
      </c>
      <c r="B339" s="74" t="inlineStr">
        <is>
          <t>Comercial</t>
        </is>
      </c>
      <c r="C339" s="74" t="inlineStr">
        <is>
          <t>Comissão de manutenção da Totum</t>
        </is>
      </c>
      <c r="D339" s="74" t="inlineStr">
        <is>
          <t>Voicenet</t>
        </is>
      </c>
      <c r="E339" s="151" t="n">
        <v>1</v>
      </c>
      <c r="F339" s="100" t="n">
        <v>25.5</v>
      </c>
      <c r="G339" s="100" t="n">
        <v>25.5</v>
      </c>
      <c r="H339" s="74" t="inlineStr">
        <is>
          <t>Conselho regional de farmacia do estado de PE</t>
        </is>
      </c>
    </row>
    <row r="340" ht="15" customHeight="1" s="75">
      <c r="A340" s="74" t="inlineStr">
        <is>
          <t>MAIO/2026</t>
        </is>
      </c>
      <c r="B340" s="74" t="inlineStr">
        <is>
          <t>Comercial</t>
        </is>
      </c>
      <c r="C340" s="74" t="inlineStr">
        <is>
          <t>Consultas e análises de crédito</t>
        </is>
      </c>
      <c r="D340" s="74" t="inlineStr">
        <is>
          <t>Voicenet</t>
        </is>
      </c>
      <c r="E340" s="151" t="n">
        <v>285</v>
      </c>
      <c r="F340" s="100" t="n">
        <v>1.86</v>
      </c>
      <c r="G340" s="100" t="n">
        <v>530.1</v>
      </c>
      <c r="H340" s="74" t="inlineStr">
        <is>
          <t>Vendas cadastradas e consultadas pelo argos (Consultas e analise de credito - Maio26.xlsx)</t>
        </is>
      </c>
    </row>
    <row r="341" ht="15" customHeight="1" s="75">
      <c r="A341" s="74" t="inlineStr">
        <is>
          <t>MAIO/2026</t>
        </is>
      </c>
      <c r="B341" s="74" t="inlineStr">
        <is>
          <t>Comercial</t>
        </is>
      </c>
      <c r="C341" s="74" t="inlineStr">
        <is>
          <t>Consultas e análises de crédito</t>
        </is>
      </c>
      <c r="D341" s="74" t="inlineStr">
        <is>
          <t>Voicenet</t>
        </is>
      </c>
      <c r="E341" s="151" t="n">
        <v>0</v>
      </c>
      <c r="F341" s="100" t="n">
        <v>0</v>
      </c>
      <c r="G341" s="100" t="n">
        <v>0</v>
      </c>
      <c r="H341" s="74" t="inlineStr">
        <is>
          <t>Vendas cadastradas e consultadas pelo argos</t>
        </is>
      </c>
    </row>
    <row r="342" ht="15" customHeight="1" s="75">
      <c r="A342" s="74" t="inlineStr">
        <is>
          <t>MAIO/2026</t>
        </is>
      </c>
      <c r="B342" s="74" t="inlineStr">
        <is>
          <t>Comercial</t>
        </is>
      </c>
      <c r="C342" s="74" t="inlineStr">
        <is>
          <t>Consultas e análises de crédito</t>
        </is>
      </c>
      <c r="D342" s="74" t="inlineStr">
        <is>
          <t>Voicenet</t>
        </is>
      </c>
      <c r="E342" s="151" t="n">
        <v>285</v>
      </c>
      <c r="F342" s="100" t="n">
        <v>1.86</v>
      </c>
      <c r="G342" s="100" t="n">
        <v>530.1</v>
      </c>
      <c r="H342" s="74" t="inlineStr">
        <is>
          <t>Vendas cadastradas e consultadas pelo argos (Consultas e analise de credito - Maio26.xlsx)</t>
        </is>
      </c>
    </row>
    <row r="343" ht="15" customHeight="1" s="75">
      <c r="A343" s="74" t="inlineStr">
        <is>
          <t>MAIO/2026</t>
        </is>
      </c>
      <c r="B343" s="74" t="inlineStr">
        <is>
          <t>Comercial</t>
        </is>
      </c>
      <c r="C343" s="74" t="inlineStr">
        <is>
          <t>Despesa do consultor BARTOLOMEU</t>
        </is>
      </c>
      <c r="D343" s="74" t="inlineStr">
        <is>
          <t>Voicenet</t>
        </is>
      </c>
      <c r="E343" s="151" t="n">
        <v>1</v>
      </c>
      <c r="F343" s="100" t="n">
        <v>383.56</v>
      </c>
      <c r="G343" s="100" t="n">
        <v>383.56</v>
      </c>
      <c r="H343" s="74" t="inlineStr">
        <is>
          <t>Despesa trabalhista e combustivel dividida pela quantidade de vendas (cliente 15595)</t>
        </is>
      </c>
    </row>
    <row r="344" ht="15" customHeight="1" s="75">
      <c r="A344" s="74" t="inlineStr">
        <is>
          <t>MAIO/2026</t>
        </is>
      </c>
      <c r="B344" s="74" t="inlineStr">
        <is>
          <t>Comercial</t>
        </is>
      </c>
      <c r="C344" s="74" t="inlineStr">
        <is>
          <t>Despesa do consultor PAULO MELO</t>
        </is>
      </c>
      <c r="D344" s="74" t="inlineStr">
        <is>
          <t>Voicenet</t>
        </is>
      </c>
      <c r="E344" s="151" t="n">
        <v>2</v>
      </c>
      <c r="F344" s="100" t="n">
        <v>338.53</v>
      </c>
      <c r="G344" s="100" t="n">
        <v>677.0599999999999</v>
      </c>
      <c r="H344" s="74" t="inlineStr">
        <is>
          <t>Despesa trabalhista e combustivel do consultor dividido pelo total de vendas(cliente 15826, 15746)</t>
        </is>
      </c>
    </row>
    <row r="345" ht="15" customHeight="1" s="75">
      <c r="A345" s="74" t="inlineStr">
        <is>
          <t>MAIO/2026</t>
        </is>
      </c>
      <c r="B345" s="74" t="inlineStr">
        <is>
          <t>Comercial</t>
        </is>
      </c>
      <c r="C345" s="74" t="inlineStr">
        <is>
          <t>Despesa do consultor PEDRO GREGO</t>
        </is>
      </c>
      <c r="D345" s="74" t="inlineStr">
        <is>
          <t>Voicenet</t>
        </is>
      </c>
      <c r="E345" s="151" t="n">
        <v>2</v>
      </c>
      <c r="F345" s="100" t="n">
        <v>400.26</v>
      </c>
      <c r="G345" s="100" t="n">
        <v>800.52</v>
      </c>
      <c r="H345" s="74" t="inlineStr">
        <is>
          <t>Despesa trabalhista e combustivel dividida pela quantidade de vendas(cliente 15745,15735)</t>
        </is>
      </c>
    </row>
    <row r="346" ht="15" customHeight="1" s="75">
      <c r="A346" s="74" t="inlineStr">
        <is>
          <t>MAIO/2026</t>
        </is>
      </c>
      <c r="B346" s="74" t="inlineStr">
        <is>
          <t>Comercial</t>
        </is>
      </c>
      <c r="C346" s="74" t="inlineStr">
        <is>
          <t>Vendas da equipe Dtel porta a porta</t>
        </is>
      </c>
      <c r="D346" s="74" t="inlineStr">
        <is>
          <t>Voicenet</t>
        </is>
      </c>
      <c r="E346" s="151" t="n">
        <v>4</v>
      </c>
      <c r="F346" s="100" t="n">
        <v>0</v>
      </c>
      <c r="G346" s="100" t="n">
        <v>0</v>
      </c>
      <c r="H346" s="74" t="inlineStr">
        <is>
          <t>Vendas instaladas</t>
        </is>
      </c>
    </row>
    <row r="347" ht="15" customHeight="1" s="75">
      <c r="A347" s="74" t="inlineStr">
        <is>
          <t>MAIO/2026</t>
        </is>
      </c>
      <c r="B347" s="74" t="inlineStr">
        <is>
          <t>Comercial</t>
        </is>
      </c>
      <c r="C347" s="74" t="inlineStr">
        <is>
          <t>Vendas da equipe H&amp;A p/ voice</t>
        </is>
      </c>
      <c r="D347" s="74" t="inlineStr">
        <is>
          <t>Voicenet</t>
        </is>
      </c>
      <c r="E347" s="151" t="n">
        <v>0</v>
      </c>
      <c r="F347" s="100" t="n">
        <v>0</v>
      </c>
      <c r="G347" s="100" t="n">
        <v>0</v>
      </c>
      <c r="H347" s="74" t="inlineStr">
        <is>
          <t>Vendas instaladas</t>
        </is>
      </c>
    </row>
    <row r="348" ht="15" customHeight="1" s="75">
      <c r="A348" s="74" t="inlineStr">
        <is>
          <t>MAIO/2026</t>
        </is>
      </c>
      <c r="B348" s="74" t="inlineStr">
        <is>
          <t>Comercial</t>
        </is>
      </c>
      <c r="C348" s="74" t="inlineStr">
        <is>
          <t>Vendas da equipe Voicenet para Dtel</t>
        </is>
      </c>
      <c r="D348" s="74" t="inlineStr">
        <is>
          <t>Voicenet</t>
        </is>
      </c>
      <c r="E348" s="151" t="n">
        <v>-15</v>
      </c>
      <c r="F348" s="100" t="n">
        <v>0</v>
      </c>
      <c r="G348" s="100" t="n">
        <v>0</v>
      </c>
      <c r="H348" s="74" t="inlineStr">
        <is>
          <t>Vendas instaladas</t>
        </is>
      </c>
    </row>
    <row r="349" ht="15" customHeight="1" s="75">
      <c r="A349" s="74" t="inlineStr">
        <is>
          <t>MAIO/2026</t>
        </is>
      </c>
      <c r="B349" s="74" t="inlineStr">
        <is>
          <t>Comercial</t>
        </is>
      </c>
      <c r="C349" s="74" t="inlineStr">
        <is>
          <t>Vendas da equipe da Voicenet para S &amp; L</t>
        </is>
      </c>
      <c r="D349" s="74" t="inlineStr">
        <is>
          <t>Voicenet</t>
        </is>
      </c>
      <c r="E349" s="151" t="n">
        <v>0</v>
      </c>
      <c r="F349" s="100" t="n">
        <v>0</v>
      </c>
      <c r="G349" s="100" t="n">
        <v>0</v>
      </c>
      <c r="H349" s="74" t="inlineStr">
        <is>
          <t>Vendas instaladas</t>
        </is>
      </c>
    </row>
    <row r="350" ht="15" customHeight="1" s="75">
      <c r="A350" s="74" t="inlineStr">
        <is>
          <t>MAIO/2026</t>
        </is>
      </c>
      <c r="B350" s="74" t="inlineStr">
        <is>
          <t>Comercial</t>
        </is>
      </c>
      <c r="C350" s="74" t="inlineStr">
        <is>
          <t>Vendas da equipe voicenet p/ Solon</t>
        </is>
      </c>
      <c r="D350" s="74" t="inlineStr">
        <is>
          <t>Voicenet</t>
        </is>
      </c>
      <c r="E350" s="151" t="n">
        <v>0</v>
      </c>
      <c r="F350" s="100" t="n">
        <v>0</v>
      </c>
      <c r="G350" s="100" t="n">
        <v>0</v>
      </c>
      <c r="H350" s="74" t="inlineStr">
        <is>
          <t>Vendas instaladas</t>
        </is>
      </c>
    </row>
    <row r="351" ht="15" customHeight="1" s="75">
      <c r="A351" s="74" t="inlineStr">
        <is>
          <t>MAIO/2026</t>
        </is>
      </c>
      <c r="B351" s="74" t="inlineStr">
        <is>
          <t>Configuração</t>
        </is>
      </c>
      <c r="C351" s="74" t="inlineStr">
        <is>
          <t>Serviços de configuração e suporte ao Técnico</t>
        </is>
      </c>
      <c r="D351" s="74" t="inlineStr">
        <is>
          <t>DX2</t>
        </is>
      </c>
      <c r="E351" s="151" t="n">
        <v>6280</v>
      </c>
      <c r="F351" s="100" t="n">
        <v>0.212371943123151</v>
      </c>
      <c r="G351" s="100" t="n">
        <v>1333.69580281339</v>
      </c>
      <c r="H351" s="74" t="inlineStr">
        <is>
          <t>Cálculo por número de clientes ativos</t>
        </is>
      </c>
    </row>
    <row r="352" ht="15" customHeight="1" s="75">
      <c r="A352" s="74" t="inlineStr">
        <is>
          <t>MAIO/2026</t>
        </is>
      </c>
      <c r="B352" s="74" t="inlineStr">
        <is>
          <t>Configuração</t>
        </is>
      </c>
      <c r="C352" s="74" t="inlineStr">
        <is>
          <t>Serviços de configuração e suporte ao Técnico</t>
        </is>
      </c>
      <c r="D352" s="74" t="inlineStr">
        <is>
          <t>H&amp;A</t>
        </is>
      </c>
      <c r="E352" s="151" t="n">
        <v>13402</v>
      </c>
      <c r="F352" s="100" t="n">
        <v>0.212371943123151</v>
      </c>
      <c r="G352" s="100" t="n">
        <v>2846.20878173647</v>
      </c>
      <c r="H352" s="74" t="inlineStr">
        <is>
          <t>Cálculo por número de clientes ativos</t>
        </is>
      </c>
    </row>
    <row r="353" ht="15" customHeight="1" s="75">
      <c r="A353" s="74" t="inlineStr">
        <is>
          <t>MAIO/2026</t>
        </is>
      </c>
      <c r="B353" s="74" t="inlineStr">
        <is>
          <t>Configuração</t>
        </is>
      </c>
      <c r="C353" s="74" t="inlineStr">
        <is>
          <t>Serviços de configuração e suporte ao Técnico</t>
        </is>
      </c>
      <c r="D353" s="74" t="inlineStr">
        <is>
          <t>Soares e Lins</t>
        </is>
      </c>
      <c r="E353" s="151" t="n">
        <v>3650</v>
      </c>
      <c r="F353" s="100" t="n">
        <v>0.212371943123151</v>
      </c>
      <c r="G353" s="100" t="n">
        <v>775.157592399501</v>
      </c>
      <c r="H353" s="74" t="inlineStr">
        <is>
          <t>Cálculo por número de clientes ativos</t>
        </is>
      </c>
    </row>
    <row r="354" ht="15" customHeight="1" s="75">
      <c r="A354" s="74" t="inlineStr">
        <is>
          <t>MAIO/2026</t>
        </is>
      </c>
      <c r="B354" s="74" t="inlineStr">
        <is>
          <t>Configuração</t>
        </is>
      </c>
      <c r="C354" s="74" t="inlineStr">
        <is>
          <t>Serviços de configuração e suporte ao Técnico</t>
        </is>
      </c>
      <c r="D354" s="74" t="inlineStr">
        <is>
          <t>Soares e Silva</t>
        </is>
      </c>
      <c r="E354" s="151" t="n">
        <v>6396</v>
      </c>
      <c r="F354" s="100" t="n">
        <v>0.212371943123151</v>
      </c>
      <c r="G354" s="100" t="n">
        <v>1358.33094821567</v>
      </c>
      <c r="H354" s="74" t="inlineStr">
        <is>
          <t>Cálculo por número de clientes ativos</t>
        </is>
      </c>
    </row>
    <row r="355" ht="15" customHeight="1" s="75">
      <c r="A355" s="74" t="inlineStr">
        <is>
          <t>MAIO/2026</t>
        </is>
      </c>
      <c r="B355" s="74" t="inlineStr">
        <is>
          <t>Configuração</t>
        </is>
      </c>
      <c r="C355" s="74" t="inlineStr">
        <is>
          <t>Serviços de configuração e suporte ao Técnico</t>
        </is>
      </c>
      <c r="D355" s="74" t="inlineStr">
        <is>
          <t>Solon Araújo</t>
        </is>
      </c>
      <c r="E355" s="151" t="n">
        <v>14331</v>
      </c>
      <c r="F355" s="100" t="n">
        <v>0.212371943123151</v>
      </c>
      <c r="G355" s="100" t="n">
        <v>3043.50231689788</v>
      </c>
      <c r="H355" s="74" t="inlineStr">
        <is>
          <t>Cálculo por número de clientes ativos</t>
        </is>
      </c>
    </row>
    <row r="356" ht="15" customHeight="1" s="75">
      <c r="A356" s="74" t="inlineStr">
        <is>
          <t>MAIO/2026</t>
        </is>
      </c>
      <c r="B356" s="74" t="inlineStr">
        <is>
          <t>Configuração</t>
        </is>
      </c>
      <c r="C356" s="74" t="inlineStr">
        <is>
          <t>Serviços de configuração e suporte ao Técnico</t>
        </is>
      </c>
      <c r="D356" s="74" t="inlineStr">
        <is>
          <t>Souza e Silva</t>
        </is>
      </c>
      <c r="E356" s="151" t="n">
        <v>4730</v>
      </c>
      <c r="F356" s="100" t="n">
        <v>0.212371943123151</v>
      </c>
      <c r="G356" s="100" t="n">
        <v>1004.5192909725</v>
      </c>
      <c r="H356" s="74" t="inlineStr">
        <is>
          <t>Cálculo por número de clientes ativos</t>
        </is>
      </c>
    </row>
    <row r="357" ht="15" customHeight="1" s="75">
      <c r="A357" s="74" t="inlineStr">
        <is>
          <t>MAIO/2026</t>
        </is>
      </c>
      <c r="B357" s="74" t="inlineStr">
        <is>
          <t>Configuração</t>
        </is>
      </c>
      <c r="C357" s="74" t="inlineStr">
        <is>
          <t>Serviços de configuração e suporte ao Técnico</t>
        </is>
      </c>
      <c r="D357" s="74" t="inlineStr">
        <is>
          <t>Voicenet</t>
        </is>
      </c>
      <c r="E357" s="151" t="n">
        <v>4782</v>
      </c>
      <c r="F357" s="100" t="n">
        <v>0.212371943123151</v>
      </c>
      <c r="G357" s="100" t="n">
        <v>1015.56263201491</v>
      </c>
      <c r="H357" s="74" t="inlineStr">
        <is>
          <t>Cálculo por número de clientes ativos</t>
        </is>
      </c>
    </row>
    <row r="358" ht="15" customHeight="1" s="75">
      <c r="A358" s="74" t="inlineStr">
        <is>
          <t>MAIO/2026</t>
        </is>
      </c>
      <c r="B358" s="74" t="inlineStr">
        <is>
          <t>Contabilidade</t>
        </is>
      </c>
      <c r="C358" s="74" t="inlineStr">
        <is>
          <t>Saldo restante de reembolso</t>
        </is>
      </c>
      <c r="D358" s="74" t="inlineStr">
        <is>
          <t>H&amp;A</t>
        </is>
      </c>
      <c r="E358" s="151" t="n">
        <v>0</v>
      </c>
      <c r="F358" s="100" t="n">
        <v>0</v>
      </c>
      <c r="G358" s="100" t="n">
        <v>0</v>
      </c>
      <c r="H358" s="74" t="inlineStr">
        <is>
          <t>Parcela de reembolso gerado menor que o valor enviado no email de reembolso de março</t>
        </is>
      </c>
    </row>
    <row r="359" ht="15" customHeight="1" s="75">
      <c r="A359" s="74" t="inlineStr">
        <is>
          <t>MAIO/2026</t>
        </is>
      </c>
      <c r="B359" s="74" t="inlineStr">
        <is>
          <t>Desenvolvimento</t>
        </is>
      </c>
      <c r="C359" s="74" t="inlineStr">
        <is>
          <t>Setor de Desenvolvimento</t>
        </is>
      </c>
      <c r="D359" s="74" t="inlineStr">
        <is>
          <t>H&amp;A</t>
        </is>
      </c>
      <c r="E359" s="151" t="n">
        <v>13402</v>
      </c>
      <c r="F359" s="100" t="n">
        <v>0.108205784866059</v>
      </c>
      <c r="G359" s="100" t="n">
        <v>1450.17392877492</v>
      </c>
      <c r="H359" s="74" t="inlineStr">
        <is>
          <t>Cálculo por número de clientes ativos</t>
        </is>
      </c>
    </row>
    <row r="360" ht="15" customHeight="1" s="75">
      <c r="A360" s="74" t="inlineStr">
        <is>
          <t>MAIO/2026</t>
        </is>
      </c>
      <c r="B360" s="74" t="inlineStr">
        <is>
          <t>Engenharia</t>
        </is>
      </c>
      <c r="C360" s="74" t="inlineStr">
        <is>
          <t>Uso mútuo de Postes</t>
        </is>
      </c>
      <c r="D360" s="74" t="inlineStr">
        <is>
          <t>DX2</t>
        </is>
      </c>
      <c r="E360" s="151" t="n">
        <v>1</v>
      </c>
      <c r="F360" s="100" t="n">
        <v>9145.68</v>
      </c>
      <c r="G360" s="100" t="n">
        <v>9145.68</v>
      </c>
      <c r="H360" s="74" t="inlineStr">
        <is>
          <t>Contrato das empresas que está em nome da Dtel</t>
        </is>
      </c>
    </row>
    <row r="361" ht="15" customHeight="1" s="75">
      <c r="A361" s="74" t="inlineStr">
        <is>
          <t>MAIO/2026</t>
        </is>
      </c>
      <c r="B361" s="74" t="inlineStr">
        <is>
          <t>Engenharia</t>
        </is>
      </c>
      <c r="C361" s="74" t="inlineStr">
        <is>
          <t>Uso mútuo de Postes</t>
        </is>
      </c>
      <c r="D361" s="74" t="inlineStr">
        <is>
          <t>Soares e Lins</t>
        </is>
      </c>
      <c r="E361" s="151" t="n">
        <v>1</v>
      </c>
      <c r="F361" s="100" t="n">
        <v>3372.11</v>
      </c>
      <c r="G361" s="100" t="n">
        <v>3372.11</v>
      </c>
      <c r="H361" s="74" t="inlineStr">
        <is>
          <t>Contrato das empresas que está em nome da Dtel</t>
        </is>
      </c>
    </row>
    <row r="362" ht="15" customHeight="1" s="75">
      <c r="A362" s="74" t="inlineStr">
        <is>
          <t>MAIO/2026</t>
        </is>
      </c>
      <c r="B362" s="74" t="inlineStr">
        <is>
          <t>Engenharia</t>
        </is>
      </c>
      <c r="C362" s="74" t="inlineStr">
        <is>
          <t>Uso mútuo de Postes</t>
        </is>
      </c>
      <c r="D362" s="74" t="inlineStr">
        <is>
          <t>Souza e Silva</t>
        </is>
      </c>
      <c r="E362" s="151" t="n">
        <v>1</v>
      </c>
      <c r="F362" s="100" t="n">
        <v>15695.77</v>
      </c>
      <c r="G362" s="100" t="n">
        <v>15695.77</v>
      </c>
      <c r="H362" s="74" t="inlineStr">
        <is>
          <t>Contrato das empresas que está em nome da Dtel</t>
        </is>
      </c>
    </row>
    <row r="363" ht="15" customHeight="1" s="75">
      <c r="A363" s="74" t="inlineStr">
        <is>
          <t>MAIO/2026</t>
        </is>
      </c>
      <c r="B363" s="74" t="inlineStr">
        <is>
          <t>Engenharia</t>
        </is>
      </c>
      <c r="C363" s="74" t="inlineStr">
        <is>
          <t>Despesas da equipe de Engenharia</t>
        </is>
      </c>
      <c r="D363" s="74" t="inlineStr">
        <is>
          <t>Voicenet</t>
        </is>
      </c>
      <c r="E363" s="151" t="n">
        <v>0</v>
      </c>
      <c r="F363" s="100" t="n">
        <v>0</v>
      </c>
      <c r="G363" s="100" t="n">
        <v>0</v>
      </c>
      <c r="H363" s="74" t="inlineStr">
        <is>
          <t>Combustível, alimentação</t>
        </is>
      </c>
    </row>
    <row r="364" ht="15" customHeight="1" s="75">
      <c r="A364" s="74" t="inlineStr">
        <is>
          <t>MAIO/2026</t>
        </is>
      </c>
      <c r="B364" s="74" t="inlineStr">
        <is>
          <t>Engenharia</t>
        </is>
      </c>
      <c r="C364" s="74" t="inlineStr">
        <is>
          <t>Manutenção predial</t>
        </is>
      </c>
      <c r="D364" s="74" t="inlineStr">
        <is>
          <t>Voicenet</t>
        </is>
      </c>
      <c r="E364" s="151" t="n">
        <v>1</v>
      </c>
      <c r="F364" s="100" t="n">
        <v>22320</v>
      </c>
      <c r="G364" s="100" t="n">
        <v>22320</v>
      </c>
      <c r="H364" s="74" t="inlineStr">
        <is>
          <t>Serviços executados em projeto neoenergia (800 pontos)</t>
        </is>
      </c>
    </row>
    <row r="365" ht="15" customHeight="1" s="75">
      <c r="A365" s="74" t="inlineStr">
        <is>
          <t>MAIO/2026</t>
        </is>
      </c>
      <c r="B365" s="74" t="inlineStr">
        <is>
          <t>Estoque</t>
        </is>
      </c>
      <c r="C365" s="74" t="inlineStr">
        <is>
          <t>Serviços realizados pelo estoque</t>
        </is>
      </c>
      <c r="D365" s="74" t="inlineStr">
        <is>
          <t>DX2</t>
        </is>
      </c>
      <c r="E365" s="151" t="n">
        <v>1</v>
      </c>
      <c r="F365" s="100" t="n">
        <v>676.8</v>
      </c>
      <c r="G365" s="100" t="n">
        <v>676.8</v>
      </c>
      <c r="H365" s="74" t="inlineStr">
        <is>
          <t>Serviços de marcação de equipamentos</t>
        </is>
      </c>
    </row>
    <row r="366" ht="15" customHeight="1" s="75">
      <c r="A366" s="74" t="inlineStr">
        <is>
          <t>MAIO/2026</t>
        </is>
      </c>
      <c r="B366" s="74" t="inlineStr">
        <is>
          <t>Estoque</t>
        </is>
      </c>
      <c r="C366" s="74" t="inlineStr">
        <is>
          <t>Serviços realizados pelo estoque</t>
        </is>
      </c>
      <c r="D366" s="74" t="inlineStr">
        <is>
          <t>H&amp;A</t>
        </is>
      </c>
      <c r="E366" s="151" t="n">
        <v>1</v>
      </c>
      <c r="F366" s="100" t="n">
        <v>676.8</v>
      </c>
      <c r="G366" s="100" t="n">
        <v>676.8</v>
      </c>
      <c r="H366" s="74" t="inlineStr">
        <is>
          <t>Serviços de marcação de equipamentos</t>
        </is>
      </c>
    </row>
    <row r="367" ht="15" customHeight="1" s="75">
      <c r="A367" s="74" t="inlineStr">
        <is>
          <t>MAIO/2026</t>
        </is>
      </c>
      <c r="B367" s="74" t="inlineStr">
        <is>
          <t>Estoque</t>
        </is>
      </c>
      <c r="C367" s="74" t="inlineStr">
        <is>
          <t>Serviços realizados pelo estoque</t>
        </is>
      </c>
      <c r="D367" s="74" t="inlineStr">
        <is>
          <t>Soares e Lins</t>
        </is>
      </c>
      <c r="E367" s="151" t="n">
        <v>1</v>
      </c>
      <c r="F367" s="100" t="n">
        <v>676.8</v>
      </c>
      <c r="G367" s="100" t="n">
        <v>676.8</v>
      </c>
      <c r="H367" s="74" t="inlineStr">
        <is>
          <t>Serviços de marcação de equipamentos</t>
        </is>
      </c>
    </row>
    <row r="368" ht="15" customHeight="1" s="75">
      <c r="A368" s="74" t="inlineStr">
        <is>
          <t>MAIO/2026</t>
        </is>
      </c>
      <c r="B368" s="74" t="inlineStr">
        <is>
          <t>Estoque</t>
        </is>
      </c>
      <c r="C368" s="74" t="inlineStr">
        <is>
          <t>Serviços realizados pelo estoque</t>
        </is>
      </c>
      <c r="D368" s="74" t="inlineStr">
        <is>
          <t>Soares e Silva</t>
        </is>
      </c>
      <c r="E368" s="151" t="n">
        <v>1</v>
      </c>
      <c r="F368" s="100" t="n">
        <v>676.8</v>
      </c>
      <c r="G368" s="100" t="n">
        <v>676.8</v>
      </c>
      <c r="H368" s="74" t="inlineStr">
        <is>
          <t>Horas trabalhas em serviços realizado da oficina Dtel p/ soares e silva</t>
        </is>
      </c>
    </row>
    <row r="369" ht="15" customHeight="1" s="75">
      <c r="A369" s="74" t="inlineStr">
        <is>
          <t>MAIO/2026</t>
        </is>
      </c>
      <c r="B369" s="74" t="inlineStr">
        <is>
          <t>Estoque</t>
        </is>
      </c>
      <c r="C369" s="74" t="inlineStr">
        <is>
          <t>Serviços realizados pelo estoque</t>
        </is>
      </c>
      <c r="D369" s="74" t="inlineStr">
        <is>
          <t>Soares e Silva</t>
        </is>
      </c>
      <c r="E369" s="151" t="n">
        <v>1</v>
      </c>
      <c r="F369" s="100" t="n">
        <v>676.8</v>
      </c>
      <c r="G369" s="100" t="n">
        <v>676.8</v>
      </c>
      <c r="H369" s="74" t="inlineStr">
        <is>
          <t>Serviços de marcação de equipamentos</t>
        </is>
      </c>
    </row>
    <row r="370" ht="15" customHeight="1" s="75">
      <c r="A370" s="74" t="inlineStr">
        <is>
          <t>MAIO/2026</t>
        </is>
      </c>
      <c r="B370" s="74" t="inlineStr">
        <is>
          <t>Estoque</t>
        </is>
      </c>
      <c r="C370" s="74" t="inlineStr">
        <is>
          <t>Serviços realizados pelo estoque</t>
        </is>
      </c>
      <c r="D370" s="74" t="inlineStr">
        <is>
          <t>Solon Araújo</t>
        </is>
      </c>
      <c r="E370" s="151" t="n">
        <v>1</v>
      </c>
      <c r="F370" s="100" t="n">
        <v>676.8</v>
      </c>
      <c r="G370" s="100" t="n">
        <v>676.8</v>
      </c>
      <c r="H370" s="74" t="inlineStr">
        <is>
          <t>Horas trabalhas em serviços realizado da oficina Dtel p/ litoral</t>
        </is>
      </c>
    </row>
    <row r="371" ht="15" customHeight="1" s="75">
      <c r="A371" s="74" t="inlineStr">
        <is>
          <t>MAIO/2026</t>
        </is>
      </c>
      <c r="B371" s="74" t="inlineStr">
        <is>
          <t>Estoque</t>
        </is>
      </c>
      <c r="C371" s="74" t="inlineStr">
        <is>
          <t>Serviços realizados pelo estoque</t>
        </is>
      </c>
      <c r="D371" s="74" t="inlineStr">
        <is>
          <t>Solon Araújo</t>
        </is>
      </c>
      <c r="E371" s="151" t="n">
        <v>1</v>
      </c>
      <c r="F371" s="100" t="n">
        <v>676.8</v>
      </c>
      <c r="G371" s="100" t="n">
        <v>676.8</v>
      </c>
      <c r="H371" s="74" t="inlineStr">
        <is>
          <t>Serviços de marcação de equipamentos</t>
        </is>
      </c>
    </row>
    <row r="372" ht="15" customHeight="1" s="75">
      <c r="A372" s="74" t="inlineStr">
        <is>
          <t>MAIO/2026</t>
        </is>
      </c>
      <c r="B372" s="74" t="inlineStr">
        <is>
          <t>Estoque</t>
        </is>
      </c>
      <c r="C372" s="74" t="inlineStr">
        <is>
          <t>Serviços realizados pelo estoque</t>
        </is>
      </c>
      <c r="D372" s="74" t="inlineStr">
        <is>
          <t>Souza e Silva</t>
        </is>
      </c>
      <c r="E372" s="151" t="n">
        <v>1</v>
      </c>
      <c r="F372" s="100" t="n">
        <v>676.8</v>
      </c>
      <c r="G372" s="100" t="n">
        <v>676.8</v>
      </c>
      <c r="H372" s="74" t="inlineStr">
        <is>
          <t>Serviços de marcação de equipamentos</t>
        </is>
      </c>
    </row>
    <row r="373" ht="15" customHeight="1" s="75">
      <c r="A373" s="74" t="inlineStr">
        <is>
          <t>MAIO/2026</t>
        </is>
      </c>
      <c r="B373" s="74" t="inlineStr">
        <is>
          <t>Estoque</t>
        </is>
      </c>
      <c r="C373" s="74" t="inlineStr">
        <is>
          <t>Serviços realizados pelo estoque</t>
        </is>
      </c>
      <c r="D373" s="74" t="inlineStr">
        <is>
          <t>Voicenet</t>
        </is>
      </c>
      <c r="E373" s="151" t="n">
        <v>1</v>
      </c>
      <c r="F373" s="100" t="n">
        <v>676.8</v>
      </c>
      <c r="G373" s="100" t="n">
        <v>676.8</v>
      </c>
      <c r="H373" s="74" t="inlineStr">
        <is>
          <t>Serviços de marcação de equipamentos</t>
        </is>
      </c>
    </row>
    <row r="374" ht="15" customHeight="1" s="75">
      <c r="A374" s="74" t="inlineStr">
        <is>
          <t>MAIO/2026</t>
        </is>
      </c>
      <c r="B374" s="74" t="inlineStr">
        <is>
          <t>Frota</t>
        </is>
      </c>
      <c r="C374" s="74" t="inlineStr">
        <is>
          <t>Abastecimento</t>
        </is>
      </c>
      <c r="D374" s="74" t="inlineStr">
        <is>
          <t>DX2</t>
        </is>
      </c>
      <c r="E374" s="151" t="n">
        <v>0</v>
      </c>
      <c r="F374" s="100" t="n">
        <v>0</v>
      </c>
      <c r="G374" s="100" t="n">
        <v>0</v>
      </c>
      <c r="H374" s="74" t="inlineStr">
        <is>
          <t>Abastecimento da van da dx2 com cartao Dtel</t>
        </is>
      </c>
    </row>
    <row r="375" ht="15" customHeight="1" s="75">
      <c r="A375" s="74" t="inlineStr">
        <is>
          <t>MAIO/2026</t>
        </is>
      </c>
      <c r="B375" s="74" t="inlineStr">
        <is>
          <t>Frota</t>
        </is>
      </c>
      <c r="C375" s="74" t="inlineStr">
        <is>
          <t>Locação de veículos</t>
        </is>
      </c>
      <c r="D375" s="74" t="inlineStr">
        <is>
          <t>DX2</t>
        </is>
      </c>
      <c r="E375" s="151" t="n">
        <v>0</v>
      </c>
      <c r="F375" s="100" t="n">
        <v>0</v>
      </c>
      <c r="G375" s="100" t="n">
        <v>0</v>
      </c>
      <c r="H375" s="74" t="inlineStr">
        <is>
          <t>Veiculos Dtel emprestado para serviços na DX2 (2 carros)</t>
        </is>
      </c>
    </row>
    <row r="376" ht="15" customHeight="1" s="75">
      <c r="A376" s="74" t="inlineStr">
        <is>
          <t>MAIO/2026</t>
        </is>
      </c>
      <c r="B376" s="74" t="inlineStr">
        <is>
          <t>Frota</t>
        </is>
      </c>
      <c r="C376" s="74" t="inlineStr">
        <is>
          <t>Rastreamento veicular</t>
        </is>
      </c>
      <c r="D376" s="74" t="inlineStr">
        <is>
          <t>DX2</t>
        </is>
      </c>
      <c r="E376" s="151" t="n">
        <v>10</v>
      </c>
      <c r="F376" s="100" t="n">
        <v>20</v>
      </c>
      <c r="G376" s="100" t="n">
        <v>200</v>
      </c>
      <c r="H376" s="74" t="inlineStr">
        <is>
          <t>Rastreamento dos veículos</t>
        </is>
      </c>
    </row>
    <row r="377" ht="15" customHeight="1" s="75">
      <c r="A377" s="74" t="inlineStr">
        <is>
          <t>MAIO/2026</t>
        </is>
      </c>
      <c r="B377" s="74" t="inlineStr">
        <is>
          <t>Frota</t>
        </is>
      </c>
      <c r="C377" s="74" t="inlineStr">
        <is>
          <t>Transporte de produtos</t>
        </is>
      </c>
      <c r="D377" s="74" t="inlineStr">
        <is>
          <t>DX2</t>
        </is>
      </c>
      <c r="E377" s="151" t="n">
        <v>1</v>
      </c>
      <c r="F377" s="100" t="n">
        <v>745.21</v>
      </c>
      <c r="G377" s="100" t="n">
        <v>745.21</v>
      </c>
      <c r="H377" s="74" t="inlineStr">
        <is>
          <t>Transportes entre CD01 e empresas no rateio da rota</t>
        </is>
      </c>
    </row>
    <row r="378" ht="15" customHeight="1" s="75">
      <c r="A378" s="74" t="inlineStr">
        <is>
          <t>MAIO/2026</t>
        </is>
      </c>
      <c r="B378" s="74" t="inlineStr">
        <is>
          <t>Frota</t>
        </is>
      </c>
      <c r="C378" s="74" t="inlineStr">
        <is>
          <t>Troca de Oleo e Filtro</t>
        </is>
      </c>
      <c r="D378" s="74" t="inlineStr">
        <is>
          <t>DX2</t>
        </is>
      </c>
      <c r="E378" s="151" t="n">
        <v>0</v>
      </c>
      <c r="F378" s="100" t="n">
        <v>0</v>
      </c>
      <c r="G378" s="100" t="n">
        <v>0</v>
      </c>
      <c r="H378" s="74" t="inlineStr">
        <is>
          <t>Manutenção veicular</t>
        </is>
      </c>
    </row>
    <row r="379" ht="15" customHeight="1" s="75">
      <c r="A379" s="74" t="inlineStr">
        <is>
          <t>MAIO/2026</t>
        </is>
      </c>
      <c r="B379" s="74" t="inlineStr">
        <is>
          <t>Frota</t>
        </is>
      </c>
      <c r="C379" s="74" t="inlineStr">
        <is>
          <t>Transporte de produtos</t>
        </is>
      </c>
      <c r="D379" s="74" t="inlineStr">
        <is>
          <t>H&amp;A</t>
        </is>
      </c>
      <c r="E379" s="151" t="n">
        <v>0</v>
      </c>
      <c r="F379" s="100" t="n">
        <v>0</v>
      </c>
      <c r="G379" s="100" t="n">
        <v>0</v>
      </c>
      <c r="H379" s="74" t="inlineStr">
        <is>
          <t>Transportes entre CD01 e empresas no rateio da rota</t>
        </is>
      </c>
    </row>
    <row r="380" ht="15" customHeight="1" s="75">
      <c r="A380" s="74" t="inlineStr">
        <is>
          <t>MAIO/2026</t>
        </is>
      </c>
      <c r="B380" s="74" t="inlineStr">
        <is>
          <t>Frota</t>
        </is>
      </c>
      <c r="C380" s="74" t="inlineStr">
        <is>
          <t>Rastreamento veicular</t>
        </is>
      </c>
      <c r="D380" s="74" t="inlineStr">
        <is>
          <t>Soares e Lins</t>
        </is>
      </c>
      <c r="E380" s="151" t="n">
        <v>3</v>
      </c>
      <c r="F380" s="100" t="n">
        <v>20</v>
      </c>
      <c r="G380" s="100" t="n">
        <v>60</v>
      </c>
      <c r="H380" s="74" t="inlineStr">
        <is>
          <t>Rastreamento dos veículos</t>
        </is>
      </c>
    </row>
    <row r="381" ht="15" customHeight="1" s="75">
      <c r="A381" s="74" t="inlineStr">
        <is>
          <t>MAIO/2026</t>
        </is>
      </c>
      <c r="B381" s="74" t="inlineStr">
        <is>
          <t>Frota</t>
        </is>
      </c>
      <c r="C381" s="74" t="inlineStr">
        <is>
          <t>Transporte de produtos</t>
        </is>
      </c>
      <c r="D381" s="74" t="inlineStr">
        <is>
          <t>Soares e Lins</t>
        </is>
      </c>
      <c r="E381" s="151" t="n">
        <v>1</v>
      </c>
      <c r="F381" s="100" t="n">
        <v>373.15</v>
      </c>
      <c r="G381" s="100" t="n">
        <v>373.15</v>
      </c>
      <c r="H381" s="74" t="inlineStr">
        <is>
          <t>Transportes entre CD01 e empresas no rateio da rota</t>
        </is>
      </c>
    </row>
    <row r="382" ht="15" customHeight="1" s="75">
      <c r="A382" s="74" t="inlineStr">
        <is>
          <t>MAIO/2026</t>
        </is>
      </c>
      <c r="B382" s="74" t="inlineStr">
        <is>
          <t>Frota</t>
        </is>
      </c>
      <c r="C382" s="74" t="inlineStr">
        <is>
          <t>Troca de Oleo e Filtro</t>
        </is>
      </c>
      <c r="D382" s="74" t="inlineStr">
        <is>
          <t>Soares e Lins</t>
        </is>
      </c>
      <c r="E382" s="151" t="n">
        <v>0</v>
      </c>
      <c r="F382" s="100" t="n">
        <v>0</v>
      </c>
      <c r="G382" s="100" t="n">
        <v>0</v>
      </c>
      <c r="H382" s="74" t="inlineStr">
        <is>
          <t>Manutenção veicular</t>
        </is>
      </c>
    </row>
    <row r="383" ht="15" customHeight="1" s="75">
      <c r="A383" s="74" t="inlineStr">
        <is>
          <t>MAIO/2026</t>
        </is>
      </c>
      <c r="B383" s="74" t="inlineStr">
        <is>
          <t>Frota</t>
        </is>
      </c>
      <c r="C383" s="74" t="inlineStr">
        <is>
          <t>Abastecimento</t>
        </is>
      </c>
      <c r="D383" s="74" t="inlineStr">
        <is>
          <t>Soares e Silva</t>
        </is>
      </c>
      <c r="E383" s="151" t="n">
        <v>0</v>
      </c>
      <c r="F383" s="100" t="n">
        <v>0</v>
      </c>
      <c r="G383" s="100" t="n">
        <v>0</v>
      </c>
      <c r="H383" s="74" t="inlineStr">
        <is>
          <t>Abastecimento de 2 veiculos</t>
        </is>
      </c>
    </row>
    <row r="384" ht="15" customHeight="1" s="75">
      <c r="A384" s="74" t="inlineStr">
        <is>
          <t>MAIO/2026</t>
        </is>
      </c>
      <c r="B384" s="74" t="inlineStr">
        <is>
          <t>Frota</t>
        </is>
      </c>
      <c r="C384" s="74" t="inlineStr">
        <is>
          <t>Locação de veículos</t>
        </is>
      </c>
      <c r="D384" s="74" t="inlineStr">
        <is>
          <t>Soares e Silva</t>
        </is>
      </c>
      <c r="E384" s="151" t="n">
        <v>0</v>
      </c>
      <c r="F384" s="100" t="n">
        <v>0</v>
      </c>
      <c r="G384" s="100" t="n">
        <v>0</v>
      </c>
      <c r="H384" s="74" t="inlineStr">
        <is>
          <t>Veiculos Dtel emprestado para serviços 2 carros</t>
        </is>
      </c>
    </row>
    <row r="385" ht="15" customHeight="1" s="75">
      <c r="A385" s="74" t="inlineStr">
        <is>
          <t>MAIO/2026</t>
        </is>
      </c>
      <c r="B385" s="74" t="inlineStr">
        <is>
          <t>Frota</t>
        </is>
      </c>
      <c r="C385" s="74" t="inlineStr">
        <is>
          <t>Manutenção de veiculo</t>
        </is>
      </c>
      <c r="D385" s="74" t="inlineStr">
        <is>
          <t>Soares e Silva</t>
        </is>
      </c>
      <c r="E385" s="151" t="n">
        <v>0</v>
      </c>
      <c r="F385" s="100" t="n">
        <v>0</v>
      </c>
      <c r="G385" s="100" t="n">
        <v>0</v>
      </c>
      <c r="H385" s="74" t="inlineStr">
        <is>
          <t>Manutenção veicular</t>
        </is>
      </c>
    </row>
    <row r="386" ht="15" customHeight="1" s="75">
      <c r="A386" s="74" t="inlineStr">
        <is>
          <t>MAIO/2026</t>
        </is>
      </c>
      <c r="B386" s="74" t="inlineStr">
        <is>
          <t>Frota</t>
        </is>
      </c>
      <c r="C386" s="74" t="inlineStr">
        <is>
          <t>Rastreamento veicular</t>
        </is>
      </c>
      <c r="D386" s="74" t="inlineStr">
        <is>
          <t>Soares e Silva</t>
        </is>
      </c>
      <c r="E386" s="151" t="n">
        <v>13</v>
      </c>
      <c r="F386" s="100" t="n">
        <v>20</v>
      </c>
      <c r="G386" s="100" t="n">
        <v>260</v>
      </c>
      <c r="H386" s="74" t="inlineStr">
        <is>
          <t>Rastreamento dos veículos</t>
        </is>
      </c>
    </row>
    <row r="387" ht="15" customHeight="1" s="75">
      <c r="A387" s="74" t="inlineStr">
        <is>
          <t>MAIO/2026</t>
        </is>
      </c>
      <c r="B387" s="74" t="inlineStr">
        <is>
          <t>Frota</t>
        </is>
      </c>
      <c r="C387" s="74" t="inlineStr">
        <is>
          <t>Transporte de produtos</t>
        </is>
      </c>
      <c r="D387" s="74" t="inlineStr">
        <is>
          <t>Soares e Silva</t>
        </is>
      </c>
      <c r="E387" s="151" t="n">
        <v>0</v>
      </c>
      <c r="F387" s="100" t="n">
        <v>0</v>
      </c>
      <c r="G387" s="100" t="n">
        <v>0</v>
      </c>
      <c r="H387" s="74" t="inlineStr">
        <is>
          <t>Transportes entre CD01 e empresas no rateio da rota</t>
        </is>
      </c>
    </row>
    <row r="388" ht="15" customHeight="1" s="75">
      <c r="A388" s="74" t="inlineStr">
        <is>
          <t>MAIO/2026</t>
        </is>
      </c>
      <c r="B388" s="74" t="inlineStr">
        <is>
          <t>Frota</t>
        </is>
      </c>
      <c r="C388" s="74" t="inlineStr">
        <is>
          <t>Troca de Oleo e Filtro</t>
        </is>
      </c>
      <c r="D388" s="74" t="inlineStr">
        <is>
          <t>Soares e Silva</t>
        </is>
      </c>
      <c r="E388" s="151" t="n">
        <v>0</v>
      </c>
      <c r="F388" s="100" t="n">
        <v>0</v>
      </c>
      <c r="G388" s="100" t="n">
        <v>0</v>
      </c>
      <c r="H388" s="74" t="inlineStr">
        <is>
          <t>Manutenção veicular</t>
        </is>
      </c>
    </row>
    <row r="389" ht="15" customHeight="1" s="75">
      <c r="A389" s="74" t="inlineStr">
        <is>
          <t>MAIO/2026</t>
        </is>
      </c>
      <c r="B389" s="74" t="inlineStr">
        <is>
          <t>Frota</t>
        </is>
      </c>
      <c r="C389" s="74" t="inlineStr">
        <is>
          <t>Rastreamento veicular</t>
        </is>
      </c>
      <c r="D389" s="74" t="inlineStr">
        <is>
          <t>Solon Araújo</t>
        </is>
      </c>
      <c r="E389" s="151" t="n">
        <v>19</v>
      </c>
      <c r="F389" s="100" t="n">
        <v>20</v>
      </c>
      <c r="G389" s="100" t="n">
        <v>380</v>
      </c>
      <c r="H389" s="74" t="inlineStr">
        <is>
          <t>Rastreamento dos veículos</t>
        </is>
      </c>
    </row>
    <row r="390" ht="15" customHeight="1" s="75">
      <c r="A390" s="74" t="inlineStr">
        <is>
          <t>MAIO/2026</t>
        </is>
      </c>
      <c r="B390" s="74" t="inlineStr">
        <is>
          <t>Frota</t>
        </is>
      </c>
      <c r="C390" s="74" t="inlineStr">
        <is>
          <t>Transporte de produtos</t>
        </is>
      </c>
      <c r="D390" s="74" t="inlineStr">
        <is>
          <t>Solon Araújo</t>
        </is>
      </c>
      <c r="E390" s="151" t="n">
        <v>1</v>
      </c>
      <c r="F390" s="100" t="n">
        <v>1381.14</v>
      </c>
      <c r="G390" s="100" t="n">
        <v>1381.14</v>
      </c>
      <c r="H390" s="74" t="inlineStr">
        <is>
          <t>Transportes entre CD01 e empresas no rateio da rota</t>
        </is>
      </c>
    </row>
    <row r="391" ht="15" customHeight="1" s="75">
      <c r="A391" s="74" t="inlineStr">
        <is>
          <t>MAIO/2026</t>
        </is>
      </c>
      <c r="B391" s="74" t="inlineStr">
        <is>
          <t>Frota</t>
        </is>
      </c>
      <c r="C391" s="74" t="inlineStr">
        <is>
          <t>Troca de Óleo e Filtro</t>
        </is>
      </c>
      <c r="D391" s="74" t="inlineStr">
        <is>
          <t>Solon Araújo</t>
        </is>
      </c>
      <c r="E391" s="151" t="n">
        <v>0</v>
      </c>
      <c r="F391" s="100" t="n">
        <v>0</v>
      </c>
      <c r="G391" s="100" t="n">
        <v>0</v>
      </c>
      <c r="H391" s="74" t="inlineStr">
        <is>
          <t>Manutenção veicular</t>
        </is>
      </c>
    </row>
    <row r="392" ht="15" customHeight="1" s="75">
      <c r="A392" s="74" t="inlineStr">
        <is>
          <t>MAIO/2026</t>
        </is>
      </c>
      <c r="B392" s="74" t="inlineStr">
        <is>
          <t>Frota</t>
        </is>
      </c>
      <c r="C392" s="74" t="inlineStr">
        <is>
          <t>Manutenção de veiculo</t>
        </is>
      </c>
      <c r="D392" s="74" t="inlineStr">
        <is>
          <t>Souza e Silva</t>
        </is>
      </c>
      <c r="E392" s="151" t="n">
        <v>0</v>
      </c>
      <c r="F392" s="100" t="n">
        <v>0</v>
      </c>
      <c r="G392" s="100" t="n">
        <v>0</v>
      </c>
      <c r="H392" s="74" t="inlineStr">
        <is>
          <t>Reboque de carro</t>
        </is>
      </c>
    </row>
    <row r="393" ht="15" customHeight="1" s="75">
      <c r="A393" s="74" t="inlineStr">
        <is>
          <t>MAIO/2026</t>
        </is>
      </c>
      <c r="B393" s="74" t="inlineStr">
        <is>
          <t>Frota</t>
        </is>
      </c>
      <c r="C393" s="74" t="inlineStr">
        <is>
          <t>Rastreamento veicular</t>
        </is>
      </c>
      <c r="D393" s="74" t="inlineStr">
        <is>
          <t>Souza e Silva</t>
        </is>
      </c>
      <c r="E393" s="151" t="n">
        <v>4</v>
      </c>
      <c r="F393" s="100" t="n">
        <v>20</v>
      </c>
      <c r="G393" s="100" t="n">
        <v>80</v>
      </c>
      <c r="H393" s="74" t="inlineStr">
        <is>
          <t>Rastreamento dos veículos</t>
        </is>
      </c>
    </row>
    <row r="394" ht="15" customHeight="1" s="75">
      <c r="A394" s="74" t="inlineStr">
        <is>
          <t>MAIO/2026</t>
        </is>
      </c>
      <c r="B394" s="74" t="inlineStr">
        <is>
          <t>Frota</t>
        </is>
      </c>
      <c r="C394" s="74" t="inlineStr">
        <is>
          <t>Transporte de produtos</t>
        </is>
      </c>
      <c r="D394" s="74" t="inlineStr">
        <is>
          <t>Souza e Silva</t>
        </is>
      </c>
      <c r="E394" s="151" t="n">
        <v>0</v>
      </c>
      <c r="F394" s="100" t="n">
        <v>0</v>
      </c>
      <c r="G394" s="100" t="n">
        <v>0</v>
      </c>
      <c r="H394" s="74" t="inlineStr">
        <is>
          <t>Transportes entre CD01 e empresas no rateio da rota</t>
        </is>
      </c>
    </row>
    <row r="395" ht="15" customHeight="1" s="75">
      <c r="A395" s="74" t="inlineStr">
        <is>
          <t>MAIO/2026</t>
        </is>
      </c>
      <c r="B395" s="74" t="inlineStr">
        <is>
          <t>Frota</t>
        </is>
      </c>
      <c r="C395" s="74" t="inlineStr">
        <is>
          <t>Troca de Óleo e Filtro</t>
        </is>
      </c>
      <c r="D395" s="74" t="inlineStr">
        <is>
          <t>Souza e Silva</t>
        </is>
      </c>
      <c r="E395" s="151" t="n">
        <v>0</v>
      </c>
      <c r="F395" s="100" t="n">
        <v>0</v>
      </c>
      <c r="G395" s="100" t="n">
        <v>0</v>
      </c>
      <c r="H395" s="74" t="inlineStr">
        <is>
          <t>Manutenção veicular</t>
        </is>
      </c>
    </row>
    <row r="396" ht="15" customHeight="1" s="75">
      <c r="A396" s="74" t="inlineStr">
        <is>
          <t>MAIO/2026</t>
        </is>
      </c>
      <c r="B396" s="74" t="inlineStr">
        <is>
          <t>Frota</t>
        </is>
      </c>
      <c r="C396" s="74" t="inlineStr">
        <is>
          <t>Abastecimento</t>
        </is>
      </c>
      <c r="D396" s="74" t="inlineStr">
        <is>
          <t>Voicenet</t>
        </is>
      </c>
      <c r="E396" s="151" t="n">
        <v>0</v>
      </c>
      <c r="F396" s="100" t="n">
        <v>0</v>
      </c>
      <c r="G396" s="100" t="n">
        <v>0</v>
      </c>
      <c r="H396" s="74" t="inlineStr">
        <is>
          <t>Abastecimento de veiculos</t>
        </is>
      </c>
    </row>
    <row r="397" ht="15" customHeight="1" s="75">
      <c r="A397" s="74" t="inlineStr">
        <is>
          <t>MAIO/2026</t>
        </is>
      </c>
      <c r="B397" s="74" t="inlineStr">
        <is>
          <t>Frota</t>
        </is>
      </c>
      <c r="C397" s="74" t="inlineStr">
        <is>
          <t>Rastreamento veicular</t>
        </is>
      </c>
      <c r="D397" s="74" t="inlineStr">
        <is>
          <t>Voicenet</t>
        </is>
      </c>
      <c r="E397" s="151" t="n">
        <v>8</v>
      </c>
      <c r="F397" s="100" t="n">
        <v>20</v>
      </c>
      <c r="G397" s="100" t="n">
        <v>160</v>
      </c>
      <c r="H397" s="74" t="inlineStr">
        <is>
          <t>Rastreamento dos veículos</t>
        </is>
      </c>
    </row>
    <row r="398" ht="15" customHeight="1" s="75">
      <c r="A398" s="74" t="inlineStr">
        <is>
          <t>MAIO/2026</t>
        </is>
      </c>
      <c r="B398" s="74" t="inlineStr">
        <is>
          <t>Frota</t>
        </is>
      </c>
      <c r="C398" s="74" t="inlineStr">
        <is>
          <t>Transporte de produtos</t>
        </is>
      </c>
      <c r="D398" s="74" t="inlineStr">
        <is>
          <t>Voicenet</t>
        </is>
      </c>
      <c r="E398" s="151" t="n">
        <v>1</v>
      </c>
      <c r="F398" s="100" t="n">
        <v>414.35</v>
      </c>
      <c r="G398" s="100" t="n">
        <v>414.35</v>
      </c>
      <c r="H398" s="74" t="inlineStr">
        <is>
          <t>Transportes entre CD01 e empresas no rateio da rota</t>
        </is>
      </c>
    </row>
    <row r="399" ht="15" customHeight="1" s="75">
      <c r="A399" s="74" t="inlineStr">
        <is>
          <t>MAIO/2026</t>
        </is>
      </c>
      <c r="B399" s="74" t="inlineStr">
        <is>
          <t>Frota</t>
        </is>
      </c>
      <c r="C399" s="74" t="inlineStr">
        <is>
          <t>Troca de Oleo e Filtro</t>
        </is>
      </c>
      <c r="D399" s="74" t="inlineStr">
        <is>
          <t>Voicenet</t>
        </is>
      </c>
      <c r="E399" s="151" t="n">
        <v>0</v>
      </c>
      <c r="F399" s="100" t="n">
        <v>0</v>
      </c>
      <c r="G399" s="100" t="n">
        <v>0</v>
      </c>
      <c r="H399" s="74" t="inlineStr">
        <is>
          <t>Manutenção veicular</t>
        </is>
      </c>
    </row>
    <row r="400" ht="15" customHeight="1" s="75">
      <c r="A400" s="74" t="inlineStr">
        <is>
          <t>MAIO/2026</t>
        </is>
      </c>
      <c r="B400" s="74" t="inlineStr">
        <is>
          <t>Instalação</t>
        </is>
      </c>
      <c r="C400" s="74" t="inlineStr">
        <is>
          <t>KM rodado para serviços técnicos DX2 para SOLON</t>
        </is>
      </c>
      <c r="D400" s="74" t="inlineStr">
        <is>
          <t>DX2</t>
        </is>
      </c>
      <c r="E400" s="151" t="n">
        <v>0</v>
      </c>
      <c r="F400" s="100" t="n">
        <v>0</v>
      </c>
      <c r="G400" s="100" t="n">
        <v>0</v>
      </c>
      <c r="H400" s="74" t="inlineStr">
        <is>
          <t>Serviços das equipes dx2 p/ solon</t>
        </is>
      </c>
    </row>
    <row r="401" ht="15" customHeight="1" s="75">
      <c r="A401" s="74" t="inlineStr">
        <is>
          <t>MAIO/2026</t>
        </is>
      </c>
      <c r="B401" s="74" t="inlineStr">
        <is>
          <t>Instalação</t>
        </is>
      </c>
      <c r="C401" s="74" t="inlineStr">
        <is>
          <t>KM rodado para serviços técnicos Dx2 p/ Soares &amp; silva</t>
        </is>
      </c>
      <c r="D401" s="74" t="inlineStr">
        <is>
          <t>DX2</t>
        </is>
      </c>
      <c r="E401" s="151" t="n">
        <v>0</v>
      </c>
      <c r="F401" s="100" t="n">
        <v>0</v>
      </c>
      <c r="G401" s="100" t="n">
        <v>0</v>
      </c>
      <c r="H401" s="74" t="inlineStr">
        <is>
          <t>Serviços das equipes dx2 p/ soares e silva</t>
        </is>
      </c>
    </row>
    <row r="402" ht="15" customHeight="1" s="75">
      <c r="A402" s="74" t="inlineStr">
        <is>
          <t>MAIO/2026</t>
        </is>
      </c>
      <c r="B402" s="74" t="inlineStr">
        <is>
          <t>Instalação</t>
        </is>
      </c>
      <c r="C402" s="74" t="inlineStr">
        <is>
          <t>Serviços técnicos da DX2 P/ SOLON</t>
        </is>
      </c>
      <c r="D402" s="74" t="inlineStr">
        <is>
          <t>DX2</t>
        </is>
      </c>
      <c r="E402" s="151" t="n">
        <v>0</v>
      </c>
      <c r="F402" s="100" t="n">
        <v>0</v>
      </c>
      <c r="G402" s="100" t="n">
        <v>0</v>
      </c>
      <c r="H402" s="74" t="inlineStr">
        <is>
          <t>Serviços das equipes técnicas Dx2 p/ solon</t>
        </is>
      </c>
    </row>
    <row r="403" ht="15" customHeight="1" s="75">
      <c r="A403" s="74" t="inlineStr">
        <is>
          <t>MAIO/2026</t>
        </is>
      </c>
      <c r="B403" s="74" t="inlineStr">
        <is>
          <t>Instalação</t>
        </is>
      </c>
      <c r="C403" s="74" t="inlineStr">
        <is>
          <t>Serviços técnicos da Dx2 p/ Soares &amp; Silva</t>
        </is>
      </c>
      <c r="D403" s="74" t="inlineStr">
        <is>
          <t>DX2</t>
        </is>
      </c>
      <c r="E403" s="151" t="n">
        <v>0</v>
      </c>
      <c r="F403" s="100" t="n">
        <v>0</v>
      </c>
      <c r="G403" s="100" t="n">
        <v>0</v>
      </c>
      <c r="H403" s="74" t="inlineStr">
        <is>
          <t>Serviços das equipes técnicas Dx2 p/ soares e silva</t>
        </is>
      </c>
    </row>
    <row r="404" ht="15" customHeight="1" s="75">
      <c r="A404" s="74" t="inlineStr">
        <is>
          <t>MAIO/2026</t>
        </is>
      </c>
      <c r="B404" s="74" t="inlineStr">
        <is>
          <t>Instalação</t>
        </is>
      </c>
      <c r="C404" s="74" t="inlineStr">
        <is>
          <t>Serviços técnicos da DX2 P/ H&amp;A</t>
        </is>
      </c>
      <c r="D404" s="74" t="inlineStr">
        <is>
          <t>H&amp;A</t>
        </is>
      </c>
      <c r="E404" s="151" t="n">
        <v>1</v>
      </c>
      <c r="F404" s="100" t="n">
        <v>315.66</v>
      </c>
      <c r="G404" s="100" t="n">
        <v>315.66</v>
      </c>
      <c r="H404" s="74" t="inlineStr">
        <is>
          <t>Deslocamento de equipes</t>
        </is>
      </c>
    </row>
    <row r="405" ht="15" customHeight="1" s="75">
      <c r="A405" s="74" t="inlineStr">
        <is>
          <t>MAIO/2026</t>
        </is>
      </c>
      <c r="B405" s="74" t="inlineStr">
        <is>
          <t>Instalação</t>
        </is>
      </c>
      <c r="C405" s="74" t="inlineStr">
        <is>
          <t>km rodado da equipe DX2 para H&amp;A</t>
        </is>
      </c>
      <c r="D405" s="74" t="inlineStr">
        <is>
          <t>H&amp;A</t>
        </is>
      </c>
      <c r="E405" s="151" t="n">
        <v>1</v>
      </c>
      <c r="F405" s="100" t="n">
        <v>345.94</v>
      </c>
      <c r="G405" s="100" t="n">
        <v>345.94</v>
      </c>
      <c r="H405" s="74" t="inlineStr">
        <is>
          <t>Serviços das equipes técnicas Dtel</t>
        </is>
      </c>
    </row>
    <row r="406" ht="15" customHeight="1" s="75">
      <c r="A406" s="74" t="inlineStr">
        <is>
          <t>MAIO/2026</t>
        </is>
      </c>
      <c r="B406" s="74" t="inlineStr">
        <is>
          <t>Instalação</t>
        </is>
      </c>
      <c r="C406" s="74" t="inlineStr">
        <is>
          <t>KM rodado para serviços técnicos Dtel p/ S&amp;L</t>
        </is>
      </c>
      <c r="D406" s="74" t="inlineStr">
        <is>
          <t>Soares e Lins</t>
        </is>
      </c>
      <c r="E406" s="151" t="n">
        <v>0</v>
      </c>
      <c r="F406" s="100" t="n">
        <v>0</v>
      </c>
      <c r="G406" s="100" t="n">
        <v>0</v>
      </c>
      <c r="H406" s="74" t="inlineStr">
        <is>
          <t>Deslocamento de equipes dtel</t>
        </is>
      </c>
    </row>
    <row r="407" ht="15" customHeight="1" s="75">
      <c r="A407" s="74" t="inlineStr">
        <is>
          <t>MAIO/2026</t>
        </is>
      </c>
      <c r="B407" s="74" t="inlineStr">
        <is>
          <t>Instalação</t>
        </is>
      </c>
      <c r="C407" s="74" t="inlineStr">
        <is>
          <t>KM rodado para serviços técnicos S&amp;L para DTEL</t>
        </is>
      </c>
      <c r="D407" s="74" t="inlineStr">
        <is>
          <t>Soares e Lins</t>
        </is>
      </c>
      <c r="E407" s="151" t="n">
        <v>0</v>
      </c>
      <c r="F407" s="100" t="n">
        <v>0</v>
      </c>
      <c r="G407" s="100" t="n">
        <v>0</v>
      </c>
      <c r="H407" s="74" t="inlineStr">
        <is>
          <t>Deslocamento de equipes soares e lins</t>
        </is>
      </c>
    </row>
    <row r="408" ht="15" customHeight="1" s="75">
      <c r="A408" s="74" t="inlineStr">
        <is>
          <t>MAIO/2026</t>
        </is>
      </c>
      <c r="B408" s="74" t="inlineStr">
        <is>
          <t>Instalação</t>
        </is>
      </c>
      <c r="C408" s="74" t="inlineStr">
        <is>
          <t>KM rodado para serviços técnicos da S&amp;L para DTEL</t>
        </is>
      </c>
      <c r="D408" s="74" t="inlineStr">
        <is>
          <t>Soares e Lins</t>
        </is>
      </c>
      <c r="E408" s="151" t="n">
        <v>0</v>
      </c>
      <c r="F408" s="100" t="n">
        <v>0</v>
      </c>
      <c r="G408" s="100" t="n">
        <v>0</v>
      </c>
      <c r="H408" s="74" t="inlineStr">
        <is>
          <t>Deslocamento de equipes</t>
        </is>
      </c>
    </row>
    <row r="409" ht="15" customHeight="1" s="75">
      <c r="A409" s="74" t="inlineStr">
        <is>
          <t>MAIO/2026</t>
        </is>
      </c>
      <c r="B409" s="74" t="inlineStr">
        <is>
          <t>Instalação</t>
        </is>
      </c>
      <c r="C409" s="74" t="inlineStr">
        <is>
          <t>Serviços técnicos da Dtel para S&amp;L</t>
        </is>
      </c>
      <c r="D409" s="74" t="inlineStr">
        <is>
          <t>Soares e Lins</t>
        </is>
      </c>
      <c r="E409" s="151" t="n">
        <v>0</v>
      </c>
      <c r="F409" s="100" t="n">
        <v>0</v>
      </c>
      <c r="G409" s="100" t="n">
        <v>0</v>
      </c>
      <c r="H409" s="74" t="inlineStr">
        <is>
          <t>Serviços da equipe técnica</t>
        </is>
      </c>
    </row>
    <row r="410" ht="15" customHeight="1" s="75">
      <c r="A410" s="74" t="inlineStr">
        <is>
          <t>MAIO/2026</t>
        </is>
      </c>
      <c r="B410" s="74" t="inlineStr">
        <is>
          <t>Instalação</t>
        </is>
      </c>
      <c r="C410" s="74" t="inlineStr">
        <is>
          <t>Serviços técnicos da S&amp;L para DTEL</t>
        </is>
      </c>
      <c r="D410" s="74" t="inlineStr">
        <is>
          <t>Soares e Lins</t>
        </is>
      </c>
      <c r="E410" s="151" t="n">
        <v>0</v>
      </c>
      <c r="F410" s="100" t="n">
        <v>0</v>
      </c>
      <c r="G410" s="100" t="n">
        <v>0</v>
      </c>
      <c r="H410" s="74" t="inlineStr">
        <is>
          <t>Serviços da equipe técnica</t>
        </is>
      </c>
    </row>
    <row r="411" ht="15" customHeight="1" s="75">
      <c r="A411" s="74" t="inlineStr">
        <is>
          <t>MAIO/2026</t>
        </is>
      </c>
      <c r="B411" s="74" t="inlineStr">
        <is>
          <t>Instalação</t>
        </is>
      </c>
      <c r="C411" s="74" t="inlineStr">
        <is>
          <t>Supervisor JOSUE DE MOURA SILVA JUNIOR</t>
        </is>
      </c>
      <c r="D411" s="74" t="inlineStr">
        <is>
          <t>Soares e Lins</t>
        </is>
      </c>
      <c r="E411" s="151" t="n">
        <v>1</v>
      </c>
      <c r="F411" s="100" t="n">
        <v>2438.04</v>
      </c>
      <c r="G411" s="100" t="n">
        <v>2438.04</v>
      </c>
      <c r="H411" s="74" t="inlineStr">
        <is>
          <t>Despesa dividida entre s&amp;l e dtel pelo supervisor JOSUE estar assumindo as bases</t>
        </is>
      </c>
    </row>
    <row r="412" ht="15" customHeight="1" s="75">
      <c r="A412" s="74" t="inlineStr">
        <is>
          <t>MAIO/2026</t>
        </is>
      </c>
      <c r="B412" s="74" t="inlineStr">
        <is>
          <t>Instalação</t>
        </is>
      </c>
      <c r="C412" s="74" t="inlineStr">
        <is>
          <t>KM rodado para serviços técnicos Dx2 p/ soares e silva</t>
        </is>
      </c>
      <c r="D412" s="74" t="inlineStr">
        <is>
          <t>Soares e Silva</t>
        </is>
      </c>
      <c r="E412" s="151" t="n">
        <v>0</v>
      </c>
      <c r="F412" s="100" t="n">
        <v>0</v>
      </c>
      <c r="G412" s="100" t="n">
        <v>0</v>
      </c>
      <c r="H412" s="74" t="inlineStr">
        <is>
          <t>Deslocamento de equipes</t>
        </is>
      </c>
    </row>
    <row r="413" ht="15" customHeight="1" s="75">
      <c r="A413" s="74" t="inlineStr">
        <is>
          <t>MAIO/2026</t>
        </is>
      </c>
      <c r="B413" s="74" t="inlineStr">
        <is>
          <t>Instalação</t>
        </is>
      </c>
      <c r="C413" s="74" t="inlineStr">
        <is>
          <t>Serviços técnicos da Dx2 p/ soares e silva</t>
        </is>
      </c>
      <c r="D413" s="74" t="inlineStr">
        <is>
          <t>Soares e Silva</t>
        </is>
      </c>
      <c r="E413" s="151" t="n">
        <v>0</v>
      </c>
      <c r="F413" s="100" t="n">
        <v>0</v>
      </c>
      <c r="G413" s="100" t="n">
        <v>0</v>
      </c>
      <c r="H413" s="74" t="inlineStr">
        <is>
          <t>Serviços das equipes técnicas</t>
        </is>
      </c>
    </row>
    <row r="414" ht="15" customHeight="1" s="75">
      <c r="A414" s="74" t="inlineStr">
        <is>
          <t>MAIO/2026</t>
        </is>
      </c>
      <c r="B414" s="74" t="inlineStr">
        <is>
          <t>Instalação</t>
        </is>
      </c>
      <c r="C414" s="74" t="inlineStr">
        <is>
          <t>KM rodado para serviços técnicos Souza e Silva p/ Solon</t>
        </is>
      </c>
      <c r="D414" s="74" t="inlineStr">
        <is>
          <t>Solon Araújo</t>
        </is>
      </c>
      <c r="E414" s="151" t="n">
        <v>0</v>
      </c>
      <c r="F414" s="100" t="n">
        <v>0</v>
      </c>
      <c r="G414" s="100" t="n">
        <v>0</v>
      </c>
      <c r="H414" s="74" t="inlineStr">
        <is>
          <t>Deslocamento de equipes da DTEL</t>
        </is>
      </c>
    </row>
    <row r="415" ht="15" customHeight="1" s="75">
      <c r="A415" s="74" t="inlineStr">
        <is>
          <t>MAIO/2026</t>
        </is>
      </c>
      <c r="B415" s="74" t="inlineStr">
        <is>
          <t>Instalação</t>
        </is>
      </c>
      <c r="C415" s="74" t="inlineStr">
        <is>
          <t>KM rodado para serviços técnicos dx2 p/ Solon</t>
        </is>
      </c>
      <c r="D415" s="74" t="inlineStr">
        <is>
          <t>Solon Araújo</t>
        </is>
      </c>
      <c r="E415" s="151" t="n">
        <v>0</v>
      </c>
      <c r="F415" s="100" t="n">
        <v>0</v>
      </c>
      <c r="G415" s="100" t="n">
        <v>0</v>
      </c>
      <c r="H415" s="74" t="inlineStr">
        <is>
          <t>Serviços das equipes dx2 p/ solon</t>
        </is>
      </c>
    </row>
    <row r="416" ht="15" customHeight="1" s="75">
      <c r="A416" s="74" t="inlineStr">
        <is>
          <t>MAIO/2026</t>
        </is>
      </c>
      <c r="B416" s="74" t="inlineStr">
        <is>
          <t>Instalação</t>
        </is>
      </c>
      <c r="C416" s="74" t="inlineStr">
        <is>
          <t>Serviços técnicos da Dx2 p/ Solon</t>
        </is>
      </c>
      <c r="D416" s="74" t="inlineStr">
        <is>
          <t>Solon Araújo</t>
        </is>
      </c>
      <c r="E416" s="151" t="n">
        <v>0</v>
      </c>
      <c r="F416" s="100" t="n">
        <v>0</v>
      </c>
      <c r="G416" s="100" t="n">
        <v>0</v>
      </c>
      <c r="H416" s="74" t="inlineStr">
        <is>
          <t>Serviços das equipes técnicas Dx2 p/ solon</t>
        </is>
      </c>
    </row>
    <row r="417" ht="15" customHeight="1" s="75">
      <c r="A417" s="74" t="inlineStr">
        <is>
          <t>MAIO/2026</t>
        </is>
      </c>
      <c r="B417" s="74" t="inlineStr">
        <is>
          <t>Instalação</t>
        </is>
      </c>
      <c r="C417" s="74" t="inlineStr">
        <is>
          <t>Serviços técnicos da Souza p/ Solon</t>
        </is>
      </c>
      <c r="D417" s="74" t="inlineStr">
        <is>
          <t>Solon Araújo</t>
        </is>
      </c>
      <c r="E417" s="151" t="n">
        <v>0</v>
      </c>
      <c r="F417" s="100" t="n">
        <v>0</v>
      </c>
      <c r="G417" s="100" t="n">
        <v>0</v>
      </c>
      <c r="H417" s="74" t="inlineStr">
        <is>
          <t>Serviços das equipes técnicas Dtel</t>
        </is>
      </c>
    </row>
    <row r="418" ht="15" customHeight="1" s="75">
      <c r="A418" s="74" t="inlineStr">
        <is>
          <t>MAIO/2026</t>
        </is>
      </c>
      <c r="B418" s="74" t="inlineStr">
        <is>
          <t>Instalação</t>
        </is>
      </c>
      <c r="C418" s="74" t="inlineStr">
        <is>
          <t>KM rodado para serviços técnicos Souza e Silva p/ Solon</t>
        </is>
      </c>
      <c r="D418" s="74" t="inlineStr">
        <is>
          <t>Souza e Silva</t>
        </is>
      </c>
      <c r="E418" s="151" t="n">
        <v>0</v>
      </c>
      <c r="F418" s="100" t="n">
        <v>0</v>
      </c>
      <c r="G418" s="100" t="n">
        <v>0</v>
      </c>
      <c r="H418" s="74" t="inlineStr">
        <is>
          <t>Deslocamento de equipes</t>
        </is>
      </c>
    </row>
    <row r="419" ht="15" customHeight="1" s="75">
      <c r="A419" s="74" t="inlineStr">
        <is>
          <t>MAIO/2026</t>
        </is>
      </c>
      <c r="B419" s="74" t="inlineStr">
        <is>
          <t>Instalação</t>
        </is>
      </c>
      <c r="C419" s="74" t="inlineStr">
        <is>
          <t>KM rodado para serviços técnicos Souza e silva p/ soares e silva</t>
        </is>
      </c>
      <c r="D419" s="74" t="inlineStr">
        <is>
          <t>Souza e Silva</t>
        </is>
      </c>
      <c r="E419" s="151" t="n">
        <v>0</v>
      </c>
      <c r="F419" s="100" t="n">
        <v>0</v>
      </c>
      <c r="G419" s="100" t="n">
        <v>0</v>
      </c>
      <c r="H419" s="74" t="inlineStr">
        <is>
          <t>Deslocamento de equipes</t>
        </is>
      </c>
    </row>
    <row r="420" ht="15" customHeight="1" s="75">
      <c r="A420" s="74" t="inlineStr">
        <is>
          <t>MAIO/2026</t>
        </is>
      </c>
      <c r="B420" s="74" t="inlineStr">
        <is>
          <t>Instalação</t>
        </is>
      </c>
      <c r="C420" s="74" t="inlineStr">
        <is>
          <t>Serviços técnicos da Souza e silva p/ soares e silva</t>
        </is>
      </c>
      <c r="D420" s="74" t="inlineStr">
        <is>
          <t>Souza e Silva</t>
        </is>
      </c>
      <c r="E420" s="151" t="n">
        <v>0</v>
      </c>
      <c r="F420" s="100" t="n">
        <v>0</v>
      </c>
      <c r="G420" s="100" t="n">
        <v>0</v>
      </c>
      <c r="H420" s="74" t="inlineStr">
        <is>
          <t>Serviços das equipes técnicas</t>
        </is>
      </c>
    </row>
    <row r="421" ht="15" customHeight="1" s="75">
      <c r="A421" s="74" t="inlineStr">
        <is>
          <t>MAIO/2026</t>
        </is>
      </c>
      <c r="B421" s="74" t="inlineStr">
        <is>
          <t>Instalação</t>
        </is>
      </c>
      <c r="C421" s="74" t="inlineStr">
        <is>
          <t>Serviços técnicos da Souza p/ Solon</t>
        </is>
      </c>
      <c r="D421" s="74" t="inlineStr">
        <is>
          <t>Souza e Silva</t>
        </is>
      </c>
      <c r="E421" s="151" t="n">
        <v>0</v>
      </c>
      <c r="F421" s="100" t="n">
        <v>0</v>
      </c>
      <c r="G421" s="100" t="n">
        <v>0</v>
      </c>
      <c r="H421" s="74" t="inlineStr">
        <is>
          <t>Serviços das equipes técnicas da Dtel</t>
        </is>
      </c>
    </row>
    <row r="422" ht="15" customHeight="1" s="75">
      <c r="A422" s="74" t="inlineStr">
        <is>
          <t>MAIO/2026</t>
        </is>
      </c>
      <c r="B422" s="74" t="inlineStr">
        <is>
          <t>Instalação</t>
        </is>
      </c>
      <c r="C422" s="74" t="inlineStr">
        <is>
          <t>Gestão Regional MICHELANGELO</t>
        </is>
      </c>
      <c r="D422" s="74" t="inlineStr">
        <is>
          <t>Voicenet</t>
        </is>
      </c>
      <c r="E422" s="151" t="n">
        <v>4782</v>
      </c>
      <c r="F422" s="100" t="n">
        <v>1.01</v>
      </c>
      <c r="G422" s="100" t="n">
        <v>4829.82</v>
      </c>
      <c r="H422" s="74" t="inlineStr">
        <is>
          <t>Cálculo por número de clientes ativos</t>
        </is>
      </c>
    </row>
    <row r="423" ht="15" customHeight="1" s="75">
      <c r="A423" s="74" t="inlineStr">
        <is>
          <t>MAIO/2026</t>
        </is>
      </c>
      <c r="B423" s="74" t="inlineStr">
        <is>
          <t>Instalação</t>
        </is>
      </c>
      <c r="C423" s="74" t="inlineStr">
        <is>
          <t>KM rodado para serviços técnicos Dtel para Voicenet</t>
        </is>
      </c>
      <c r="D423" s="74" t="inlineStr">
        <is>
          <t>Voicenet</t>
        </is>
      </c>
      <c r="E423" s="151" t="n">
        <v>1</v>
      </c>
      <c r="F423" s="100" t="n">
        <v>2480.38</v>
      </c>
      <c r="G423" s="100" t="n">
        <v>2480.38</v>
      </c>
      <c r="H423" s="74" t="inlineStr">
        <is>
          <t>Deslocamento de equipes</t>
        </is>
      </c>
    </row>
    <row r="424" ht="15" customHeight="1" s="75">
      <c r="A424" s="74" t="inlineStr">
        <is>
          <t>MAIO/2026</t>
        </is>
      </c>
      <c r="B424" s="74" t="inlineStr">
        <is>
          <t>Instalação</t>
        </is>
      </c>
      <c r="C424" s="74" t="inlineStr">
        <is>
          <t>KM rodado para serviços técnicos Voicenet p/ Dtel</t>
        </is>
      </c>
      <c r="D424" s="74" t="inlineStr">
        <is>
          <t>Voicenet</t>
        </is>
      </c>
      <c r="E424" s="151" t="n">
        <v>0</v>
      </c>
      <c r="F424" s="100" t="n">
        <v>0</v>
      </c>
      <c r="G424" s="100" t="n">
        <v>0</v>
      </c>
      <c r="H424" s="74" t="inlineStr">
        <is>
          <t>Deslocamento de equipes</t>
        </is>
      </c>
    </row>
    <row r="425" ht="15" customHeight="1" s="75">
      <c r="A425" s="74" t="inlineStr">
        <is>
          <t>MAIO/2026</t>
        </is>
      </c>
      <c r="B425" s="74" t="inlineStr">
        <is>
          <t>Instalação</t>
        </is>
      </c>
      <c r="C425" s="74" t="inlineStr">
        <is>
          <t>Serviços técnicos da Dtel para voice net</t>
        </is>
      </c>
      <c r="D425" s="74" t="inlineStr">
        <is>
          <t>Voicenet</t>
        </is>
      </c>
      <c r="E425" s="151" t="n">
        <v>1</v>
      </c>
      <c r="F425" s="100" t="n">
        <v>13877.08</v>
      </c>
      <c r="G425" s="100" t="n">
        <v>13877.08</v>
      </c>
      <c r="H425" s="74" t="inlineStr">
        <is>
          <t>Serviços das equipes técnicas da Dtel</t>
        </is>
      </c>
    </row>
    <row r="426" ht="15" customHeight="1" s="75">
      <c r="A426" s="74" t="inlineStr">
        <is>
          <t>MAIO/2026</t>
        </is>
      </c>
      <c r="B426" s="74" t="inlineStr">
        <is>
          <t>Instalação</t>
        </is>
      </c>
      <c r="C426" s="74" t="inlineStr">
        <is>
          <t>Serviços técnicos da voicenet p/ Dtel</t>
        </is>
      </c>
      <c r="D426" s="74" t="inlineStr">
        <is>
          <t>Voicenet</t>
        </is>
      </c>
      <c r="E426" s="151" t="n">
        <v>0</v>
      </c>
      <c r="F426" s="100" t="n">
        <v>0</v>
      </c>
      <c r="G426" s="100" t="n">
        <v>0</v>
      </c>
      <c r="H426" s="74" t="inlineStr">
        <is>
          <t>Serviços das equipes técnicas</t>
        </is>
      </c>
    </row>
    <row r="427" ht="15" customHeight="1" s="75">
      <c r="A427" s="74" t="inlineStr">
        <is>
          <t>MAIO/2026</t>
        </is>
      </c>
      <c r="B427" s="74" t="inlineStr">
        <is>
          <t>Licitação</t>
        </is>
      </c>
      <c r="C427" s="74" t="inlineStr">
        <is>
          <t>Conselho Regional De Enfermagem De Alagoas</t>
        </is>
      </c>
      <c r="D427" s="74" t="inlineStr">
        <is>
          <t>H&amp;A</t>
        </is>
      </c>
      <c r="E427" s="151" t="n">
        <v>1</v>
      </c>
      <c r="F427" s="100" t="n">
        <v>238.88</v>
      </c>
      <c r="G427" s="100" t="n">
        <v>238.88</v>
      </c>
      <c r="H427" s="74" t="inlineStr">
        <is>
          <t>Mensalidade recebida pela H&amp;A (parcela maio)</t>
        </is>
      </c>
    </row>
    <row r="428" ht="15" customHeight="1" s="75">
      <c r="A428" s="74" t="inlineStr">
        <is>
          <t>MAIO/2026</t>
        </is>
      </c>
      <c r="B428" s="74" t="inlineStr">
        <is>
          <t>Licitação</t>
        </is>
      </c>
      <c r="C428" s="74" t="inlineStr">
        <is>
          <t>Conselho Regional de Enfermagem de Pernambuco - Coren PE</t>
        </is>
      </c>
      <c r="D428" s="74" t="inlineStr">
        <is>
          <t>H&amp;A</t>
        </is>
      </c>
      <c r="E428" s="151" t="n">
        <v>1</v>
      </c>
      <c r="F428" s="100" t="n">
        <v>609.17</v>
      </c>
      <c r="G428" s="100" t="n">
        <v>609.17</v>
      </c>
      <c r="H428" s="74" t="inlineStr">
        <is>
          <t>Mensalidade recebida pela H&amp;A (parcela maio)</t>
        </is>
      </c>
    </row>
    <row r="429" ht="15" customHeight="1" s="75">
      <c r="A429" s="74" t="inlineStr">
        <is>
          <t>MAIO/2026</t>
        </is>
      </c>
      <c r="B429" s="74" t="inlineStr">
        <is>
          <t>Licitação</t>
        </is>
      </c>
      <c r="C429" s="74" t="inlineStr">
        <is>
          <t>Conselho regional de farmacia dos estado de pernambuco</t>
        </is>
      </c>
      <c r="D429" s="74" t="inlineStr">
        <is>
          <t>H&amp;A</t>
        </is>
      </c>
      <c r="E429" s="151" t="n">
        <v>1</v>
      </c>
      <c r="F429" s="100" t="n">
        <v>510</v>
      </c>
      <c r="G429" s="100" t="n">
        <v>510</v>
      </c>
      <c r="H429" s="74" t="inlineStr">
        <is>
          <t>Mensalidade recebida pela H&amp;A (parcela maio)</t>
        </is>
      </c>
    </row>
    <row r="430" ht="15" customHeight="1" s="75">
      <c r="A430" s="74" t="inlineStr">
        <is>
          <t>MAIO/2026</t>
        </is>
      </c>
      <c r="B430" s="74" t="inlineStr">
        <is>
          <t>Licitação</t>
        </is>
      </c>
      <c r="C430" s="74" t="inlineStr">
        <is>
          <t>Câmara de vereadores-Vitória de Stº Antão</t>
        </is>
      </c>
      <c r="D430" s="74" t="inlineStr">
        <is>
          <t>H&amp;A</t>
        </is>
      </c>
      <c r="E430" s="151" t="n">
        <v>1</v>
      </c>
      <c r="F430" s="100" t="n">
        <v>333.1</v>
      </c>
      <c r="G430" s="100" t="n">
        <v>333.1</v>
      </c>
      <c r="H430" s="74" t="inlineStr">
        <is>
          <t>Mensalidade recebida pela H&amp;A (parcela junho)</t>
        </is>
      </c>
    </row>
    <row r="431" ht="15" customHeight="1" s="75">
      <c r="A431" s="74" t="inlineStr">
        <is>
          <t>MAIO/2026</t>
        </is>
      </c>
      <c r="B431" s="74" t="inlineStr">
        <is>
          <t>Licitação</t>
        </is>
      </c>
      <c r="C431" s="74" t="inlineStr">
        <is>
          <t>FUNDO MUNICIPAL DE ASSISTÊNCIA SOCIAL DE PRIMAVERA</t>
        </is>
      </c>
      <c r="D431" s="74" t="inlineStr">
        <is>
          <t>H&amp;A</t>
        </is>
      </c>
      <c r="E431" s="151" t="n">
        <v>1</v>
      </c>
      <c r="F431" s="100" t="n">
        <v>1833.24</v>
      </c>
      <c r="G431" s="100" t="n">
        <v>1833.24</v>
      </c>
      <c r="H431" s="74" t="inlineStr">
        <is>
          <t>Mensalidade recebida pela H&amp;A (parcela maio)</t>
        </is>
      </c>
    </row>
    <row r="432" ht="15" customHeight="1" s="75">
      <c r="A432" s="74" t="inlineStr">
        <is>
          <t>MAIO/2026</t>
        </is>
      </c>
      <c r="B432" s="74" t="inlineStr">
        <is>
          <t>Licitação</t>
        </is>
      </c>
      <c r="C432" s="74" t="inlineStr">
        <is>
          <t>Fundo Municipal De Saude De Primavera</t>
        </is>
      </c>
      <c r="D432" s="74" t="inlineStr">
        <is>
          <t>H&amp;A</t>
        </is>
      </c>
      <c r="E432" s="151" t="n">
        <v>1</v>
      </c>
      <c r="F432" s="100" t="n">
        <v>2973.2</v>
      </c>
      <c r="G432" s="100" t="n">
        <v>2973.2</v>
      </c>
      <c r="H432" s="74" t="inlineStr">
        <is>
          <t>Mensalidade recebida pela H&amp;A (parcela maio)</t>
        </is>
      </c>
    </row>
    <row r="433" ht="15" customHeight="1" s="75">
      <c r="A433" s="74" t="inlineStr">
        <is>
          <t>MAIO/2026</t>
        </is>
      </c>
      <c r="B433" s="74" t="inlineStr">
        <is>
          <t>Licitação</t>
        </is>
      </c>
      <c r="C433" s="74" t="inlineStr">
        <is>
          <t>Municipio De Primavera</t>
        </is>
      </c>
      <c r="D433" s="74" t="inlineStr">
        <is>
          <t>H&amp;A</t>
        </is>
      </c>
      <c r="E433" s="151" t="n">
        <v>1</v>
      </c>
      <c r="F433" s="100" t="n">
        <v>7615.46</v>
      </c>
      <c r="G433" s="100" t="n">
        <v>7615.46</v>
      </c>
      <c r="H433" s="74" t="inlineStr">
        <is>
          <t>Mensalidade recebida pela H&amp;A (parcela maio)</t>
        </is>
      </c>
    </row>
    <row r="434" ht="15" customHeight="1" s="75">
      <c r="A434" s="74" t="inlineStr">
        <is>
          <t>MAIO/2026</t>
        </is>
      </c>
      <c r="B434" s="74" t="inlineStr">
        <is>
          <t>Licitação</t>
        </is>
      </c>
      <c r="C434" s="74" t="inlineStr">
        <is>
          <t>AGÊNCIA REGULADORA DOS SERVIÇOS PÚBLICOS DO ESTADO DE ALAGOAS - ARSAL</t>
        </is>
      </c>
      <c r="D434" s="74" t="inlineStr">
        <is>
          <t>Soares e Silva</t>
        </is>
      </c>
      <c r="E434" s="151" t="n">
        <v>-1</v>
      </c>
      <c r="F434" s="100" t="n">
        <v>837.25</v>
      </c>
      <c r="G434" s="100" t="n">
        <v>-837.25</v>
      </c>
      <c r="H434" s="74" t="inlineStr">
        <is>
          <t>Mensalidade recebida pela Dtel (parcela abril)</t>
        </is>
      </c>
    </row>
    <row r="435" ht="15" customHeight="1" s="75">
      <c r="A435" s="74" t="inlineStr">
        <is>
          <t>MAIO/2026</t>
        </is>
      </c>
      <c r="B435" s="74" t="inlineStr">
        <is>
          <t>Licitação</t>
        </is>
      </c>
      <c r="C435" s="74" t="inlineStr">
        <is>
          <t>Conselho Regional De Enfermagem De Alagoas</t>
        </is>
      </c>
      <c r="D435" s="74" t="inlineStr">
        <is>
          <t>Soares e Silva</t>
        </is>
      </c>
      <c r="E435" s="151" t="n">
        <v>-1</v>
      </c>
      <c r="F435" s="100" t="n">
        <v>238.88</v>
      </c>
      <c r="G435" s="100" t="n">
        <v>-238.88</v>
      </c>
      <c r="H435" s="74" t="inlineStr">
        <is>
          <t>Imposto pago pela h&amp;a sob o recebimento da licitação</t>
        </is>
      </c>
    </row>
    <row r="436" ht="15" customHeight="1" s="75">
      <c r="A436" s="74" t="inlineStr">
        <is>
          <t>MAIO/2026</t>
        </is>
      </c>
      <c r="B436" s="74" t="inlineStr">
        <is>
          <t>Licitação</t>
        </is>
      </c>
      <c r="C436" s="74" t="inlineStr">
        <is>
          <t>Conselho Regional De Enfermagem De Alagoas</t>
        </is>
      </c>
      <c r="D436" s="74" t="inlineStr">
        <is>
          <t>Soares e Silva</t>
        </is>
      </c>
      <c r="E436" s="151" t="n">
        <v>-1</v>
      </c>
      <c r="F436" s="100" t="n">
        <v>238.88</v>
      </c>
      <c r="G436" s="100" t="n">
        <v>-238.88</v>
      </c>
      <c r="H436" s="74" t="inlineStr">
        <is>
          <t>Mensalidade recebida pela H&amp;A (parcela maio)</t>
        </is>
      </c>
    </row>
    <row r="437" ht="15" customHeight="1" s="75">
      <c r="A437" s="74" t="inlineStr">
        <is>
          <t>MAIO/2026</t>
        </is>
      </c>
      <c r="B437" s="74" t="inlineStr">
        <is>
          <t>Licitação</t>
        </is>
      </c>
      <c r="C437" s="74" t="inlineStr">
        <is>
          <t>Conselho regional de farmacia dos estado de pernambuco</t>
        </is>
      </c>
      <c r="D437" s="74" t="inlineStr">
        <is>
          <t>Voicenet</t>
        </is>
      </c>
      <c r="E437" s="151" t="n">
        <v>1</v>
      </c>
      <c r="F437" s="100" t="n">
        <v>67.33</v>
      </c>
      <c r="G437" s="100" t="n">
        <v>67.33</v>
      </c>
      <c r="H437" s="74" t="inlineStr">
        <is>
          <t>Imposto pago pela h&amp;a, pelo recebimento da licitação</t>
        </is>
      </c>
    </row>
    <row r="438" ht="15" customHeight="1" s="75">
      <c r="A438" s="74" t="inlineStr">
        <is>
          <t>MAIO/2026</t>
        </is>
      </c>
      <c r="B438" s="74" t="inlineStr">
        <is>
          <t>Licitação</t>
        </is>
      </c>
      <c r="C438" s="74" t="inlineStr">
        <is>
          <t>Conselho regional de farmacia dos estado de pernambuco</t>
        </is>
      </c>
      <c r="D438" s="74" t="inlineStr">
        <is>
          <t>Voicenet</t>
        </is>
      </c>
      <c r="E438" s="151" t="n">
        <v>-1</v>
      </c>
      <c r="F438" s="100" t="n">
        <v>510</v>
      </c>
      <c r="G438" s="100" t="n">
        <v>-510</v>
      </c>
      <c r="H438" s="74" t="inlineStr">
        <is>
          <t>Mensalidade recebida pela H&amp;A (parcela maio)</t>
        </is>
      </c>
    </row>
    <row r="439" ht="15" customHeight="1" s="75">
      <c r="A439" s="74" t="inlineStr">
        <is>
          <t>MAIO/2026</t>
        </is>
      </c>
      <c r="B439" s="74" t="inlineStr">
        <is>
          <t>Manutenção Predial</t>
        </is>
      </c>
      <c r="C439" s="74" t="inlineStr">
        <is>
          <t>Manutenção predial</t>
        </is>
      </c>
      <c r="D439" s="74" t="inlineStr">
        <is>
          <t>DX2</t>
        </is>
      </c>
      <c r="E439" s="151" t="n">
        <v>1</v>
      </c>
      <c r="F439" s="100" t="n">
        <v>1583.45</v>
      </c>
      <c r="G439" s="100" t="n">
        <v>1583.45</v>
      </c>
      <c r="H439" s="74" t="inlineStr">
        <is>
          <t>Serviços para verificação de tacaimbó, e projeto de expansão de pesqueira</t>
        </is>
      </c>
    </row>
    <row r="440" ht="15" customHeight="1" s="75">
      <c r="A440" s="74" t="inlineStr">
        <is>
          <t>MAIO/2026</t>
        </is>
      </c>
      <c r="B440" s="74" t="inlineStr">
        <is>
          <t>Manutenção Predial</t>
        </is>
      </c>
      <c r="C440" s="74" t="inlineStr">
        <is>
          <t>Manutenção predial</t>
        </is>
      </c>
      <c r="D440" s="74" t="inlineStr">
        <is>
          <t>H&amp;A</t>
        </is>
      </c>
      <c r="E440" s="151" t="n">
        <v>1</v>
      </c>
      <c r="F440" s="100" t="n">
        <v>1138.52</v>
      </c>
      <c r="G440" s="100" t="n">
        <v>1138.52</v>
      </c>
      <c r="H440" s="74" t="inlineStr">
        <is>
          <t>Despesa com combust. e colaborador para manutenção de ar condicionado e instalação de led da fachada</t>
        </is>
      </c>
    </row>
    <row r="441" ht="15" customHeight="1" s="75">
      <c r="A441" s="74" t="inlineStr">
        <is>
          <t>MAIO/2026</t>
        </is>
      </c>
      <c r="B441" s="74" t="inlineStr">
        <is>
          <t>Manutenção Predial</t>
        </is>
      </c>
      <c r="C441" s="74" t="inlineStr">
        <is>
          <t>Manutenção predial</t>
        </is>
      </c>
      <c r="D441" s="74" t="inlineStr">
        <is>
          <t>Soares e Lins</t>
        </is>
      </c>
      <c r="E441" s="151" t="n">
        <v>0</v>
      </c>
      <c r="F441" s="100" t="n">
        <v>0</v>
      </c>
      <c r="G441" s="100" t="n">
        <v>0</v>
      </c>
      <c r="H441" s="74" t="inlineStr">
        <is>
          <t>Serviços executados</t>
        </is>
      </c>
    </row>
    <row r="442" ht="15" customHeight="1" s="75">
      <c r="A442" s="74" t="inlineStr">
        <is>
          <t>MAIO/2026</t>
        </is>
      </c>
      <c r="B442" s="74" t="inlineStr">
        <is>
          <t>Manutenção Predial</t>
        </is>
      </c>
      <c r="C442" s="74" t="inlineStr">
        <is>
          <t>Manutenção predial</t>
        </is>
      </c>
      <c r="D442" s="74" t="inlineStr">
        <is>
          <t>Soares e Silva</t>
        </is>
      </c>
      <c r="E442" s="151" t="n">
        <v>1</v>
      </c>
      <c r="F442" s="100" t="n">
        <v>1989.74</v>
      </c>
      <c r="G442" s="100" t="n">
        <v>1989.74</v>
      </c>
      <c r="H442" s="74" t="inlineStr">
        <is>
          <t>Serviços executados, despesa com combustÍvel e colaborador inst. dos aramados do pop novo, troca de retificadora</t>
        </is>
      </c>
    </row>
    <row r="443" ht="15" customHeight="1" s="75">
      <c r="A443" s="74" t="inlineStr">
        <is>
          <t>MAIO/2026</t>
        </is>
      </c>
      <c r="B443" s="74" t="inlineStr">
        <is>
          <t>Manutenção Predial</t>
        </is>
      </c>
      <c r="C443" s="74" t="inlineStr">
        <is>
          <t>Manutenção predial</t>
        </is>
      </c>
      <c r="D443" s="74" t="inlineStr">
        <is>
          <t>Solon Araújo</t>
        </is>
      </c>
      <c r="E443" s="151" t="n">
        <v>0</v>
      </c>
      <c r="F443" s="100" t="n">
        <v>0</v>
      </c>
      <c r="G443" s="100" t="n">
        <v>0</v>
      </c>
      <c r="H443" s="74" t="inlineStr">
        <is>
          <t>Despesa com material, combust, e colaborador para manut. de ar, e manut. de telhado</t>
        </is>
      </c>
    </row>
    <row r="444" ht="15" customHeight="1" s="75">
      <c r="A444" s="74" t="inlineStr">
        <is>
          <t>MAIO/2026</t>
        </is>
      </c>
      <c r="B444" s="74" t="inlineStr">
        <is>
          <t>Manutenção Predial</t>
        </is>
      </c>
      <c r="C444" s="74" t="inlineStr">
        <is>
          <t>Manutenção predial</t>
        </is>
      </c>
      <c r="D444" s="74" t="inlineStr">
        <is>
          <t>Souza e Silva</t>
        </is>
      </c>
      <c r="E444" s="151" t="n">
        <v>0</v>
      </c>
      <c r="F444" s="100" t="n">
        <v>0</v>
      </c>
      <c r="G444" s="100" t="n">
        <v>0</v>
      </c>
      <c r="H444" s="74" t="inlineStr">
        <is>
          <t>Serviços executados</t>
        </is>
      </c>
    </row>
    <row r="445" ht="15" customHeight="1" s="75">
      <c r="A445" s="74" t="inlineStr">
        <is>
          <t>MAIO/2026</t>
        </is>
      </c>
      <c r="B445" s="74" t="inlineStr">
        <is>
          <t>Marketing</t>
        </is>
      </c>
      <c r="C445" s="74" t="inlineStr">
        <is>
          <t>Vendas do site Mundiale</t>
        </is>
      </c>
      <c r="D445" s="74" t="inlineStr">
        <is>
          <t>DTEL</t>
        </is>
      </c>
      <c r="E445" s="151" t="n">
        <v>119</v>
      </c>
      <c r="F445" s="100" t="n">
        <v>122.31</v>
      </c>
      <c r="G445" s="100" t="n">
        <v>14554.89</v>
      </c>
      <c r="H445" s="74" t="inlineStr">
        <is>
          <t>Vendas instaladas do impulsionamento site mundiale (VENDAS MUNDIALE - MAIO 2026.xlsx)</t>
        </is>
      </c>
    </row>
    <row r="446" ht="15" customHeight="1" s="75">
      <c r="A446" s="74" t="inlineStr">
        <is>
          <t>MAIO/2026</t>
        </is>
      </c>
      <c r="B446" s="74" t="inlineStr">
        <is>
          <t>Marketing</t>
        </is>
      </c>
      <c r="C446" s="74" t="inlineStr">
        <is>
          <t>Vendas do site Mundiale</t>
        </is>
      </c>
      <c r="D446" s="74" t="inlineStr">
        <is>
          <t>DTEL</t>
        </is>
      </c>
      <c r="E446" s="151" t="n">
        <v>119</v>
      </c>
      <c r="F446" s="100" t="n">
        <v>122.31</v>
      </c>
      <c r="G446" s="100" t="n">
        <v>14554.89</v>
      </c>
      <c r="H446" s="74" t="inlineStr">
        <is>
          <t>Vendas instaladas do impulsionamento site mundiale (VENDAS MUNDIALE - MAIO 2026.xlsx)</t>
        </is>
      </c>
    </row>
    <row r="447" ht="15" customHeight="1" s="75">
      <c r="A447" s="74" t="inlineStr">
        <is>
          <t>MAIO/2026</t>
        </is>
      </c>
      <c r="B447" s="74" t="inlineStr">
        <is>
          <t>Marketing</t>
        </is>
      </c>
      <c r="C447" s="74" t="inlineStr">
        <is>
          <t>Vendas do site Mundiale</t>
        </is>
      </c>
      <c r="D447" s="74" t="inlineStr">
        <is>
          <t>DX2</t>
        </is>
      </c>
      <c r="E447" s="151" t="n">
        <v>4</v>
      </c>
      <c r="F447" s="100" t="n">
        <v>127.35</v>
      </c>
      <c r="G447" s="100" t="n">
        <v>509.4</v>
      </c>
      <c r="H447" s="74" t="inlineStr">
        <is>
          <t>Vendas instaladas do impulsionamento site mundiale (VENDAS MUNDIALE - MAIO 2026.xlsx)</t>
        </is>
      </c>
    </row>
    <row r="448" ht="15" customHeight="1" s="75">
      <c r="A448" s="74" t="inlineStr">
        <is>
          <t>MAIO/2026</t>
        </is>
      </c>
      <c r="B448" s="74" t="inlineStr">
        <is>
          <t>Marketing</t>
        </is>
      </c>
      <c r="C448" s="74" t="inlineStr">
        <is>
          <t>Vendas do site Mundiale</t>
        </is>
      </c>
      <c r="D448" s="74" t="inlineStr">
        <is>
          <t>DX2</t>
        </is>
      </c>
      <c r="E448" s="151" t="n">
        <v>4</v>
      </c>
      <c r="F448" s="100" t="n">
        <v>127.35</v>
      </c>
      <c r="G448" s="100" t="n">
        <v>509.4</v>
      </c>
      <c r="H448" s="74" t="inlineStr">
        <is>
          <t>Vendas instaladas do impulsionamento site mundiale (VENDAS MUNDIALE - MAIO 2026.xlsx)</t>
        </is>
      </c>
    </row>
    <row r="449" ht="15" customHeight="1" s="75">
      <c r="A449" s="74" t="inlineStr">
        <is>
          <t>MAIO/2026</t>
        </is>
      </c>
      <c r="B449" s="74" t="inlineStr">
        <is>
          <t>Marketing</t>
        </is>
      </c>
      <c r="C449" s="74" t="inlineStr">
        <is>
          <t>Vendas do site Mundiale</t>
        </is>
      </c>
      <c r="D449" s="74" t="inlineStr">
        <is>
          <t>H&amp;A</t>
        </is>
      </c>
      <c r="E449" s="151" t="n">
        <v>18</v>
      </c>
      <c r="F449" s="100" t="n">
        <v>128.18</v>
      </c>
      <c r="G449" s="100" t="n">
        <v>2307.24</v>
      </c>
      <c r="H449" s="74" t="inlineStr">
        <is>
          <t>Vendas instaladas do impulsionamento site mundiale (VENDAS MUNDIALE - MAIO 2026.xlsx)</t>
        </is>
      </c>
    </row>
    <row r="450" ht="15" customHeight="1" s="75">
      <c r="A450" s="74" t="inlineStr">
        <is>
          <t>MAIO/2026</t>
        </is>
      </c>
      <c r="B450" s="74" t="inlineStr">
        <is>
          <t>Marketing</t>
        </is>
      </c>
      <c r="C450" s="74" t="inlineStr">
        <is>
          <t>Vendas do site Mundiale</t>
        </is>
      </c>
      <c r="D450" s="74" t="inlineStr">
        <is>
          <t>H&amp;A</t>
        </is>
      </c>
      <c r="E450" s="151" t="n">
        <v>18</v>
      </c>
      <c r="F450" s="100" t="n">
        <v>128.18</v>
      </c>
      <c r="G450" s="100" t="n">
        <v>2307.24</v>
      </c>
      <c r="H450" s="74" t="inlineStr">
        <is>
          <t>Vendas instaladas do impulsionamento site mundiale (VENDAS MUNDIALE - MAIO 2026.xlsx)</t>
        </is>
      </c>
    </row>
    <row r="451" ht="15" customHeight="1" s="75">
      <c r="A451" s="74" t="inlineStr">
        <is>
          <t>MAIO/2026</t>
        </is>
      </c>
      <c r="B451" s="74" t="inlineStr">
        <is>
          <t>Marketing</t>
        </is>
      </c>
      <c r="C451" s="74" t="inlineStr">
        <is>
          <t>Vendas do site Mundiale</t>
        </is>
      </c>
      <c r="D451" s="74" t="inlineStr">
        <is>
          <t>Soares e Lins</t>
        </is>
      </c>
      <c r="E451" s="151" t="n">
        <v>11</v>
      </c>
      <c r="F451" s="100" t="n">
        <v>122.58</v>
      </c>
      <c r="G451" s="100" t="n">
        <v>1348.38</v>
      </c>
      <c r="H451" s="74" t="inlineStr">
        <is>
          <t>Vendas instaladas do impulsionamento site mundiale (VENDAS MUNDIALE - MAIO 2026.xlsx)</t>
        </is>
      </c>
    </row>
    <row r="452" ht="15" customHeight="1" s="75">
      <c r="A452" s="74" t="inlineStr">
        <is>
          <t>MAIO/2026</t>
        </is>
      </c>
      <c r="B452" s="74" t="inlineStr">
        <is>
          <t>Marketing</t>
        </is>
      </c>
      <c r="C452" s="74" t="inlineStr">
        <is>
          <t>Vendas do site Mundiale</t>
        </is>
      </c>
      <c r="D452" s="74" t="inlineStr">
        <is>
          <t>Soares e Lins</t>
        </is>
      </c>
      <c r="E452" s="151" t="n">
        <v>11</v>
      </c>
      <c r="F452" s="100" t="n">
        <v>122.58</v>
      </c>
      <c r="G452" s="100" t="n">
        <v>1348.38</v>
      </c>
      <c r="H452" s="74" t="inlineStr">
        <is>
          <t>Vendas instaladas do impulsionamento site mundiale (VENDAS MUNDIALE - MAIO 2026.xlsx)</t>
        </is>
      </c>
    </row>
    <row r="453" ht="15" customHeight="1" s="75">
      <c r="A453" s="74" t="inlineStr">
        <is>
          <t>MAIO/2026</t>
        </is>
      </c>
      <c r="B453" s="74" t="inlineStr">
        <is>
          <t>Marketing</t>
        </is>
      </c>
      <c r="C453" s="74" t="inlineStr">
        <is>
          <t>Vendas do site Mundiale</t>
        </is>
      </c>
      <c r="D453" s="74" t="inlineStr">
        <is>
          <t>Soares e Silva</t>
        </is>
      </c>
      <c r="E453" s="151" t="n">
        <v>20</v>
      </c>
      <c r="F453" s="100" t="n">
        <v>134.1</v>
      </c>
      <c r="G453" s="100" t="n">
        <v>2682</v>
      </c>
      <c r="H453" s="74" t="inlineStr">
        <is>
          <t>Vendas instaladas do impulsionamento site mundiale (VENDAS MUNDIALE - MAIO 2026.xlsx)</t>
        </is>
      </c>
    </row>
    <row r="454" ht="15" customHeight="1" s="75">
      <c r="A454" s="74" t="inlineStr">
        <is>
          <t>MAIO/2026</t>
        </is>
      </c>
      <c r="B454" s="74" t="inlineStr">
        <is>
          <t>Marketing</t>
        </is>
      </c>
      <c r="C454" s="74" t="inlineStr">
        <is>
          <t>Vendas do site Mundiale</t>
        </is>
      </c>
      <c r="D454" s="74" t="inlineStr">
        <is>
          <t>Soares e Silva</t>
        </is>
      </c>
      <c r="E454" s="151" t="n">
        <v>1</v>
      </c>
      <c r="F454" s="100" t="n">
        <v>119.85</v>
      </c>
      <c r="G454" s="100" t="n">
        <v>119.85</v>
      </c>
      <c r="H454" s="74" t="inlineStr">
        <is>
          <t>Vendas instaladas do impulsionamento site mundiale (VENDAS MUNDIALE - junho26.xlsx)</t>
        </is>
      </c>
    </row>
    <row r="455" ht="15" customHeight="1" s="75">
      <c r="A455" s="74" t="inlineStr">
        <is>
          <t>MAIO/2026</t>
        </is>
      </c>
      <c r="B455" s="74" t="inlineStr">
        <is>
          <t>Marketing</t>
        </is>
      </c>
      <c r="C455" s="74" t="inlineStr">
        <is>
          <t>Vendas do site Mundiale</t>
        </is>
      </c>
      <c r="D455" s="74" t="inlineStr">
        <is>
          <t>Solon Araújo</t>
        </is>
      </c>
      <c r="E455" s="151" t="n">
        <v>4</v>
      </c>
      <c r="F455" s="100" t="n">
        <v>119.85</v>
      </c>
      <c r="G455" s="100" t="n">
        <v>479.4</v>
      </c>
      <c r="H455" s="74" t="inlineStr">
        <is>
          <t>Vendas instaladas do impulsionamento site mundiale (VENDAS MUNDIALE - MAIO 2026.xlsx)</t>
        </is>
      </c>
    </row>
    <row r="456" ht="15" customHeight="1" s="75">
      <c r="A456" s="74" t="inlineStr">
        <is>
          <t>MAIO/2026</t>
        </is>
      </c>
      <c r="B456" s="74" t="inlineStr">
        <is>
          <t>Marketing</t>
        </is>
      </c>
      <c r="C456" s="74" t="inlineStr">
        <is>
          <t>Vendas do site Mundiale</t>
        </is>
      </c>
      <c r="D456" s="74" t="inlineStr">
        <is>
          <t>Solon Araújo</t>
        </is>
      </c>
      <c r="E456" s="151" t="n">
        <v>4</v>
      </c>
      <c r="F456" s="100" t="n">
        <v>119.85</v>
      </c>
      <c r="G456" s="100" t="n">
        <v>479.4</v>
      </c>
      <c r="H456" s="74" t="inlineStr">
        <is>
          <t>Vendas instaladas do impulsionamento site mundiale (VENDAS MUNDIALE - MAIO 2026.xlsx)</t>
        </is>
      </c>
    </row>
    <row r="457" ht="15" customHeight="1" s="75">
      <c r="A457" s="74" t="inlineStr">
        <is>
          <t>MAIO/2026</t>
        </is>
      </c>
      <c r="B457" s="74" t="inlineStr">
        <is>
          <t>Marketing</t>
        </is>
      </c>
      <c r="C457" s="74" t="inlineStr">
        <is>
          <t>Vendas do site Mundiale</t>
        </is>
      </c>
      <c r="D457" s="74" t="inlineStr">
        <is>
          <t>Souza e Silva</t>
        </is>
      </c>
      <c r="E457" s="151" t="n">
        <v>0</v>
      </c>
      <c r="F457" s="100" t="n">
        <v>0</v>
      </c>
      <c r="G457" s="100" t="n">
        <v>0</v>
      </c>
      <c r="H457" s="74" t="inlineStr">
        <is>
          <t>Vendas instaladas do impulsionamento site mundiale</t>
        </is>
      </c>
    </row>
    <row r="458" ht="15" customHeight="1" s="75">
      <c r="A458" s="74" t="inlineStr">
        <is>
          <t>MAIO/2026</t>
        </is>
      </c>
      <c r="B458" s="74" t="inlineStr">
        <is>
          <t>Marketing</t>
        </is>
      </c>
      <c r="C458" s="74" t="inlineStr">
        <is>
          <t>Vendas do site Mundiale</t>
        </is>
      </c>
      <c r="D458" s="74" t="inlineStr">
        <is>
          <t>Voicenet</t>
        </is>
      </c>
      <c r="E458" s="151" t="n">
        <v>8</v>
      </c>
      <c r="F458" s="100" t="n">
        <v>123.6</v>
      </c>
      <c r="G458" s="100" t="n">
        <v>988.8</v>
      </c>
      <c r="H458" s="74" t="inlineStr">
        <is>
          <t>Vendas instaladas do impulsionamento site mundiale (VENDAS MUNDIALE - MAIO 2026.xlsx)</t>
        </is>
      </c>
    </row>
    <row r="459" ht="15" customHeight="1" s="75">
      <c r="A459" s="74" t="inlineStr">
        <is>
          <t>MAIO/2026</t>
        </is>
      </c>
      <c r="B459" s="74" t="inlineStr">
        <is>
          <t>Marketing</t>
        </is>
      </c>
      <c r="C459" s="74" t="inlineStr">
        <is>
          <t>Vendas do site Mundiale</t>
        </is>
      </c>
      <c r="D459" s="74" t="inlineStr">
        <is>
          <t>Voicenet</t>
        </is>
      </c>
      <c r="E459" s="151" t="n">
        <v>1</v>
      </c>
      <c r="F459" s="100" t="n">
        <v>988.8</v>
      </c>
      <c r="G459" s="100" t="n">
        <v>988.8</v>
      </c>
      <c r="H459" s="74" t="inlineStr">
        <is>
          <t>Vendas instaladas do impulsionamento site mundiale</t>
        </is>
      </c>
    </row>
    <row r="460" ht="15" customHeight="1" s="75">
      <c r="A460" s="74" t="inlineStr">
        <is>
          <t>MAIO/2026</t>
        </is>
      </c>
      <c r="B460" s="74" t="inlineStr">
        <is>
          <t>RH</t>
        </is>
      </c>
      <c r="C460" s="74" t="inlineStr">
        <is>
          <t>Fardamentos</t>
        </is>
      </c>
      <c r="D460" s="74" t="inlineStr">
        <is>
          <t>DX2</t>
        </is>
      </c>
      <c r="E460" s="151" t="n">
        <v>0</v>
      </c>
      <c r="F460" s="100" t="n">
        <v>0</v>
      </c>
      <c r="G460" s="100" t="n">
        <v>0</v>
      </c>
      <c r="H460" s="74" t="inlineStr">
        <is>
          <t>Solicitações de fardamentos administrativos</t>
        </is>
      </c>
    </row>
    <row r="461" ht="15" customHeight="1" s="75">
      <c r="A461" s="74" t="inlineStr">
        <is>
          <t>MAIO/2026</t>
        </is>
      </c>
      <c r="B461" s="74" t="inlineStr">
        <is>
          <t>RH</t>
        </is>
      </c>
      <c r="C461" s="74" t="inlineStr">
        <is>
          <t>Treinamentos/integração</t>
        </is>
      </c>
      <c r="D461" s="74" t="inlineStr">
        <is>
          <t>DX2</t>
        </is>
      </c>
      <c r="E461" s="151" t="n">
        <v>0</v>
      </c>
      <c r="F461" s="100" t="n">
        <v>0</v>
      </c>
      <c r="G461" s="100" t="n">
        <v>0</v>
      </c>
      <c r="H461" s="74" t="inlineStr">
        <is>
          <t>Despesas com seleção, treinamentos...</t>
        </is>
      </c>
    </row>
    <row r="462" ht="15" customHeight="1" s="75">
      <c r="A462" s="74" t="inlineStr">
        <is>
          <t>MAIO/2026</t>
        </is>
      </c>
      <c r="B462" s="74" t="inlineStr">
        <is>
          <t>RH</t>
        </is>
      </c>
      <c r="C462" s="74" t="inlineStr">
        <is>
          <t>Fardamentos</t>
        </is>
      </c>
      <c r="D462" s="74" t="inlineStr">
        <is>
          <t>H&amp;A</t>
        </is>
      </c>
      <c r="E462" s="151" t="n">
        <v>0</v>
      </c>
      <c r="F462" s="100" t="n">
        <v>0</v>
      </c>
      <c r="G462" s="100" t="n">
        <v>0</v>
      </c>
      <c r="H462" s="74" t="inlineStr">
        <is>
          <t>Solicitações de fardamentos administrativos</t>
        </is>
      </c>
    </row>
    <row r="463" ht="15" customHeight="1" s="75">
      <c r="A463" s="74" t="inlineStr">
        <is>
          <t>MAIO/2026</t>
        </is>
      </c>
      <c r="B463" s="74" t="inlineStr">
        <is>
          <t>RH</t>
        </is>
      </c>
      <c r="C463" s="74" t="inlineStr">
        <is>
          <t>Fardamentos</t>
        </is>
      </c>
      <c r="D463" s="74" t="inlineStr">
        <is>
          <t>H&amp;A</t>
        </is>
      </c>
      <c r="E463" s="151" t="n">
        <v>0</v>
      </c>
      <c r="F463" s="100" t="n">
        <v>0</v>
      </c>
      <c r="G463" s="100" t="n">
        <v>0</v>
      </c>
      <c r="H463" s="74" t="inlineStr">
        <is>
          <t>Solicitações de fardamentos administrativos</t>
        </is>
      </c>
    </row>
    <row r="464" ht="15" customHeight="1" s="75">
      <c r="A464" s="74" t="inlineStr">
        <is>
          <t>MAIO/2026</t>
        </is>
      </c>
      <c r="B464" s="74" t="inlineStr">
        <is>
          <t>RH</t>
        </is>
      </c>
      <c r="C464" s="74" t="inlineStr">
        <is>
          <t>Treinamentos/integração</t>
        </is>
      </c>
      <c r="D464" s="74" t="inlineStr">
        <is>
          <t>H&amp;A</t>
        </is>
      </c>
      <c r="E464" s="151" t="n">
        <v>0</v>
      </c>
      <c r="F464" s="100" t="n">
        <v>0</v>
      </c>
      <c r="G464" s="100" t="n">
        <v>0</v>
      </c>
      <c r="H464" s="74" t="inlineStr">
        <is>
          <t>Despesas com seleção, treinamentos...</t>
        </is>
      </c>
    </row>
    <row r="465" ht="15" customHeight="1" s="75">
      <c r="A465" s="74" t="inlineStr">
        <is>
          <t>MAIO/2026</t>
        </is>
      </c>
      <c r="B465" s="74" t="inlineStr">
        <is>
          <t>RH</t>
        </is>
      </c>
      <c r="C465" s="74" t="inlineStr">
        <is>
          <t>Fardamentos</t>
        </is>
      </c>
      <c r="D465" s="74" t="inlineStr">
        <is>
          <t>Soares e Lins</t>
        </is>
      </c>
      <c r="E465" s="151" t="n">
        <v>0</v>
      </c>
      <c r="F465" s="100" t="n">
        <v>0</v>
      </c>
      <c r="G465" s="100" t="n">
        <v>0</v>
      </c>
      <c r="H465" s="74" t="inlineStr">
        <is>
          <t>Solicitações de fardamentos administrativos</t>
        </is>
      </c>
    </row>
    <row r="466" ht="15" customHeight="1" s="75">
      <c r="A466" s="74" t="inlineStr">
        <is>
          <t>MAIO/2026</t>
        </is>
      </c>
      <c r="B466" s="74" t="inlineStr">
        <is>
          <t>RH</t>
        </is>
      </c>
      <c r="C466" s="74" t="inlineStr">
        <is>
          <t>Treinamentos/integração</t>
        </is>
      </c>
      <c r="D466" s="74" t="inlineStr">
        <is>
          <t>Soares e Lins</t>
        </is>
      </c>
      <c r="E466" s="151" t="n">
        <v>0</v>
      </c>
      <c r="F466" s="100" t="n">
        <v>0</v>
      </c>
      <c r="G466" s="100" t="n">
        <v>0</v>
      </c>
      <c r="H466" s="74" t="inlineStr">
        <is>
          <t>Despesa com integração/alimentação</t>
        </is>
      </c>
    </row>
    <row r="467" ht="15" customHeight="1" s="75">
      <c r="A467" s="74" t="inlineStr">
        <is>
          <t>MAIO/2026</t>
        </is>
      </c>
      <c r="B467" s="74" t="inlineStr">
        <is>
          <t>RH</t>
        </is>
      </c>
      <c r="C467" s="74" t="inlineStr">
        <is>
          <t>Fardamentos</t>
        </is>
      </c>
      <c r="D467" s="74" t="inlineStr">
        <is>
          <t>Soares e Silva</t>
        </is>
      </c>
      <c r="E467" s="151" t="n">
        <v>0</v>
      </c>
      <c r="F467" s="100" t="n">
        <v>0</v>
      </c>
      <c r="G467" s="100" t="n">
        <v>0</v>
      </c>
      <c r="H467" s="74" t="inlineStr">
        <is>
          <t>Solicitações de fardamentos administrativos</t>
        </is>
      </c>
    </row>
    <row r="468" ht="15" customHeight="1" s="75">
      <c r="A468" s="74" t="inlineStr">
        <is>
          <t>MAIO/2026</t>
        </is>
      </c>
      <c r="B468" s="74" t="inlineStr">
        <is>
          <t>RH</t>
        </is>
      </c>
      <c r="C468" s="74" t="inlineStr">
        <is>
          <t>Fardamentos</t>
        </is>
      </c>
      <c r="D468" s="74" t="inlineStr">
        <is>
          <t>Soares e Silva</t>
        </is>
      </c>
      <c r="E468" s="151" t="n">
        <v>0</v>
      </c>
      <c r="F468" s="100" t="n">
        <v>0</v>
      </c>
      <c r="G468" s="100" t="n">
        <v>0</v>
      </c>
      <c r="H468" s="74" t="inlineStr">
        <is>
          <t>Solicitações de fardamentos administrativos</t>
        </is>
      </c>
    </row>
    <row r="469" ht="15" customHeight="1" s="75">
      <c r="A469" s="74" t="inlineStr">
        <is>
          <t>MAIO/2026</t>
        </is>
      </c>
      <c r="B469" s="74" t="inlineStr">
        <is>
          <t>RH</t>
        </is>
      </c>
      <c r="C469" s="74" t="inlineStr">
        <is>
          <t>Fardamentos</t>
        </is>
      </c>
      <c r="D469" s="74" t="inlineStr">
        <is>
          <t>Solon Araújo</t>
        </is>
      </c>
      <c r="E469" s="151" t="n">
        <v>0</v>
      </c>
      <c r="F469" s="100" t="n">
        <v>0</v>
      </c>
      <c r="G469" s="100" t="n">
        <v>0</v>
      </c>
      <c r="H469" s="74" t="inlineStr">
        <is>
          <t>Solicitações de fardamentos administrativos</t>
        </is>
      </c>
    </row>
    <row r="470" ht="15" customHeight="1" s="75">
      <c r="A470" s="74" t="inlineStr">
        <is>
          <t>MAIO/2026</t>
        </is>
      </c>
      <c r="B470" s="74" t="inlineStr">
        <is>
          <t>RH</t>
        </is>
      </c>
      <c r="C470" s="74" t="inlineStr">
        <is>
          <t>Treinamentos/integração</t>
        </is>
      </c>
      <c r="D470" s="74" t="inlineStr">
        <is>
          <t>Solon Araújo</t>
        </is>
      </c>
      <c r="E470" s="151" t="n">
        <v>0</v>
      </c>
      <c r="F470" s="100" t="n">
        <v>0</v>
      </c>
      <c r="G470" s="100" t="n">
        <v>0</v>
      </c>
      <c r="H470" s="74" t="inlineStr">
        <is>
          <t>Despesas com seleção, treinamentos...</t>
        </is>
      </c>
    </row>
    <row r="471" ht="15" customHeight="1" s="75">
      <c r="A471" s="74" t="inlineStr">
        <is>
          <t>MAIO/2026</t>
        </is>
      </c>
      <c r="B471" s="74" t="inlineStr">
        <is>
          <t>RH</t>
        </is>
      </c>
      <c r="C471" s="74" t="inlineStr">
        <is>
          <t>Fardamentos</t>
        </is>
      </c>
      <c r="D471" s="74" t="inlineStr">
        <is>
          <t>Souza e Silva</t>
        </is>
      </c>
      <c r="E471" s="151" t="n">
        <v>0</v>
      </c>
      <c r="F471" s="100" t="n">
        <v>0</v>
      </c>
      <c r="G471" s="100" t="n">
        <v>0</v>
      </c>
      <c r="H471" s="74" t="inlineStr">
        <is>
          <t>Solicitações de fardamentos administrativos</t>
        </is>
      </c>
    </row>
    <row r="472" ht="15" customHeight="1" s="75">
      <c r="A472" s="74" t="inlineStr">
        <is>
          <t>MAIO/2026</t>
        </is>
      </c>
      <c r="B472" s="74" t="inlineStr">
        <is>
          <t>RH</t>
        </is>
      </c>
      <c r="C472" s="74" t="inlineStr">
        <is>
          <t>Fardamentos</t>
        </is>
      </c>
      <c r="D472" s="74" t="inlineStr">
        <is>
          <t>Voicenet</t>
        </is>
      </c>
      <c r="E472" s="151" t="n">
        <v>0</v>
      </c>
      <c r="F472" s="100" t="n">
        <v>0</v>
      </c>
      <c r="G472" s="100" t="n">
        <v>0</v>
      </c>
      <c r="H472" s="74" t="inlineStr">
        <is>
          <t>Solicitações de fardamentos administrativos</t>
        </is>
      </c>
    </row>
    <row r="473" ht="15" customHeight="1" s="75">
      <c r="A473" s="74" t="inlineStr">
        <is>
          <t>MAIO/2026</t>
        </is>
      </c>
      <c r="B473" s="74" t="inlineStr">
        <is>
          <t>RH</t>
        </is>
      </c>
      <c r="C473" s="74" t="inlineStr">
        <is>
          <t>Treinamentos/integração</t>
        </is>
      </c>
      <c r="D473" s="74" t="inlineStr">
        <is>
          <t>Voicenet</t>
        </is>
      </c>
      <c r="E473" s="151" t="n">
        <v>0</v>
      </c>
      <c r="F473" s="100" t="n">
        <v>0</v>
      </c>
      <c r="G473" s="100" t="n">
        <v>0</v>
      </c>
      <c r="H473" s="74" t="inlineStr">
        <is>
          <t>Despesa de alimentação de colaboradores em integração</t>
        </is>
      </c>
    </row>
    <row r="474" ht="15" customHeight="1" s="75">
      <c r="A474" s="74" t="inlineStr">
        <is>
          <t>MAIO/2026</t>
        </is>
      </c>
      <c r="B474" s="74" t="inlineStr">
        <is>
          <t>Relacionamento</t>
        </is>
      </c>
      <c r="C474" s="74" t="inlineStr">
        <is>
          <t>Relacionamento Dtel</t>
        </is>
      </c>
      <c r="D474" s="74" t="inlineStr">
        <is>
          <t>H&amp;A</t>
        </is>
      </c>
      <c r="E474" s="151" t="n">
        <v>13402</v>
      </c>
      <c r="F474" s="100" t="n">
        <v>2.64</v>
      </c>
      <c r="G474" s="100" t="n">
        <v>35381.28</v>
      </c>
      <c r="H474" s="74" t="inlineStr">
        <is>
          <t>Cálculo por número de clientes ativos</t>
        </is>
      </c>
    </row>
    <row r="475" ht="15" customHeight="1" s="75">
      <c r="A475" s="74" t="inlineStr">
        <is>
          <t>MAIO/2026</t>
        </is>
      </c>
      <c r="B475" s="74" t="inlineStr">
        <is>
          <t>Segurança do Trabalho</t>
        </is>
      </c>
      <c r="C475" s="74" t="inlineStr">
        <is>
          <t>Equipamentos de Segurança</t>
        </is>
      </c>
      <c r="D475" s="74" t="inlineStr">
        <is>
          <t>DX2</t>
        </is>
      </c>
      <c r="E475" s="151" t="n">
        <v>1</v>
      </c>
      <c r="F475" s="100" t="n">
        <v>4343.82</v>
      </c>
      <c r="G475" s="100" t="n">
        <v>4343.82</v>
      </c>
      <c r="H475" s="74" t="inlineStr">
        <is>
          <t>EPI/Equipamentos do mês (CUSTO DE SEGURANÇA - MAIO26.xlsx)</t>
        </is>
      </c>
    </row>
    <row r="476" ht="15" customHeight="1" s="75">
      <c r="A476" s="74" t="inlineStr">
        <is>
          <t>MAIO/2026</t>
        </is>
      </c>
      <c r="B476" s="74" t="inlineStr">
        <is>
          <t>Segurança do Trabalho</t>
        </is>
      </c>
      <c r="C476" s="74" t="inlineStr">
        <is>
          <t>Equipamentos de Segurança</t>
        </is>
      </c>
      <c r="D476" s="74" t="inlineStr">
        <is>
          <t>H&amp;A</t>
        </is>
      </c>
      <c r="E476" s="151" t="n">
        <v>1</v>
      </c>
      <c r="F476" s="100" t="n">
        <v>4773.1</v>
      </c>
      <c r="G476" s="100" t="n">
        <v>4773.1</v>
      </c>
      <c r="H476" s="74" t="inlineStr">
        <is>
          <t>EPI/Equipamentos do mês (CUSTO DE SEGURANÇA - MAIO26.xlsx)</t>
        </is>
      </c>
    </row>
    <row r="477" ht="15" customHeight="1" s="75">
      <c r="A477" s="74" t="inlineStr">
        <is>
          <t>MAIO/2026</t>
        </is>
      </c>
      <c r="B477" s="74" t="inlineStr">
        <is>
          <t>Segurança do Trabalho</t>
        </is>
      </c>
      <c r="C477" s="74" t="inlineStr">
        <is>
          <t>Km rodado Segurança e Saúde do Trabalho dtel p/ H&amp;a</t>
        </is>
      </c>
      <c r="D477" s="74" t="inlineStr">
        <is>
          <t>H&amp;A</t>
        </is>
      </c>
      <c r="E477" s="151" t="n">
        <v>0</v>
      </c>
      <c r="F477" s="100" t="n">
        <v>0</v>
      </c>
      <c r="G477" s="100" t="n">
        <v>0</v>
      </c>
      <c r="H477" s="74" t="inlineStr">
        <is>
          <t>Deslocamento da equipe para Horas cursos de normas e reciclagem ou visitas</t>
        </is>
      </c>
    </row>
    <row r="478" ht="15" customHeight="1" s="75">
      <c r="A478" s="74" t="inlineStr">
        <is>
          <t>MAIO/2026</t>
        </is>
      </c>
      <c r="B478" s="74" t="inlineStr">
        <is>
          <t>Segurança do Trabalho</t>
        </is>
      </c>
      <c r="C478" s="74" t="inlineStr">
        <is>
          <t>Saude e segurança no trabalho</t>
        </is>
      </c>
      <c r="D478" s="74" t="inlineStr">
        <is>
          <t>H&amp;A</t>
        </is>
      </c>
      <c r="E478" s="151" t="n">
        <v>0</v>
      </c>
      <c r="F478" s="100" t="n">
        <v>0</v>
      </c>
      <c r="G478" s="100" t="n">
        <v>0</v>
      </c>
      <c r="H478" s="74" t="inlineStr">
        <is>
          <t>Rateio do departamento (despesa por colaborador, mês de jan fev e março)</t>
        </is>
      </c>
    </row>
    <row r="479" ht="15" customHeight="1" s="75">
      <c r="A479" s="74" t="inlineStr">
        <is>
          <t>MAIO/2026</t>
        </is>
      </c>
      <c r="B479" s="74" t="inlineStr">
        <is>
          <t>Segurança do Trabalho</t>
        </is>
      </c>
      <c r="C479" s="74" t="inlineStr">
        <is>
          <t>Serviços prestados pela equipe Segurança do trabalho dtel p/ h&amp;a</t>
        </is>
      </c>
      <c r="D479" s="74" t="inlineStr">
        <is>
          <t>H&amp;A</t>
        </is>
      </c>
      <c r="E479" s="151" t="n">
        <v>0</v>
      </c>
      <c r="F479" s="100" t="n">
        <v>0</v>
      </c>
      <c r="G479" s="100" t="n">
        <v>0</v>
      </c>
      <c r="H479" s="74" t="inlineStr">
        <is>
          <t>Serviços da equipe para Horas cursos de normas e reciclagem ou visitas</t>
        </is>
      </c>
    </row>
    <row r="480" ht="15" customHeight="1" s="75">
      <c r="A480" s="74" t="inlineStr">
        <is>
          <t>MAIO/2026</t>
        </is>
      </c>
      <c r="B480" s="74" t="inlineStr">
        <is>
          <t>Segurança do Trabalho</t>
        </is>
      </c>
      <c r="C480" s="74" t="inlineStr">
        <is>
          <t>Equipamentos de Segurança</t>
        </is>
      </c>
      <c r="D480" s="74" t="inlineStr">
        <is>
          <t>Soares e Lins</t>
        </is>
      </c>
      <c r="E480" s="151" t="n">
        <v>1</v>
      </c>
      <c r="F480" s="100" t="n">
        <v>1019.8</v>
      </c>
      <c r="G480" s="100" t="n">
        <v>1019.8</v>
      </c>
      <c r="H480" s="74" t="inlineStr">
        <is>
          <t>EPI/Equipamentos do mês (CUSTO DE SEGURANÇA - MAIO26.xlsx)</t>
        </is>
      </c>
    </row>
    <row r="481" ht="15" customHeight="1" s="75">
      <c r="A481" s="74" t="inlineStr">
        <is>
          <t>MAIO/2026</t>
        </is>
      </c>
      <c r="B481" s="74" t="inlineStr">
        <is>
          <t>Segurança do Trabalho</t>
        </is>
      </c>
      <c r="C481" s="74" t="inlineStr">
        <is>
          <t>Equipamentos de Segurança</t>
        </is>
      </c>
      <c r="D481" s="74" t="inlineStr">
        <is>
          <t>Soares e Lins</t>
        </is>
      </c>
      <c r="E481" s="151" t="n">
        <v>0</v>
      </c>
      <c r="F481" s="100" t="n">
        <v>0</v>
      </c>
      <c r="G481" s="100" t="n">
        <v>0</v>
      </c>
      <c r="H481" s="74" t="inlineStr">
        <is>
          <t>EPI, EPC, Fardamento</t>
        </is>
      </c>
    </row>
    <row r="482" ht="15" customHeight="1" s="75">
      <c r="A482" s="74" t="inlineStr">
        <is>
          <t>MAIO/2026</t>
        </is>
      </c>
      <c r="B482" s="74" t="inlineStr">
        <is>
          <t>Segurança do Trabalho</t>
        </is>
      </c>
      <c r="C482" s="74" t="inlineStr">
        <is>
          <t>Km rodado Segurança e Saúde do Trabalho dtel p/ soares e lins</t>
        </is>
      </c>
      <c r="D482" s="74" t="inlineStr">
        <is>
          <t>Soares e Lins</t>
        </is>
      </c>
      <c r="E482" s="151" t="n">
        <v>0</v>
      </c>
      <c r="F482" s="100" t="n">
        <v>0</v>
      </c>
      <c r="G482" s="100" t="n">
        <v>0</v>
      </c>
      <c r="H482" s="74" t="inlineStr">
        <is>
          <t>Deslocamento da equipe para Horas cursos de normas e reciclagem ou visitas</t>
        </is>
      </c>
    </row>
    <row r="483" ht="15" customHeight="1" s="75">
      <c r="A483" s="74" t="inlineStr">
        <is>
          <t>MAIO/2026</t>
        </is>
      </c>
      <c r="B483" s="74" t="inlineStr">
        <is>
          <t>Segurança do Trabalho</t>
        </is>
      </c>
      <c r="C483" s="74" t="inlineStr">
        <is>
          <t>Serviços prestados pela equipe Segurança do trabalho</t>
        </is>
      </c>
      <c r="D483" s="74" t="inlineStr">
        <is>
          <t>Soares e Lins</t>
        </is>
      </c>
      <c r="E483" s="151" t="n">
        <v>0</v>
      </c>
      <c r="F483" s="100" t="n">
        <v>0</v>
      </c>
      <c r="G483" s="100" t="n">
        <v>0</v>
      </c>
      <c r="H483" s="74" t="inlineStr">
        <is>
          <t>Serviços da equipe para Horas cursos de normas e reciclagem ou visitas</t>
        </is>
      </c>
    </row>
    <row r="484" ht="15" customHeight="1" s="75">
      <c r="A484" s="74" t="inlineStr">
        <is>
          <t>MAIO/2026</t>
        </is>
      </c>
      <c r="B484" s="74" t="inlineStr">
        <is>
          <t>Segurança do Trabalho</t>
        </is>
      </c>
      <c r="C484" s="74" t="inlineStr">
        <is>
          <t>Equipamentos de Segurança</t>
        </is>
      </c>
      <c r="D484" s="74" t="inlineStr">
        <is>
          <t>Soares e Silva</t>
        </is>
      </c>
      <c r="E484" s="151" t="n">
        <v>1</v>
      </c>
      <c r="F484" s="100" t="n">
        <v>2399.73</v>
      </c>
      <c r="G484" s="100" t="n">
        <v>2399.73</v>
      </c>
      <c r="H484" s="74" t="inlineStr">
        <is>
          <t>EPI/Equipamentos do mês (CUSTO DE SEGURANÇA - MAIO26.xlsx)</t>
        </is>
      </c>
    </row>
    <row r="485" ht="15" customHeight="1" s="75">
      <c r="A485" s="74" t="inlineStr">
        <is>
          <t>MAIO/2026</t>
        </is>
      </c>
      <c r="B485" s="74" t="inlineStr">
        <is>
          <t>Segurança do Trabalho</t>
        </is>
      </c>
      <c r="C485" s="74" t="inlineStr">
        <is>
          <t>Km rodado Segurança e Saúde do Trabalho soares e silva p/ Dtel</t>
        </is>
      </c>
      <c r="D485" s="74" t="inlineStr">
        <is>
          <t>Soares e Silva</t>
        </is>
      </c>
      <c r="E485" s="151" t="n">
        <v>0</v>
      </c>
      <c r="F485" s="100" t="n">
        <v>0</v>
      </c>
      <c r="G485" s="100" t="n">
        <v>0</v>
      </c>
      <c r="H485" s="74" t="inlineStr">
        <is>
          <t>Deslocamento da equipe para Horas cursos de normas e reciclagem ou visitas</t>
        </is>
      </c>
    </row>
    <row r="486" ht="15" customHeight="1" s="75">
      <c r="A486" s="74" t="inlineStr">
        <is>
          <t>MAIO/2026</t>
        </is>
      </c>
      <c r="B486" s="74" t="inlineStr">
        <is>
          <t>Segurança do Trabalho</t>
        </is>
      </c>
      <c r="C486" s="74" t="inlineStr">
        <is>
          <t>Km rodado Segurança e Saúde do Trabalho soares e silva p/ LITORAL</t>
        </is>
      </c>
      <c r="D486" s="74" t="inlineStr">
        <is>
          <t>Soares e Silva</t>
        </is>
      </c>
      <c r="E486" s="151" t="n">
        <v>0</v>
      </c>
      <c r="F486" s="100" t="n">
        <v>0</v>
      </c>
      <c r="G486" s="100" t="n">
        <v>0</v>
      </c>
      <c r="H486" s="74" t="inlineStr">
        <is>
          <t>Deslocamento da equipe para Horas cursos de normas e reciclagem ou visitas</t>
        </is>
      </c>
    </row>
    <row r="487" ht="15" customHeight="1" s="75">
      <c r="A487" s="74" t="inlineStr">
        <is>
          <t>MAIO/2026</t>
        </is>
      </c>
      <c r="B487" s="74" t="inlineStr">
        <is>
          <t>Segurança do Trabalho</t>
        </is>
      </c>
      <c r="C487" s="74" t="inlineStr">
        <is>
          <t>Serviços prestados pela equipe Segurança do trabalho soares e silva p/ LITORAL</t>
        </is>
      </c>
      <c r="D487" s="74" t="inlineStr">
        <is>
          <t>Soares e Silva</t>
        </is>
      </c>
      <c r="E487" s="151" t="n">
        <v>0</v>
      </c>
      <c r="F487" s="100" t="n">
        <v>0</v>
      </c>
      <c r="G487" s="100" t="n">
        <v>0</v>
      </c>
      <c r="H487" s="74" t="inlineStr">
        <is>
          <t>Serviços da equipe para Horas cursos de normas e reciclagem ou visitas</t>
        </is>
      </c>
    </row>
    <row r="488" ht="15" customHeight="1" s="75">
      <c r="A488" s="74" t="inlineStr">
        <is>
          <t>MAIO/2026</t>
        </is>
      </c>
      <c r="B488" s="74" t="inlineStr">
        <is>
          <t>Segurança do Trabalho</t>
        </is>
      </c>
      <c r="C488" s="74" t="inlineStr">
        <is>
          <t>Serviços prestados pela equipe Segurança do trabalho soares e silva p/ dtel</t>
        </is>
      </c>
      <c r="D488" s="74" t="inlineStr">
        <is>
          <t>Soares e Silva</t>
        </is>
      </c>
      <c r="E488" s="151" t="n">
        <v>0</v>
      </c>
      <c r="F488" s="100" t="n">
        <v>0</v>
      </c>
      <c r="G488" s="100" t="n">
        <v>0</v>
      </c>
      <c r="H488" s="74" t="inlineStr">
        <is>
          <t>Serviços da equipe para Horas cursos de normas e reciclagem ou visitas</t>
        </is>
      </c>
    </row>
    <row r="489" ht="15" customHeight="1" s="75">
      <c r="A489" s="74" t="inlineStr">
        <is>
          <t>MAIO/2026</t>
        </is>
      </c>
      <c r="B489" s="74" t="inlineStr">
        <is>
          <t>Segurança do Trabalho</t>
        </is>
      </c>
      <c r="C489" s="74" t="inlineStr">
        <is>
          <t>Equipamentos de Segurança</t>
        </is>
      </c>
      <c r="D489" s="74" t="inlineStr">
        <is>
          <t>Solon Araújo</t>
        </is>
      </c>
      <c r="E489" s="151" t="n">
        <v>0</v>
      </c>
      <c r="F489" s="100" t="n">
        <v>0</v>
      </c>
      <c r="G489" s="100" t="n">
        <v>0</v>
      </c>
      <c r="H489" s="74" t="inlineStr">
        <is>
          <t>Devolução de Crédito</t>
        </is>
      </c>
    </row>
    <row r="490" ht="15" customHeight="1" s="75">
      <c r="A490" s="74" t="inlineStr">
        <is>
          <t>MAIO/2026</t>
        </is>
      </c>
      <c r="B490" s="74" t="inlineStr">
        <is>
          <t>Segurança do Trabalho</t>
        </is>
      </c>
      <c r="C490" s="74" t="inlineStr">
        <is>
          <t>Equipamentos de Segurança</t>
        </is>
      </c>
      <c r="D490" s="74" t="inlineStr">
        <is>
          <t>Solon Araújo</t>
        </is>
      </c>
      <c r="E490" s="151" t="n">
        <v>1</v>
      </c>
      <c r="F490" s="100" t="n">
        <v>4808.82</v>
      </c>
      <c r="G490" s="100" t="n">
        <v>4808.82</v>
      </c>
      <c r="H490" s="74" t="inlineStr">
        <is>
          <t>EPI, EPC, Fardamento</t>
        </is>
      </c>
    </row>
    <row r="491" ht="15" customHeight="1" s="75">
      <c r="A491" s="74" t="inlineStr">
        <is>
          <t>MAIO/2026</t>
        </is>
      </c>
      <c r="B491" s="74" t="inlineStr">
        <is>
          <t>Segurança do Trabalho</t>
        </is>
      </c>
      <c r="C491" s="74" t="inlineStr">
        <is>
          <t>Km rodado Segurança e Saúde do Trabalho soares e silva p/ LITORAL</t>
        </is>
      </c>
      <c r="D491" s="74" t="inlineStr">
        <is>
          <t>Solon Araújo</t>
        </is>
      </c>
      <c r="E491" s="151" t="n">
        <v>0</v>
      </c>
      <c r="F491" s="100" t="n">
        <v>0</v>
      </c>
      <c r="G491" s="100" t="n">
        <v>0</v>
      </c>
      <c r="H491" s="74" t="inlineStr">
        <is>
          <t>Serviços da equipe para Horas cursos de normas e reciclagem ou visitas</t>
        </is>
      </c>
    </row>
    <row r="492" ht="15" customHeight="1" s="75">
      <c r="A492" s="74" t="inlineStr">
        <is>
          <t>MAIO/2026</t>
        </is>
      </c>
      <c r="B492" s="74" t="inlineStr">
        <is>
          <t>Segurança do Trabalho</t>
        </is>
      </c>
      <c r="C492" s="74" t="inlineStr">
        <is>
          <t>Serviços prestados pela equipe Segurança do trabalho soares e silva p/ LITORAL</t>
        </is>
      </c>
      <c r="D492" s="74" t="inlineStr">
        <is>
          <t>Solon Araújo</t>
        </is>
      </c>
      <c r="E492" s="151" t="n">
        <v>0</v>
      </c>
      <c r="F492" s="100" t="n">
        <v>0</v>
      </c>
      <c r="G492" s="100" t="n">
        <v>0</v>
      </c>
      <c r="H492" s="74" t="inlineStr">
        <is>
          <t>Serviços da equipe para Horas cursos de normas e reciclagem ou visitas</t>
        </is>
      </c>
    </row>
    <row r="493" ht="15" customHeight="1" s="75">
      <c r="A493" s="74" t="inlineStr">
        <is>
          <t>MAIO/2026</t>
        </is>
      </c>
      <c r="B493" s="74" t="inlineStr">
        <is>
          <t>Segurança do Trabalho</t>
        </is>
      </c>
      <c r="C493" s="74" t="inlineStr">
        <is>
          <t>Equipamentos de Segurança</t>
        </is>
      </c>
      <c r="D493" s="74" t="inlineStr">
        <is>
          <t>Souza e Silva</t>
        </is>
      </c>
      <c r="E493" s="151" t="n">
        <v>1</v>
      </c>
      <c r="F493" s="100" t="n">
        <v>111.44</v>
      </c>
      <c r="G493" s="100" t="n">
        <v>111.44</v>
      </c>
      <c r="H493" s="74" t="inlineStr">
        <is>
          <t>EPI/Equipamentos do mês (CUSTO DE SEGURANÇA - MAIO26.xlsx)</t>
        </is>
      </c>
    </row>
    <row r="494" ht="15" customHeight="1" s="75">
      <c r="A494" s="74" t="inlineStr">
        <is>
          <t>MAIO/2026</t>
        </is>
      </c>
      <c r="B494" s="74" t="inlineStr">
        <is>
          <t>Segurança do Trabalho</t>
        </is>
      </c>
      <c r="C494" s="74" t="inlineStr">
        <is>
          <t>Equipamentos de Segurança</t>
        </is>
      </c>
      <c r="D494" s="74" t="inlineStr">
        <is>
          <t>Souza e Silva</t>
        </is>
      </c>
      <c r="E494" s="151" t="n">
        <v>0</v>
      </c>
      <c r="F494" s="100" t="n">
        <v>0</v>
      </c>
      <c r="G494" s="100" t="n">
        <v>0</v>
      </c>
      <c r="H494" s="74" t="inlineStr">
        <is>
          <t>Devolução de Crédito</t>
        </is>
      </c>
    </row>
    <row r="495" ht="15" customHeight="1" s="75">
      <c r="A495" s="74" t="inlineStr">
        <is>
          <t>MAIO/2026</t>
        </is>
      </c>
      <c r="B495" s="74" t="inlineStr">
        <is>
          <t>Segurança do Trabalho</t>
        </is>
      </c>
      <c r="C495" s="74" t="inlineStr">
        <is>
          <t>Equipamentos de Segurança</t>
        </is>
      </c>
      <c r="D495" s="74" t="inlineStr">
        <is>
          <t>Voicenet</t>
        </is>
      </c>
      <c r="E495" s="151" t="n">
        <v>1</v>
      </c>
      <c r="F495" s="100" t="n">
        <v>4028.26</v>
      </c>
      <c r="G495" s="100" t="n">
        <v>4028.26</v>
      </c>
      <c r="H495" s="74" t="inlineStr">
        <is>
          <t>EPI/Equipamentos do mês (CUSTO DE SEGURANÇA - MAIO26.xlsx)</t>
        </is>
      </c>
    </row>
    <row r="496" ht="15" customHeight="1" s="75">
      <c r="A496" s="74" t="inlineStr">
        <is>
          <t>MAIO/2026</t>
        </is>
      </c>
      <c r="B496" s="74" t="inlineStr">
        <is>
          <t>Segurança do Trabalho</t>
        </is>
      </c>
      <c r="C496" s="74" t="inlineStr">
        <is>
          <t>Equipamentos de Segurança</t>
        </is>
      </c>
      <c r="D496" s="74" t="inlineStr">
        <is>
          <t>Voicenet</t>
        </is>
      </c>
      <c r="E496" s="151" t="n">
        <v>0</v>
      </c>
      <c r="F496" s="100" t="n">
        <v>0</v>
      </c>
      <c r="G496" s="100" t="n">
        <v>0</v>
      </c>
      <c r="H496" s="74" t="inlineStr">
        <is>
          <t>Devolução de Crédito</t>
        </is>
      </c>
    </row>
    <row r="497" ht="15" customHeight="1" s="75">
      <c r="A497" s="74" t="inlineStr">
        <is>
          <t>MAIO/2026</t>
        </is>
      </c>
      <c r="B497" s="74" t="inlineStr">
        <is>
          <t>Segurança do Trabalho</t>
        </is>
      </c>
      <c r="C497" s="74" t="inlineStr">
        <is>
          <t>Km rodado Segurança e Saúde do Trabalho dtel p/ voice net</t>
        </is>
      </c>
      <c r="D497" s="74" t="inlineStr">
        <is>
          <t>Voicenet</t>
        </is>
      </c>
      <c r="E497" s="151" t="n">
        <v>0</v>
      </c>
      <c r="F497" s="100" t="n">
        <v>0</v>
      </c>
      <c r="G497" s="100" t="n">
        <v>0</v>
      </c>
      <c r="H497" s="74" t="inlineStr">
        <is>
          <t>Deslocamento da equipe para Horas cursos de normas e reciclagem ou visitas</t>
        </is>
      </c>
    </row>
    <row r="498" ht="15" customHeight="1" s="75">
      <c r="A498" s="74" t="inlineStr">
        <is>
          <t>MAIO/2026</t>
        </is>
      </c>
      <c r="B498" s="74" t="inlineStr">
        <is>
          <t>Segurança do Trabalho</t>
        </is>
      </c>
      <c r="C498" s="74" t="inlineStr">
        <is>
          <t>Serviços prestados pela equipe Segurança do trabalho</t>
        </is>
      </c>
      <c r="D498" s="74" t="inlineStr">
        <is>
          <t>Voicenet</t>
        </is>
      </c>
      <c r="E498" s="151" t="n">
        <v>0</v>
      </c>
      <c r="F498" s="100" t="n">
        <v>0</v>
      </c>
      <c r="G498" s="100" t="n">
        <v>0</v>
      </c>
      <c r="H498" s="74" t="inlineStr">
        <is>
          <t>Serviços da equipe para Horas cursos de normas e reciclagem ou visitas</t>
        </is>
      </c>
    </row>
    <row r="499" ht="15" customHeight="1" s="75">
      <c r="A499" s="74" t="inlineStr">
        <is>
          <t>MAIO/2026</t>
        </is>
      </c>
      <c r="B499" s="74" t="inlineStr">
        <is>
          <t>TIC</t>
        </is>
      </c>
      <c r="C499" s="74" t="inlineStr">
        <is>
          <t>E-mail Dtel</t>
        </is>
      </c>
      <c r="D499" s="74" t="inlineStr">
        <is>
          <t>DX2</t>
        </is>
      </c>
      <c r="E499" s="151" t="n">
        <v>2</v>
      </c>
      <c r="F499" s="100" t="n">
        <v>50</v>
      </c>
      <c r="G499" s="100" t="n">
        <v>100</v>
      </c>
      <c r="H499" s="74" t="inlineStr">
        <is>
          <t>Utilização de email corporativo</t>
        </is>
      </c>
    </row>
    <row r="500" ht="15" customHeight="1" s="75">
      <c r="A500" s="74" t="inlineStr">
        <is>
          <t>MAIO/2026</t>
        </is>
      </c>
      <c r="B500" s="74" t="inlineStr">
        <is>
          <t>TIC</t>
        </is>
      </c>
      <c r="C500" s="74" t="inlineStr">
        <is>
          <t>E-mail Dtel</t>
        </is>
      </c>
      <c r="D500" s="74" t="inlineStr">
        <is>
          <t>H&amp;A</t>
        </is>
      </c>
      <c r="E500" s="151" t="n">
        <v>2</v>
      </c>
      <c r="F500" s="100" t="n">
        <v>50</v>
      </c>
      <c r="G500" s="100" t="n">
        <v>100</v>
      </c>
      <c r="H500" s="74" t="inlineStr">
        <is>
          <t>Utilização de email corporativo</t>
        </is>
      </c>
    </row>
    <row r="501" ht="15" customHeight="1" s="75">
      <c r="A501" s="74" t="inlineStr">
        <is>
          <t>MAIO/2026</t>
        </is>
      </c>
      <c r="B501" s="74" t="inlineStr">
        <is>
          <t>TIC</t>
        </is>
      </c>
      <c r="C501" s="74" t="inlineStr">
        <is>
          <t>E-mail Dtel</t>
        </is>
      </c>
      <c r="D501" s="74" t="inlineStr">
        <is>
          <t>Soares e Lins</t>
        </is>
      </c>
      <c r="E501" s="151" t="n">
        <v>1</v>
      </c>
      <c r="F501" s="100" t="n">
        <v>10</v>
      </c>
      <c r="G501" s="100" t="n">
        <v>10</v>
      </c>
      <c r="H501" s="74" t="inlineStr">
        <is>
          <t>Utilização de email corporativo</t>
        </is>
      </c>
    </row>
    <row r="502" ht="15" customHeight="1" s="75">
      <c r="A502" s="74" t="inlineStr">
        <is>
          <t>MAIO/2026</t>
        </is>
      </c>
      <c r="B502" s="74" t="inlineStr">
        <is>
          <t>TIC</t>
        </is>
      </c>
      <c r="C502" s="74" t="inlineStr">
        <is>
          <t>E-mail Dtel</t>
        </is>
      </c>
      <c r="D502" s="74" t="inlineStr">
        <is>
          <t>Soares e Silva</t>
        </is>
      </c>
      <c r="E502" s="151" t="n">
        <v>1</v>
      </c>
      <c r="F502" s="100" t="n">
        <v>10</v>
      </c>
      <c r="G502" s="100" t="n">
        <v>10</v>
      </c>
      <c r="H502" s="74" t="inlineStr">
        <is>
          <t>Utilização de email corporativo</t>
        </is>
      </c>
    </row>
    <row r="503" ht="15" customHeight="1" s="75">
      <c r="A503" s="74" t="inlineStr">
        <is>
          <t>MAIO/2026</t>
        </is>
      </c>
      <c r="B503" s="74" t="inlineStr">
        <is>
          <t>TIC</t>
        </is>
      </c>
      <c r="C503" s="74" t="inlineStr">
        <is>
          <t>E-mail Dtel</t>
        </is>
      </c>
      <c r="D503" s="74" t="inlineStr">
        <is>
          <t>Soares e Silva</t>
        </is>
      </c>
      <c r="E503" s="151" t="n">
        <v>5</v>
      </c>
      <c r="F503" s="100" t="n">
        <v>50</v>
      </c>
      <c r="G503" s="100" t="n">
        <v>250</v>
      </c>
      <c r="H503" s="74" t="inlineStr">
        <is>
          <t>Utilização de email corporativo</t>
        </is>
      </c>
    </row>
    <row r="504" ht="15" customHeight="1" s="75">
      <c r="A504" s="74" t="inlineStr">
        <is>
          <t>MAIO/2026</t>
        </is>
      </c>
      <c r="B504" s="74" t="inlineStr">
        <is>
          <t>TIC</t>
        </is>
      </c>
      <c r="C504" s="74" t="inlineStr">
        <is>
          <t>E-mail Dtel</t>
        </is>
      </c>
      <c r="D504" s="74" t="inlineStr">
        <is>
          <t>Solon Araújo</t>
        </is>
      </c>
      <c r="E504" s="151" t="n">
        <v>2</v>
      </c>
      <c r="F504" s="100" t="n">
        <v>50</v>
      </c>
      <c r="G504" s="100" t="n">
        <v>100</v>
      </c>
      <c r="H504" s="74" t="inlineStr">
        <is>
          <t>Utilização de email corporativo</t>
        </is>
      </c>
    </row>
    <row r="505" ht="15" customHeight="1" s="75">
      <c r="A505" s="74" t="inlineStr">
        <is>
          <t>MAIO/2026</t>
        </is>
      </c>
      <c r="B505" s="74" t="inlineStr">
        <is>
          <t>TIC</t>
        </is>
      </c>
      <c r="C505" s="74" t="inlineStr">
        <is>
          <t>E-mail Dtel</t>
        </is>
      </c>
      <c r="D505" s="74" t="inlineStr">
        <is>
          <t>Souza e Silva</t>
        </is>
      </c>
      <c r="E505" s="151" t="n">
        <v>1</v>
      </c>
      <c r="F505" s="100" t="n">
        <v>50</v>
      </c>
      <c r="G505" s="100" t="n">
        <v>50</v>
      </c>
      <c r="H505" s="74" t="inlineStr">
        <is>
          <t>Utilização de email corporativo</t>
        </is>
      </c>
    </row>
    <row r="506" ht="15" customHeight="1" s="75">
      <c r="A506" s="74" t="inlineStr">
        <is>
          <t>MAIO/2026</t>
        </is>
      </c>
      <c r="B506" s="74" t="inlineStr">
        <is>
          <t>TIC</t>
        </is>
      </c>
      <c r="C506" s="74" t="inlineStr">
        <is>
          <t>E-mail Dtel</t>
        </is>
      </c>
      <c r="D506" s="74" t="inlineStr">
        <is>
          <t>Voicenet</t>
        </is>
      </c>
      <c r="E506" s="151" t="n">
        <v>1</v>
      </c>
      <c r="F506" s="100" t="n">
        <v>90</v>
      </c>
      <c r="G506" s="100" t="n">
        <v>90</v>
      </c>
      <c r="H506" s="74" t="inlineStr">
        <is>
          <t>Utilização de email corporativo</t>
        </is>
      </c>
    </row>
    <row r="507" ht="15" customHeight="1" s="75">
      <c r="A507" s="74" t="inlineStr">
        <is>
          <t>MAIO/2026</t>
        </is>
      </c>
      <c r="B507" s="74" t="inlineStr">
        <is>
          <t>TIC</t>
        </is>
      </c>
      <c r="C507" s="74" t="inlineStr">
        <is>
          <t>E-mail Dtel</t>
        </is>
      </c>
      <c r="D507" s="74" t="inlineStr">
        <is>
          <t>Voicenet</t>
        </is>
      </c>
      <c r="E507" s="151" t="n">
        <v>2</v>
      </c>
      <c r="F507" s="100" t="n">
        <v>10</v>
      </c>
      <c r="G507" s="100" t="n">
        <v>20</v>
      </c>
      <c r="H507" s="74" t="inlineStr">
        <is>
          <t>Utilização de email corporativo</t>
        </is>
      </c>
    </row>
    <row r="508" ht="15" customHeight="1" s="75">
      <c r="A508" s="74" t="inlineStr">
        <is>
          <t>MAIO/2026</t>
        </is>
      </c>
      <c r="B508" s="74" t="inlineStr">
        <is>
          <t>TIC</t>
        </is>
      </c>
      <c r="C508" s="74" t="inlineStr">
        <is>
          <t>E-mail Dtel</t>
        </is>
      </c>
      <c r="D508" s="74" t="inlineStr">
        <is>
          <t>Voicenet</t>
        </is>
      </c>
      <c r="E508" s="151" t="n">
        <v>3</v>
      </c>
      <c r="F508" s="100" t="n">
        <v>50</v>
      </c>
      <c r="G508" s="100" t="n">
        <v>150</v>
      </c>
      <c r="H508" s="74" t="inlineStr">
        <is>
          <t>Utilização de email corporativo</t>
        </is>
      </c>
    </row>
    <row r="509" ht="15" customHeight="1" s="75">
      <c r="A509" s="74" t="inlineStr">
        <is>
          <t>JUNHO/2026</t>
        </is>
      </c>
      <c r="B509" s="74" t="inlineStr">
        <is>
          <t>Adm Atendimento</t>
        </is>
      </c>
      <c r="C509" s="74" t="inlineStr">
        <is>
          <t>Adm atendimento presencial</t>
        </is>
      </c>
      <c r="D509" s="74" t="inlineStr">
        <is>
          <t>H&amp;A</t>
        </is>
      </c>
      <c r="E509" s="151" t="n">
        <v>13418</v>
      </c>
      <c r="F509" s="100" t="n">
        <v>0.427453957585064</v>
      </c>
      <c r="G509" s="100" t="n">
        <v>5735.57720287639</v>
      </c>
      <c r="H509" s="74" t="inlineStr">
        <is>
          <t>Cálculo por número de clientes ativos</t>
        </is>
      </c>
    </row>
    <row r="510" ht="15" customHeight="1" s="75">
      <c r="A510" s="74" t="inlineStr">
        <is>
          <t>JUNHO/2026</t>
        </is>
      </c>
      <c r="B510" s="74" t="inlineStr">
        <is>
          <t>Adm Qualidade</t>
        </is>
      </c>
      <c r="C510" s="74" t="inlineStr">
        <is>
          <t>Qualidade</t>
        </is>
      </c>
      <c r="D510" s="74" t="inlineStr">
        <is>
          <t>H&amp;A</t>
        </is>
      </c>
      <c r="E510" s="151" t="n">
        <v>13418</v>
      </c>
      <c r="F510" s="100" t="n">
        <v>0.266574828615826</v>
      </c>
      <c r="G510" s="100" t="n">
        <v>3576.90105036715</v>
      </c>
      <c r="H510" s="74" t="inlineStr">
        <is>
          <t>Cálculo por número de clientes ativos</t>
        </is>
      </c>
    </row>
    <row r="511" ht="15" customHeight="1" s="75">
      <c r="A511" s="74" t="inlineStr">
        <is>
          <t>JUNHO/2026</t>
        </is>
      </c>
      <c r="B511" s="74" t="inlineStr">
        <is>
          <t>Atendimento</t>
        </is>
      </c>
      <c r="C511" s="74" t="inlineStr">
        <is>
          <t>Material de escritório</t>
        </is>
      </c>
      <c r="D511" s="74" t="inlineStr">
        <is>
          <t>DTEL</t>
        </is>
      </c>
      <c r="E511" s="151" t="n">
        <v>1</v>
      </c>
      <c r="F511" s="100" t="n">
        <v>1222.09</v>
      </c>
      <c r="G511" s="100" t="n">
        <v>1222.09</v>
      </c>
      <c r="H511" s="74" t="inlineStr">
        <is>
          <t>Preenchido da planilha de materiais (materiais recebidos em 06-2026.xlsx)</t>
        </is>
      </c>
    </row>
    <row r="512" ht="15" customHeight="1" s="75">
      <c r="A512" s="74" t="inlineStr">
        <is>
          <t>JUNHO/2026</t>
        </is>
      </c>
      <c r="B512" s="74" t="inlineStr">
        <is>
          <t>Atendimento</t>
        </is>
      </c>
      <c r="C512" s="74" t="inlineStr">
        <is>
          <t>Material de uso coletivo</t>
        </is>
      </c>
      <c r="D512" s="74" t="inlineStr">
        <is>
          <t>DTEL</t>
        </is>
      </c>
      <c r="E512" s="151" t="n">
        <v>0</v>
      </c>
      <c r="F512" s="100" t="n">
        <v>0</v>
      </c>
      <c r="G512" s="100" t="n">
        <v>0</v>
      </c>
      <c r="H512" s="74" t="inlineStr">
        <is>
          <t>Preenchido da planilha de materiais (materiais recebidos em 05-2026.xlsx)</t>
        </is>
      </c>
    </row>
    <row r="513" ht="15" customHeight="1" s="75">
      <c r="A513" s="74" t="inlineStr">
        <is>
          <t>JUNHO/2026</t>
        </is>
      </c>
      <c r="B513" s="74" t="inlineStr">
        <is>
          <t>Atendimento</t>
        </is>
      </c>
      <c r="C513" s="74" t="inlineStr">
        <is>
          <t>Material de escritório</t>
        </is>
      </c>
      <c r="D513" s="74" t="inlineStr">
        <is>
          <t>DX2</t>
        </is>
      </c>
      <c r="E513" s="151" t="n">
        <v>0</v>
      </c>
      <c r="F513" s="100" t="n">
        <v>0</v>
      </c>
      <c r="G513" s="100" t="n">
        <v>0</v>
      </c>
      <c r="H513" s="74" t="inlineStr">
        <is>
          <t>Capa de carnê</t>
        </is>
      </c>
    </row>
    <row r="514" ht="15" customHeight="1" s="75">
      <c r="A514" s="74" t="inlineStr">
        <is>
          <t>JUNHO/2026</t>
        </is>
      </c>
      <c r="B514" s="74" t="inlineStr">
        <is>
          <t>Atendimento</t>
        </is>
      </c>
      <c r="C514" s="74" t="inlineStr">
        <is>
          <t>Material de uso coletivo</t>
        </is>
      </c>
      <c r="D514" s="74" t="inlineStr">
        <is>
          <t>DX2</t>
        </is>
      </c>
      <c r="E514" s="151" t="n">
        <v>0</v>
      </c>
      <c r="F514" s="100" t="n">
        <v>0</v>
      </c>
      <c r="G514" s="100" t="n">
        <v>0</v>
      </c>
      <c r="H514" s="74" t="inlineStr">
        <is>
          <t>Preenchido da planilha de materiais (materiais recebidos em 05-2026.xlsx)</t>
        </is>
      </c>
    </row>
    <row r="515" ht="15" customHeight="1" s="75">
      <c r="A515" s="74" t="inlineStr">
        <is>
          <t>JUNHO/2026</t>
        </is>
      </c>
      <c r="B515" s="74" t="inlineStr">
        <is>
          <t>Atendimento</t>
        </is>
      </c>
      <c r="C515" s="74" t="inlineStr">
        <is>
          <t>Material de escritório</t>
        </is>
      </c>
      <c r="D515" s="74" t="inlineStr">
        <is>
          <t>H&amp;A</t>
        </is>
      </c>
      <c r="E515" s="151" t="n">
        <v>0</v>
      </c>
      <c r="F515" s="100" t="n">
        <v>0</v>
      </c>
      <c r="G515" s="100" t="n">
        <v>0</v>
      </c>
      <c r="H515" s="74" t="inlineStr">
        <is>
          <t>Porta panfleto</t>
        </is>
      </c>
    </row>
    <row r="516" ht="15" customHeight="1" s="75">
      <c r="A516" s="74" t="inlineStr">
        <is>
          <t>JUNHO/2026</t>
        </is>
      </c>
      <c r="B516" s="74" t="inlineStr">
        <is>
          <t>Atendimento</t>
        </is>
      </c>
      <c r="C516" s="74" t="inlineStr">
        <is>
          <t>Promotor autonomo Erika sonara</t>
        </is>
      </c>
      <c r="D516" s="74" t="inlineStr">
        <is>
          <t>H&amp;A</t>
        </is>
      </c>
      <c r="E516" s="151" t="n">
        <v>0</v>
      </c>
      <c r="F516" s="100" t="n">
        <v>0</v>
      </c>
      <c r="G516" s="100" t="n">
        <v>0</v>
      </c>
      <c r="H516" s="74" t="inlineStr">
        <is>
          <t>Comissionamento de vendas realizadas na h&amp;a paga pela Dtel fev.</t>
        </is>
      </c>
    </row>
    <row r="517" ht="15" customHeight="1" s="75">
      <c r="A517" s="74" t="inlineStr">
        <is>
          <t>JUNHO/2026</t>
        </is>
      </c>
      <c r="B517" s="74" t="inlineStr">
        <is>
          <t>Atendimento</t>
        </is>
      </c>
      <c r="C517" s="74" t="inlineStr">
        <is>
          <t>Material de escritório</t>
        </is>
      </c>
      <c r="D517" s="74" t="inlineStr">
        <is>
          <t>Soares e Lins</t>
        </is>
      </c>
      <c r="E517" s="151" t="n">
        <v>0</v>
      </c>
      <c r="F517" s="100" t="n">
        <v>0</v>
      </c>
      <c r="G517" s="100" t="n">
        <v>0</v>
      </c>
      <c r="H517" s="74" t="inlineStr">
        <is>
          <t>Porta panfleto</t>
        </is>
      </c>
    </row>
    <row r="518" ht="15" customHeight="1" s="75">
      <c r="A518" s="74" t="inlineStr">
        <is>
          <t>JUNHO/2026</t>
        </is>
      </c>
      <c r="B518" s="74" t="inlineStr">
        <is>
          <t>Atendimento</t>
        </is>
      </c>
      <c r="C518" s="74" t="inlineStr">
        <is>
          <t>Material de uso coletivo</t>
        </is>
      </c>
      <c r="D518" s="74" t="inlineStr">
        <is>
          <t>Soares e Lins</t>
        </is>
      </c>
      <c r="E518" s="151" t="n">
        <v>0</v>
      </c>
      <c r="F518" s="100" t="n">
        <v>0</v>
      </c>
      <c r="G518" s="100" t="n">
        <v>0</v>
      </c>
      <c r="H518" s="74" t="inlineStr">
        <is>
          <t>Preenchido da planilha de materiais (materiais recebidos em 05-2026.xlsx)</t>
        </is>
      </c>
    </row>
    <row r="519" ht="15" customHeight="1" s="75">
      <c r="A519" s="74" t="inlineStr">
        <is>
          <t>JUNHO/2026</t>
        </is>
      </c>
      <c r="B519" s="74" t="inlineStr">
        <is>
          <t>Atendimento</t>
        </is>
      </c>
      <c r="C519" s="74" t="inlineStr">
        <is>
          <t>Material de escritório</t>
        </is>
      </c>
      <c r="D519" s="74" t="inlineStr">
        <is>
          <t>Soares e Silva</t>
        </is>
      </c>
      <c r="E519" s="151" t="n">
        <v>0</v>
      </c>
      <c r="F519" s="100" t="n">
        <v>0</v>
      </c>
      <c r="G519" s="100" t="n">
        <v>0</v>
      </c>
      <c r="H519" s="74" t="inlineStr">
        <is>
          <t>Capa de carnê</t>
        </is>
      </c>
    </row>
    <row r="520" ht="15" customHeight="1" s="75">
      <c r="A520" s="74" t="inlineStr">
        <is>
          <t>JUNHO/2026</t>
        </is>
      </c>
      <c r="B520" s="74" t="inlineStr">
        <is>
          <t>Atendimento</t>
        </is>
      </c>
      <c r="C520" s="74" t="inlineStr">
        <is>
          <t>Material de uso coletivo</t>
        </is>
      </c>
      <c r="D520" s="74" t="inlineStr">
        <is>
          <t>Soares e Silva</t>
        </is>
      </c>
      <c r="E520" s="151" t="n">
        <v>0</v>
      </c>
      <c r="F520" s="100" t="n">
        <v>0</v>
      </c>
      <c r="G520" s="100" t="n">
        <v>0</v>
      </c>
      <c r="H520" s="74" t="inlineStr">
        <is>
          <t>Água mineral</t>
        </is>
      </c>
    </row>
    <row r="521" ht="15" customHeight="1" s="75">
      <c r="A521" s="74" t="inlineStr">
        <is>
          <t>JUNHO/2026</t>
        </is>
      </c>
      <c r="B521" s="74" t="inlineStr">
        <is>
          <t>Atendimento</t>
        </is>
      </c>
      <c r="C521" s="74" t="inlineStr">
        <is>
          <t>Material de escritório</t>
        </is>
      </c>
      <c r="D521" s="74" t="inlineStr">
        <is>
          <t>Solon Araújo</t>
        </is>
      </c>
      <c r="E521" s="151" t="n">
        <v>0</v>
      </c>
      <c r="F521" s="100" t="n">
        <v>0</v>
      </c>
      <c r="G521" s="100" t="n">
        <v>0</v>
      </c>
      <c r="H521" s="74" t="inlineStr">
        <is>
          <t>Caixa de resma</t>
        </is>
      </c>
    </row>
    <row r="522" ht="15" customHeight="1" s="75">
      <c r="A522" s="74" t="inlineStr">
        <is>
          <t>JUNHO/2026</t>
        </is>
      </c>
      <c r="B522" s="74" t="inlineStr">
        <is>
          <t>Atendimento</t>
        </is>
      </c>
      <c r="C522" s="74" t="inlineStr">
        <is>
          <t>Material de uso coletivo</t>
        </is>
      </c>
      <c r="D522" s="74" t="inlineStr">
        <is>
          <t>Solon Araújo</t>
        </is>
      </c>
      <c r="E522" s="151" t="n">
        <v>0</v>
      </c>
      <c r="F522" s="100" t="n">
        <v>0</v>
      </c>
      <c r="G522" s="100" t="n">
        <v>0</v>
      </c>
      <c r="H522" s="74" t="inlineStr">
        <is>
          <t>Preenchido da planilha de materiais (materiais recebidos em 05-2026.xlsx)</t>
        </is>
      </c>
    </row>
    <row r="523" ht="15" customHeight="1" s="75">
      <c r="A523" s="74" t="inlineStr">
        <is>
          <t>JUNHO/2026</t>
        </is>
      </c>
      <c r="B523" s="74" t="inlineStr">
        <is>
          <t>Atendimento</t>
        </is>
      </c>
      <c r="C523" s="74" t="inlineStr">
        <is>
          <t>Material de uso coletivo</t>
        </is>
      </c>
      <c r="D523" s="74" t="inlineStr">
        <is>
          <t>Solon Araújo</t>
        </is>
      </c>
      <c r="E523" s="151" t="n">
        <v>0</v>
      </c>
      <c r="F523" s="100" t="n">
        <v>0</v>
      </c>
      <c r="G523" s="100" t="n">
        <v>0</v>
      </c>
      <c r="H523" s="74" t="inlineStr">
        <is>
          <t>Água mineral</t>
        </is>
      </c>
    </row>
    <row r="524" ht="15" customHeight="1" s="75">
      <c r="A524" s="74" t="inlineStr">
        <is>
          <t>JUNHO/2026</t>
        </is>
      </c>
      <c r="B524" s="74" t="inlineStr">
        <is>
          <t>Atendimento</t>
        </is>
      </c>
      <c r="C524" s="74" t="inlineStr">
        <is>
          <t>Material de escritório</t>
        </is>
      </c>
      <c r="D524" s="74" t="inlineStr">
        <is>
          <t>Souza e Silva</t>
        </is>
      </c>
      <c r="E524" s="151" t="n">
        <v>0</v>
      </c>
      <c r="F524" s="100" t="n">
        <v>0</v>
      </c>
      <c r="G524" s="100" t="n">
        <v>0</v>
      </c>
      <c r="H524" s="74" t="inlineStr">
        <is>
          <t>Porta panfleto</t>
        </is>
      </c>
    </row>
    <row r="525" ht="15" customHeight="1" s="75">
      <c r="A525" s="74" t="inlineStr">
        <is>
          <t>JUNHO/2026</t>
        </is>
      </c>
      <c r="B525" s="74" t="inlineStr">
        <is>
          <t>Atendimento</t>
        </is>
      </c>
      <c r="C525" s="74" t="inlineStr">
        <is>
          <t>Material de escritório</t>
        </is>
      </c>
      <c r="D525" s="74" t="inlineStr">
        <is>
          <t>Souza e Silva</t>
        </is>
      </c>
      <c r="E525" s="151" t="n">
        <v>0</v>
      </c>
      <c r="F525" s="100" t="n">
        <v>0</v>
      </c>
      <c r="G525" s="100" t="n">
        <v>0</v>
      </c>
      <c r="H525" s="74" t="inlineStr">
        <is>
          <t>Panfletos</t>
        </is>
      </c>
    </row>
    <row r="526" ht="15" customHeight="1" s="75">
      <c r="A526" s="74" t="inlineStr">
        <is>
          <t>JUNHO/2026</t>
        </is>
      </c>
      <c r="B526" s="74" t="inlineStr">
        <is>
          <t>COE</t>
        </is>
      </c>
      <c r="C526" s="74" t="inlineStr">
        <is>
          <t>Serviços do C.O.E distribuição de serviços</t>
        </is>
      </c>
      <c r="D526" s="74" t="inlineStr">
        <is>
          <t>Soares e Lins</t>
        </is>
      </c>
      <c r="E526" s="151" t="n">
        <v>3704</v>
      </c>
      <c r="F526" s="100" t="n">
        <v>0.563787597705515</v>
      </c>
      <c r="G526" s="100" t="n">
        <v>2088.26926190123</v>
      </c>
      <c r="H526" s="74" t="inlineStr">
        <is>
          <t>Cálculo por número de clientes ativos</t>
        </is>
      </c>
    </row>
    <row r="527" ht="15" customHeight="1" s="75">
      <c r="A527" s="74" t="inlineStr">
        <is>
          <t>JUNHO/2026</t>
        </is>
      </c>
      <c r="B527" s="74" t="inlineStr">
        <is>
          <t>COE</t>
        </is>
      </c>
      <c r="C527" s="74" t="inlineStr">
        <is>
          <t>Serviços do C.O.E distribuição de serviços</t>
        </is>
      </c>
      <c r="D527" s="74" t="inlineStr">
        <is>
          <t>Soares e Silva</t>
        </is>
      </c>
      <c r="E527" s="151" t="n">
        <v>6434</v>
      </c>
      <c r="F527" s="100" t="n">
        <v>0.563787597705515</v>
      </c>
      <c r="G527" s="100" t="n">
        <v>3627.40940363728</v>
      </c>
      <c r="H527" s="74" t="inlineStr">
        <is>
          <t>Cálculo por número de clientes ativos</t>
        </is>
      </c>
    </row>
    <row r="528" ht="15" customHeight="1" s="75">
      <c r="A528" s="74" t="inlineStr">
        <is>
          <t>JUNHO/2026</t>
        </is>
      </c>
      <c r="B528" s="74" t="inlineStr">
        <is>
          <t>COE</t>
        </is>
      </c>
      <c r="C528" s="74" t="inlineStr">
        <is>
          <t>Serviços do C.O.E distribuição de serviços</t>
        </is>
      </c>
      <c r="D528" s="74" t="inlineStr">
        <is>
          <t>Solon Araújo</t>
        </is>
      </c>
      <c r="E528" s="151" t="n">
        <v>14441</v>
      </c>
      <c r="F528" s="100" t="n">
        <v>0.563787597705515</v>
      </c>
      <c r="G528" s="100" t="n">
        <v>8141.65669846534</v>
      </c>
      <c r="H528" s="74" t="inlineStr">
        <is>
          <t>Cálculo por número de clientes ativos</t>
        </is>
      </c>
    </row>
    <row r="529" ht="15" customHeight="1" s="75">
      <c r="A529" s="74" t="inlineStr">
        <is>
          <t>JUNHO/2026</t>
        </is>
      </c>
      <c r="B529" s="74" t="inlineStr">
        <is>
          <t>COE</t>
        </is>
      </c>
      <c r="C529" s="74" t="inlineStr">
        <is>
          <t>Serviços do C.O.E distribuição de serviços</t>
        </is>
      </c>
      <c r="D529" s="74" t="inlineStr">
        <is>
          <t>Voicenet</t>
        </is>
      </c>
      <c r="E529" s="151" t="n">
        <v>4795</v>
      </c>
      <c r="F529" s="100" t="n">
        <v>0.563787597705515</v>
      </c>
      <c r="G529" s="100" t="n">
        <v>2703.36153099795</v>
      </c>
      <c r="H529" s="74" t="inlineStr">
        <is>
          <t>Cálculo por número de clientes ativos</t>
        </is>
      </c>
    </row>
    <row r="530" ht="15" customHeight="1" s="75">
      <c r="A530" s="74" t="inlineStr">
        <is>
          <t>JUNHO/2026</t>
        </is>
      </c>
      <c r="B530" s="74" t="inlineStr">
        <is>
          <t>Comercial</t>
        </is>
      </c>
      <c r="C530" s="74" t="inlineStr">
        <is>
          <t>Consultas e análises de crédito</t>
        </is>
      </c>
      <c r="D530" s="74" t="inlineStr">
        <is>
          <t>DTEL</t>
        </is>
      </c>
      <c r="E530" s="151" t="n">
        <v>5160</v>
      </c>
      <c r="F530" s="100" t="n">
        <v>1.86</v>
      </c>
      <c r="G530" s="100" t="n">
        <v>9597.6</v>
      </c>
      <c r="H530" s="74" t="inlineStr">
        <is>
          <t>Vendas cadastradas e consultadas pelo argos (Consultas e analise de credito - junho26.xlsx)</t>
        </is>
      </c>
    </row>
    <row r="531" ht="15" customHeight="1" s="75">
      <c r="A531" s="74" t="inlineStr">
        <is>
          <t>JUNHO/2026</t>
        </is>
      </c>
      <c r="B531" s="74" t="inlineStr">
        <is>
          <t>Comercial</t>
        </is>
      </c>
      <c r="C531" s="74" t="inlineStr">
        <is>
          <t>Consultas e análises de crédito</t>
        </is>
      </c>
      <c r="D531" s="74" t="inlineStr">
        <is>
          <t>DX2</t>
        </is>
      </c>
      <c r="E531" s="151" t="n">
        <v>333</v>
      </c>
      <c r="F531" s="100" t="n">
        <v>1.86</v>
      </c>
      <c r="G531" s="100" t="n">
        <v>619.38</v>
      </c>
      <c r="H531" s="74" t="inlineStr">
        <is>
          <t>Vendas cadastradas e consultadas pelo argos (Consultas e analise de credito - junho26.xlsx)</t>
        </is>
      </c>
    </row>
    <row r="532" ht="15" customHeight="1" s="75">
      <c r="A532" s="74" t="inlineStr">
        <is>
          <t>JUNHO/2026</t>
        </is>
      </c>
      <c r="B532" s="74" t="inlineStr">
        <is>
          <t>Comercial</t>
        </is>
      </c>
      <c r="C532" s="74" t="inlineStr">
        <is>
          <t>Despesa com alimentação da itinerante pap</t>
        </is>
      </c>
      <c r="D532" s="74" t="inlineStr">
        <is>
          <t>DX2</t>
        </is>
      </c>
      <c r="E532" s="151" t="n">
        <v>-1</v>
      </c>
      <c r="F532" s="100" t="n">
        <v>350</v>
      </c>
      <c r="G532" s="100" t="n">
        <v>-350</v>
      </c>
      <c r="H532" s="74" t="inlineStr">
        <is>
          <t>Crédito por despesa com alimentação da equipe Dx2, em inauguração de loja h&amp;a</t>
        </is>
      </c>
    </row>
    <row r="533" ht="15" customHeight="1" s="75">
      <c r="A533" s="74" t="inlineStr">
        <is>
          <t>JUNHO/2026</t>
        </is>
      </c>
      <c r="B533" s="74" t="inlineStr">
        <is>
          <t>Comercial</t>
        </is>
      </c>
      <c r="C533" s="74" t="inlineStr">
        <is>
          <t>Despesa da van DX2</t>
        </is>
      </c>
      <c r="D533" s="74" t="inlineStr">
        <is>
          <t>DX2</t>
        </is>
      </c>
      <c r="E533" s="151" t="n">
        <v>-1</v>
      </c>
      <c r="F533" s="100" t="n">
        <v>206.78</v>
      </c>
      <c r="G533" s="100" t="n">
        <v>-206.78</v>
      </c>
      <c r="H533" s="74" t="inlineStr">
        <is>
          <t>Crédito por despesa com combustivel da van</t>
        </is>
      </c>
    </row>
    <row r="534" ht="15" customHeight="1" s="75">
      <c r="A534" s="74" t="inlineStr">
        <is>
          <t>JUNHO/2026</t>
        </is>
      </c>
      <c r="B534" s="74" t="inlineStr">
        <is>
          <t>Comercial</t>
        </is>
      </c>
      <c r="C534" s="74" t="inlineStr">
        <is>
          <t>Despesa do consultor BARTOLOMEU</t>
        </is>
      </c>
      <c r="D534" s="74" t="inlineStr">
        <is>
          <t>DX2</t>
        </is>
      </c>
      <c r="E534" s="151" t="n">
        <v>0</v>
      </c>
      <c r="F534" s="100" t="n">
        <v>0</v>
      </c>
      <c r="G534" s="100" t="n">
        <v>0</v>
      </c>
      <c r="H534" s="74" t="inlineStr">
        <is>
          <t>Despesa trabalhista e combustivel do consultor dividido pelo total de vendas</t>
        </is>
      </c>
    </row>
    <row r="535" ht="15" customHeight="1" s="75">
      <c r="A535" s="74" t="inlineStr">
        <is>
          <t>JUNHO/2026</t>
        </is>
      </c>
      <c r="B535" s="74" t="inlineStr">
        <is>
          <t>Comercial</t>
        </is>
      </c>
      <c r="C535" s="74" t="inlineStr">
        <is>
          <t>Despesa do consultor PAULO MELO</t>
        </is>
      </c>
      <c r="D535" s="74" t="inlineStr">
        <is>
          <t>DX2</t>
        </is>
      </c>
      <c r="E535" s="151" t="n">
        <v>1</v>
      </c>
      <c r="F535" s="100" t="n">
        <v>439.28</v>
      </c>
      <c r="G535" s="100" t="n">
        <v>439.28</v>
      </c>
      <c r="H535" s="74" t="inlineStr">
        <is>
          <t>Despesa trabalhista e combustível do consultor dividido pelo total de vendas</t>
        </is>
      </c>
    </row>
    <row r="536" ht="15" customHeight="1" s="75">
      <c r="A536" s="74" t="inlineStr">
        <is>
          <t>JUNHO/2026</t>
        </is>
      </c>
      <c r="B536" s="74" t="inlineStr">
        <is>
          <t>Comercial</t>
        </is>
      </c>
      <c r="C536" s="74" t="inlineStr">
        <is>
          <t>Despesa do consultor PEDRO GREGO</t>
        </is>
      </c>
      <c r="D536" s="74" t="inlineStr">
        <is>
          <t>DX2</t>
        </is>
      </c>
      <c r="E536" s="151" t="n">
        <v>0</v>
      </c>
      <c r="F536" s="100" t="n">
        <v>0</v>
      </c>
      <c r="G536" s="100" t="n">
        <v>0</v>
      </c>
      <c r="H536" s="74" t="inlineStr">
        <is>
          <t>Despesa trabalhista e combustível do consultor dividido pelo total de vendas</t>
        </is>
      </c>
    </row>
    <row r="537" ht="15" customHeight="1" s="75">
      <c r="A537" s="74" t="inlineStr">
        <is>
          <t>JUNHO/2026</t>
        </is>
      </c>
      <c r="B537" s="74" t="inlineStr">
        <is>
          <t>Comercial</t>
        </is>
      </c>
      <c r="C537" s="74" t="inlineStr">
        <is>
          <t>Despesa do coordenador TIAGO, pela gestão da equipe</t>
        </is>
      </c>
      <c r="D537" s="74" t="inlineStr">
        <is>
          <t>DX2</t>
        </is>
      </c>
      <c r="E537" s="151" t="n">
        <v>-1</v>
      </c>
      <c r="F537" s="100" t="n">
        <v>756.5599999999999</v>
      </c>
      <c r="G537" s="100" t="n">
        <v>-756.5599999999999</v>
      </c>
      <c r="H537" s="74" t="inlineStr">
        <is>
          <t>Crédito por despesa com combustível e utilização de veÍculo dx2</t>
        </is>
      </c>
    </row>
    <row r="538" ht="15" customHeight="1" s="75">
      <c r="A538" s="74" t="inlineStr">
        <is>
          <t>JUNHO/2026</t>
        </is>
      </c>
      <c r="B538" s="74" t="inlineStr">
        <is>
          <t>Comercial</t>
        </is>
      </c>
      <c r="C538" s="74" t="inlineStr">
        <is>
          <t>Despesa do coordenador TIAGO, pela gestão da equipe</t>
        </is>
      </c>
      <c r="D538" s="74" t="inlineStr">
        <is>
          <t>DX2</t>
        </is>
      </c>
      <c r="E538" s="151" t="n">
        <v>-1</v>
      </c>
      <c r="F538" s="100" t="n">
        <v>4211.32</v>
      </c>
      <c r="G538" s="100" t="n">
        <v>-4211.32</v>
      </c>
      <c r="H538" s="74" t="inlineStr">
        <is>
          <t>Crédito por participação do coordenador na base h&amp;a e soares e silva</t>
        </is>
      </c>
    </row>
    <row r="539" ht="15" customHeight="1" s="75">
      <c r="A539" s="74" t="inlineStr">
        <is>
          <t>JUNHO/2026</t>
        </is>
      </c>
      <c r="B539" s="74" t="inlineStr">
        <is>
          <t>Comercial</t>
        </is>
      </c>
      <c r="C539" s="74" t="inlineStr">
        <is>
          <t>Vendas da equipe DX2 porta a porta P/ H&amp;A</t>
        </is>
      </c>
      <c r="D539" s="74" t="inlineStr">
        <is>
          <t>DX2</t>
        </is>
      </c>
      <c r="E539" s="151" t="n">
        <v>-5</v>
      </c>
      <c r="F539" s="100" t="n">
        <v>410.699645390071</v>
      </c>
      <c r="G539" s="100" t="n">
        <v>-2053.49822695035</v>
      </c>
      <c r="H539" s="74" t="inlineStr">
        <is>
          <t>Vendas comercial varejo.xlsx (maio/2026)</t>
        </is>
      </c>
    </row>
    <row r="540" ht="15" customHeight="1" s="75">
      <c r="A540" s="74" t="inlineStr">
        <is>
          <t>JUNHO/2026</t>
        </is>
      </c>
      <c r="B540" s="74" t="inlineStr">
        <is>
          <t>Comercial</t>
        </is>
      </c>
      <c r="C540" s="74" t="inlineStr">
        <is>
          <t>Vendas da equipe Dtel porta a porta</t>
        </is>
      </c>
      <c r="D540" s="74" t="inlineStr">
        <is>
          <t>DX2</t>
        </is>
      </c>
      <c r="E540" s="151" t="n">
        <v>0</v>
      </c>
      <c r="F540" s="100" t="n">
        <v>0</v>
      </c>
      <c r="G540" s="100" t="n">
        <v>0</v>
      </c>
      <c r="H540" s="74" t="inlineStr">
        <is>
          <t>Vendas instaladas</t>
        </is>
      </c>
    </row>
    <row r="541" ht="15" customHeight="1" s="75">
      <c r="A541" s="74" t="inlineStr">
        <is>
          <t>JUNHO/2026</t>
        </is>
      </c>
      <c r="B541" s="74" t="inlineStr">
        <is>
          <t>Comercial</t>
        </is>
      </c>
      <c r="C541" s="74" t="inlineStr">
        <is>
          <t>Vendas da equipe Dx2 porta a porta p/ Dtel</t>
        </is>
      </c>
      <c r="D541" s="74" t="inlineStr">
        <is>
          <t>DX2</t>
        </is>
      </c>
      <c r="E541" s="151" t="n">
        <v>0</v>
      </c>
      <c r="F541" s="100" t="n">
        <v>0</v>
      </c>
      <c r="G541" s="100" t="n">
        <v>0</v>
      </c>
      <c r="H541" s="74" t="inlineStr">
        <is>
          <t>Vendas instaladas</t>
        </is>
      </c>
    </row>
    <row r="542" ht="15" customHeight="1" s="75">
      <c r="A542" s="74" t="inlineStr">
        <is>
          <t>JUNHO/2026</t>
        </is>
      </c>
      <c r="B542" s="74" t="inlineStr">
        <is>
          <t>Comercial</t>
        </is>
      </c>
      <c r="C542" s="74" t="inlineStr">
        <is>
          <t>Vendas da equipe H&amp;A porta a porta P/ DX2</t>
        </is>
      </c>
      <c r="D542" s="74" t="inlineStr">
        <is>
          <t>DX2</t>
        </is>
      </c>
      <c r="E542" s="151" t="n">
        <v>3</v>
      </c>
      <c r="F542" s="100" t="n">
        <v>278.600873702422</v>
      </c>
      <c r="G542" s="100" t="n">
        <v>835.802621107267</v>
      </c>
      <c r="H542" s="74" t="inlineStr">
        <is>
          <t>Vendas comercial varejo.xlsx (maio/2026)</t>
        </is>
      </c>
    </row>
    <row r="543" ht="15" customHeight="1" s="75">
      <c r="A543" s="74" t="inlineStr">
        <is>
          <t>JUNHO/2026</t>
        </is>
      </c>
      <c r="B543" s="74" t="inlineStr">
        <is>
          <t>Comercial</t>
        </is>
      </c>
      <c r="C543" s="74" t="inlineStr">
        <is>
          <t>Vendas da equipe VOICENET porta a porta P/  DX2</t>
        </is>
      </c>
      <c r="D543" s="74" t="inlineStr">
        <is>
          <t>DX2</t>
        </is>
      </c>
      <c r="E543" s="151" t="n">
        <v>0</v>
      </c>
      <c r="F543" s="100" t="n">
        <v>0</v>
      </c>
      <c r="G543" s="100" t="n">
        <v>0</v>
      </c>
      <c r="H543" s="74" t="inlineStr">
        <is>
          <t>Vendas instaladas</t>
        </is>
      </c>
    </row>
    <row r="544" ht="15" customHeight="1" s="75">
      <c r="A544" s="74" t="inlineStr">
        <is>
          <t>JUNHO/2026</t>
        </is>
      </c>
      <c r="B544" s="74" t="inlineStr">
        <is>
          <t>Comercial</t>
        </is>
      </c>
      <c r="C544" s="74" t="inlineStr">
        <is>
          <t>Comissão de manutenção da Totum</t>
        </is>
      </c>
      <c r="D544" s="74" t="inlineStr">
        <is>
          <t>H&amp;A</t>
        </is>
      </c>
      <c r="E544" s="151" t="n">
        <v>1</v>
      </c>
      <c r="F544" s="100" t="n">
        <v>33.5</v>
      </c>
      <c r="G544" s="100" t="n">
        <v>33.5</v>
      </c>
      <c r="H544" s="74" t="inlineStr">
        <is>
          <t>Conselho regional de enfermagem de PE</t>
        </is>
      </c>
    </row>
    <row r="545" ht="15" customHeight="1" s="75">
      <c r="A545" s="74" t="inlineStr">
        <is>
          <t>JUNHO/2026</t>
        </is>
      </c>
      <c r="B545" s="74" t="inlineStr">
        <is>
          <t>Comercial</t>
        </is>
      </c>
      <c r="C545" s="74" t="inlineStr">
        <is>
          <t>Comissão de manutenção da Totum</t>
        </is>
      </c>
      <c r="D545" s="74" t="inlineStr">
        <is>
          <t>H&amp;A</t>
        </is>
      </c>
      <c r="E545" s="151" t="n">
        <v>1</v>
      </c>
      <c r="F545" s="100" t="n">
        <v>22</v>
      </c>
      <c r="G545" s="100" t="n">
        <v>22</v>
      </c>
      <c r="H545" s="74" t="inlineStr">
        <is>
          <t>71 Batalhão De Infantaria Motorizado</t>
        </is>
      </c>
    </row>
    <row r="546" ht="15" customHeight="1" s="75">
      <c r="A546" s="74" t="inlineStr">
        <is>
          <t>JUNHO/2026</t>
        </is>
      </c>
      <c r="B546" s="74" t="inlineStr">
        <is>
          <t>Comercial</t>
        </is>
      </c>
      <c r="C546" s="74" t="inlineStr">
        <is>
          <t>Consultas e análises de crédito</t>
        </is>
      </c>
      <c r="D546" s="74" t="inlineStr">
        <is>
          <t>H&amp;A</t>
        </is>
      </c>
      <c r="E546" s="151" t="n">
        <v>258</v>
      </c>
      <c r="F546" s="100" t="n">
        <v>1.86</v>
      </c>
      <c r="G546" s="100" t="n">
        <v>479.88</v>
      </c>
      <c r="H546" s="74" t="inlineStr">
        <is>
          <t>Vendas cadastradas e consultadas pelo argos (Consultas e analise de credito - junho26.xlsx)</t>
        </is>
      </c>
    </row>
    <row r="547" ht="15" customHeight="1" s="75">
      <c r="A547" s="74" t="inlineStr">
        <is>
          <t>JUNHO/2026</t>
        </is>
      </c>
      <c r="B547" s="74" t="inlineStr">
        <is>
          <t>Comercial</t>
        </is>
      </c>
      <c r="C547" s="74" t="inlineStr">
        <is>
          <t>Despesa com alimentação da itinerante pap</t>
        </is>
      </c>
      <c r="D547" s="74" t="inlineStr">
        <is>
          <t>H&amp;A</t>
        </is>
      </c>
      <c r="E547" s="151" t="n">
        <v>1</v>
      </c>
      <c r="F547" s="100" t="n">
        <v>350</v>
      </c>
      <c r="G547" s="100" t="n">
        <v>350</v>
      </c>
      <c r="H547" s="74" t="inlineStr">
        <is>
          <t>Despesa com alimentação da equipe Dx2, em inauguração de loja h&amp;a</t>
        </is>
      </c>
    </row>
    <row r="548" ht="15" customHeight="1" s="75">
      <c r="A548" s="74" t="inlineStr">
        <is>
          <t>JUNHO/2026</t>
        </is>
      </c>
      <c r="B548" s="74" t="inlineStr">
        <is>
          <t>Comercial</t>
        </is>
      </c>
      <c r="C548" s="74" t="inlineStr">
        <is>
          <t>Despesa do consultor BARTOLOMEU</t>
        </is>
      </c>
      <c r="D548" s="74" t="inlineStr">
        <is>
          <t>H&amp;A</t>
        </is>
      </c>
      <c r="E548" s="151" t="n">
        <v>2</v>
      </c>
      <c r="F548" s="100" t="n">
        <v>393.04</v>
      </c>
      <c r="G548" s="100" t="n">
        <v>786.08</v>
      </c>
      <c r="H548" s="74" t="inlineStr">
        <is>
          <t>Despesa trabalhista e combustível do consultor dividido pelo total de vendas</t>
        </is>
      </c>
    </row>
    <row r="549" ht="15" customHeight="1" s="75">
      <c r="A549" s="74" t="inlineStr">
        <is>
          <t>JUNHO/2026</t>
        </is>
      </c>
      <c r="B549" s="74" t="inlineStr">
        <is>
          <t>Comercial</t>
        </is>
      </c>
      <c r="C549" s="74" t="inlineStr">
        <is>
          <t>Despesa do consultor PAULO MELO</t>
        </is>
      </c>
      <c r="D549" s="74" t="inlineStr">
        <is>
          <t>H&amp;A</t>
        </is>
      </c>
      <c r="E549" s="151" t="n">
        <v>2</v>
      </c>
      <c r="F549" s="100" t="n">
        <v>439.28</v>
      </c>
      <c r="G549" s="100" t="n">
        <v>878.5599999999999</v>
      </c>
      <c r="H549" s="74" t="inlineStr">
        <is>
          <t>Despesa trabalhista e combustível do consultor dividido pelo total de vendas</t>
        </is>
      </c>
    </row>
    <row r="550" ht="15" customHeight="1" s="75">
      <c r="A550" s="74" t="inlineStr">
        <is>
          <t>JUNHO/2026</t>
        </is>
      </c>
      <c r="B550" s="74" t="inlineStr">
        <is>
          <t>Comercial</t>
        </is>
      </c>
      <c r="C550" s="74" t="inlineStr">
        <is>
          <t>Despesa do consultor PEDRO GREGO</t>
        </is>
      </c>
      <c r="D550" s="74" t="inlineStr">
        <is>
          <t>H&amp;A</t>
        </is>
      </c>
      <c r="E550" s="151" t="n">
        <v>1</v>
      </c>
      <c r="F550" s="100" t="n">
        <v>407.27</v>
      </c>
      <c r="G550" s="100" t="n">
        <v>407.27</v>
      </c>
      <c r="H550" s="74" t="inlineStr">
        <is>
          <t>Despesa trabalhista e combustível do consultor dividido pelo total de vendas</t>
        </is>
      </c>
    </row>
    <row r="551" ht="15" customHeight="1" s="75">
      <c r="A551" s="74" t="inlineStr">
        <is>
          <t>JUNHO/2026</t>
        </is>
      </c>
      <c r="B551" s="74" t="inlineStr">
        <is>
          <t>Comercial</t>
        </is>
      </c>
      <c r="C551" s="74" t="inlineStr">
        <is>
          <t>Despesa do coordenador TIAGO, pela gestão da equipe</t>
        </is>
      </c>
      <c r="D551" s="74" t="inlineStr">
        <is>
          <t>H&amp;A</t>
        </is>
      </c>
      <c r="E551" s="151" t="n">
        <v>1</v>
      </c>
      <c r="F551" s="100" t="n">
        <v>206.78</v>
      </c>
      <c r="G551" s="100" t="n">
        <v>206.78</v>
      </c>
      <c r="H551" s="74" t="inlineStr">
        <is>
          <t>Despesa com combustÍvel e utilização da van dx2</t>
        </is>
      </c>
    </row>
    <row r="552" ht="15" customHeight="1" s="75">
      <c r="A552" s="74" t="inlineStr">
        <is>
          <t>JUNHO/2026</t>
        </is>
      </c>
      <c r="B552" s="74" t="inlineStr">
        <is>
          <t>Comercial</t>
        </is>
      </c>
      <c r="C552" s="74" t="inlineStr">
        <is>
          <t>Despesa do coordenador TIAGO, pela gestão da equipe</t>
        </is>
      </c>
      <c r="D552" s="74" t="inlineStr">
        <is>
          <t>H&amp;A</t>
        </is>
      </c>
      <c r="E552" s="151" t="n">
        <v>1</v>
      </c>
      <c r="F552" s="100" t="n">
        <v>317.52</v>
      </c>
      <c r="G552" s="100" t="n">
        <v>317.52</v>
      </c>
      <c r="H552" s="74" t="inlineStr">
        <is>
          <t>Despesa com combustÍvel e utilização de veiculo dx2</t>
        </is>
      </c>
    </row>
    <row r="553" ht="15" customHeight="1" s="75">
      <c r="A553" s="74" t="inlineStr">
        <is>
          <t>JUNHO/2026</t>
        </is>
      </c>
      <c r="B553" s="74" t="inlineStr">
        <is>
          <t>Comercial</t>
        </is>
      </c>
      <c r="C553" s="74" t="inlineStr">
        <is>
          <t>Despesa do coordenador TIAGO, pela gestão da equipe</t>
        </is>
      </c>
      <c r="D553" s="74" t="inlineStr">
        <is>
          <t>H&amp;A</t>
        </is>
      </c>
      <c r="E553" s="151" t="n">
        <v>49</v>
      </c>
      <c r="F553" s="100" t="n">
        <v>33.16</v>
      </c>
      <c r="G553" s="100" t="n">
        <v>1624.84</v>
      </c>
      <c r="H553" s="74" t="inlineStr">
        <is>
          <t>Despesa trabalhista dividida pela quantidade de vendas</t>
        </is>
      </c>
    </row>
    <row r="554" ht="15" customHeight="1" s="75">
      <c r="A554" s="74" t="inlineStr">
        <is>
          <t>JUNHO/2026</t>
        </is>
      </c>
      <c r="B554" s="74" t="inlineStr">
        <is>
          <t>Comercial</t>
        </is>
      </c>
      <c r="C554" s="74" t="inlineStr">
        <is>
          <t>Vendas da equipe DX2 para H&amp;A</t>
        </is>
      </c>
      <c r="D554" s="74" t="inlineStr">
        <is>
          <t>H&amp;A</t>
        </is>
      </c>
      <c r="E554" s="151" t="n">
        <v>5</v>
      </c>
      <c r="F554" s="100" t="n">
        <v>410.699645390071</v>
      </c>
      <c r="G554" s="100" t="n">
        <v>2053.49822695035</v>
      </c>
      <c r="H554" s="74" t="inlineStr">
        <is>
          <t>Vendas comercial varejo.xlsx (maio/2026)</t>
        </is>
      </c>
    </row>
    <row r="555" ht="15" customHeight="1" s="75">
      <c r="A555" s="74" t="inlineStr">
        <is>
          <t>JUNHO/2026</t>
        </is>
      </c>
      <c r="B555" s="74" t="inlineStr">
        <is>
          <t>Comercial</t>
        </is>
      </c>
      <c r="C555" s="74" t="inlineStr">
        <is>
          <t>Vendas da equipe Dtel porta a porta</t>
        </is>
      </c>
      <c r="D555" s="74" t="inlineStr">
        <is>
          <t>H&amp;A</t>
        </is>
      </c>
      <c r="E555" s="151" t="n">
        <v>2</v>
      </c>
      <c r="F555" s="100" t="n">
        <v>278.600873702422</v>
      </c>
      <c r="G555" s="100" t="n">
        <v>557.201747404844</v>
      </c>
      <c r="H555" s="74" t="inlineStr">
        <is>
          <t>Vendas comercial varejo.xlsx (maio/2026)</t>
        </is>
      </c>
    </row>
    <row r="556" ht="15" customHeight="1" s="75">
      <c r="A556" s="74" t="inlineStr">
        <is>
          <t>JUNHO/2026</t>
        </is>
      </c>
      <c r="B556" s="74" t="inlineStr">
        <is>
          <t>Comercial</t>
        </is>
      </c>
      <c r="C556" s="74" t="inlineStr">
        <is>
          <t>Vendas da equipe H&amp;A P/ VOICENET</t>
        </is>
      </c>
      <c r="D556" s="74" t="inlineStr">
        <is>
          <t>H&amp;A</t>
        </is>
      </c>
      <c r="E556" s="151" t="n">
        <v>0</v>
      </c>
      <c r="F556" s="100" t="n">
        <v>0</v>
      </c>
      <c r="G556" s="100" t="n">
        <v>0</v>
      </c>
      <c r="H556" s="74" t="inlineStr">
        <is>
          <t>Vendas instaladas</t>
        </is>
      </c>
    </row>
    <row r="557" ht="15" customHeight="1" s="75">
      <c r="A557" s="74" t="inlineStr">
        <is>
          <t>JUNHO/2026</t>
        </is>
      </c>
      <c r="B557" s="74" t="inlineStr">
        <is>
          <t>Comercial</t>
        </is>
      </c>
      <c r="C557" s="74" t="inlineStr">
        <is>
          <t>Vendas da equipe H&amp;A para Dtel</t>
        </is>
      </c>
      <c r="D557" s="74" t="inlineStr">
        <is>
          <t>H&amp;A</t>
        </is>
      </c>
      <c r="E557" s="151" t="n">
        <v>-2</v>
      </c>
      <c r="F557" s="100" t="n">
        <v>278.600873702422</v>
      </c>
      <c r="G557" s="100" t="n">
        <v>-557.201747404844</v>
      </c>
      <c r="H557" s="74" t="inlineStr">
        <is>
          <t>Vendas comercial varejo.xlsx (maio/2026)</t>
        </is>
      </c>
    </row>
    <row r="558" ht="15" customHeight="1" s="75">
      <c r="A558" s="74" t="inlineStr">
        <is>
          <t>JUNHO/2026</t>
        </is>
      </c>
      <c r="B558" s="74" t="inlineStr">
        <is>
          <t>Comercial</t>
        </is>
      </c>
      <c r="C558" s="74" t="inlineStr">
        <is>
          <t>Vendas da equipe H&amp;A para Dx2</t>
        </is>
      </c>
      <c r="D558" s="74" t="inlineStr">
        <is>
          <t>H&amp;A</t>
        </is>
      </c>
      <c r="E558" s="151" t="n">
        <v>-3</v>
      </c>
      <c r="F558" s="100" t="n">
        <v>278.600873702422</v>
      </c>
      <c r="G558" s="100" t="n">
        <v>-835.802621107267</v>
      </c>
      <c r="H558" s="74" t="inlineStr">
        <is>
          <t>Vendas comercial varejo.xlsx (maio/2026)</t>
        </is>
      </c>
    </row>
    <row r="559" ht="15" customHeight="1" s="75">
      <c r="A559" s="74" t="inlineStr">
        <is>
          <t>JUNHO/2026</t>
        </is>
      </c>
      <c r="B559" s="74" t="inlineStr">
        <is>
          <t>Comercial</t>
        </is>
      </c>
      <c r="C559" s="74" t="inlineStr">
        <is>
          <t>Vendas da equipe H&amp;A para soares e silva</t>
        </is>
      </c>
      <c r="D559" s="74" t="inlineStr">
        <is>
          <t>H&amp;A</t>
        </is>
      </c>
      <c r="E559" s="151" t="n">
        <v>-1</v>
      </c>
      <c r="F559" s="100" t="n">
        <v>278.600873702422</v>
      </c>
      <c r="G559" s="100" t="n">
        <v>-278.600873702422</v>
      </c>
      <c r="H559" s="74" t="inlineStr">
        <is>
          <t>Vendas comercial varejo.xlsx (maio/2026)</t>
        </is>
      </c>
    </row>
    <row r="560" ht="15" customHeight="1" s="75">
      <c r="A560" s="74" t="inlineStr">
        <is>
          <t>JUNHO/2026</t>
        </is>
      </c>
      <c r="B560" s="74" t="inlineStr">
        <is>
          <t>Comercial</t>
        </is>
      </c>
      <c r="C560" s="74" t="inlineStr">
        <is>
          <t>Consultas e análises de crédito</t>
        </is>
      </c>
      <c r="D560" s="74" t="inlineStr">
        <is>
          <t>Soares e Lins</t>
        </is>
      </c>
      <c r="E560" s="151" t="n">
        <v>266</v>
      </c>
      <c r="F560" s="100" t="n">
        <v>1.86</v>
      </c>
      <c r="G560" s="100" t="n">
        <v>494.76</v>
      </c>
      <c r="H560" s="74" t="inlineStr">
        <is>
          <t>Vendas cadastradas e consultadas pelo argos (Consultas e analise de credito - junho26.xlsx)</t>
        </is>
      </c>
    </row>
    <row r="561" ht="15" customHeight="1" s="75">
      <c r="A561" s="74" t="inlineStr">
        <is>
          <t>JUNHO/2026</t>
        </is>
      </c>
      <c r="B561" s="74" t="inlineStr">
        <is>
          <t>Comercial</t>
        </is>
      </c>
      <c r="C561" s="74" t="inlineStr">
        <is>
          <t>Despesa do consultor BARTOLOMEU</t>
        </is>
      </c>
      <c r="D561" s="74" t="inlineStr">
        <is>
          <t>Soares e Lins</t>
        </is>
      </c>
      <c r="E561" s="151" t="n">
        <v>1</v>
      </c>
      <c r="F561" s="100" t="n">
        <v>393.04</v>
      </c>
      <c r="G561" s="100" t="n">
        <v>393.04</v>
      </c>
      <c r="H561" s="74" t="inlineStr">
        <is>
          <t>Despesa trabalhista e combustivel do consultor dividido pelo total de vendas</t>
        </is>
      </c>
    </row>
    <row r="562" ht="15" customHeight="1" s="75">
      <c r="A562" s="74" t="inlineStr">
        <is>
          <t>JUNHO/2026</t>
        </is>
      </c>
      <c r="B562" s="74" t="inlineStr">
        <is>
          <t>Comercial</t>
        </is>
      </c>
      <c r="C562" s="74" t="inlineStr">
        <is>
          <t>Despesa do consultor PAULO MELO</t>
        </is>
      </c>
      <c r="D562" s="74" t="inlineStr">
        <is>
          <t>Soares e Lins</t>
        </is>
      </c>
      <c r="E562" s="151" t="n">
        <v>1</v>
      </c>
      <c r="F562" s="100" t="n">
        <v>439.28</v>
      </c>
      <c r="G562" s="100" t="n">
        <v>439.28</v>
      </c>
      <c r="H562" s="74" t="inlineStr">
        <is>
          <t>Despesa trabalhista e combustivel do consultor dividido pelo total de vendas</t>
        </is>
      </c>
    </row>
    <row r="563" ht="15" customHeight="1" s="75">
      <c r="A563" s="74" t="inlineStr">
        <is>
          <t>JUNHO/2026</t>
        </is>
      </c>
      <c r="B563" s="74" t="inlineStr">
        <is>
          <t>Comercial</t>
        </is>
      </c>
      <c r="C563" s="74" t="inlineStr">
        <is>
          <t>Despesa do consultor PEDRO GREGO</t>
        </is>
      </c>
      <c r="D563" s="74" t="inlineStr">
        <is>
          <t>Soares e Lins</t>
        </is>
      </c>
      <c r="E563" s="151" t="n">
        <v>0</v>
      </c>
      <c r="F563" s="100" t="n">
        <v>0</v>
      </c>
      <c r="G563" s="100" t="n">
        <v>0</v>
      </c>
      <c r="H563" s="74" t="inlineStr">
        <is>
          <t>Despesa trabalhista e combustível do consultor dividido pelo total de vendas</t>
        </is>
      </c>
    </row>
    <row r="564" ht="15" customHeight="1" s="75">
      <c r="A564" s="74" t="inlineStr">
        <is>
          <t>JUNHO/2026</t>
        </is>
      </c>
      <c r="B564" s="74" t="inlineStr">
        <is>
          <t>Comercial</t>
        </is>
      </c>
      <c r="C564" s="74" t="inlineStr">
        <is>
          <t>Vendas da equipe Dtel porta a porta</t>
        </is>
      </c>
      <c r="D564" s="74" t="inlineStr">
        <is>
          <t>Soares e Lins</t>
        </is>
      </c>
      <c r="E564" s="151" t="n">
        <v>3</v>
      </c>
      <c r="F564" s="100" t="n">
        <v>278.600873702422</v>
      </c>
      <c r="G564" s="100" t="n">
        <v>835.802621107267</v>
      </c>
      <c r="H564" s="74" t="inlineStr">
        <is>
          <t>Vendas comercial varejo.xlsx (maio/2026)</t>
        </is>
      </c>
    </row>
    <row r="565" ht="15" customHeight="1" s="75">
      <c r="A565" s="74" t="inlineStr">
        <is>
          <t>JUNHO/2026</t>
        </is>
      </c>
      <c r="B565" s="74" t="inlineStr">
        <is>
          <t>Comercial</t>
        </is>
      </c>
      <c r="C565" s="74" t="inlineStr">
        <is>
          <t>Vendas da equipe Soares e lins p/ Dtel</t>
        </is>
      </c>
      <c r="D565" s="74" t="inlineStr">
        <is>
          <t>Soares e Lins</t>
        </is>
      </c>
      <c r="E565" s="151" t="n">
        <v>-1</v>
      </c>
      <c r="F565" s="100" t="n">
        <v>7.02923076923077</v>
      </c>
      <c r="G565" s="100" t="n">
        <v>-7.02923076923077</v>
      </c>
      <c r="H565" s="74" t="inlineStr">
        <is>
          <t>Vendas comercial varejo.xlsx (maio/2026)</t>
        </is>
      </c>
    </row>
    <row r="566" ht="15" customHeight="1" s="75">
      <c r="A566" s="74" t="inlineStr">
        <is>
          <t>JUNHO/2026</t>
        </is>
      </c>
      <c r="B566" s="74" t="inlineStr">
        <is>
          <t>Comercial</t>
        </is>
      </c>
      <c r="C566" s="74" t="inlineStr">
        <is>
          <t>Vendas da equipe Soares e lins p/ solon</t>
        </is>
      </c>
      <c r="D566" s="74" t="inlineStr">
        <is>
          <t>Soares e Lins</t>
        </is>
      </c>
      <c r="E566" s="151" t="n">
        <v>0</v>
      </c>
      <c r="F566" s="100" t="n">
        <v>0</v>
      </c>
      <c r="G566" s="100" t="n">
        <v>0</v>
      </c>
    </row>
    <row r="567" ht="15" customHeight="1" s="75">
      <c r="A567" s="74" t="inlineStr">
        <is>
          <t>JUNHO/2026</t>
        </is>
      </c>
      <c r="B567" s="74" t="inlineStr">
        <is>
          <t>Comercial</t>
        </is>
      </c>
      <c r="C567" s="74" t="inlineStr">
        <is>
          <t>Vendas da equipe voicenet P/ SOARES E LINS</t>
        </is>
      </c>
      <c r="D567" s="74" t="inlineStr">
        <is>
          <t>Soares e Lins</t>
        </is>
      </c>
      <c r="E567" s="151" t="n">
        <v>0</v>
      </c>
      <c r="F567" s="100" t="n">
        <v>0</v>
      </c>
      <c r="G567" s="100" t="n">
        <v>0</v>
      </c>
      <c r="H567" s="74" t="inlineStr">
        <is>
          <t>Vendas instaladas</t>
        </is>
      </c>
    </row>
    <row r="568" ht="15" customHeight="1" s="75">
      <c r="A568" s="74" t="inlineStr">
        <is>
          <t>JUNHO/2026</t>
        </is>
      </c>
      <c r="B568" s="74" t="inlineStr">
        <is>
          <t>Comercial</t>
        </is>
      </c>
      <c r="C568" s="74" t="inlineStr">
        <is>
          <t>Consultas e análises de crédito</t>
        </is>
      </c>
      <c r="D568" s="74" t="inlineStr">
        <is>
          <t>Soares e Silva</t>
        </is>
      </c>
      <c r="E568" s="151" t="n">
        <v>601</v>
      </c>
      <c r="F568" s="100" t="n">
        <v>1.86</v>
      </c>
      <c r="G568" s="100" t="n">
        <v>1117.86</v>
      </c>
      <c r="H568" s="74" t="inlineStr">
        <is>
          <t>Vendas cadastradas e consultadas pelo argos (Consultas e analise de credito - junho26.xlsx)</t>
        </is>
      </c>
    </row>
    <row r="569" ht="15" customHeight="1" s="75">
      <c r="A569" s="74" t="inlineStr">
        <is>
          <t>JUNHO/2026</t>
        </is>
      </c>
      <c r="B569" s="74" t="inlineStr">
        <is>
          <t>Comercial</t>
        </is>
      </c>
      <c r="C569" s="74" t="inlineStr">
        <is>
          <t>Despesa do consultor BARTOLOMEU</t>
        </is>
      </c>
      <c r="D569" s="74" t="inlineStr">
        <is>
          <t>Soares e Silva</t>
        </is>
      </c>
      <c r="E569" s="151" t="n">
        <v>3</v>
      </c>
      <c r="F569" s="100" t="n">
        <v>393.04</v>
      </c>
      <c r="G569" s="100" t="n">
        <v>1179.12</v>
      </c>
      <c r="H569" s="74" t="inlineStr">
        <is>
          <t>Despesa trabalhista e combustÍvel do consultor dividido pelo total de vendas</t>
        </is>
      </c>
    </row>
    <row r="570" ht="15" customHeight="1" s="75">
      <c r="A570" s="74" t="inlineStr">
        <is>
          <t>JUNHO/2026</t>
        </is>
      </c>
      <c r="B570" s="74" t="inlineStr">
        <is>
          <t>Comercial</t>
        </is>
      </c>
      <c r="C570" s="74" t="inlineStr">
        <is>
          <t>Despesa do consultor PAULO MELO</t>
        </is>
      </c>
      <c r="D570" s="74" t="inlineStr">
        <is>
          <t>Soares e Silva</t>
        </is>
      </c>
      <c r="E570" s="151" t="n">
        <v>1</v>
      </c>
      <c r="F570" s="100" t="n">
        <v>439.28</v>
      </c>
      <c r="G570" s="100" t="n">
        <v>439.28</v>
      </c>
      <c r="H570" s="74" t="inlineStr">
        <is>
          <t>Despesa trabalhista e combustÍvel dividida pela quantidade de vendas</t>
        </is>
      </c>
    </row>
    <row r="571" ht="15" customHeight="1" s="75">
      <c r="A571" s="74" t="inlineStr">
        <is>
          <t>JUNHO/2026</t>
        </is>
      </c>
      <c r="B571" s="74" t="inlineStr">
        <is>
          <t>Comercial</t>
        </is>
      </c>
      <c r="C571" s="74" t="inlineStr">
        <is>
          <t>Despesa do consultor PEDRO GREGO</t>
        </is>
      </c>
      <c r="D571" s="74" t="inlineStr">
        <is>
          <t>Soares e Silva</t>
        </is>
      </c>
      <c r="E571" s="151" t="n">
        <v>4</v>
      </c>
      <c r="F571" s="100" t="n">
        <v>407.27</v>
      </c>
      <c r="G571" s="100" t="n">
        <v>1629.08</v>
      </c>
      <c r="H571" s="74" t="inlineStr">
        <is>
          <t>Despesa trabalhista e combustÍvel dividida pela quantidade de vendas</t>
        </is>
      </c>
    </row>
    <row r="572" ht="15" customHeight="1" s="75">
      <c r="A572" s="74" t="inlineStr">
        <is>
          <t>JUNHO/2026</t>
        </is>
      </c>
      <c r="B572" s="74" t="inlineStr">
        <is>
          <t>Comercial</t>
        </is>
      </c>
      <c r="C572" s="74" t="inlineStr">
        <is>
          <t>Despesa do coordenador TIAGO, pela gestão da equipe</t>
        </is>
      </c>
      <c r="D572" s="74" t="inlineStr">
        <is>
          <t>Soares e Silva</t>
        </is>
      </c>
      <c r="E572" s="151" t="n">
        <v>1</v>
      </c>
      <c r="F572" s="100" t="n">
        <v>439.04</v>
      </c>
      <c r="G572" s="100" t="n">
        <v>439.04</v>
      </c>
      <c r="H572" s="74" t="inlineStr">
        <is>
          <t>Despesa com combustÍvel e utilização de veÍculo dx2</t>
        </is>
      </c>
    </row>
    <row r="573" ht="15" customHeight="1" s="75">
      <c r="A573" s="74" t="inlineStr">
        <is>
          <t>JUNHO/2026</t>
        </is>
      </c>
      <c r="B573" s="74" t="inlineStr">
        <is>
          <t>Comercial</t>
        </is>
      </c>
      <c r="C573" s="74" t="inlineStr">
        <is>
          <t>Despesa do coordenador TIAGO, pela gestão da equipe</t>
        </is>
      </c>
      <c r="D573" s="74" t="inlineStr">
        <is>
          <t>Soares e Silva</t>
        </is>
      </c>
      <c r="E573" s="151" t="n">
        <v>78</v>
      </c>
      <c r="F573" s="100" t="n">
        <v>33.16</v>
      </c>
      <c r="G573" s="100" t="n">
        <v>2586.48</v>
      </c>
      <c r="H573" s="74" t="inlineStr">
        <is>
          <t>Despesa trabalhista e pela quantidade de vendas</t>
        </is>
      </c>
    </row>
    <row r="574" ht="15" customHeight="1" s="75">
      <c r="A574" s="74" t="inlineStr">
        <is>
          <t>JUNHO/2026</t>
        </is>
      </c>
      <c r="B574" s="74" t="inlineStr">
        <is>
          <t>Comercial</t>
        </is>
      </c>
      <c r="C574" s="74" t="inlineStr">
        <is>
          <t>Vendas da equipe Dtel porta a porta p/ Soares e silva</t>
        </is>
      </c>
      <c r="D574" s="74" t="inlineStr">
        <is>
          <t>Soares e Silva</t>
        </is>
      </c>
      <c r="E574" s="151" t="n">
        <v>0</v>
      </c>
      <c r="F574" s="100" t="n">
        <v>0</v>
      </c>
      <c r="G574" s="100" t="n">
        <v>0</v>
      </c>
    </row>
    <row r="575" ht="15" customHeight="1" s="75">
      <c r="A575" s="74" t="inlineStr">
        <is>
          <t>JUNHO/2026</t>
        </is>
      </c>
      <c r="B575" s="74" t="inlineStr">
        <is>
          <t>Comercial</t>
        </is>
      </c>
      <c r="C575" s="74" t="inlineStr">
        <is>
          <t>Vendas da equipe H&amp;A para Soares e Silva</t>
        </is>
      </c>
      <c r="D575" s="74" t="inlineStr">
        <is>
          <t>Soares e Silva</t>
        </is>
      </c>
      <c r="E575" s="151" t="n">
        <v>1</v>
      </c>
      <c r="F575" s="100" t="n">
        <v>278.600873702422</v>
      </c>
      <c r="G575" s="100" t="n">
        <v>278.600873702422</v>
      </c>
      <c r="H575" s="74" t="inlineStr">
        <is>
          <t>Vendas comercial varejo.xlsx (maio/2026)</t>
        </is>
      </c>
    </row>
    <row r="576" ht="15" customHeight="1" s="75">
      <c r="A576" s="74" t="inlineStr">
        <is>
          <t>JUNHO/2026</t>
        </is>
      </c>
      <c r="B576" s="74" t="inlineStr">
        <is>
          <t>Comercial</t>
        </is>
      </c>
      <c r="C576" s="74" t="inlineStr">
        <is>
          <t>Vendas da equipe Soares e Silva p/ DTEL</t>
        </is>
      </c>
      <c r="D576" s="74" t="inlineStr">
        <is>
          <t>Soares e Silva</t>
        </is>
      </c>
      <c r="E576" s="151" t="n">
        <v>0</v>
      </c>
      <c r="F576" s="100" t="n">
        <v>0</v>
      </c>
      <c r="G576" s="100" t="n">
        <v>0</v>
      </c>
    </row>
    <row r="577" ht="15" customHeight="1" s="75">
      <c r="A577" s="74" t="inlineStr">
        <is>
          <t>JUNHO/2026</t>
        </is>
      </c>
      <c r="B577" s="74" t="inlineStr">
        <is>
          <t>Comercial</t>
        </is>
      </c>
      <c r="C577" s="74" t="inlineStr">
        <is>
          <t>Vendas da equipe voicenet porta a porta p/ Soares e silva</t>
        </is>
      </c>
      <c r="D577" s="74" t="inlineStr">
        <is>
          <t>Soares e Silva</t>
        </is>
      </c>
      <c r="E577" s="151" t="n">
        <v>1</v>
      </c>
      <c r="F577" s="100" t="n">
        <v>26.326</v>
      </c>
      <c r="G577" s="100" t="n">
        <v>26.326</v>
      </c>
      <c r="H577" s="74" t="inlineStr">
        <is>
          <t>Vendas instaladas</t>
        </is>
      </c>
    </row>
    <row r="578" ht="15" customHeight="1" s="75">
      <c r="A578" s="74" t="inlineStr">
        <is>
          <t>JUNHO/2026</t>
        </is>
      </c>
      <c r="B578" s="74" t="inlineStr">
        <is>
          <t>Comercial</t>
        </is>
      </c>
      <c r="C578" s="74" t="inlineStr">
        <is>
          <t>Consultas e análises de crédito</t>
        </is>
      </c>
      <c r="D578" s="74" t="inlineStr">
        <is>
          <t>Solon Araújo</t>
        </is>
      </c>
      <c r="E578" s="151" t="n">
        <v>461</v>
      </c>
      <c r="F578" s="100" t="n">
        <v>1.86</v>
      </c>
      <c r="G578" s="100" t="n">
        <v>857.46</v>
      </c>
      <c r="H578" s="74" t="inlineStr">
        <is>
          <t>Vendas cadastradas e consultadas pelo argos (Consultas e analise de credito - junho26.xlsx)</t>
        </is>
      </c>
    </row>
    <row r="579" ht="15" customHeight="1" s="75">
      <c r="A579" s="74" t="inlineStr">
        <is>
          <t>JUNHO/2026</t>
        </is>
      </c>
      <c r="B579" s="74" t="inlineStr">
        <is>
          <t>Comercial</t>
        </is>
      </c>
      <c r="C579" s="74" t="inlineStr">
        <is>
          <t>Despesa do consultor BARTOLOMEU</t>
        </is>
      </c>
      <c r="D579" s="74" t="inlineStr">
        <is>
          <t>Solon Araújo</t>
        </is>
      </c>
      <c r="E579" s="151" t="n">
        <v>4</v>
      </c>
      <c r="F579" s="100" t="n">
        <v>393.04</v>
      </c>
      <c r="G579" s="100" t="n">
        <v>1572.16</v>
      </c>
      <c r="H579" s="74" t="inlineStr">
        <is>
          <t>Despesa trabalhista e combustível do consultor dividido pelo total de vendas</t>
        </is>
      </c>
    </row>
    <row r="580" ht="15" customHeight="1" s="75">
      <c r="A580" s="74" t="inlineStr">
        <is>
          <t>JUNHO/2026</t>
        </is>
      </c>
      <c r="B580" s="74" t="inlineStr">
        <is>
          <t>Comercial</t>
        </is>
      </c>
      <c r="C580" s="74" t="inlineStr">
        <is>
          <t>Despesa do consultor PAULO MELO</t>
        </is>
      </c>
      <c r="D580" s="74" t="inlineStr">
        <is>
          <t>Solon Araújo</t>
        </is>
      </c>
      <c r="E580" s="151" t="n">
        <v>4</v>
      </c>
      <c r="F580" s="100" t="n">
        <v>439.28</v>
      </c>
      <c r="G580" s="100" t="n">
        <v>1757.12</v>
      </c>
      <c r="H580" s="74" t="inlineStr">
        <is>
          <t>Despesa trabalhista e combustível dividida pela quantidade de vendas</t>
        </is>
      </c>
    </row>
    <row r="581" ht="15" customHeight="1" s="75">
      <c r="A581" s="74" t="inlineStr">
        <is>
          <t>JUNHO/2026</t>
        </is>
      </c>
      <c r="B581" s="74" t="inlineStr">
        <is>
          <t>Comercial</t>
        </is>
      </c>
      <c r="C581" s="74" t="inlineStr">
        <is>
          <t>Despesa do consultor PEDRO GREGO</t>
        </is>
      </c>
      <c r="D581" s="74" t="inlineStr">
        <is>
          <t>Solon Araújo</t>
        </is>
      </c>
      <c r="E581" s="151" t="n">
        <v>6</v>
      </c>
      <c r="F581" s="100" t="n">
        <v>407.27</v>
      </c>
      <c r="G581" s="100" t="n">
        <v>2443.62</v>
      </c>
      <c r="H581" s="74" t="inlineStr">
        <is>
          <t>Despesa trabalhista e combustível dividida pela quantidade de vendas</t>
        </is>
      </c>
    </row>
    <row r="582" ht="15" customHeight="1" s="75">
      <c r="A582" s="74" t="inlineStr">
        <is>
          <t>JUNHO/2026</t>
        </is>
      </c>
      <c r="B582" s="74" t="inlineStr">
        <is>
          <t>Comercial</t>
        </is>
      </c>
      <c r="C582" s="74" t="inlineStr">
        <is>
          <t>Despesa do coordenador TARCIZIO, pela gestão da equipe</t>
        </is>
      </c>
      <c r="D582" s="74" t="inlineStr">
        <is>
          <t>Solon Araújo</t>
        </is>
      </c>
      <c r="E582" s="151" t="n">
        <v>1</v>
      </c>
      <c r="F582" s="100" t="n">
        <v>738.92</v>
      </c>
      <c r="G582" s="100" t="n">
        <v>738.92</v>
      </c>
      <c r="H582" s="74" t="inlineStr">
        <is>
          <t>Despesa com combustivel e utilização carro dtel</t>
        </is>
      </c>
    </row>
    <row r="583" ht="15" customHeight="1" s="75">
      <c r="A583" s="74" t="inlineStr">
        <is>
          <t>JUNHO/2026</t>
        </is>
      </c>
      <c r="B583" s="74" t="inlineStr">
        <is>
          <t>Comercial</t>
        </is>
      </c>
      <c r="C583" s="74" t="inlineStr">
        <is>
          <t>Despesa do coordenador TARCIZIO, pela gestão da equipe</t>
        </is>
      </c>
      <c r="D583" s="74" t="inlineStr">
        <is>
          <t>Solon Araújo</t>
        </is>
      </c>
      <c r="E583" s="151" t="n">
        <v>25</v>
      </c>
      <c r="F583" s="100" t="n">
        <v>19.53</v>
      </c>
      <c r="G583" s="100" t="n">
        <v>488.25</v>
      </c>
      <c r="H583" s="74" t="inlineStr">
        <is>
          <t>Despesa trabalhista dividida pela quantidade de vendas</t>
        </is>
      </c>
    </row>
    <row r="584" ht="15" customHeight="1" s="75">
      <c r="A584" s="74" t="inlineStr">
        <is>
          <t>JUNHO/2026</t>
        </is>
      </c>
      <c r="B584" s="74" t="inlineStr">
        <is>
          <t>Comercial</t>
        </is>
      </c>
      <c r="C584" s="74" t="inlineStr">
        <is>
          <t>Vendas da equipe Dtel porta a porta</t>
        </is>
      </c>
      <c r="D584" s="74" t="inlineStr">
        <is>
          <t>Solon Araújo</t>
        </is>
      </c>
      <c r="E584" s="151" t="n">
        <v>21</v>
      </c>
      <c r="F584" s="100" t="n">
        <v>278.600873702422</v>
      </c>
      <c r="G584" s="100" t="n">
        <v>5850.61834775087</v>
      </c>
      <c r="H584" s="74" t="inlineStr">
        <is>
          <t>Vendas comercial varejo.xlsx (maio/2026)</t>
        </is>
      </c>
    </row>
    <row r="585" ht="15" customHeight="1" s="75">
      <c r="A585" s="74" t="inlineStr">
        <is>
          <t>JUNHO/2026</t>
        </is>
      </c>
      <c r="B585" s="74" t="inlineStr">
        <is>
          <t>Comercial</t>
        </is>
      </c>
      <c r="C585" s="74" t="inlineStr">
        <is>
          <t>Vendas da equipe Litoral p/ Dtel</t>
        </is>
      </c>
      <c r="D585" s="74" t="inlineStr">
        <is>
          <t>Solon Araújo</t>
        </is>
      </c>
      <c r="E585" s="151" t="n">
        <v>0</v>
      </c>
      <c r="F585" s="100" t="n">
        <v>0</v>
      </c>
      <c r="G585" s="100" t="n">
        <v>0</v>
      </c>
      <c r="H585" s="74" t="inlineStr">
        <is>
          <t>Vendas instaladas</t>
        </is>
      </c>
    </row>
    <row r="586" ht="15" customHeight="1" s="75">
      <c r="A586" s="74" t="inlineStr">
        <is>
          <t>JUNHO/2026</t>
        </is>
      </c>
      <c r="B586" s="74" t="inlineStr">
        <is>
          <t>Comercial</t>
        </is>
      </c>
      <c r="C586" s="74" t="inlineStr">
        <is>
          <t>Vendas da equipe Voicenet p/ Solon</t>
        </is>
      </c>
      <c r="D586" s="74" t="inlineStr">
        <is>
          <t>Solon Araújo</t>
        </is>
      </c>
      <c r="E586" s="151" t="n">
        <v>0</v>
      </c>
      <c r="F586" s="100" t="n">
        <v>0</v>
      </c>
      <c r="G586" s="100" t="n">
        <v>0</v>
      </c>
      <c r="H586" s="74" t="inlineStr">
        <is>
          <t>Vendas instaladas</t>
        </is>
      </c>
    </row>
    <row r="587" ht="15" customHeight="1" s="75">
      <c r="A587" s="74" t="inlineStr">
        <is>
          <t>JUNHO/2026</t>
        </is>
      </c>
      <c r="B587" s="74" t="inlineStr">
        <is>
          <t>Comercial</t>
        </is>
      </c>
      <c r="C587" s="74" t="inlineStr">
        <is>
          <t>Vendas da equipe da soares e lins para Solon</t>
        </is>
      </c>
      <c r="D587" s="74" t="inlineStr">
        <is>
          <t>Solon Araújo</t>
        </is>
      </c>
      <c r="E587" s="151" t="n">
        <v>0</v>
      </c>
      <c r="F587" s="100" t="n">
        <v>0</v>
      </c>
      <c r="G587" s="100" t="n">
        <v>0</v>
      </c>
      <c r="H587" s="74" t="inlineStr">
        <is>
          <t>Vendas instaladas</t>
        </is>
      </c>
    </row>
    <row r="588" ht="15" customHeight="1" s="75">
      <c r="A588" s="74" t="inlineStr">
        <is>
          <t>JUNHO/2026</t>
        </is>
      </c>
      <c r="B588" s="74" t="inlineStr">
        <is>
          <t>Comercial</t>
        </is>
      </c>
      <c r="C588" s="74" t="inlineStr">
        <is>
          <t>Consultas e análises de crédito</t>
        </is>
      </c>
      <c r="D588" s="74" t="inlineStr">
        <is>
          <t>Souza e Silva</t>
        </is>
      </c>
      <c r="E588" s="151" t="n">
        <v>112</v>
      </c>
      <c r="F588" s="100" t="n">
        <v>1.86</v>
      </c>
      <c r="G588" s="100" t="n">
        <v>208.32</v>
      </c>
      <c r="H588" s="74" t="inlineStr">
        <is>
          <t>Vendas cadastradas e consultadas pelo argos (Consultas e analise de credito - junho26.xlsx)</t>
        </is>
      </c>
    </row>
    <row r="589" ht="15" customHeight="1" s="75">
      <c r="A589" s="74" t="inlineStr">
        <is>
          <t>JUNHO/2026</t>
        </is>
      </c>
      <c r="B589" s="74" t="inlineStr">
        <is>
          <t>Comercial</t>
        </is>
      </c>
      <c r="C589" s="74" t="inlineStr">
        <is>
          <t>Despesa do consultor BARTOLOMEU</t>
        </is>
      </c>
      <c r="D589" s="74" t="inlineStr">
        <is>
          <t>Souza e Silva</t>
        </is>
      </c>
      <c r="E589" s="151" t="n">
        <v>1</v>
      </c>
      <c r="F589" s="100" t="n">
        <v>393.04</v>
      </c>
      <c r="G589" s="100" t="n">
        <v>393.04</v>
      </c>
      <c r="H589" s="74" t="inlineStr">
        <is>
          <t>Despesa trabalhista e combustível do consultor dividido pelo total de vendas</t>
        </is>
      </c>
    </row>
    <row r="590" ht="15" customHeight="1" s="75">
      <c r="A590" s="74" t="inlineStr">
        <is>
          <t>JUNHO/2026</t>
        </is>
      </c>
      <c r="B590" s="74" t="inlineStr">
        <is>
          <t>Comercial</t>
        </is>
      </c>
      <c r="C590" s="74" t="inlineStr">
        <is>
          <t>Despesa do consultor PAULO MELO</t>
        </is>
      </c>
      <c r="D590" s="74" t="inlineStr">
        <is>
          <t>Souza e Silva</t>
        </is>
      </c>
      <c r="E590" s="151" t="n">
        <v>0</v>
      </c>
      <c r="F590" s="100" t="n">
        <v>0</v>
      </c>
      <c r="G590" s="100" t="n">
        <v>0</v>
      </c>
      <c r="H590" s="74" t="inlineStr">
        <is>
          <t>Despesa trabalhista e combustivel dividida pela quantidade de vendas</t>
        </is>
      </c>
    </row>
    <row r="591" ht="15" customHeight="1" s="75">
      <c r="A591" s="74" t="inlineStr">
        <is>
          <t>JUNHO/2026</t>
        </is>
      </c>
      <c r="B591" s="74" t="inlineStr">
        <is>
          <t>Comercial</t>
        </is>
      </c>
      <c r="C591" s="74" t="inlineStr">
        <is>
          <t>Despesa do consultor PEDRO GREGO</t>
        </is>
      </c>
      <c r="D591" s="74" t="inlineStr">
        <is>
          <t>Souza e Silva</t>
        </is>
      </c>
      <c r="E591" s="151" t="n">
        <v>0</v>
      </c>
      <c r="F591" s="100" t="n">
        <v>0</v>
      </c>
      <c r="G591" s="100" t="n">
        <v>0</v>
      </c>
      <c r="H591" s="74" t="inlineStr">
        <is>
          <t>Despesa trabalhista e combustivel do consultor dividido pelo total de vendas</t>
        </is>
      </c>
    </row>
    <row r="592" ht="15" customHeight="1" s="75">
      <c r="A592" s="74" t="inlineStr">
        <is>
          <t>JUNHO/2026</t>
        </is>
      </c>
      <c r="B592" s="74" t="inlineStr">
        <is>
          <t>Comercial</t>
        </is>
      </c>
      <c r="C592" s="74" t="inlineStr">
        <is>
          <t>Despesa do coordenador TARCIZIO, pela gestão da equipe</t>
        </is>
      </c>
      <c r="D592" s="74" t="inlineStr">
        <is>
          <t>Souza e Silva</t>
        </is>
      </c>
      <c r="E592" s="151" t="n">
        <v>1</v>
      </c>
      <c r="F592" s="100" t="n">
        <v>607.6</v>
      </c>
      <c r="G592" s="100" t="n">
        <v>607.6</v>
      </c>
      <c r="H592" s="74" t="inlineStr">
        <is>
          <t>Despesa com combustível e utilização carro dtel</t>
        </is>
      </c>
    </row>
    <row r="593" ht="15" customHeight="1" s="75">
      <c r="A593" s="74" t="inlineStr">
        <is>
          <t>JUNHO/2026</t>
        </is>
      </c>
      <c r="B593" s="74" t="inlineStr">
        <is>
          <t>Comercial</t>
        </is>
      </c>
      <c r="C593" s="74" t="inlineStr">
        <is>
          <t>Despesa do coordenador TARCIZIO, pela gestão da equipe</t>
        </is>
      </c>
      <c r="D593" s="74" t="inlineStr">
        <is>
          <t>Souza e Silva</t>
        </is>
      </c>
      <c r="E593" s="151" t="n">
        <v>42</v>
      </c>
      <c r="F593" s="100" t="n">
        <v>19.53</v>
      </c>
      <c r="G593" s="100" t="n">
        <v>820.26</v>
      </c>
      <c r="H593" s="74" t="inlineStr">
        <is>
          <t>Despesa trabalhista dividida pela quantidade de vendas</t>
        </is>
      </c>
    </row>
    <row r="594" ht="15" customHeight="1" s="75">
      <c r="A594" s="74" t="inlineStr">
        <is>
          <t>JUNHO/2026</t>
        </is>
      </c>
      <c r="B594" s="74" t="inlineStr">
        <is>
          <t>Comercial</t>
        </is>
      </c>
      <c r="C594" s="74" t="inlineStr">
        <is>
          <t>Vendas da equipe Dtel porta a porta</t>
        </is>
      </c>
      <c r="D594" s="74" t="inlineStr">
        <is>
          <t>Souza e Silva</t>
        </is>
      </c>
      <c r="E594" s="151" t="n">
        <v>2</v>
      </c>
      <c r="F594" s="100" t="n">
        <v>278.600873702422</v>
      </c>
      <c r="G594" s="100" t="n">
        <v>557.201747404844</v>
      </c>
      <c r="H594" s="74" t="inlineStr">
        <is>
          <t>Vendas comercial varejo.xlsx (maio/2026)</t>
        </is>
      </c>
    </row>
    <row r="595" ht="15" customHeight="1" s="75">
      <c r="A595" s="74" t="inlineStr">
        <is>
          <t>JUNHO/2026</t>
        </is>
      </c>
      <c r="B595" s="74" t="inlineStr">
        <is>
          <t>Comercial</t>
        </is>
      </c>
      <c r="C595" s="74" t="inlineStr">
        <is>
          <t>Vendas da equipe Souza e silva p/ DTEL</t>
        </is>
      </c>
      <c r="D595" s="74" t="inlineStr">
        <is>
          <t>Souza e Silva</t>
        </is>
      </c>
      <c r="E595" s="151" t="n">
        <v>-1</v>
      </c>
      <c r="F595" s="100" t="n">
        <v>370.462380952381</v>
      </c>
      <c r="G595" s="100" t="n">
        <v>-370.462380952381</v>
      </c>
      <c r="H595" s="74" t="inlineStr">
        <is>
          <t>Vendas comercial varejo.xlsx (maio/2026)</t>
        </is>
      </c>
    </row>
    <row r="596" ht="15" customHeight="1" s="75">
      <c r="A596" s="74" t="inlineStr">
        <is>
          <t>JUNHO/2026</t>
        </is>
      </c>
      <c r="B596" s="74" t="inlineStr">
        <is>
          <t>Comercial</t>
        </is>
      </c>
      <c r="C596" s="74" t="inlineStr">
        <is>
          <t>Comissão de manutenção da Totum</t>
        </is>
      </c>
      <c r="D596" s="74" t="inlineStr">
        <is>
          <t>Voicenet</t>
        </is>
      </c>
      <c r="E596" s="151" t="n">
        <v>1</v>
      </c>
      <c r="F596" s="100" t="n">
        <v>25.5</v>
      </c>
      <c r="G596" s="100" t="n">
        <v>25.5</v>
      </c>
      <c r="H596" s="74" t="inlineStr">
        <is>
          <t>Conselho regional de farmacia do estado de PE</t>
        </is>
      </c>
    </row>
    <row r="597" ht="15" customHeight="1" s="75">
      <c r="A597" s="74" t="inlineStr">
        <is>
          <t>JUNHO/2026</t>
        </is>
      </c>
      <c r="B597" s="74" t="inlineStr">
        <is>
          <t>Comercial</t>
        </is>
      </c>
      <c r="C597" s="74" t="inlineStr">
        <is>
          <t>Consultas e análises de crédito</t>
        </is>
      </c>
      <c r="D597" s="74" t="inlineStr">
        <is>
          <t>Voicenet</t>
        </is>
      </c>
      <c r="E597" s="151" t="n">
        <v>0</v>
      </c>
      <c r="F597" s="100" t="n">
        <v>0</v>
      </c>
      <c r="G597" s="100" t="n">
        <v>0</v>
      </c>
      <c r="H597" s="74" t="inlineStr">
        <is>
          <t>Vendas cadastradas e consultadas pelo argos</t>
        </is>
      </c>
    </row>
    <row r="598" ht="15" customHeight="1" s="75">
      <c r="A598" s="74" t="inlineStr">
        <is>
          <t>JUNHO/2026</t>
        </is>
      </c>
      <c r="B598" s="74" t="inlineStr">
        <is>
          <t>Comercial</t>
        </is>
      </c>
      <c r="C598" s="74" t="inlineStr">
        <is>
          <t>Consultas e análises de crédito</t>
        </is>
      </c>
      <c r="D598" s="74" t="inlineStr">
        <is>
          <t>Voicenet</t>
        </is>
      </c>
      <c r="E598" s="151" t="n">
        <v>261</v>
      </c>
      <c r="F598" s="100" t="n">
        <v>1.86</v>
      </c>
      <c r="G598" s="100" t="n">
        <v>485.46</v>
      </c>
      <c r="H598" s="74" t="inlineStr">
        <is>
          <t>Vendas cadastradas e consultadas pelo argos (Consultas e analise de credito - junho26.xlsx)</t>
        </is>
      </c>
    </row>
    <row r="599" ht="15" customHeight="1" s="75">
      <c r="A599" s="74" t="inlineStr">
        <is>
          <t>JUNHO/2026</t>
        </is>
      </c>
      <c r="B599" s="74" t="inlineStr">
        <is>
          <t>Comercial</t>
        </is>
      </c>
      <c r="C599" s="74" t="inlineStr">
        <is>
          <t>Despesa do consultor BARTOLOMEU</t>
        </is>
      </c>
      <c r="D599" s="74" t="inlineStr">
        <is>
          <t>Voicenet</t>
        </is>
      </c>
      <c r="E599" s="151" t="n">
        <v>3</v>
      </c>
      <c r="F599" s="100" t="n">
        <v>393.04</v>
      </c>
      <c r="G599" s="100" t="n">
        <v>1179.12</v>
      </c>
      <c r="H599" s="74" t="inlineStr">
        <is>
          <t>Despesa trabalhista e combustivel dividida pela quantidade de vendas</t>
        </is>
      </c>
    </row>
    <row r="600" ht="15" customHeight="1" s="75">
      <c r="A600" s="74" t="inlineStr">
        <is>
          <t>JUNHO/2026</t>
        </is>
      </c>
      <c r="B600" s="74" t="inlineStr">
        <is>
          <t>Comercial</t>
        </is>
      </c>
      <c r="C600" s="74" t="inlineStr">
        <is>
          <t>Despesa do consultor PAULO MELO</t>
        </is>
      </c>
      <c r="D600" s="74" t="inlineStr">
        <is>
          <t>Voicenet</t>
        </is>
      </c>
      <c r="E600" s="151" t="n">
        <v>2</v>
      </c>
      <c r="F600" s="100" t="n">
        <v>439.28</v>
      </c>
      <c r="G600" s="100" t="n">
        <v>878.5599999999999</v>
      </c>
      <c r="H600" s="74" t="inlineStr">
        <is>
          <t>Despesa trabalhista e combustivel do consultor dividido pelo total de vendas</t>
        </is>
      </c>
    </row>
    <row r="601" ht="15" customHeight="1" s="75">
      <c r="A601" s="74" t="inlineStr">
        <is>
          <t>JUNHO/2026</t>
        </is>
      </c>
      <c r="B601" s="74" t="inlineStr">
        <is>
          <t>Comercial</t>
        </is>
      </c>
      <c r="C601" s="74" t="inlineStr">
        <is>
          <t>Despesa do consultor PEDRO GREGO</t>
        </is>
      </c>
      <c r="D601" s="74" t="inlineStr">
        <is>
          <t>Voicenet</t>
        </is>
      </c>
      <c r="E601" s="151" t="n">
        <v>3</v>
      </c>
      <c r="F601" s="100" t="n">
        <v>407.27</v>
      </c>
      <c r="G601" s="100" t="n">
        <v>1221.81</v>
      </c>
      <c r="H601" s="74" t="inlineStr">
        <is>
          <t>Despesa trabalhista e combustivel dividida pela quantidade de vendas</t>
        </is>
      </c>
    </row>
    <row r="602" ht="15" customHeight="1" s="75">
      <c r="A602" s="74" t="inlineStr">
        <is>
          <t>JUNHO/2026</t>
        </is>
      </c>
      <c r="B602" s="74" t="inlineStr">
        <is>
          <t>Comercial</t>
        </is>
      </c>
      <c r="C602" s="74" t="inlineStr">
        <is>
          <t>Vendas da equipe Dtel porta a porta</t>
        </is>
      </c>
      <c r="D602" s="74" t="inlineStr">
        <is>
          <t>Voicenet</t>
        </is>
      </c>
      <c r="E602" s="151" t="n">
        <v>4</v>
      </c>
      <c r="F602" s="100" t="n">
        <v>278.600873702422</v>
      </c>
      <c r="G602" s="100" t="n">
        <v>1114.40349480969</v>
      </c>
      <c r="H602" s="74" t="inlineStr">
        <is>
          <t>Vendas comercial varejo.xlsx (maio/2026)</t>
        </is>
      </c>
    </row>
    <row r="603" ht="15" customHeight="1" s="75">
      <c r="A603" s="74" t="inlineStr">
        <is>
          <t>JUNHO/2026</t>
        </is>
      </c>
      <c r="B603" s="74" t="inlineStr">
        <is>
          <t>Comercial</t>
        </is>
      </c>
      <c r="C603" s="74" t="inlineStr">
        <is>
          <t>Vendas da equipe H&amp;A p/ voice</t>
        </is>
      </c>
      <c r="D603" s="74" t="inlineStr">
        <is>
          <t>Voicenet</t>
        </is>
      </c>
      <c r="E603" s="151" t="n">
        <v>0</v>
      </c>
      <c r="F603" s="100" t="n">
        <v>0</v>
      </c>
      <c r="G603" s="100" t="n">
        <v>0</v>
      </c>
    </row>
    <row r="604" ht="15" customHeight="1" s="75">
      <c r="A604" s="74" t="inlineStr">
        <is>
          <t>JUNHO/2026</t>
        </is>
      </c>
      <c r="B604" s="74" t="inlineStr">
        <is>
          <t>Comercial</t>
        </is>
      </c>
      <c r="C604" s="74" t="inlineStr">
        <is>
          <t>Vendas da equipe Voicenet para Dtel</t>
        </is>
      </c>
      <c r="D604" s="74" t="inlineStr">
        <is>
          <t>Voicenet</t>
        </is>
      </c>
      <c r="E604" s="151" t="n">
        <v>-12</v>
      </c>
      <c r="F604" s="100" t="n">
        <v>26.326</v>
      </c>
      <c r="G604" s="100" t="n">
        <v>-315.912</v>
      </c>
      <c r="H604" s="74" t="inlineStr">
        <is>
          <t>Vendas comercial varejo.xlsx (maio/2026)</t>
        </is>
      </c>
    </row>
    <row r="605" ht="15" customHeight="1" s="75">
      <c r="A605" s="74" t="inlineStr">
        <is>
          <t>JUNHO/2026</t>
        </is>
      </c>
      <c r="B605" s="74" t="inlineStr">
        <is>
          <t>Comercial</t>
        </is>
      </c>
      <c r="C605" s="74" t="inlineStr">
        <is>
          <t>Vendas da equipe da Voicenet para soares e silva</t>
        </is>
      </c>
      <c r="D605" s="74" t="inlineStr">
        <is>
          <t>Voicenet</t>
        </is>
      </c>
      <c r="E605" s="151" t="n">
        <v>-1</v>
      </c>
      <c r="F605" s="100" t="n">
        <v>26.326</v>
      </c>
      <c r="G605" s="100" t="n">
        <v>-26.326</v>
      </c>
      <c r="H605" s="74" t="inlineStr">
        <is>
          <t>Vendas instaladas</t>
        </is>
      </c>
    </row>
    <row r="606" ht="15" customHeight="1" s="75">
      <c r="A606" s="74" t="inlineStr">
        <is>
          <t>JUNHO/2026</t>
        </is>
      </c>
      <c r="B606" s="74" t="inlineStr">
        <is>
          <t>Comercial</t>
        </is>
      </c>
      <c r="C606" s="74" t="inlineStr">
        <is>
          <t>Vendas da equipe voicenet p/ Solon</t>
        </is>
      </c>
      <c r="D606" s="74" t="inlineStr">
        <is>
          <t>Voicenet</t>
        </is>
      </c>
      <c r="E606" s="151" t="n">
        <v>0</v>
      </c>
      <c r="F606" s="100" t="n">
        <v>0</v>
      </c>
      <c r="G606" s="100" t="n">
        <v>0</v>
      </c>
    </row>
    <row r="607" ht="15" customHeight="1" s="75">
      <c r="A607" s="74" t="inlineStr">
        <is>
          <t>JUNHO/2026</t>
        </is>
      </c>
      <c r="B607" s="74" t="inlineStr">
        <is>
          <t>Configuração</t>
        </is>
      </c>
      <c r="C607" s="74" t="inlineStr">
        <is>
          <t>Serviços de configuração e suporte ao Técnico</t>
        </is>
      </c>
      <c r="D607" s="74" t="inlineStr">
        <is>
          <t>DX2</t>
        </is>
      </c>
      <c r="E607" s="151" t="n">
        <v>6445</v>
      </c>
      <c r="F607" s="100" t="n">
        <v>0.253754640366083</v>
      </c>
      <c r="G607" s="100" t="n">
        <v>1635.4486571594</v>
      </c>
      <c r="H607" s="74" t="inlineStr">
        <is>
          <t>Cálculo por número de clientes ativos</t>
        </is>
      </c>
    </row>
    <row r="608" ht="15" customHeight="1" s="75">
      <c r="A608" s="74" t="inlineStr">
        <is>
          <t>JUNHO/2026</t>
        </is>
      </c>
      <c r="B608" s="74" t="inlineStr">
        <is>
          <t>Configuração</t>
        </is>
      </c>
      <c r="C608" s="74" t="inlineStr">
        <is>
          <t>Serviços de configuração e suporte ao Técnico</t>
        </is>
      </c>
      <c r="D608" s="74" t="inlineStr">
        <is>
          <t>H&amp;A</t>
        </is>
      </c>
      <c r="E608" s="151" t="n">
        <v>13418</v>
      </c>
      <c r="F608" s="100" t="n">
        <v>0.253754640366083</v>
      </c>
      <c r="G608" s="100" t="n">
        <v>3404.8797644321</v>
      </c>
      <c r="H608" s="74" t="inlineStr">
        <is>
          <t>Cálculo por número de clientes ativos</t>
        </is>
      </c>
    </row>
    <row r="609" ht="15" customHeight="1" s="75">
      <c r="A609" s="74" t="inlineStr">
        <is>
          <t>JUNHO/2026</t>
        </is>
      </c>
      <c r="B609" s="74" t="inlineStr">
        <is>
          <t>Configuração</t>
        </is>
      </c>
      <c r="C609" s="74" t="inlineStr">
        <is>
          <t>Serviços de configuração e suporte ao Técnico</t>
        </is>
      </c>
      <c r="D609" s="74" t="inlineStr">
        <is>
          <t>Soares e Lins</t>
        </is>
      </c>
      <c r="E609" s="151" t="n">
        <v>3704</v>
      </c>
      <c r="F609" s="100" t="n">
        <v>0.253754640366083</v>
      </c>
      <c r="G609" s="100" t="n">
        <v>939.90718791597</v>
      </c>
      <c r="H609" s="74" t="inlineStr">
        <is>
          <t>Cálculo por número de clientes ativos</t>
        </is>
      </c>
    </row>
    <row r="610" ht="15" customHeight="1" s="75">
      <c r="A610" s="74" t="inlineStr">
        <is>
          <t>JUNHO/2026</t>
        </is>
      </c>
      <c r="B610" s="74" t="inlineStr">
        <is>
          <t>Configuração</t>
        </is>
      </c>
      <c r="C610" s="74" t="inlineStr">
        <is>
          <t>Serviços de configuração e suporte ao Técnico</t>
        </is>
      </c>
      <c r="D610" s="74" t="inlineStr">
        <is>
          <t>Soares e Silva</t>
        </is>
      </c>
      <c r="E610" s="151" t="n">
        <v>6434</v>
      </c>
      <c r="F610" s="100" t="n">
        <v>0.253754640366083</v>
      </c>
      <c r="G610" s="100" t="n">
        <v>1632.65735611538</v>
      </c>
      <c r="H610" s="74" t="inlineStr">
        <is>
          <t>Cálculo por número de clientes ativos</t>
        </is>
      </c>
    </row>
    <row r="611" ht="15" customHeight="1" s="75">
      <c r="A611" s="74" t="inlineStr">
        <is>
          <t>JUNHO/2026</t>
        </is>
      </c>
      <c r="B611" s="74" t="inlineStr">
        <is>
          <t>Configuração</t>
        </is>
      </c>
      <c r="C611" s="74" t="inlineStr">
        <is>
          <t>Serviços de configuração e suporte ao Técnico</t>
        </is>
      </c>
      <c r="D611" s="74" t="inlineStr">
        <is>
          <t>Solon Araújo</t>
        </is>
      </c>
      <c r="E611" s="151" t="n">
        <v>14441</v>
      </c>
      <c r="F611" s="100" t="n">
        <v>0.253754640366083</v>
      </c>
      <c r="G611" s="100" t="n">
        <v>3664.4707615266</v>
      </c>
      <c r="H611" s="74" t="inlineStr">
        <is>
          <t>Cálculo por número de clientes ativos</t>
        </is>
      </c>
    </row>
    <row r="612" ht="15" customHeight="1" s="75">
      <c r="A612" s="74" t="inlineStr">
        <is>
          <t>JUNHO/2026</t>
        </is>
      </c>
      <c r="B612" s="74" t="inlineStr">
        <is>
          <t>Configuração</t>
        </is>
      </c>
      <c r="C612" s="74" t="inlineStr">
        <is>
          <t>Serviços de configuração e suporte ao Técnico</t>
        </is>
      </c>
      <c r="D612" s="74" t="inlineStr">
        <is>
          <t>Souza e Silva</t>
        </is>
      </c>
      <c r="E612" s="151" t="n">
        <v>4749</v>
      </c>
      <c r="F612" s="100" t="n">
        <v>0.253754640366083</v>
      </c>
      <c r="G612" s="100" t="n">
        <v>1205.08078709853</v>
      </c>
      <c r="H612" s="74" t="inlineStr">
        <is>
          <t>Cálculo por número de clientes ativos</t>
        </is>
      </c>
    </row>
    <row r="613" ht="15" customHeight="1" s="75">
      <c r="A613" s="74" t="inlineStr">
        <is>
          <t>JUNHO/2026</t>
        </is>
      </c>
      <c r="B613" s="74" t="inlineStr">
        <is>
          <t>Configuração</t>
        </is>
      </c>
      <c r="C613" s="74" t="inlineStr">
        <is>
          <t>Serviços de configuração e suporte ao Técnico</t>
        </is>
      </c>
      <c r="D613" s="74" t="inlineStr">
        <is>
          <t>Voicenet</t>
        </is>
      </c>
      <c r="E613" s="151" t="n">
        <v>4795</v>
      </c>
      <c r="F613" s="100" t="n">
        <v>0.253754640366083</v>
      </c>
      <c r="G613" s="100" t="n">
        <v>1216.75350055537</v>
      </c>
      <c r="H613" s="74" t="inlineStr">
        <is>
          <t>Cálculo por número de clientes ativos</t>
        </is>
      </c>
    </row>
    <row r="614" ht="15" customHeight="1" s="75">
      <c r="A614" s="74" t="inlineStr">
        <is>
          <t>JUNHO/2026</t>
        </is>
      </c>
      <c r="B614" s="74" t="inlineStr">
        <is>
          <t>Desenvolvimento</t>
        </is>
      </c>
      <c r="C614" s="74" t="inlineStr">
        <is>
          <t>Setor de Desenvolvimento</t>
        </is>
      </c>
      <c r="D614" s="74" t="inlineStr">
        <is>
          <t>H&amp;A</t>
        </is>
      </c>
      <c r="E614" s="151" t="n">
        <v>13418</v>
      </c>
      <c r="F614" s="100" t="n">
        <v>0.119761365635941</v>
      </c>
      <c r="G614" s="100" t="n">
        <v>1606.95800410306</v>
      </c>
      <c r="H614" s="74" t="inlineStr">
        <is>
          <t>Cálculo por número de clientes ativos</t>
        </is>
      </c>
    </row>
    <row r="615" ht="15" customHeight="1" s="75">
      <c r="A615" s="74" t="inlineStr">
        <is>
          <t>JUNHO/2026</t>
        </is>
      </c>
      <c r="B615" s="74" t="inlineStr">
        <is>
          <t>Engenharia</t>
        </is>
      </c>
      <c r="C615" s="74" t="inlineStr">
        <is>
          <t>Uso mútuo de Postes</t>
        </is>
      </c>
      <c r="D615" s="74" t="inlineStr">
        <is>
          <t>DX2</t>
        </is>
      </c>
      <c r="E615" s="151" t="n">
        <v>1</v>
      </c>
      <c r="F615" s="100" t="n">
        <v>9145.68</v>
      </c>
      <c r="G615" s="100" t="n">
        <v>9145.68</v>
      </c>
      <c r="H615" s="74" t="inlineStr">
        <is>
          <t>Contrato das empresas que está em nome da Dtel</t>
        </is>
      </c>
    </row>
    <row r="616" ht="15" customHeight="1" s="75">
      <c r="A616" s="74" t="inlineStr">
        <is>
          <t>JUNHO/2026</t>
        </is>
      </c>
      <c r="B616" s="74" t="inlineStr">
        <is>
          <t>Engenharia</t>
        </is>
      </c>
      <c r="C616" s="74" t="inlineStr">
        <is>
          <t>Uso mútuo de Postes</t>
        </is>
      </c>
      <c r="D616" s="74" t="inlineStr">
        <is>
          <t>Soares e Lins</t>
        </is>
      </c>
      <c r="E616" s="151" t="n">
        <v>1</v>
      </c>
      <c r="F616" s="100" t="n">
        <v>3372.11</v>
      </c>
      <c r="G616" s="100" t="n">
        <v>3372.11</v>
      </c>
      <c r="H616" s="74" t="inlineStr">
        <is>
          <t>Contrato das empresas que está em nome da Dtel</t>
        </is>
      </c>
    </row>
    <row r="617" ht="15" customHeight="1" s="75">
      <c r="A617" s="74" t="inlineStr">
        <is>
          <t>JUNHO/2026</t>
        </is>
      </c>
      <c r="B617" s="74" t="inlineStr">
        <is>
          <t>Engenharia</t>
        </is>
      </c>
      <c r="C617" s="74" t="inlineStr">
        <is>
          <t>Uso mútuo de Postes</t>
        </is>
      </c>
      <c r="D617" s="74" t="inlineStr">
        <is>
          <t>Souza e Silva</t>
        </is>
      </c>
      <c r="E617" s="151" t="n">
        <v>1</v>
      </c>
      <c r="F617" s="100" t="n">
        <v>15695.77</v>
      </c>
      <c r="G617" s="100" t="n">
        <v>15695.77</v>
      </c>
      <c r="H617" s="74" t="inlineStr">
        <is>
          <t>Contrato das empresas que está em nome da Dtel</t>
        </is>
      </c>
    </row>
    <row r="618" ht="15" customHeight="1" s="75">
      <c r="A618" s="74" t="inlineStr">
        <is>
          <t>JUNHO/2026</t>
        </is>
      </c>
      <c r="B618" s="74" t="inlineStr">
        <is>
          <t>Engenharia</t>
        </is>
      </c>
      <c r="C618" s="74" t="inlineStr">
        <is>
          <t>Despesas da equipe de Engenharia</t>
        </is>
      </c>
      <c r="D618" s="74" t="inlineStr">
        <is>
          <t>Voicenet</t>
        </is>
      </c>
      <c r="E618" s="151" t="n">
        <v>0</v>
      </c>
      <c r="F618" s="100" t="n">
        <v>0</v>
      </c>
      <c r="G618" s="100" t="n">
        <v>0</v>
      </c>
      <c r="H618" s="74" t="inlineStr">
        <is>
          <t>Combustível, alimentação</t>
        </is>
      </c>
    </row>
    <row r="619" ht="15" customHeight="1" s="75">
      <c r="A619" s="74" t="inlineStr">
        <is>
          <t>JUNHO/2026</t>
        </is>
      </c>
      <c r="B619" s="74" t="inlineStr">
        <is>
          <t>Estoque</t>
        </is>
      </c>
      <c r="C619" s="74" t="inlineStr">
        <is>
          <t>Serviços realizados pelo estoque</t>
        </is>
      </c>
      <c r="D619" s="74" t="inlineStr">
        <is>
          <t>DX2</t>
        </is>
      </c>
      <c r="E619" s="151" t="n">
        <v>0</v>
      </c>
      <c r="F619" s="100" t="n">
        <v>0</v>
      </c>
      <c r="G619" s="100" t="n">
        <v>0</v>
      </c>
      <c r="H619" s="74" t="inlineStr">
        <is>
          <t>Serviços de marcação de equipamentos</t>
        </is>
      </c>
    </row>
    <row r="620" ht="15" customHeight="1" s="75">
      <c r="A620" s="74" t="inlineStr">
        <is>
          <t>JUNHO/2026</t>
        </is>
      </c>
      <c r="B620" s="74" t="inlineStr">
        <is>
          <t>Estoque</t>
        </is>
      </c>
      <c r="C620" s="74" t="inlineStr">
        <is>
          <t>Serviços realizados pelo estoque</t>
        </is>
      </c>
      <c r="D620" s="74" t="inlineStr">
        <is>
          <t>H&amp;A</t>
        </is>
      </c>
      <c r="E620" s="151" t="n">
        <v>0</v>
      </c>
      <c r="F620" s="100" t="n">
        <v>0</v>
      </c>
      <c r="G620" s="100" t="n">
        <v>0</v>
      </c>
      <c r="H620" s="74" t="inlineStr">
        <is>
          <t>Serviços de marcação de equipamentos</t>
        </is>
      </c>
    </row>
    <row r="621" ht="15" customHeight="1" s="75">
      <c r="A621" s="74" t="inlineStr">
        <is>
          <t>JUNHO/2026</t>
        </is>
      </c>
      <c r="B621" s="74" t="inlineStr">
        <is>
          <t>Estoque</t>
        </is>
      </c>
      <c r="C621" s="74" t="inlineStr">
        <is>
          <t>Serviços realizados pelo estoque</t>
        </is>
      </c>
      <c r="D621" s="74" t="inlineStr">
        <is>
          <t>Soares e Lins</t>
        </is>
      </c>
      <c r="E621" s="151" t="n">
        <v>0</v>
      </c>
      <c r="F621" s="100" t="n">
        <v>0</v>
      </c>
      <c r="G621" s="100" t="n">
        <v>0</v>
      </c>
      <c r="H621" s="74" t="inlineStr">
        <is>
          <t>Serviços de marcação de equipamentos</t>
        </is>
      </c>
    </row>
    <row r="622" ht="15" customHeight="1" s="75">
      <c r="A622" s="74" t="inlineStr">
        <is>
          <t>JUNHO/2026</t>
        </is>
      </c>
      <c r="B622" s="74" t="inlineStr">
        <is>
          <t>Estoque</t>
        </is>
      </c>
      <c r="C622" s="74" t="inlineStr">
        <is>
          <t>Serviços realizados pelo estoque</t>
        </is>
      </c>
      <c r="D622" s="74" t="inlineStr">
        <is>
          <t>Soares e Silva</t>
        </is>
      </c>
      <c r="E622" s="151" t="n">
        <v>0</v>
      </c>
      <c r="F622" s="100" t="n">
        <v>0</v>
      </c>
      <c r="G622" s="100" t="n">
        <v>0</v>
      </c>
      <c r="H622" s="74" t="inlineStr">
        <is>
          <t>Horas trabalhas em serviços realizado da oficina Dtel p/ soares e silva</t>
        </is>
      </c>
    </row>
    <row r="623" ht="15" customHeight="1" s="75">
      <c r="A623" s="74" t="inlineStr">
        <is>
          <t>JUNHO/2026</t>
        </is>
      </c>
      <c r="B623" s="74" t="inlineStr">
        <is>
          <t>Estoque</t>
        </is>
      </c>
      <c r="C623" s="74" t="inlineStr">
        <is>
          <t>Serviços realizados pelo estoque</t>
        </is>
      </c>
      <c r="D623" s="74" t="inlineStr">
        <is>
          <t>Soares e Silva</t>
        </is>
      </c>
      <c r="E623" s="151" t="n">
        <v>0</v>
      </c>
      <c r="F623" s="100" t="n">
        <v>0</v>
      </c>
      <c r="G623" s="100" t="n">
        <v>0</v>
      </c>
      <c r="H623" s="74" t="inlineStr">
        <is>
          <t>Serviços de marcação de equipamentos</t>
        </is>
      </c>
    </row>
    <row r="624" ht="15" customHeight="1" s="75">
      <c r="A624" s="74" t="inlineStr">
        <is>
          <t>JUNHO/2026</t>
        </is>
      </c>
      <c r="B624" s="74" t="inlineStr">
        <is>
          <t>Estoque</t>
        </is>
      </c>
      <c r="C624" s="74" t="inlineStr">
        <is>
          <t>Serviços realizados pelo estoque</t>
        </is>
      </c>
      <c r="D624" s="74" t="inlineStr">
        <is>
          <t>Solon Araújo</t>
        </is>
      </c>
      <c r="E624" s="151" t="n">
        <v>0</v>
      </c>
      <c r="F624" s="100" t="n">
        <v>0</v>
      </c>
      <c r="G624" s="100" t="n">
        <v>0</v>
      </c>
      <c r="H624" s="74" t="inlineStr">
        <is>
          <t>Horas trabalhas em serviços realizado da oficina Dtel p/ litoral</t>
        </is>
      </c>
    </row>
    <row r="625" ht="15" customHeight="1" s="75">
      <c r="A625" s="74" t="inlineStr">
        <is>
          <t>JUNHO/2026</t>
        </is>
      </c>
      <c r="B625" s="74" t="inlineStr">
        <is>
          <t>Estoque</t>
        </is>
      </c>
      <c r="C625" s="74" t="inlineStr">
        <is>
          <t>Serviços realizados pelo estoque</t>
        </is>
      </c>
      <c r="D625" s="74" t="inlineStr">
        <is>
          <t>Solon Araújo</t>
        </is>
      </c>
      <c r="E625" s="151" t="n">
        <v>0</v>
      </c>
      <c r="F625" s="100" t="n">
        <v>0</v>
      </c>
      <c r="G625" s="100" t="n">
        <v>0</v>
      </c>
      <c r="H625" s="74" t="inlineStr">
        <is>
          <t>Serviços de marcação de equipamentos</t>
        </is>
      </c>
    </row>
    <row r="626" ht="15" customHeight="1" s="75">
      <c r="A626" s="74" t="inlineStr">
        <is>
          <t>JUNHO/2026</t>
        </is>
      </c>
      <c r="B626" s="74" t="inlineStr">
        <is>
          <t>Estoque</t>
        </is>
      </c>
      <c r="C626" s="74" t="inlineStr">
        <is>
          <t>Serviços realizados pelo estoque</t>
        </is>
      </c>
      <c r="D626" s="74" t="inlineStr">
        <is>
          <t>Souza e Silva</t>
        </is>
      </c>
      <c r="E626" s="151" t="n">
        <v>0</v>
      </c>
      <c r="F626" s="100" t="n">
        <v>0</v>
      </c>
      <c r="G626" s="100" t="n">
        <v>0</v>
      </c>
      <c r="H626" s="74" t="inlineStr">
        <is>
          <t>Serviços de marcação de equipamentos</t>
        </is>
      </c>
    </row>
    <row r="627" ht="15" customHeight="1" s="75">
      <c r="A627" s="74" t="inlineStr">
        <is>
          <t>JUNHO/2026</t>
        </is>
      </c>
      <c r="B627" s="74" t="inlineStr">
        <is>
          <t>Estoque</t>
        </is>
      </c>
      <c r="C627" s="74" t="inlineStr">
        <is>
          <t>Serviços realizados pelo estoque</t>
        </is>
      </c>
      <c r="D627" s="74" t="inlineStr">
        <is>
          <t>Voicenet</t>
        </is>
      </c>
      <c r="E627" s="151" t="n">
        <v>0</v>
      </c>
      <c r="F627" s="100" t="n">
        <v>0</v>
      </c>
      <c r="G627" s="100" t="n">
        <v>0</v>
      </c>
      <c r="H627" s="74" t="inlineStr">
        <is>
          <t>Serviços de marcação de equipamentos</t>
        </is>
      </c>
    </row>
    <row r="628" ht="15" customHeight="1" s="75">
      <c r="A628" s="74" t="inlineStr">
        <is>
          <t>JUNHO/2026</t>
        </is>
      </c>
      <c r="B628" s="74" t="inlineStr">
        <is>
          <t>Frota</t>
        </is>
      </c>
      <c r="C628" s="74" t="inlineStr">
        <is>
          <t>Abastecimento</t>
        </is>
      </c>
      <c r="D628" s="74" t="inlineStr">
        <is>
          <t>DX2</t>
        </is>
      </c>
      <c r="E628" s="151" t="n">
        <v>0</v>
      </c>
      <c r="F628" s="100" t="n">
        <v>0</v>
      </c>
      <c r="G628" s="100" t="n">
        <v>0</v>
      </c>
      <c r="H628" s="74" t="inlineStr">
        <is>
          <t>Abastecimento da van da dx2 com cartao Dtel</t>
        </is>
      </c>
    </row>
    <row r="629" ht="15" customHeight="1" s="75">
      <c r="A629" s="74" t="inlineStr">
        <is>
          <t>JUNHO/2026</t>
        </is>
      </c>
      <c r="B629" s="74" t="inlineStr">
        <is>
          <t>Frota</t>
        </is>
      </c>
      <c r="C629" s="74" t="inlineStr">
        <is>
          <t>Locação de veículos</t>
        </is>
      </c>
      <c r="D629" s="74" t="inlineStr">
        <is>
          <t>DX2</t>
        </is>
      </c>
      <c r="E629" s="151" t="n">
        <v>0</v>
      </c>
      <c r="F629" s="100" t="n">
        <v>0</v>
      </c>
      <c r="G629" s="100" t="n">
        <v>0</v>
      </c>
      <c r="H629" s="74" t="inlineStr">
        <is>
          <t>Veiculos Dtel emprestado para serviços na DX2 (2 carros)</t>
        </is>
      </c>
    </row>
    <row r="630" ht="15" customHeight="1" s="75">
      <c r="A630" s="74" t="inlineStr">
        <is>
          <t>JUNHO/2026</t>
        </is>
      </c>
      <c r="B630" s="74" t="inlineStr">
        <is>
          <t>Frota</t>
        </is>
      </c>
      <c r="C630" s="74" t="inlineStr">
        <is>
          <t>Manutenção de veículo</t>
        </is>
      </c>
      <c r="D630" s="74" t="inlineStr">
        <is>
          <t>DX2</t>
        </is>
      </c>
      <c r="E630" s="151" t="n">
        <v>1</v>
      </c>
      <c r="F630" s="100" t="n">
        <v>96</v>
      </c>
      <c r="G630" s="100" t="n">
        <v>96</v>
      </c>
      <c r="H630" s="74" t="inlineStr">
        <is>
          <t>Transporte de produtos - Frota.xlsx (referente maio/2026)</t>
        </is>
      </c>
    </row>
    <row r="631" ht="15" customHeight="1" s="75">
      <c r="A631" s="74" t="inlineStr">
        <is>
          <t>JUNHO/2026</t>
        </is>
      </c>
      <c r="B631" s="74" t="inlineStr">
        <is>
          <t>Frota</t>
        </is>
      </c>
      <c r="C631" s="74" t="inlineStr">
        <is>
          <t>Rastreamento veicular</t>
        </is>
      </c>
      <c r="D631" s="74" t="inlineStr">
        <is>
          <t>DX2</t>
        </is>
      </c>
      <c r="E631" s="151" t="n">
        <v>10</v>
      </c>
      <c r="F631" s="100" t="n">
        <v>20</v>
      </c>
      <c r="G631" s="100" t="n">
        <v>200</v>
      </c>
      <c r="H631" s="74" t="inlineStr">
        <is>
          <t>Rastreamento dos veículos</t>
        </is>
      </c>
    </row>
    <row r="632" ht="15" customHeight="1" s="75">
      <c r="A632" s="74" t="inlineStr">
        <is>
          <t>JUNHO/2026</t>
        </is>
      </c>
      <c r="B632" s="74" t="inlineStr">
        <is>
          <t>Frota</t>
        </is>
      </c>
      <c r="C632" s="74" t="inlineStr">
        <is>
          <t>Transporte de produtos</t>
        </is>
      </c>
      <c r="D632" s="74" t="inlineStr">
        <is>
          <t>DX2</t>
        </is>
      </c>
      <c r="E632" s="151" t="n">
        <v>1</v>
      </c>
      <c r="F632" s="100" t="n">
        <v>682.73</v>
      </c>
      <c r="G632" s="100" t="n">
        <v>682.73</v>
      </c>
      <c r="H632" s="74" t="inlineStr">
        <is>
          <t>Transporte de produtos - Frota.xlsx (referente junho/2026)</t>
        </is>
      </c>
    </row>
    <row r="633" ht="15" customHeight="1" s="75">
      <c r="A633" s="74" t="inlineStr">
        <is>
          <t>JUNHO/2026</t>
        </is>
      </c>
      <c r="B633" s="74" t="inlineStr">
        <is>
          <t>Frota</t>
        </is>
      </c>
      <c r="C633" s="74" t="inlineStr">
        <is>
          <t>Transporte de produtos</t>
        </is>
      </c>
      <c r="D633" s="74" t="inlineStr">
        <is>
          <t>DX2</t>
        </is>
      </c>
      <c r="E633" s="151" t="n">
        <v>1</v>
      </c>
      <c r="F633" s="100" t="n">
        <v>894.25</v>
      </c>
      <c r="G633" s="100" t="n">
        <v>894.25</v>
      </c>
      <c r="H633" s="74" t="inlineStr">
        <is>
          <t>Referente MAIO/2026 - não cobrado em maio</t>
        </is>
      </c>
    </row>
    <row r="634" ht="15" customHeight="1" s="75">
      <c r="A634" s="74" t="inlineStr">
        <is>
          <t>JUNHO/2026</t>
        </is>
      </c>
      <c r="B634" s="74" t="inlineStr">
        <is>
          <t>Frota</t>
        </is>
      </c>
      <c r="C634" s="74" t="inlineStr">
        <is>
          <t>Troca de Oleo e Filtro</t>
        </is>
      </c>
      <c r="D634" s="74" t="inlineStr">
        <is>
          <t>DX2</t>
        </is>
      </c>
      <c r="E634" s="151" t="n">
        <v>0</v>
      </c>
      <c r="F634" s="100" t="n">
        <v>0</v>
      </c>
      <c r="G634" s="100" t="n">
        <v>0</v>
      </c>
      <c r="H634" s="74" t="inlineStr">
        <is>
          <t>Transporte de produtos - Frota.xlsx (referente maio/2026)</t>
        </is>
      </c>
    </row>
    <row r="635" ht="15" customHeight="1" s="75">
      <c r="A635" s="74" t="inlineStr">
        <is>
          <t>JUNHO/2026</t>
        </is>
      </c>
      <c r="B635" s="74" t="inlineStr">
        <is>
          <t>Frota</t>
        </is>
      </c>
      <c r="C635" s="74" t="inlineStr">
        <is>
          <t>Troca de Oleo e Filtro</t>
        </is>
      </c>
      <c r="D635" s="74" t="inlineStr">
        <is>
          <t>DX2</t>
        </is>
      </c>
      <c r="E635" s="151" t="n">
        <v>1</v>
      </c>
      <c r="F635" s="100" t="n">
        <v>86</v>
      </c>
      <c r="G635" s="100" t="n">
        <v>86</v>
      </c>
      <c r="H635" s="74" t="inlineStr">
        <is>
          <t>Referente MAIO/2026 - não cobrado em maio</t>
        </is>
      </c>
    </row>
    <row r="636" ht="15" customHeight="1" s="75">
      <c r="A636" s="74" t="inlineStr">
        <is>
          <t>JUNHO/2026</t>
        </is>
      </c>
      <c r="B636" s="74" t="inlineStr">
        <is>
          <t>Frota</t>
        </is>
      </c>
      <c r="C636" s="74" t="inlineStr">
        <is>
          <t>Transporte de produtos</t>
        </is>
      </c>
      <c r="D636" s="74" t="inlineStr">
        <is>
          <t>H&amp;A</t>
        </is>
      </c>
      <c r="E636" s="151" t="n">
        <v>0</v>
      </c>
      <c r="F636" s="100" t="n">
        <v>0</v>
      </c>
      <c r="G636" s="100" t="n">
        <v>0</v>
      </c>
      <c r="H636" s="74" t="inlineStr">
        <is>
          <t>Transportes entre CD01 e empresas no rateio da rota</t>
        </is>
      </c>
    </row>
    <row r="637" ht="15" customHeight="1" s="75">
      <c r="A637" s="74" t="inlineStr">
        <is>
          <t>JUNHO/2026</t>
        </is>
      </c>
      <c r="B637" s="74" t="inlineStr">
        <is>
          <t>Frota</t>
        </is>
      </c>
      <c r="C637" s="74" t="inlineStr">
        <is>
          <t>Rastreamento veicular</t>
        </is>
      </c>
      <c r="D637" s="74" t="inlineStr">
        <is>
          <t>Soares e Lins</t>
        </is>
      </c>
      <c r="E637" s="151" t="n">
        <v>3</v>
      </c>
      <c r="F637" s="100" t="n">
        <v>20</v>
      </c>
      <c r="G637" s="100" t="n">
        <v>60</v>
      </c>
      <c r="H637" s="74" t="inlineStr">
        <is>
          <t>Rastreamento dos veículos</t>
        </is>
      </c>
    </row>
    <row r="638" ht="15" customHeight="1" s="75">
      <c r="A638" s="74" t="inlineStr">
        <is>
          <t>JUNHO/2026</t>
        </is>
      </c>
      <c r="B638" s="74" t="inlineStr">
        <is>
          <t>Frota</t>
        </is>
      </c>
      <c r="C638" s="74" t="inlineStr">
        <is>
          <t>Transporte de produtos</t>
        </is>
      </c>
      <c r="D638" s="74" t="inlineStr">
        <is>
          <t>Soares e Lins</t>
        </is>
      </c>
      <c r="E638" s="151" t="n">
        <v>1</v>
      </c>
      <c r="F638" s="100" t="n">
        <v>556.03</v>
      </c>
      <c r="G638" s="100" t="n">
        <v>556.03</v>
      </c>
      <c r="H638" s="74" t="inlineStr">
        <is>
          <t>Transporte de produtos - Frota.xlsx (referente maio/2026)</t>
        </is>
      </c>
    </row>
    <row r="639" ht="15" customHeight="1" s="75">
      <c r="A639" s="74" t="inlineStr">
        <is>
          <t>JUNHO/2026</t>
        </is>
      </c>
      <c r="B639" s="74" t="inlineStr">
        <is>
          <t>Frota</t>
        </is>
      </c>
      <c r="C639" s="74" t="inlineStr">
        <is>
          <t>Transporte de produtos</t>
        </is>
      </c>
      <c r="D639" s="74" t="inlineStr">
        <is>
          <t>Soares e Lins</t>
        </is>
      </c>
      <c r="E639" s="151" t="n">
        <v>1</v>
      </c>
      <c r="F639" s="100" t="n">
        <v>447.78</v>
      </c>
      <c r="G639" s="100" t="n">
        <v>447.78</v>
      </c>
      <c r="H639" s="74" t="inlineStr">
        <is>
          <t>Referente MAIO/2026 - não cobrado em maio</t>
        </is>
      </c>
    </row>
    <row r="640" ht="15" customHeight="1" s="75">
      <c r="A640" s="74" t="inlineStr">
        <is>
          <t>JUNHO/2026</t>
        </is>
      </c>
      <c r="B640" s="74" t="inlineStr">
        <is>
          <t>Frota</t>
        </is>
      </c>
      <c r="C640" s="74" t="inlineStr">
        <is>
          <t>Troca de Oleo e Filtro</t>
        </is>
      </c>
      <c r="D640" s="74" t="inlineStr">
        <is>
          <t>Soares e Lins</t>
        </is>
      </c>
      <c r="E640" s="151" t="n">
        <v>0</v>
      </c>
      <c r="F640" s="100" t="n">
        <v>0</v>
      </c>
      <c r="G640" s="100" t="n">
        <v>0</v>
      </c>
      <c r="H640" s="74" t="inlineStr">
        <is>
          <t>Manutenção veicular</t>
        </is>
      </c>
    </row>
    <row r="641" ht="15" customHeight="1" s="75">
      <c r="A641" s="74" t="inlineStr">
        <is>
          <t>JUNHO/2026</t>
        </is>
      </c>
      <c r="B641" s="74" t="inlineStr">
        <is>
          <t>Frota</t>
        </is>
      </c>
      <c r="C641" s="74" t="inlineStr">
        <is>
          <t>Abastecimento</t>
        </is>
      </c>
      <c r="D641" s="74" t="inlineStr">
        <is>
          <t>Soares e Silva</t>
        </is>
      </c>
      <c r="E641" s="151" t="n">
        <v>0</v>
      </c>
      <c r="F641" s="100" t="n">
        <v>0</v>
      </c>
      <c r="G641" s="100" t="n">
        <v>0</v>
      </c>
      <c r="H641" s="74" t="inlineStr">
        <is>
          <t>Abastecimento de 2 veiculos</t>
        </is>
      </c>
    </row>
    <row r="642" ht="15" customHeight="1" s="75">
      <c r="A642" s="74" t="inlineStr">
        <is>
          <t>JUNHO/2026</t>
        </is>
      </c>
      <c r="B642" s="74" t="inlineStr">
        <is>
          <t>Frota</t>
        </is>
      </c>
      <c r="C642" s="74" t="inlineStr">
        <is>
          <t>Locação de veículos</t>
        </is>
      </c>
      <c r="D642" s="74" t="inlineStr">
        <is>
          <t>Soares e Silva</t>
        </is>
      </c>
      <c r="E642" s="151" t="n">
        <v>0</v>
      </c>
      <c r="F642" s="100" t="n">
        <v>0</v>
      </c>
      <c r="G642" s="100" t="n">
        <v>0</v>
      </c>
      <c r="H642" s="74" t="inlineStr">
        <is>
          <t>Veiculos Dtel emprestado para serviços 2 carros</t>
        </is>
      </c>
    </row>
    <row r="643" ht="15" customHeight="1" s="75">
      <c r="A643" s="74" t="inlineStr">
        <is>
          <t>JUNHO/2026</t>
        </is>
      </c>
      <c r="B643" s="74" t="inlineStr">
        <is>
          <t>Frota</t>
        </is>
      </c>
      <c r="C643" s="74" t="inlineStr">
        <is>
          <t>Manutenção de veiculo</t>
        </is>
      </c>
      <c r="D643" s="74" t="inlineStr">
        <is>
          <t>Soares e Silva</t>
        </is>
      </c>
      <c r="E643" s="151" t="n">
        <v>0</v>
      </c>
      <c r="F643" s="100" t="n">
        <v>0</v>
      </c>
      <c r="G643" s="100" t="n">
        <v>0</v>
      </c>
      <c r="H643" s="74" t="inlineStr">
        <is>
          <t>Transporte de produtos - Frota.xlsx (referente maio/2026)</t>
        </is>
      </c>
    </row>
    <row r="644" ht="15" customHeight="1" s="75">
      <c r="A644" s="74" t="inlineStr">
        <is>
          <t>JUNHO/2026</t>
        </is>
      </c>
      <c r="B644" s="74" t="inlineStr">
        <is>
          <t>Frota</t>
        </is>
      </c>
      <c r="C644" s="74" t="inlineStr">
        <is>
          <t>Manutenção de veiculo</t>
        </is>
      </c>
      <c r="D644" s="74" t="inlineStr">
        <is>
          <t>Soares e Silva</t>
        </is>
      </c>
      <c r="E644" s="151" t="n">
        <v>1</v>
      </c>
      <c r="F644" s="100" t="n">
        <v>1150</v>
      </c>
      <c r="G644" s="100" t="n">
        <v>1150</v>
      </c>
      <c r="H644" s="74" t="inlineStr">
        <is>
          <t>Referente MAIO/2026 - não cobrado em maio</t>
        </is>
      </c>
    </row>
    <row r="645" ht="15" customHeight="1" s="75">
      <c r="A645" s="74" t="inlineStr">
        <is>
          <t>JUNHO/2026</t>
        </is>
      </c>
      <c r="B645" s="74" t="inlineStr">
        <is>
          <t>Frota</t>
        </is>
      </c>
      <c r="C645" s="74" t="inlineStr">
        <is>
          <t>Rastreamento veicular</t>
        </is>
      </c>
      <c r="D645" s="74" t="inlineStr">
        <is>
          <t>Soares e Silva</t>
        </is>
      </c>
      <c r="E645" s="151" t="n">
        <v>13</v>
      </c>
      <c r="F645" s="100" t="n">
        <v>20</v>
      </c>
      <c r="G645" s="100" t="n">
        <v>260</v>
      </c>
      <c r="H645" s="74" t="inlineStr">
        <is>
          <t>Rastreamento dos veículos</t>
        </is>
      </c>
    </row>
    <row r="646" ht="15" customHeight="1" s="75">
      <c r="A646" s="74" t="inlineStr">
        <is>
          <t>JUNHO/2026</t>
        </is>
      </c>
      <c r="B646" s="74" t="inlineStr">
        <is>
          <t>Frota</t>
        </is>
      </c>
      <c r="C646" s="74" t="inlineStr">
        <is>
          <t>Transporte de produtos</t>
        </is>
      </c>
      <c r="D646" s="74" t="inlineStr">
        <is>
          <t>Soares e Silva</t>
        </is>
      </c>
      <c r="E646" s="151" t="n">
        <v>0</v>
      </c>
      <c r="F646" s="100" t="n">
        <v>0</v>
      </c>
      <c r="G646" s="100" t="n">
        <v>0</v>
      </c>
      <c r="H646" s="74" t="inlineStr">
        <is>
          <t>Transportes entre CD01 e empresas no rateio da rota</t>
        </is>
      </c>
    </row>
    <row r="647" ht="15" customHeight="1" s="75">
      <c r="A647" s="74" t="inlineStr">
        <is>
          <t>JUNHO/2026</t>
        </is>
      </c>
      <c r="B647" s="74" t="inlineStr">
        <is>
          <t>Frota</t>
        </is>
      </c>
      <c r="C647" s="74" t="inlineStr">
        <is>
          <t>Troca de Oleo e Filtro</t>
        </is>
      </c>
      <c r="D647" s="74" t="inlineStr">
        <is>
          <t>Soares e Silva</t>
        </is>
      </c>
      <c r="E647" s="151" t="n">
        <v>0</v>
      </c>
      <c r="F647" s="100" t="n">
        <v>0</v>
      </c>
      <c r="G647" s="100" t="n">
        <v>0</v>
      </c>
      <c r="H647" s="74" t="inlineStr">
        <is>
          <t>Transporte de produtos - Frota.xlsx (referente maio/2026)</t>
        </is>
      </c>
    </row>
    <row r="648" ht="15" customHeight="1" s="75">
      <c r="A648" s="74" t="inlineStr">
        <is>
          <t>JUNHO/2026</t>
        </is>
      </c>
      <c r="B648" s="74" t="inlineStr">
        <is>
          <t>Frota</t>
        </is>
      </c>
      <c r="C648" s="74" t="inlineStr">
        <is>
          <t>Troca de Oleo e Filtro</t>
        </is>
      </c>
      <c r="D648" s="74" t="inlineStr">
        <is>
          <t>Soares e Silva</t>
        </is>
      </c>
      <c r="E648" s="151" t="n">
        <v>1</v>
      </c>
      <c r="F648" s="100" t="n">
        <v>475.21</v>
      </c>
      <c r="G648" s="100" t="n">
        <v>475.21</v>
      </c>
      <c r="H648" s="74" t="inlineStr">
        <is>
          <t>Referente MAIO/2026 - não cobrado em maio</t>
        </is>
      </c>
    </row>
    <row r="649" ht="15" customHeight="1" s="75">
      <c r="A649" s="74" t="inlineStr">
        <is>
          <t>JUNHO/2026</t>
        </is>
      </c>
      <c r="B649" s="74" t="inlineStr">
        <is>
          <t>Frota</t>
        </is>
      </c>
      <c r="C649" s="74" t="inlineStr">
        <is>
          <t>Manutenção de veículo</t>
        </is>
      </c>
      <c r="D649" s="74" t="inlineStr">
        <is>
          <t>Solon Araújo</t>
        </is>
      </c>
      <c r="E649" s="151" t="n">
        <v>1</v>
      </c>
      <c r="F649" s="100" t="n">
        <v>132</v>
      </c>
      <c r="G649" s="100" t="n">
        <v>132</v>
      </c>
      <c r="H649" s="74" t="inlineStr">
        <is>
          <t>Transporte de produtos - Frota.xlsx (referente maio/2026)</t>
        </is>
      </c>
    </row>
    <row r="650" ht="15" customHeight="1" s="75">
      <c r="A650" s="74" t="inlineStr">
        <is>
          <t>JUNHO/2026</t>
        </is>
      </c>
      <c r="B650" s="74" t="inlineStr">
        <is>
          <t>Frota</t>
        </is>
      </c>
      <c r="C650" s="74" t="inlineStr">
        <is>
          <t>Rastreamento veicular</t>
        </is>
      </c>
      <c r="D650" s="74" t="inlineStr">
        <is>
          <t>Solon Araújo</t>
        </is>
      </c>
      <c r="E650" s="151" t="n">
        <v>19</v>
      </c>
      <c r="F650" s="100" t="n">
        <v>20</v>
      </c>
      <c r="G650" s="100" t="n">
        <v>380</v>
      </c>
      <c r="H650" s="74" t="inlineStr">
        <is>
          <t>Rastreamento dos veículos</t>
        </is>
      </c>
    </row>
    <row r="651" ht="15" customHeight="1" s="75">
      <c r="A651" s="74" t="inlineStr">
        <is>
          <t>JUNHO/2026</t>
        </is>
      </c>
      <c r="B651" s="74" t="inlineStr">
        <is>
          <t>Frota</t>
        </is>
      </c>
      <c r="C651" s="74" t="inlineStr">
        <is>
          <t>Transporte de produtos</t>
        </is>
      </c>
      <c r="D651" s="74" t="inlineStr">
        <is>
          <t>Solon Araújo</t>
        </is>
      </c>
      <c r="E651" s="151" t="n">
        <v>1</v>
      </c>
      <c r="F651" s="100" t="n">
        <v>1035.78</v>
      </c>
      <c r="G651" s="100" t="n">
        <v>1035.78</v>
      </c>
      <c r="H651" s="74" t="inlineStr">
        <is>
          <t>Transporte de produtos - Frota.xlsx (referente maio/2026)</t>
        </is>
      </c>
    </row>
    <row r="652" ht="15" customHeight="1" s="75">
      <c r="A652" s="74" t="inlineStr">
        <is>
          <t>JUNHO/2026</t>
        </is>
      </c>
      <c r="B652" s="74" t="inlineStr">
        <is>
          <t>Frota</t>
        </is>
      </c>
      <c r="C652" s="74" t="inlineStr">
        <is>
          <t>Transporte de produtos</t>
        </is>
      </c>
      <c r="D652" s="74" t="inlineStr">
        <is>
          <t>Solon Araújo</t>
        </is>
      </c>
      <c r="E652" s="151" t="n">
        <v>1</v>
      </c>
      <c r="F652" s="100" t="n">
        <v>1381.14</v>
      </c>
      <c r="G652" s="100" t="n">
        <v>1381.14</v>
      </c>
      <c r="H652" s="74" t="inlineStr">
        <is>
          <t>Referente MAIO/2026 - não cobrado em maio</t>
        </is>
      </c>
    </row>
    <row r="653" ht="15" customHeight="1" s="75">
      <c r="A653" s="74" t="inlineStr">
        <is>
          <t>JUNHO/2026</t>
        </is>
      </c>
      <c r="B653" s="74" t="inlineStr">
        <is>
          <t>Frota</t>
        </is>
      </c>
      <c r="C653" s="74" t="inlineStr">
        <is>
          <t>Troca de Óleo e Filtro</t>
        </is>
      </c>
      <c r="D653" s="74" t="inlineStr">
        <is>
          <t>Solon Araújo</t>
        </is>
      </c>
      <c r="E653" s="151" t="n">
        <v>0</v>
      </c>
      <c r="F653" s="100" t="n">
        <v>0</v>
      </c>
      <c r="G653" s="100" t="n">
        <v>0</v>
      </c>
      <c r="H653" s="74" t="inlineStr">
        <is>
          <t>Transporte de produtos - Frota.xlsx (referente maio/2026)</t>
        </is>
      </c>
    </row>
    <row r="654" ht="15" customHeight="1" s="75">
      <c r="A654" s="74" t="inlineStr">
        <is>
          <t>JUNHO/2026</t>
        </is>
      </c>
      <c r="B654" s="74" t="inlineStr">
        <is>
          <t>Frota</t>
        </is>
      </c>
      <c r="C654" s="74" t="inlineStr">
        <is>
          <t>Troca de Óleo e Filtro</t>
        </is>
      </c>
      <c r="D654" s="74" t="inlineStr">
        <is>
          <t>Solon Araújo</t>
        </is>
      </c>
      <c r="E654" s="151" t="n">
        <v>1</v>
      </c>
      <c r="F654" s="100" t="n">
        <v>264</v>
      </c>
      <c r="G654" s="100" t="n">
        <v>264</v>
      </c>
      <c r="H654" s="74" t="inlineStr">
        <is>
          <t>Referente MAIO/2026 - não cobrado em maio</t>
        </is>
      </c>
    </row>
    <row r="655" ht="15" customHeight="1" s="75">
      <c r="A655" s="74" t="inlineStr">
        <is>
          <t>JUNHO/2026</t>
        </is>
      </c>
      <c r="B655" s="74" t="inlineStr">
        <is>
          <t>Frota</t>
        </is>
      </c>
      <c r="C655" s="74" t="inlineStr">
        <is>
          <t>Manutenção de veiculo</t>
        </is>
      </c>
      <c r="D655" s="74" t="inlineStr">
        <is>
          <t>Souza e Silva</t>
        </is>
      </c>
      <c r="E655" s="151" t="n">
        <v>0</v>
      </c>
      <c r="F655" s="100" t="n">
        <v>0</v>
      </c>
      <c r="G655" s="100" t="n">
        <v>0</v>
      </c>
      <c r="H655" s="74" t="inlineStr">
        <is>
          <t>Reboque de carro</t>
        </is>
      </c>
    </row>
    <row r="656" ht="15" customHeight="1" s="75">
      <c r="A656" s="74" t="inlineStr">
        <is>
          <t>JUNHO/2026</t>
        </is>
      </c>
      <c r="B656" s="74" t="inlineStr">
        <is>
          <t>Frota</t>
        </is>
      </c>
      <c r="C656" s="74" t="inlineStr">
        <is>
          <t>Rastreamento veicular</t>
        </is>
      </c>
      <c r="D656" s="74" t="inlineStr">
        <is>
          <t>Souza e Silva</t>
        </is>
      </c>
      <c r="E656" s="151" t="n">
        <v>4</v>
      </c>
      <c r="F656" s="100" t="n">
        <v>20</v>
      </c>
      <c r="G656" s="100" t="n">
        <v>80</v>
      </c>
      <c r="H656" s="74" t="inlineStr">
        <is>
          <t>Rastreamento dos veículos</t>
        </is>
      </c>
    </row>
    <row r="657" ht="15" customHeight="1" s="75">
      <c r="A657" s="74" t="inlineStr">
        <is>
          <t>JUNHO/2026</t>
        </is>
      </c>
      <c r="B657" s="74" t="inlineStr">
        <is>
          <t>Frota</t>
        </is>
      </c>
      <c r="C657" s="74" t="inlineStr">
        <is>
          <t>Transporte de produtos</t>
        </is>
      </c>
      <c r="D657" s="74" t="inlineStr">
        <is>
          <t>Souza e Silva</t>
        </is>
      </c>
      <c r="E657" s="151" t="n">
        <v>0</v>
      </c>
      <c r="F657" s="100" t="n">
        <v>0</v>
      </c>
      <c r="G657" s="100" t="n">
        <v>0</v>
      </c>
      <c r="H657" s="74" t="inlineStr">
        <is>
          <t>Transportes entre CD01 e empresas no rateio da rota</t>
        </is>
      </c>
    </row>
    <row r="658" ht="15" customHeight="1" s="75">
      <c r="A658" s="74" t="inlineStr">
        <is>
          <t>JUNHO/2026</t>
        </is>
      </c>
      <c r="B658" s="74" t="inlineStr">
        <is>
          <t>Frota</t>
        </is>
      </c>
      <c r="C658" s="74" t="inlineStr">
        <is>
          <t>Troca de Óleo e Filtro</t>
        </is>
      </c>
      <c r="D658" s="74" t="inlineStr">
        <is>
          <t>Souza e Silva</t>
        </is>
      </c>
      <c r="E658" s="151" t="n">
        <v>0</v>
      </c>
      <c r="F658" s="100" t="n">
        <v>0</v>
      </c>
      <c r="G658" s="100" t="n">
        <v>0</v>
      </c>
      <c r="H658" s="74" t="inlineStr">
        <is>
          <t>Manutenção veicular</t>
        </is>
      </c>
    </row>
    <row r="659" ht="15" customHeight="1" s="75">
      <c r="A659" s="74" t="inlineStr">
        <is>
          <t>JUNHO/2026</t>
        </is>
      </c>
      <c r="B659" s="74" t="inlineStr">
        <is>
          <t>Frota</t>
        </is>
      </c>
      <c r="C659" s="74" t="inlineStr">
        <is>
          <t>Abastecimento</t>
        </is>
      </c>
      <c r="D659" s="74" t="inlineStr">
        <is>
          <t>Voicenet</t>
        </is>
      </c>
      <c r="E659" s="151" t="n">
        <v>0</v>
      </c>
      <c r="F659" s="100" t="n">
        <v>0</v>
      </c>
      <c r="G659" s="100" t="n">
        <v>0</v>
      </c>
      <c r="H659" s="74" t="inlineStr">
        <is>
          <t>Abastecimento de veiculos</t>
        </is>
      </c>
    </row>
    <row r="660" ht="15" customHeight="1" s="75">
      <c r="A660" s="74" t="inlineStr">
        <is>
          <t>JUNHO/2026</t>
        </is>
      </c>
      <c r="B660" s="74" t="inlineStr">
        <is>
          <t>Frota</t>
        </is>
      </c>
      <c r="C660" s="74" t="inlineStr">
        <is>
          <t>Rastreamento veicular</t>
        </is>
      </c>
      <c r="D660" s="74" t="inlineStr">
        <is>
          <t>Voicenet</t>
        </is>
      </c>
      <c r="E660" s="151" t="n">
        <v>8</v>
      </c>
      <c r="F660" s="100" t="n">
        <v>20</v>
      </c>
      <c r="G660" s="100" t="n">
        <v>160</v>
      </c>
      <c r="H660" s="74" t="inlineStr">
        <is>
          <t>Rastreamento dos veículos</t>
        </is>
      </c>
    </row>
    <row r="661" ht="15" customHeight="1" s="75">
      <c r="A661" s="74" t="inlineStr">
        <is>
          <t>JUNHO/2026</t>
        </is>
      </c>
      <c r="B661" s="74" t="inlineStr">
        <is>
          <t>Frota</t>
        </is>
      </c>
      <c r="C661" s="74" t="inlineStr">
        <is>
          <t>Transporte de produtos</t>
        </is>
      </c>
      <c r="D661" s="74" t="inlineStr">
        <is>
          <t>Voicenet</t>
        </is>
      </c>
      <c r="E661" s="151" t="n">
        <v>1</v>
      </c>
      <c r="F661" s="100" t="n">
        <v>1209.07</v>
      </c>
      <c r="G661" s="100" t="n">
        <v>1209.07</v>
      </c>
      <c r="H661" s="74" t="inlineStr">
        <is>
          <t>Transporte de produtos - Frota.xlsx (referente maio/2026)</t>
        </is>
      </c>
    </row>
    <row r="662" ht="15" customHeight="1" s="75">
      <c r="A662" s="74" t="inlineStr">
        <is>
          <t>JUNHO/2026</t>
        </is>
      </c>
      <c r="B662" s="74" t="inlineStr">
        <is>
          <t>Frota</t>
        </is>
      </c>
      <c r="C662" s="74" t="inlineStr">
        <is>
          <t>Transporte de produtos</t>
        </is>
      </c>
      <c r="D662" s="74" t="inlineStr">
        <is>
          <t>Voicenet</t>
        </is>
      </c>
      <c r="E662" s="151" t="n">
        <v>1</v>
      </c>
      <c r="F662" s="100" t="n">
        <v>497.22</v>
      </c>
      <c r="G662" s="100" t="n">
        <v>497.22</v>
      </c>
      <c r="H662" s="74" t="inlineStr">
        <is>
          <t>Referente MAIO/2026 - não cobrado em maio</t>
        </is>
      </c>
    </row>
    <row r="663" ht="15" customHeight="1" s="75">
      <c r="A663" s="74" t="inlineStr">
        <is>
          <t>JUNHO/2026</t>
        </is>
      </c>
      <c r="B663" s="74" t="inlineStr">
        <is>
          <t>Frota</t>
        </is>
      </c>
      <c r="C663" s="74" t="inlineStr">
        <is>
          <t>Troca de Oleo e Filtro</t>
        </is>
      </c>
      <c r="D663" s="74" t="inlineStr">
        <is>
          <t>Voicenet</t>
        </is>
      </c>
      <c r="E663" s="151" t="n">
        <v>1</v>
      </c>
      <c r="F663" s="100" t="n">
        <v>230.72</v>
      </c>
      <c r="G663" s="100" t="n">
        <v>230.72</v>
      </c>
      <c r="H663" s="74" t="inlineStr">
        <is>
          <t>Transporte de produtos - Frota.xlsx (referente maio/2026)</t>
        </is>
      </c>
    </row>
    <row r="664" ht="15" customHeight="1" s="75">
      <c r="A664" s="74" t="inlineStr">
        <is>
          <t>JUNHO/2026</t>
        </is>
      </c>
      <c r="B664" s="74" t="inlineStr">
        <is>
          <t>Frota</t>
        </is>
      </c>
      <c r="C664" s="74" t="inlineStr">
        <is>
          <t>Troca de Oleo e Filtro</t>
        </is>
      </c>
      <c r="D664" s="74" t="inlineStr">
        <is>
          <t>Voicenet</t>
        </is>
      </c>
      <c r="E664" s="151" t="n">
        <v>1</v>
      </c>
      <c r="F664" s="100" t="n">
        <v>381.6</v>
      </c>
      <c r="G664" s="100" t="n">
        <v>381.6</v>
      </c>
      <c r="H664" s="74" t="inlineStr">
        <is>
          <t>Referente MAIO/2026 - não cobrado em maio</t>
        </is>
      </c>
    </row>
    <row r="665" ht="15" customHeight="1" s="75">
      <c r="A665" s="74" t="inlineStr">
        <is>
          <t>JUNHO/2026</t>
        </is>
      </c>
      <c r="B665" s="74" t="inlineStr">
        <is>
          <t>Instalação</t>
        </is>
      </c>
      <c r="C665" s="74" t="inlineStr">
        <is>
          <t>KM rodado para serviços técnicos DX2 p/ Soares &amp; silva</t>
        </is>
      </c>
      <c r="D665" s="74" t="inlineStr">
        <is>
          <t>DX2</t>
        </is>
      </c>
      <c r="E665" s="151" t="n">
        <v>0</v>
      </c>
      <c r="F665" s="100" t="n">
        <v>0</v>
      </c>
      <c r="G665" s="100" t="n">
        <v>0</v>
      </c>
      <c r="H665" s="74" t="inlineStr">
        <is>
          <t>Serviços das equipes dx2 p/ soares e silva</t>
        </is>
      </c>
    </row>
    <row r="666" ht="15" customHeight="1" s="75">
      <c r="A666" s="74" t="inlineStr">
        <is>
          <t>JUNHO/2026</t>
        </is>
      </c>
      <c r="B666" s="74" t="inlineStr">
        <is>
          <t>Instalação</t>
        </is>
      </c>
      <c r="C666" s="74" t="inlineStr">
        <is>
          <t>KM rodado para serviços técnicos DX2 para SOLON</t>
        </is>
      </c>
      <c r="D666" s="74" t="inlineStr">
        <is>
          <t>DX2</t>
        </is>
      </c>
      <c r="E666" s="151" t="n">
        <v>0</v>
      </c>
      <c r="F666" s="100" t="n">
        <v>0</v>
      </c>
      <c r="G666" s="100" t="n">
        <v>0</v>
      </c>
      <c r="H666" s="74" t="inlineStr">
        <is>
          <t>Serviços das equipes dx2 p/ solon</t>
        </is>
      </c>
    </row>
    <row r="667" ht="15" customHeight="1" s="75">
      <c r="A667" s="74" t="inlineStr">
        <is>
          <t>JUNHO/2026</t>
        </is>
      </c>
      <c r="B667" s="74" t="inlineStr">
        <is>
          <t>Instalação</t>
        </is>
      </c>
      <c r="C667" s="74" t="inlineStr">
        <is>
          <t>Serviços técnicos da DX2 P/ SOLON</t>
        </is>
      </c>
      <c r="D667" s="74" t="inlineStr">
        <is>
          <t>DX2</t>
        </is>
      </c>
      <c r="E667" s="151" t="n">
        <v>0</v>
      </c>
      <c r="F667" s="100" t="n">
        <v>0</v>
      </c>
      <c r="G667" s="100" t="n">
        <v>0</v>
      </c>
      <c r="H667" s="74" t="inlineStr">
        <is>
          <t>Serviços das equipes técnicas Dx2 p/ solon</t>
        </is>
      </c>
    </row>
    <row r="668" ht="15" customHeight="1" s="75">
      <c r="A668" s="74" t="inlineStr">
        <is>
          <t>JUNHO/2026</t>
        </is>
      </c>
      <c r="B668" s="74" t="inlineStr">
        <is>
          <t>Instalação</t>
        </is>
      </c>
      <c r="C668" s="74" t="inlineStr">
        <is>
          <t>Serviços técnicos da DX2 p/ Soares &amp; Silva</t>
        </is>
      </c>
      <c r="D668" s="74" t="inlineStr">
        <is>
          <t>DX2</t>
        </is>
      </c>
      <c r="E668" s="151" t="n">
        <v>0</v>
      </c>
      <c r="F668" s="100" t="n">
        <v>0</v>
      </c>
      <c r="G668" s="100" t="n">
        <v>0</v>
      </c>
      <c r="H668" s="74" t="inlineStr">
        <is>
          <t>Serviços das equipes técnicas Dx2 p/ soares e silva</t>
        </is>
      </c>
    </row>
    <row r="669" ht="15" customHeight="1" s="75">
      <c r="A669" s="74" t="inlineStr">
        <is>
          <t>JUNHO/2026</t>
        </is>
      </c>
      <c r="B669" s="74" t="inlineStr">
        <is>
          <t>Instalação</t>
        </is>
      </c>
      <c r="C669" s="74" t="inlineStr">
        <is>
          <t>Serviços técnicos da DX2 P/ H&amp;A</t>
        </is>
      </c>
      <c r="D669" s="74" t="inlineStr">
        <is>
          <t>H&amp;A</t>
        </is>
      </c>
      <c r="E669" s="151" t="n">
        <v>0</v>
      </c>
      <c r="F669" s="100" t="n">
        <v>0</v>
      </c>
      <c r="G669" s="100" t="n">
        <v>0</v>
      </c>
      <c r="H669" s="74" t="inlineStr">
        <is>
          <t>Deslocamento de equipes</t>
        </is>
      </c>
    </row>
    <row r="670" ht="15" customHeight="1" s="75">
      <c r="A670" s="74" t="inlineStr">
        <is>
          <t>JUNHO/2026</t>
        </is>
      </c>
      <c r="B670" s="74" t="inlineStr">
        <is>
          <t>Instalação</t>
        </is>
      </c>
      <c r="C670" s="74" t="inlineStr">
        <is>
          <t>km rodado da equipe DX2 para H&amp;A</t>
        </is>
      </c>
      <c r="D670" s="74" t="inlineStr">
        <is>
          <t>H&amp;A</t>
        </is>
      </c>
      <c r="E670" s="151" t="n">
        <v>0</v>
      </c>
      <c r="F670" s="100" t="n">
        <v>0</v>
      </c>
      <c r="G670" s="100" t="n">
        <v>0</v>
      </c>
      <c r="H670" s="74" t="inlineStr">
        <is>
          <t>Serviços das equipes técnicas Dtel</t>
        </is>
      </c>
    </row>
    <row r="671" ht="15" customHeight="1" s="75">
      <c r="A671" s="74" t="inlineStr">
        <is>
          <t>JUNHO/2026</t>
        </is>
      </c>
      <c r="B671" s="74" t="inlineStr">
        <is>
          <t>Instalação</t>
        </is>
      </c>
      <c r="C671" s="74" t="inlineStr">
        <is>
          <t>KM rodado para serviços técnicos Dtel p/ S&amp;L</t>
        </is>
      </c>
      <c r="D671" s="74" t="inlineStr">
        <is>
          <t>Soares e Lins</t>
        </is>
      </c>
      <c r="E671" s="151" t="n">
        <v>0</v>
      </c>
      <c r="F671" s="100" t="n">
        <v>0</v>
      </c>
      <c r="G671" s="100" t="n">
        <v>0</v>
      </c>
      <c r="H671" s="74" t="inlineStr">
        <is>
          <t>Deslocamento de equipes dtel</t>
        </is>
      </c>
    </row>
    <row r="672" ht="15" customHeight="1" s="75">
      <c r="A672" s="74" t="inlineStr">
        <is>
          <t>JUNHO/2026</t>
        </is>
      </c>
      <c r="B672" s="74" t="inlineStr">
        <is>
          <t>Instalação</t>
        </is>
      </c>
      <c r="C672" s="74" t="inlineStr">
        <is>
          <t>KM rodado para serviços técnicos S&amp;L para DTEL</t>
        </is>
      </c>
      <c r="D672" s="74" t="inlineStr">
        <is>
          <t>Soares e Lins</t>
        </is>
      </c>
      <c r="E672" s="151" t="n">
        <v>0</v>
      </c>
      <c r="F672" s="100" t="n">
        <v>0</v>
      </c>
      <c r="G672" s="100" t="n">
        <v>0</v>
      </c>
      <c r="H672" s="74" t="inlineStr">
        <is>
          <t>Deslocamento de equipes soares e lins</t>
        </is>
      </c>
    </row>
    <row r="673" ht="15" customHeight="1" s="75">
      <c r="A673" s="74" t="inlineStr">
        <is>
          <t>JUNHO/2026</t>
        </is>
      </c>
      <c r="B673" s="74" t="inlineStr">
        <is>
          <t>Instalação</t>
        </is>
      </c>
      <c r="C673" s="74" t="inlineStr">
        <is>
          <t>KM rodado para serviços técnicos da S&amp;L para DTEL</t>
        </is>
      </c>
      <c r="D673" s="74" t="inlineStr">
        <is>
          <t>Soares e Lins</t>
        </is>
      </c>
      <c r="E673" s="151" t="n">
        <v>0</v>
      </c>
      <c r="F673" s="100" t="n">
        <v>0</v>
      </c>
      <c r="G673" s="100" t="n">
        <v>0</v>
      </c>
      <c r="H673" s="74" t="inlineStr">
        <is>
          <t>Deslocamento de equipes</t>
        </is>
      </c>
    </row>
    <row r="674" ht="15" customHeight="1" s="75">
      <c r="A674" s="74" t="inlineStr">
        <is>
          <t>JUNHO/2026</t>
        </is>
      </c>
      <c r="B674" s="74" t="inlineStr">
        <is>
          <t>Instalação</t>
        </is>
      </c>
      <c r="C674" s="74" t="inlineStr">
        <is>
          <t>Serviços técnicos da Dtel para S&amp;L</t>
        </is>
      </c>
      <c r="D674" s="74" t="inlineStr">
        <is>
          <t>Soares e Lins</t>
        </is>
      </c>
      <c r="E674" s="151" t="n">
        <v>0</v>
      </c>
      <c r="F674" s="100" t="n">
        <v>0</v>
      </c>
      <c r="G674" s="100" t="n">
        <v>0</v>
      </c>
      <c r="H674" s="74" t="inlineStr">
        <is>
          <t>Serviços da equipe técnica</t>
        </is>
      </c>
    </row>
    <row r="675" ht="15" customHeight="1" s="75">
      <c r="A675" s="74" t="inlineStr">
        <is>
          <t>JUNHO/2026</t>
        </is>
      </c>
      <c r="B675" s="74" t="inlineStr">
        <is>
          <t>Instalação</t>
        </is>
      </c>
      <c r="C675" s="74" t="inlineStr">
        <is>
          <t>Serviços técnicos da S&amp;L para DTEL</t>
        </is>
      </c>
      <c r="D675" s="74" t="inlineStr">
        <is>
          <t>Soares e Lins</t>
        </is>
      </c>
      <c r="E675" s="151" t="n">
        <v>0</v>
      </c>
      <c r="F675" s="100" t="n">
        <v>0</v>
      </c>
      <c r="G675" s="100" t="n">
        <v>0</v>
      </c>
      <c r="H675" s="74" t="inlineStr">
        <is>
          <t>Serviços da equipe técnica</t>
        </is>
      </c>
    </row>
    <row r="676" ht="15" customHeight="1" s="75">
      <c r="A676" s="74" t="inlineStr">
        <is>
          <t>JUNHO/2026</t>
        </is>
      </c>
      <c r="B676" s="74" t="inlineStr">
        <is>
          <t>Instalação</t>
        </is>
      </c>
      <c r="C676" s="74" t="inlineStr">
        <is>
          <t>Supervisor JOSUE DE MOURA SILVA JUNIOR</t>
        </is>
      </c>
      <c r="D676" s="74" t="inlineStr">
        <is>
          <t>Soares e Lins</t>
        </is>
      </c>
      <c r="E676" s="151" t="n">
        <v>1</v>
      </c>
      <c r="F676" s="100" t="n">
        <v>3430.14</v>
      </c>
      <c r="G676" s="100" t="n">
        <v>3430.14</v>
      </c>
      <c r="H676" s="74" t="inlineStr">
        <is>
          <t>Despesa dividida entre s&amp;l e dtel pelo supervisor JOSUE estar assumindo as bases</t>
        </is>
      </c>
    </row>
    <row r="677" ht="15" customHeight="1" s="75">
      <c r="A677" s="74" t="inlineStr">
        <is>
          <t>JUNHO/2026</t>
        </is>
      </c>
      <c r="B677" s="74" t="inlineStr">
        <is>
          <t>Instalação</t>
        </is>
      </c>
      <c r="C677" s="74" t="inlineStr">
        <is>
          <t>KM rodado para serviços técnicos Dx2 p/ soares e silva</t>
        </is>
      </c>
      <c r="D677" s="74" t="inlineStr">
        <is>
          <t>Soares e Silva</t>
        </is>
      </c>
      <c r="E677" s="151" t="n">
        <v>0</v>
      </c>
      <c r="F677" s="100" t="n">
        <v>0</v>
      </c>
      <c r="G677" s="100" t="n">
        <v>0</v>
      </c>
      <c r="H677" s="74" t="inlineStr">
        <is>
          <t>Deslocamento de equipes</t>
        </is>
      </c>
    </row>
    <row r="678" ht="15" customHeight="1" s="75">
      <c r="A678" s="74" t="inlineStr">
        <is>
          <t>JUNHO/2026</t>
        </is>
      </c>
      <c r="B678" s="74" t="inlineStr">
        <is>
          <t>Instalação</t>
        </is>
      </c>
      <c r="C678" s="74" t="inlineStr">
        <is>
          <t>Serviços técnicos da Dx2 p/ soares e silva</t>
        </is>
      </c>
      <c r="D678" s="74" t="inlineStr">
        <is>
          <t>Soares e Silva</t>
        </is>
      </c>
      <c r="E678" s="151" t="n">
        <v>0</v>
      </c>
      <c r="F678" s="100" t="n">
        <v>0</v>
      </c>
      <c r="G678" s="100" t="n">
        <v>0</v>
      </c>
      <c r="H678" s="74" t="inlineStr">
        <is>
          <t>Serviços das equipes técnicas</t>
        </is>
      </c>
    </row>
    <row r="679" ht="15" customHeight="1" s="75">
      <c r="A679" s="74" t="inlineStr">
        <is>
          <t>JUNHO/2026</t>
        </is>
      </c>
      <c r="B679" s="74" t="inlineStr">
        <is>
          <t>Instalação</t>
        </is>
      </c>
      <c r="C679" s="74" t="inlineStr">
        <is>
          <t>KM rodado para serviços técnicos Souza e Silva p/ Solon</t>
        </is>
      </c>
      <c r="D679" s="74" t="inlineStr">
        <is>
          <t>Solon Araújo</t>
        </is>
      </c>
      <c r="E679" s="151" t="n">
        <v>0</v>
      </c>
      <c r="F679" s="100" t="n">
        <v>0</v>
      </c>
      <c r="G679" s="100" t="n">
        <v>0</v>
      </c>
      <c r="H679" s="74" t="inlineStr">
        <is>
          <t>Deslocamento de equipes da DTEL</t>
        </is>
      </c>
    </row>
    <row r="680" ht="15" customHeight="1" s="75">
      <c r="A680" s="74" t="inlineStr">
        <is>
          <t>JUNHO/2026</t>
        </is>
      </c>
      <c r="B680" s="74" t="inlineStr">
        <is>
          <t>Instalação</t>
        </is>
      </c>
      <c r="C680" s="74" t="inlineStr">
        <is>
          <t>KM rodado para serviços técnicos dx2 p/ Solon</t>
        </is>
      </c>
      <c r="D680" s="74" t="inlineStr">
        <is>
          <t>Solon Araújo</t>
        </is>
      </c>
      <c r="E680" s="151" t="n">
        <v>0</v>
      </c>
      <c r="F680" s="100" t="n">
        <v>0</v>
      </c>
      <c r="G680" s="100" t="n">
        <v>0</v>
      </c>
      <c r="H680" s="74" t="inlineStr">
        <is>
          <t>Serviços das equipes dx2 p/ solon</t>
        </is>
      </c>
    </row>
    <row r="681" ht="15" customHeight="1" s="75">
      <c r="A681" s="74" t="inlineStr">
        <is>
          <t>JUNHO/2026</t>
        </is>
      </c>
      <c r="B681" s="74" t="inlineStr">
        <is>
          <t>Instalação</t>
        </is>
      </c>
      <c r="C681" s="74" t="inlineStr">
        <is>
          <t>Serviços técnicos da Dx2 p/ Solon</t>
        </is>
      </c>
      <c r="D681" s="74" t="inlineStr">
        <is>
          <t>Solon Araújo</t>
        </is>
      </c>
      <c r="E681" s="151" t="n">
        <v>0</v>
      </c>
      <c r="F681" s="100" t="n">
        <v>0</v>
      </c>
      <c r="G681" s="100" t="n">
        <v>0</v>
      </c>
      <c r="H681" s="74" t="inlineStr">
        <is>
          <t>Serviços das equipes técnicas Dx2 p/ solon</t>
        </is>
      </c>
    </row>
    <row r="682" ht="15" customHeight="1" s="75">
      <c r="A682" s="74" t="inlineStr">
        <is>
          <t>JUNHO/2026</t>
        </is>
      </c>
      <c r="B682" s="74" t="inlineStr">
        <is>
          <t>Instalação</t>
        </is>
      </c>
      <c r="C682" s="74" t="inlineStr">
        <is>
          <t>Serviços técnicos da Souza p/ Solon</t>
        </is>
      </c>
      <c r="D682" s="74" t="inlineStr">
        <is>
          <t>Solon Araújo</t>
        </is>
      </c>
      <c r="E682" s="151" t="n">
        <v>0</v>
      </c>
      <c r="F682" s="100" t="n">
        <v>0</v>
      </c>
      <c r="G682" s="100" t="n">
        <v>0</v>
      </c>
      <c r="H682" s="74" t="inlineStr">
        <is>
          <t>Serviços das equipes técnicas Dtel</t>
        </is>
      </c>
    </row>
    <row r="683" ht="15" customHeight="1" s="75">
      <c r="A683" s="74" t="inlineStr">
        <is>
          <t>JUNHO/2026</t>
        </is>
      </c>
      <c r="B683" s="74" t="inlineStr">
        <is>
          <t>Instalação</t>
        </is>
      </c>
      <c r="C683" s="74" t="inlineStr">
        <is>
          <t>KM rodado para serviços técnicos Souza e Silva p/ Solon</t>
        </is>
      </c>
      <c r="D683" s="74" t="inlineStr">
        <is>
          <t>Souza e Silva</t>
        </is>
      </c>
      <c r="E683" s="151" t="n">
        <v>0</v>
      </c>
      <c r="F683" s="100" t="n">
        <v>0</v>
      </c>
      <c r="G683" s="100" t="n">
        <v>0</v>
      </c>
      <c r="H683" s="74" t="inlineStr">
        <is>
          <t>Deslocamento de equipes</t>
        </is>
      </c>
    </row>
    <row r="684" ht="15" customHeight="1" s="75">
      <c r="A684" s="74" t="inlineStr">
        <is>
          <t>JUNHO/2026</t>
        </is>
      </c>
      <c r="B684" s="74" t="inlineStr">
        <is>
          <t>Instalação</t>
        </is>
      </c>
      <c r="C684" s="74" t="inlineStr">
        <is>
          <t>KM rodado para serviços técnicos Souza e silva p/ soares e silva</t>
        </is>
      </c>
      <c r="D684" s="74" t="inlineStr">
        <is>
          <t>Souza e Silva</t>
        </is>
      </c>
      <c r="E684" s="151" t="n">
        <v>0</v>
      </c>
      <c r="F684" s="100" t="n">
        <v>0</v>
      </c>
      <c r="G684" s="100" t="n">
        <v>0</v>
      </c>
      <c r="H684" s="74" t="inlineStr">
        <is>
          <t>Deslocamento de equipes</t>
        </is>
      </c>
    </row>
    <row r="685" ht="15" customHeight="1" s="75">
      <c r="A685" s="74" t="inlineStr">
        <is>
          <t>JUNHO/2026</t>
        </is>
      </c>
      <c r="B685" s="74" t="inlineStr">
        <is>
          <t>Instalação</t>
        </is>
      </c>
      <c r="C685" s="74" t="inlineStr">
        <is>
          <t>Serviços técnicos da Souza e silva p/ soares e silva</t>
        </is>
      </c>
      <c r="D685" s="74" t="inlineStr">
        <is>
          <t>Souza e Silva</t>
        </is>
      </c>
      <c r="E685" s="151" t="n">
        <v>0</v>
      </c>
      <c r="F685" s="100" t="n">
        <v>0</v>
      </c>
      <c r="G685" s="100" t="n">
        <v>0</v>
      </c>
      <c r="H685" s="74" t="inlineStr">
        <is>
          <t>Serviços das equipes técnicas</t>
        </is>
      </c>
    </row>
    <row r="686" ht="15" customHeight="1" s="75">
      <c r="A686" s="74" t="inlineStr">
        <is>
          <t>JUNHO/2026</t>
        </is>
      </c>
      <c r="B686" s="74" t="inlineStr">
        <is>
          <t>Instalação</t>
        </is>
      </c>
      <c r="C686" s="74" t="inlineStr">
        <is>
          <t>Serviços técnicos da Souza p/ Solon</t>
        </is>
      </c>
      <c r="D686" s="74" t="inlineStr">
        <is>
          <t>Souza e Silva</t>
        </is>
      </c>
      <c r="E686" s="151" t="n">
        <v>0</v>
      </c>
      <c r="F686" s="100" t="n">
        <v>0</v>
      </c>
      <c r="G686" s="100" t="n">
        <v>0</v>
      </c>
      <c r="H686" s="74" t="inlineStr">
        <is>
          <t>Serviços das equipes técnicas da Dtel</t>
        </is>
      </c>
    </row>
    <row r="687" ht="15" customHeight="1" s="75">
      <c r="A687" s="74" t="inlineStr">
        <is>
          <t>JUNHO/2026</t>
        </is>
      </c>
      <c r="B687" s="74" t="inlineStr">
        <is>
          <t>Instalação</t>
        </is>
      </c>
      <c r="C687" s="74" t="inlineStr">
        <is>
          <t>Gestão Regional MICHELANGELO</t>
        </is>
      </c>
      <c r="D687" s="74" t="inlineStr">
        <is>
          <t>Voicenet</t>
        </is>
      </c>
      <c r="E687" s="151" t="n">
        <v>4795</v>
      </c>
      <c r="F687" s="100" t="n">
        <v>0.66</v>
      </c>
      <c r="G687" s="100" t="n">
        <v>3164.7</v>
      </c>
      <c r="H687" s="74" t="inlineStr">
        <is>
          <t>Cálculo por número de clientes ativos</t>
        </is>
      </c>
    </row>
    <row r="688" ht="15" customHeight="1" s="75">
      <c r="A688" s="74" t="inlineStr">
        <is>
          <t>JUNHO/2026</t>
        </is>
      </c>
      <c r="B688" s="74" t="inlineStr">
        <is>
          <t>Instalação</t>
        </is>
      </c>
      <c r="C688" s="74" t="inlineStr">
        <is>
          <t>KM rodado para serviços técnicos Dtel para Voicenet</t>
        </is>
      </c>
      <c r="D688" s="74" t="inlineStr">
        <is>
          <t>Voicenet</t>
        </is>
      </c>
      <c r="E688" s="151" t="n">
        <v>1</v>
      </c>
      <c r="F688" s="100" t="n">
        <v>2736.16</v>
      </c>
      <c r="G688" s="100" t="n">
        <v>2736.16</v>
      </c>
      <c r="H688" s="74" t="inlineStr">
        <is>
          <t>Deslocamento de equipes</t>
        </is>
      </c>
    </row>
    <row r="689" ht="15" customHeight="1" s="75">
      <c r="A689" s="74" t="inlineStr">
        <is>
          <t>JUNHO/2026</t>
        </is>
      </c>
      <c r="B689" s="74" t="inlineStr">
        <is>
          <t>Instalação</t>
        </is>
      </c>
      <c r="C689" s="74" t="inlineStr">
        <is>
          <t>KM rodado para serviços técnicos Voicenet p/ Dtel</t>
        </is>
      </c>
      <c r="D689" s="74" t="inlineStr">
        <is>
          <t>Voicenet</t>
        </is>
      </c>
      <c r="E689" s="151" t="n">
        <v>0</v>
      </c>
      <c r="F689" s="100" t="n">
        <v>0</v>
      </c>
      <c r="G689" s="100" t="n">
        <v>0</v>
      </c>
      <c r="H689" s="74" t="inlineStr">
        <is>
          <t>Deslocamento de equipes</t>
        </is>
      </c>
    </row>
    <row r="690" ht="15" customHeight="1" s="75">
      <c r="A690" s="74" t="inlineStr">
        <is>
          <t>JUNHO/2026</t>
        </is>
      </c>
      <c r="B690" s="74" t="inlineStr">
        <is>
          <t>Instalação</t>
        </is>
      </c>
      <c r="C690" s="74" t="inlineStr">
        <is>
          <t>Serviços técnicos da Dtel para voice net</t>
        </is>
      </c>
      <c r="D690" s="74" t="inlineStr">
        <is>
          <t>Voicenet</t>
        </is>
      </c>
      <c r="E690" s="151" t="n">
        <v>1</v>
      </c>
      <c r="F690" s="100" t="n">
        <v>13845.81</v>
      </c>
      <c r="G690" s="100" t="n">
        <v>13845.81</v>
      </c>
      <c r="H690" s="74" t="inlineStr">
        <is>
          <t>Serviços das equipes técnicas da Dtel</t>
        </is>
      </c>
    </row>
    <row r="691" ht="15" customHeight="1" s="75">
      <c r="A691" s="74" t="inlineStr">
        <is>
          <t>JUNHO/2026</t>
        </is>
      </c>
      <c r="B691" s="74" t="inlineStr">
        <is>
          <t>Instalação</t>
        </is>
      </c>
      <c r="C691" s="74" t="inlineStr">
        <is>
          <t>Serviços técnicos da voicenet p/ Dtel</t>
        </is>
      </c>
      <c r="D691" s="74" t="inlineStr">
        <is>
          <t>Voicenet</t>
        </is>
      </c>
      <c r="E691" s="151" t="n">
        <v>0</v>
      </c>
      <c r="F691" s="100" t="n">
        <v>0</v>
      </c>
      <c r="G691" s="100" t="n">
        <v>0</v>
      </c>
      <c r="H691" s="74" t="inlineStr">
        <is>
          <t>Serviços das equipes técnicas</t>
        </is>
      </c>
    </row>
    <row r="692" ht="15" customHeight="1" s="75">
      <c r="A692" s="74" t="inlineStr">
        <is>
          <t>JUNHO/2026</t>
        </is>
      </c>
      <c r="B692" s="74" t="inlineStr">
        <is>
          <t>Licitação</t>
        </is>
      </c>
      <c r="C692" s="74" t="inlineStr">
        <is>
          <t>Conselho Regional De Enfermagem De Alagoas</t>
        </is>
      </c>
      <c r="D692" s="74" t="inlineStr">
        <is>
          <t>H&amp;A</t>
        </is>
      </c>
      <c r="E692" s="151" t="n">
        <v>1</v>
      </c>
      <c r="F692" s="100" t="n">
        <v>238.88</v>
      </c>
      <c r="G692" s="100" t="n">
        <v>238.88</v>
      </c>
      <c r="H692" s="74" t="inlineStr">
        <is>
          <t>Mensalidade recebida pela H&amp;A (parcela junho)</t>
        </is>
      </c>
    </row>
    <row r="693" ht="15" customHeight="1" s="75">
      <c r="A693" s="74" t="inlineStr">
        <is>
          <t>JUNHO/2026</t>
        </is>
      </c>
      <c r="B693" s="74" t="inlineStr">
        <is>
          <t>Licitação</t>
        </is>
      </c>
      <c r="C693" s="74" t="inlineStr">
        <is>
          <t>Conselho Regional de Enfermagem de Pernambuco - Coren PE</t>
        </is>
      </c>
      <c r="D693" s="74" t="inlineStr">
        <is>
          <t>H&amp;A</t>
        </is>
      </c>
      <c r="E693" s="151" t="n">
        <v>1</v>
      </c>
      <c r="F693" s="100" t="n">
        <v>609.17</v>
      </c>
      <c r="G693" s="100" t="n">
        <v>609.17</v>
      </c>
      <c r="H693" s="74" t="inlineStr">
        <is>
          <t>Mensalidade recebida pela H&amp;A (parcela junho)</t>
        </is>
      </c>
    </row>
    <row r="694" ht="15" customHeight="1" s="75">
      <c r="A694" s="74" t="inlineStr">
        <is>
          <t>JUNHO/2026</t>
        </is>
      </c>
      <c r="B694" s="74" t="inlineStr">
        <is>
          <t>Licitação</t>
        </is>
      </c>
      <c r="C694" s="74" t="inlineStr">
        <is>
          <t>Conselho regional de farmacia dos estado de pernambuco</t>
        </is>
      </c>
      <c r="D694" s="74" t="inlineStr">
        <is>
          <t>H&amp;A</t>
        </is>
      </c>
      <c r="E694" s="151" t="n">
        <v>1</v>
      </c>
      <c r="F694" s="100" t="n">
        <v>510</v>
      </c>
      <c r="G694" s="100" t="n">
        <v>510</v>
      </c>
      <c r="H694" s="74" t="inlineStr">
        <is>
          <t>Mensalidade recebida pela H&amp;A (parcela junho)</t>
        </is>
      </c>
    </row>
    <row r="695" ht="15" customHeight="1" s="75">
      <c r="A695" s="74" t="inlineStr">
        <is>
          <t>JUNHO/2026</t>
        </is>
      </c>
      <c r="B695" s="74" t="inlineStr">
        <is>
          <t>Licitação</t>
        </is>
      </c>
      <c r="C695" s="74" t="inlineStr">
        <is>
          <t>Câmara de vereadores-Vitória de Stº Antão</t>
        </is>
      </c>
      <c r="D695" s="74" t="inlineStr">
        <is>
          <t>H&amp;A</t>
        </is>
      </c>
      <c r="E695" s="151" t="n">
        <v>1</v>
      </c>
      <c r="F695" s="100" t="n">
        <v>333.1</v>
      </c>
      <c r="G695" s="100" t="n">
        <v>333.1</v>
      </c>
      <c r="H695" s="74" t="inlineStr">
        <is>
          <t>Mensalidade recebida pela H&amp;A (parcela junho)</t>
        </is>
      </c>
    </row>
    <row r="696" ht="15" customHeight="1" s="75">
      <c r="A696" s="74" t="inlineStr">
        <is>
          <t>JUNHO/2026</t>
        </is>
      </c>
      <c r="B696" s="74" t="inlineStr">
        <is>
          <t>Licitação</t>
        </is>
      </c>
      <c r="C696" s="74" t="inlineStr">
        <is>
          <t>Fundo Municipal De Saude De Primavera</t>
        </is>
      </c>
      <c r="D696" s="74" t="inlineStr">
        <is>
          <t>H&amp;A</t>
        </is>
      </c>
      <c r="E696" s="151" t="n">
        <v>1</v>
      </c>
      <c r="F696" s="100" t="n">
        <v>2973.2</v>
      </c>
      <c r="G696" s="100" t="n">
        <v>2973.2</v>
      </c>
      <c r="H696" s="74" t="inlineStr">
        <is>
          <t>Mensalidade recebida pela H&amp;A (parcela junho)</t>
        </is>
      </c>
    </row>
    <row r="697" ht="15" customHeight="1" s="75">
      <c r="A697" s="74" t="inlineStr">
        <is>
          <t>JUNHO/2026</t>
        </is>
      </c>
      <c r="B697" s="74" t="inlineStr">
        <is>
          <t>Licitação</t>
        </is>
      </c>
      <c r="C697" s="74" t="inlineStr">
        <is>
          <t>Fundo Municipal de assistencia social de primavera</t>
        </is>
      </c>
      <c r="D697" s="74" t="inlineStr">
        <is>
          <t>H&amp;A</t>
        </is>
      </c>
      <c r="E697" s="151" t="n">
        <v>1</v>
      </c>
      <c r="F697" s="100" t="n">
        <v>1833.24</v>
      </c>
      <c r="G697" s="100" t="n">
        <v>1833.24</v>
      </c>
      <c r="H697" s="74" t="inlineStr">
        <is>
          <t>Mensalidade recebida pela H&amp;A (parcela junho)</t>
        </is>
      </c>
    </row>
    <row r="698" ht="15" customHeight="1" s="75">
      <c r="A698" s="74" t="inlineStr">
        <is>
          <t>JUNHO/2026</t>
        </is>
      </c>
      <c r="B698" s="74" t="inlineStr">
        <is>
          <t>Licitação</t>
        </is>
      </c>
      <c r="C698" s="74" t="inlineStr">
        <is>
          <t>Municipio De Primavera</t>
        </is>
      </c>
      <c r="D698" s="74" t="inlineStr">
        <is>
          <t>H&amp;A</t>
        </is>
      </c>
      <c r="E698" s="151" t="n">
        <v>1</v>
      </c>
      <c r="F698" s="100" t="n">
        <v>7615.46</v>
      </c>
      <c r="G698" s="100" t="n">
        <v>7615.46</v>
      </c>
      <c r="H698" s="74" t="inlineStr">
        <is>
          <t>Mensalidade recebida pela H&amp;A (parcela junho)</t>
        </is>
      </c>
    </row>
    <row r="699" ht="15" customHeight="1" s="75">
      <c r="A699" s="74" t="inlineStr">
        <is>
          <t>JUNHO/2026</t>
        </is>
      </c>
      <c r="B699" s="74" t="inlineStr">
        <is>
          <t>Licitação</t>
        </is>
      </c>
      <c r="C699" s="74" t="inlineStr">
        <is>
          <t>Agência reguladora dos serviços públicos do estado de Alagoas - ARSAL</t>
        </is>
      </c>
      <c r="D699" s="74" t="inlineStr">
        <is>
          <t>Soares e Silva</t>
        </is>
      </c>
      <c r="E699" s="151" t="n">
        <v>-1</v>
      </c>
      <c r="F699" s="100" t="n">
        <v>1046.56</v>
      </c>
      <c r="G699" s="100" t="n">
        <v>-1046.56</v>
      </c>
      <c r="H699" s="74" t="inlineStr">
        <is>
          <t>Mensalidade recebida pela Dtel (parcela junho)</t>
        </is>
      </c>
    </row>
    <row r="700" ht="15" customHeight="1" s="75">
      <c r="A700" s="74" t="inlineStr">
        <is>
          <t>JUNHO/2026</t>
        </is>
      </c>
      <c r="B700" s="74" t="inlineStr">
        <is>
          <t>Licitação</t>
        </is>
      </c>
      <c r="C700" s="74" t="inlineStr">
        <is>
          <t>Conselho Regional De Enfermagem De Alagoas</t>
        </is>
      </c>
      <c r="D700" s="74" t="inlineStr">
        <is>
          <t>Soares e Silva</t>
        </is>
      </c>
      <c r="E700" s="151" t="n">
        <v>-1</v>
      </c>
      <c r="F700" s="100" t="n">
        <v>238.88</v>
      </c>
      <c r="G700" s="100" t="n">
        <v>-238.88</v>
      </c>
      <c r="H700" s="74" t="inlineStr">
        <is>
          <t>Imposto pago pela h&amp;a sob o recebimento da licitação</t>
        </is>
      </c>
    </row>
    <row r="701" ht="15" customHeight="1" s="75">
      <c r="A701" s="74" t="inlineStr">
        <is>
          <t>JUNHO/2026</t>
        </is>
      </c>
      <c r="B701" s="74" t="inlineStr">
        <is>
          <t>Licitação</t>
        </is>
      </c>
      <c r="C701" s="74" t="inlineStr">
        <is>
          <t>Conselho Regional De Enfermagem De Alagoas</t>
        </is>
      </c>
      <c r="D701" s="74" t="inlineStr">
        <is>
          <t>Soares e Silva</t>
        </is>
      </c>
      <c r="E701" s="151" t="n">
        <v>-1</v>
      </c>
      <c r="F701" s="100" t="n">
        <v>238.88</v>
      </c>
      <c r="G701" s="100" t="n">
        <v>-238.88</v>
      </c>
      <c r="H701" s="74" t="inlineStr">
        <is>
          <t>Mensalidade recebida pela H&amp;A (parcela junho)</t>
        </is>
      </c>
    </row>
    <row r="702" ht="15" customHeight="1" s="75">
      <c r="A702" s="74" t="inlineStr">
        <is>
          <t>JUNHO/2026</t>
        </is>
      </c>
      <c r="B702" s="74" t="inlineStr">
        <is>
          <t>Licitação</t>
        </is>
      </c>
      <c r="C702" s="74" t="inlineStr">
        <is>
          <t>Conselho regional de farmacia dos estado de pernambuco</t>
        </is>
      </c>
      <c r="D702" s="74" t="inlineStr">
        <is>
          <t>Voicenet</t>
        </is>
      </c>
      <c r="E702" s="151" t="n">
        <v>1</v>
      </c>
      <c r="F702" s="100" t="n">
        <v>67.33</v>
      </c>
      <c r="G702" s="100" t="n">
        <v>67.33</v>
      </c>
      <c r="H702" s="74" t="inlineStr">
        <is>
          <t>Imposto pago pela h&amp;a, pelo recebimento da licitação</t>
        </is>
      </c>
    </row>
    <row r="703" ht="15" customHeight="1" s="75">
      <c r="A703" s="74" t="inlineStr">
        <is>
          <t>JUNHO/2026</t>
        </is>
      </c>
      <c r="B703" s="74" t="inlineStr">
        <is>
          <t>Licitação</t>
        </is>
      </c>
      <c r="C703" s="74" t="inlineStr">
        <is>
          <t>Conselho regional de farmacia dos estado de pernambuco</t>
        </is>
      </c>
      <c r="D703" s="74" t="inlineStr">
        <is>
          <t>Voicenet</t>
        </is>
      </c>
      <c r="E703" s="151" t="n">
        <v>-1</v>
      </c>
      <c r="F703" s="100" t="n">
        <v>510</v>
      </c>
      <c r="G703" s="100" t="n">
        <v>-510</v>
      </c>
      <c r="H703" s="74" t="inlineStr">
        <is>
          <t>Mensalidade recebida pela H&amp;A (parcela junho)</t>
        </is>
      </c>
    </row>
    <row r="704" ht="15" customHeight="1" s="75">
      <c r="A704" s="74" t="inlineStr">
        <is>
          <t>JUNHO/2026</t>
        </is>
      </c>
      <c r="B704" s="74" t="inlineStr">
        <is>
          <t>Manutenção Predial</t>
        </is>
      </c>
      <c r="C704" s="74" t="inlineStr">
        <is>
          <t>Manutenção predial</t>
        </is>
      </c>
      <c r="D704" s="74" t="inlineStr">
        <is>
          <t>DX2</t>
        </is>
      </c>
      <c r="E704" s="151" t="n">
        <v>0</v>
      </c>
      <c r="F704" s="100" t="n">
        <v>0</v>
      </c>
      <c r="G704" s="100" t="n">
        <v>0</v>
      </c>
      <c r="H704" s="74" t="inlineStr">
        <is>
          <t>Serviços executados para verificação de tacaimbó, e manut. de alarme e sensor loja pesqueira, despesa com comb. e colab.</t>
        </is>
      </c>
    </row>
    <row r="705" ht="15" customHeight="1" s="75">
      <c r="A705" s="74" t="inlineStr">
        <is>
          <t>JUNHO/2026</t>
        </is>
      </c>
      <c r="B705" s="74" t="inlineStr">
        <is>
          <t>Manutenção Predial</t>
        </is>
      </c>
      <c r="C705" s="74" t="inlineStr">
        <is>
          <t>Manutenção predial</t>
        </is>
      </c>
      <c r="D705" s="74" t="inlineStr">
        <is>
          <t>H&amp;A</t>
        </is>
      </c>
      <c r="E705" s="151" t="n">
        <v>0</v>
      </c>
      <c r="F705" s="100" t="n">
        <v>0</v>
      </c>
      <c r="G705" s="100" t="n">
        <v>0</v>
      </c>
      <c r="H705" s="74" t="inlineStr">
        <is>
          <t>Despesa com combust. e colaborador para manutenção de ar condicionado do estoque</t>
        </is>
      </c>
    </row>
    <row r="706" ht="15" customHeight="1" s="75">
      <c r="A706" s="74" t="inlineStr">
        <is>
          <t>JUNHO/2026</t>
        </is>
      </c>
      <c r="B706" s="74" t="inlineStr">
        <is>
          <t>Manutenção Predial</t>
        </is>
      </c>
      <c r="C706" s="74" t="inlineStr">
        <is>
          <t>Manutenção predial</t>
        </is>
      </c>
      <c r="D706" s="74" t="inlineStr">
        <is>
          <t>Soares e Lins</t>
        </is>
      </c>
      <c r="E706" s="151" t="n">
        <v>0</v>
      </c>
      <c r="F706" s="100" t="n">
        <v>0</v>
      </c>
      <c r="G706" s="100" t="n">
        <v>0</v>
      </c>
      <c r="H706" s="74" t="inlineStr">
        <is>
          <t>Serviços executados</t>
        </is>
      </c>
    </row>
    <row r="707" ht="15" customHeight="1" s="75">
      <c r="A707" s="74" t="inlineStr">
        <is>
          <t>JUNHO/2026</t>
        </is>
      </c>
      <c r="B707" s="74" t="inlineStr">
        <is>
          <t>Manutenção Predial</t>
        </is>
      </c>
      <c r="C707" s="74" t="inlineStr">
        <is>
          <t>Manutenção predial</t>
        </is>
      </c>
      <c r="D707" s="74" t="inlineStr">
        <is>
          <t>Soares e Silva</t>
        </is>
      </c>
      <c r="E707" s="151" t="n">
        <v>0</v>
      </c>
      <c r="F707" s="100" t="n">
        <v>0</v>
      </c>
      <c r="G707" s="100" t="n">
        <v>0</v>
      </c>
      <c r="H707" s="74" t="inlineStr">
        <is>
          <t>Serviços executados, despesa com combustÍvel e colaborador para reforma pop b, e passagem de tubulação de condensadora</t>
        </is>
      </c>
    </row>
    <row r="708" ht="15" customHeight="1" s="75">
      <c r="A708" s="74" t="inlineStr">
        <is>
          <t>JUNHO/2026</t>
        </is>
      </c>
      <c r="B708" s="74" t="inlineStr">
        <is>
          <t>Manutenção Predial</t>
        </is>
      </c>
      <c r="C708" s="74" t="inlineStr">
        <is>
          <t>Manutenção predial</t>
        </is>
      </c>
      <c r="D708" s="74" t="inlineStr">
        <is>
          <t>Solon Araújo</t>
        </is>
      </c>
      <c r="E708" s="151" t="n">
        <v>0</v>
      </c>
      <c r="F708" s="100" t="n">
        <v>0</v>
      </c>
      <c r="G708" s="100" t="n">
        <v>0</v>
      </c>
      <c r="H708" s="74" t="inlineStr">
        <is>
          <t>Despesa com material, combust, e colaborador para manut. de ar, e manut. de telhado</t>
        </is>
      </c>
    </row>
    <row r="709" ht="15" customHeight="1" s="75">
      <c r="A709" s="74" t="inlineStr">
        <is>
          <t>JUNHO/2026</t>
        </is>
      </c>
      <c r="B709" s="74" t="inlineStr">
        <is>
          <t>Manutenção Predial</t>
        </is>
      </c>
      <c r="C709" s="74" t="inlineStr">
        <is>
          <t>Manutenção predial</t>
        </is>
      </c>
      <c r="D709" s="74" t="inlineStr">
        <is>
          <t>Souza e Silva</t>
        </is>
      </c>
      <c r="E709" s="151" t="n">
        <v>0</v>
      </c>
      <c r="F709" s="100" t="n">
        <v>0</v>
      </c>
      <c r="G709" s="100" t="n">
        <v>0</v>
      </c>
      <c r="H709" s="74" t="inlineStr">
        <is>
          <t>Serviços executados</t>
        </is>
      </c>
    </row>
    <row r="710" ht="15" customHeight="1" s="75">
      <c r="A710" s="74" t="inlineStr">
        <is>
          <t>JUNHO/2026</t>
        </is>
      </c>
      <c r="B710" s="74" t="inlineStr">
        <is>
          <t>Manutenção Predial</t>
        </is>
      </c>
      <c r="C710" s="74" t="inlineStr">
        <is>
          <t>Manutenção predial</t>
        </is>
      </c>
      <c r="D710" s="74" t="inlineStr">
        <is>
          <t>Voicenet</t>
        </is>
      </c>
      <c r="E710" s="151" t="n">
        <v>0</v>
      </c>
      <c r="F710" s="100" t="n">
        <v>0</v>
      </c>
      <c r="G710" s="100" t="n">
        <v>0</v>
      </c>
      <c r="H710" s="74" t="inlineStr">
        <is>
          <t>Serviços executados despesas com comb. e colaborador para urgencia na base</t>
        </is>
      </c>
    </row>
    <row r="711" ht="15" customHeight="1" s="75">
      <c r="A711" s="74" t="inlineStr">
        <is>
          <t>JUNHO/2026</t>
        </is>
      </c>
      <c r="B711" s="74" t="inlineStr">
        <is>
          <t>Marketing</t>
        </is>
      </c>
      <c r="C711" s="74" t="inlineStr">
        <is>
          <t>Vendas do site Mundiale</t>
        </is>
      </c>
      <c r="D711" s="74" t="inlineStr">
        <is>
          <t>DTEL</t>
        </is>
      </c>
      <c r="E711" s="151" t="n">
        <v>144</v>
      </c>
      <c r="F711" s="100" t="n">
        <v>123.13</v>
      </c>
      <c r="G711" s="100" t="n">
        <v>17730.72</v>
      </c>
      <c r="H711" s="74" t="inlineStr">
        <is>
          <t>Vendas instaladas do impulsionamento site mundiale (VENDAS MUNDIALE - junho26.xlsx)</t>
        </is>
      </c>
    </row>
    <row r="712" ht="15" customHeight="1" s="75">
      <c r="A712" s="74" t="inlineStr">
        <is>
          <t>JUNHO/2026</t>
        </is>
      </c>
      <c r="B712" s="74" t="inlineStr">
        <is>
          <t>Marketing</t>
        </is>
      </c>
      <c r="C712" s="74" t="inlineStr">
        <is>
          <t>Vendas do site Mundiale</t>
        </is>
      </c>
      <c r="D712" s="74" t="inlineStr">
        <is>
          <t>DX2</t>
        </is>
      </c>
      <c r="E712" s="151" t="n">
        <v>3</v>
      </c>
      <c r="F712" s="100" t="n">
        <v>155.82</v>
      </c>
      <c r="G712" s="100" t="n">
        <v>467.46</v>
      </c>
      <c r="H712" s="74" t="inlineStr">
        <is>
          <t>Vendas instaladas do impulsionamento site mundiale (VENDAS MUNDIALE - junho26.xlsx)</t>
        </is>
      </c>
    </row>
    <row r="713" ht="15" customHeight="1" s="75">
      <c r="A713" s="74" t="inlineStr">
        <is>
          <t>JUNHO/2026</t>
        </is>
      </c>
      <c r="B713" s="74" t="inlineStr">
        <is>
          <t>Marketing</t>
        </is>
      </c>
      <c r="C713" s="74" t="inlineStr">
        <is>
          <t>Vendas do site Mundiale</t>
        </is>
      </c>
      <c r="D713" s="74" t="inlineStr">
        <is>
          <t>H&amp;A</t>
        </is>
      </c>
      <c r="E713" s="151" t="n">
        <v>18</v>
      </c>
      <c r="F713" s="100" t="n">
        <v>139.33</v>
      </c>
      <c r="G713" s="100" t="n">
        <v>2507.94</v>
      </c>
      <c r="H713" s="74" t="inlineStr">
        <is>
          <t>Vendas instaladas do impulsionamento site mundiale</t>
        </is>
      </c>
    </row>
    <row r="714" ht="15" customHeight="1" s="75">
      <c r="A714" s="74" t="inlineStr">
        <is>
          <t>JUNHO/2026</t>
        </is>
      </c>
      <c r="B714" s="74" t="inlineStr">
        <is>
          <t>Marketing</t>
        </is>
      </c>
      <c r="C714" s="74" t="inlineStr">
        <is>
          <t>Vendas do site Mundiale</t>
        </is>
      </c>
      <c r="D714" s="74" t="inlineStr">
        <is>
          <t>Soares e Lins</t>
        </is>
      </c>
      <c r="E714" s="151" t="n">
        <v>15</v>
      </c>
      <c r="F714" s="100" t="n">
        <v>158.22</v>
      </c>
      <c r="G714" s="100" t="n">
        <v>2373.3</v>
      </c>
      <c r="H714" s="74" t="inlineStr">
        <is>
          <t>Vendas instaladas do impulsionamento site mundiale</t>
        </is>
      </c>
    </row>
    <row r="715" ht="15" customHeight="1" s="75">
      <c r="A715" s="74" t="inlineStr">
        <is>
          <t>JUNHO/2026</t>
        </is>
      </c>
      <c r="B715" s="74" t="inlineStr">
        <is>
          <t>Marketing</t>
        </is>
      </c>
      <c r="C715" s="74" t="inlineStr">
        <is>
          <t>Vendas do site Mundiale</t>
        </is>
      </c>
      <c r="D715" s="74" t="inlineStr">
        <is>
          <t>Soares e Silva</t>
        </is>
      </c>
      <c r="E715" s="151" t="n">
        <v>26</v>
      </c>
      <c r="F715" s="100" t="n">
        <v>155.59</v>
      </c>
      <c r="G715" s="100" t="n">
        <v>4045.34</v>
      </c>
      <c r="H715" s="74" t="inlineStr">
        <is>
          <t>Vendas instaladas do impulsionamento site mundiale</t>
        </is>
      </c>
    </row>
    <row r="716" ht="15" customHeight="1" s="75">
      <c r="A716" s="74" t="inlineStr">
        <is>
          <t>JUNHO/2026</t>
        </is>
      </c>
      <c r="B716" s="74" t="inlineStr">
        <is>
          <t>Marketing</t>
        </is>
      </c>
      <c r="C716" s="74" t="inlineStr">
        <is>
          <t>Vendas do site Mundiale</t>
        </is>
      </c>
      <c r="D716" s="74" t="inlineStr">
        <is>
          <t>Solon Araújo</t>
        </is>
      </c>
      <c r="E716" s="151" t="n">
        <v>11</v>
      </c>
      <c r="F716" s="100" t="n">
        <v>106.24</v>
      </c>
      <c r="G716" s="100" t="n">
        <v>1168.64</v>
      </c>
      <c r="H716" s="74" t="inlineStr">
        <is>
          <t>Vendas instaladas do impulsionamento site mundiale</t>
        </is>
      </c>
    </row>
    <row r="717" ht="15" customHeight="1" s="75">
      <c r="A717" s="74" t="inlineStr">
        <is>
          <t>JUNHO/2026</t>
        </is>
      </c>
      <c r="B717" s="74" t="inlineStr">
        <is>
          <t>Marketing</t>
        </is>
      </c>
      <c r="C717" s="74" t="inlineStr">
        <is>
          <t>Vendas do site Mundiale</t>
        </is>
      </c>
      <c r="D717" s="74" t="inlineStr">
        <is>
          <t>Souza e Silva</t>
        </is>
      </c>
      <c r="E717" s="151" t="n">
        <v>2</v>
      </c>
      <c r="F717" s="100" t="n">
        <v>143.82</v>
      </c>
      <c r="G717" s="100" t="n">
        <v>287.64</v>
      </c>
      <c r="H717" s="74" t="inlineStr">
        <is>
          <t>Vendas instaladas do impulsionamento site mundiale</t>
        </is>
      </c>
    </row>
    <row r="718" ht="15" customHeight="1" s="75">
      <c r="A718" s="74" t="inlineStr">
        <is>
          <t>JUNHO/2026</t>
        </is>
      </c>
      <c r="B718" s="74" t="inlineStr">
        <is>
          <t>Marketing</t>
        </is>
      </c>
      <c r="C718" s="74" t="inlineStr">
        <is>
          <t>Vendas do site Mundiale</t>
        </is>
      </c>
      <c r="D718" s="74" t="inlineStr">
        <is>
          <t>Voicenet</t>
        </is>
      </c>
      <c r="E718" s="151" t="n">
        <v>10</v>
      </c>
      <c r="F718" s="100" t="n">
        <v>146.53</v>
      </c>
      <c r="G718" s="100" t="n">
        <v>1465.3</v>
      </c>
      <c r="H718" s="74" t="inlineStr">
        <is>
          <t>Vendas instaladas do impulsionamento site mundiale</t>
        </is>
      </c>
    </row>
    <row r="719" ht="15" customHeight="1" s="75">
      <c r="A719" s="74" t="inlineStr">
        <is>
          <t>JUNHO/2026</t>
        </is>
      </c>
      <c r="B719" s="74" t="inlineStr">
        <is>
          <t>Marketing</t>
        </is>
      </c>
      <c r="C719" s="74" t="inlineStr">
        <is>
          <t>Vendas do site Mundiale</t>
        </is>
      </c>
      <c r="D719" s="74" t="inlineStr">
        <is>
          <t>Voicenet</t>
        </is>
      </c>
      <c r="E719" s="151" t="n">
        <v>10</v>
      </c>
      <c r="F719" s="100" t="n">
        <v>122.11</v>
      </c>
      <c r="G719" s="100" t="n">
        <v>1221.1</v>
      </c>
      <c r="H719" s="74" t="inlineStr">
        <is>
          <t>Vendas instaladas do impulsionamento site mundiale (VENDAS MUNDIALE - junho26.xlsx)</t>
        </is>
      </c>
    </row>
    <row r="720" ht="15" customHeight="1" s="75">
      <c r="A720" s="74" t="inlineStr">
        <is>
          <t>JUNHO/2026</t>
        </is>
      </c>
      <c r="B720" s="74" t="inlineStr">
        <is>
          <t>RH</t>
        </is>
      </c>
      <c r="C720" s="74" t="inlineStr">
        <is>
          <t>Fardamentos</t>
        </is>
      </c>
      <c r="D720" s="74" t="inlineStr">
        <is>
          <t>DX2</t>
        </is>
      </c>
      <c r="E720" s="151" t="n">
        <v>0</v>
      </c>
      <c r="F720" s="100" t="n">
        <v>0</v>
      </c>
      <c r="G720" s="100" t="n">
        <v>0</v>
      </c>
      <c r="H720" s="74" t="inlineStr">
        <is>
          <t>Solicitações de fardamentos administrativos</t>
        </is>
      </c>
    </row>
    <row r="721" ht="15" customHeight="1" s="75">
      <c r="A721" s="74" t="inlineStr">
        <is>
          <t>JUNHO/2026</t>
        </is>
      </c>
      <c r="B721" s="74" t="inlineStr">
        <is>
          <t>RH</t>
        </is>
      </c>
      <c r="C721" s="74" t="inlineStr">
        <is>
          <t>Treinamentos/integração</t>
        </is>
      </c>
      <c r="D721" s="74" t="inlineStr">
        <is>
          <t>DX2</t>
        </is>
      </c>
      <c r="E721" s="151" t="n">
        <v>0</v>
      </c>
      <c r="F721" s="100" t="n">
        <v>0</v>
      </c>
      <c r="G721" s="100" t="n">
        <v>0</v>
      </c>
      <c r="H721" s="74" t="inlineStr">
        <is>
          <t>Despesas com seleção, treinamentos...</t>
        </is>
      </c>
    </row>
    <row r="722" ht="15" customHeight="1" s="75">
      <c r="A722" s="74" t="inlineStr">
        <is>
          <t>JUNHO/2026</t>
        </is>
      </c>
      <c r="B722" s="74" t="inlineStr">
        <is>
          <t>RH</t>
        </is>
      </c>
      <c r="C722" s="74" t="inlineStr">
        <is>
          <t>Fardamentos</t>
        </is>
      </c>
      <c r="D722" s="74" t="inlineStr">
        <is>
          <t>H&amp;A</t>
        </is>
      </c>
      <c r="E722" s="151" t="n">
        <v>0</v>
      </c>
      <c r="F722" s="100" t="n">
        <v>0</v>
      </c>
      <c r="G722" s="100" t="n">
        <v>0</v>
      </c>
      <c r="H722" s="74" t="inlineStr">
        <is>
          <t>Solicitações de fardamentos administrativos</t>
        </is>
      </c>
    </row>
    <row r="723" ht="15" customHeight="1" s="75">
      <c r="A723" s="74" t="inlineStr">
        <is>
          <t>JUNHO/2026</t>
        </is>
      </c>
      <c r="B723" s="74" t="inlineStr">
        <is>
          <t>RH</t>
        </is>
      </c>
      <c r="C723" s="74" t="inlineStr">
        <is>
          <t>Fardamentos</t>
        </is>
      </c>
      <c r="D723" s="74" t="inlineStr">
        <is>
          <t>H&amp;A</t>
        </is>
      </c>
      <c r="E723" s="151" t="n">
        <v>0</v>
      </c>
      <c r="F723" s="100" t="n">
        <v>0</v>
      </c>
      <c r="G723" s="100" t="n">
        <v>0</v>
      </c>
      <c r="H723" s="74" t="inlineStr">
        <is>
          <t>Solicitações de fardamentos administrativos</t>
        </is>
      </c>
    </row>
    <row r="724" ht="15" customHeight="1" s="75">
      <c r="A724" s="74" t="inlineStr">
        <is>
          <t>JUNHO/2026</t>
        </is>
      </c>
      <c r="B724" s="74" t="inlineStr">
        <is>
          <t>RH</t>
        </is>
      </c>
      <c r="C724" s="74" t="inlineStr">
        <is>
          <t>Treinamentos/integração</t>
        </is>
      </c>
      <c r="D724" s="74" t="inlineStr">
        <is>
          <t>H&amp;A</t>
        </is>
      </c>
      <c r="E724" s="151" t="n">
        <v>0</v>
      </c>
      <c r="F724" s="100" t="n">
        <v>0</v>
      </c>
      <c r="G724" s="100" t="n">
        <v>0</v>
      </c>
      <c r="H724" s="74" t="inlineStr">
        <is>
          <t>Despesas com seleção, treinamentos...</t>
        </is>
      </c>
    </row>
    <row r="725" ht="15" customHeight="1" s="75">
      <c r="A725" s="74" t="inlineStr">
        <is>
          <t>JUNHO/2026</t>
        </is>
      </c>
      <c r="B725" s="74" t="inlineStr">
        <is>
          <t>RH</t>
        </is>
      </c>
      <c r="C725" s="74" t="inlineStr">
        <is>
          <t>Fardamentos</t>
        </is>
      </c>
      <c r="D725" s="74" t="inlineStr">
        <is>
          <t>Soares e Lins</t>
        </is>
      </c>
      <c r="E725" s="151" t="n">
        <v>0</v>
      </c>
      <c r="F725" s="100" t="n">
        <v>0</v>
      </c>
      <c r="G725" s="100" t="n">
        <v>0</v>
      </c>
      <c r="H725" s="74" t="inlineStr">
        <is>
          <t>Solicitações de fardamentos administrativos</t>
        </is>
      </c>
    </row>
    <row r="726" ht="15" customHeight="1" s="75">
      <c r="A726" s="74" t="inlineStr">
        <is>
          <t>JUNHO/2026</t>
        </is>
      </c>
      <c r="B726" s="74" t="inlineStr">
        <is>
          <t>RH</t>
        </is>
      </c>
      <c r="C726" s="74" t="inlineStr">
        <is>
          <t>Treinamentos/integração</t>
        </is>
      </c>
      <c r="D726" s="74" t="inlineStr">
        <is>
          <t>Soares e Lins</t>
        </is>
      </c>
      <c r="E726" s="151" t="n">
        <v>0</v>
      </c>
      <c r="F726" s="100" t="n">
        <v>0</v>
      </c>
      <c r="G726" s="100" t="n">
        <v>0</v>
      </c>
      <c r="H726" s="74" t="inlineStr">
        <is>
          <t>Despesa com integração/alimentação</t>
        </is>
      </c>
    </row>
    <row r="727" ht="15" customHeight="1" s="75">
      <c r="A727" s="74" t="inlineStr">
        <is>
          <t>JUNHO/2026</t>
        </is>
      </c>
      <c r="B727" s="74" t="inlineStr">
        <is>
          <t>RH</t>
        </is>
      </c>
      <c r="C727" s="74" t="inlineStr">
        <is>
          <t>Fardamentos</t>
        </is>
      </c>
      <c r="D727" s="74" t="inlineStr">
        <is>
          <t>Soares e Silva</t>
        </is>
      </c>
      <c r="E727" s="151" t="n">
        <v>0</v>
      </c>
      <c r="F727" s="100" t="n">
        <v>0</v>
      </c>
      <c r="G727" s="100" t="n">
        <v>0</v>
      </c>
      <c r="H727" s="74" t="inlineStr">
        <is>
          <t>Solicitações de fardamentos administrativos</t>
        </is>
      </c>
    </row>
    <row r="728" ht="15" customHeight="1" s="75">
      <c r="A728" s="74" t="inlineStr">
        <is>
          <t>JUNHO/2026</t>
        </is>
      </c>
      <c r="B728" s="74" t="inlineStr">
        <is>
          <t>RH</t>
        </is>
      </c>
      <c r="C728" s="74" t="inlineStr">
        <is>
          <t>Fardamentos</t>
        </is>
      </c>
      <c r="D728" s="74" t="inlineStr">
        <is>
          <t>Soares e Silva</t>
        </is>
      </c>
      <c r="E728" s="151" t="n">
        <v>0</v>
      </c>
      <c r="F728" s="100" t="n">
        <v>0</v>
      </c>
      <c r="G728" s="100" t="n">
        <v>0</v>
      </c>
      <c r="H728" s="74" t="inlineStr">
        <is>
          <t>Solicitações de fardamentos administrativos</t>
        </is>
      </c>
    </row>
    <row r="729" ht="15" customHeight="1" s="75">
      <c r="A729" s="74" t="inlineStr">
        <is>
          <t>JUNHO/2026</t>
        </is>
      </c>
      <c r="B729" s="74" t="inlineStr">
        <is>
          <t>RH</t>
        </is>
      </c>
      <c r="C729" s="74" t="inlineStr">
        <is>
          <t>Fardamentos</t>
        </is>
      </c>
      <c r="D729" s="74" t="inlineStr">
        <is>
          <t>Solon Araújo</t>
        </is>
      </c>
      <c r="E729" s="151" t="n">
        <v>0</v>
      </c>
      <c r="F729" s="100" t="n">
        <v>0</v>
      </c>
      <c r="G729" s="100" t="n">
        <v>0</v>
      </c>
      <c r="H729" s="74" t="inlineStr">
        <is>
          <t>Solicitações de fardamentos administrativos</t>
        </is>
      </c>
    </row>
    <row r="730" ht="15" customHeight="1" s="75">
      <c r="A730" s="74" t="inlineStr">
        <is>
          <t>JUNHO/2026</t>
        </is>
      </c>
      <c r="B730" s="74" t="inlineStr">
        <is>
          <t>RH</t>
        </is>
      </c>
      <c r="C730" s="74" t="inlineStr">
        <is>
          <t>Treinamentos/integração</t>
        </is>
      </c>
      <c r="D730" s="74" t="inlineStr">
        <is>
          <t>Solon Araújo</t>
        </is>
      </c>
      <c r="E730" s="151" t="n">
        <v>0</v>
      </c>
      <c r="F730" s="100" t="n">
        <v>0</v>
      </c>
      <c r="G730" s="100" t="n">
        <v>0</v>
      </c>
      <c r="H730" s="74" t="inlineStr">
        <is>
          <t>Despesas com seleção, treinamentos...</t>
        </is>
      </c>
    </row>
    <row r="731" ht="15" customHeight="1" s="75">
      <c r="A731" s="74" t="inlineStr">
        <is>
          <t>JUNHO/2026</t>
        </is>
      </c>
      <c r="B731" s="74" t="inlineStr">
        <is>
          <t>RH</t>
        </is>
      </c>
      <c r="C731" s="74" t="inlineStr">
        <is>
          <t>Fardamentos</t>
        </is>
      </c>
      <c r="D731" s="74" t="inlineStr">
        <is>
          <t>Souza e Silva</t>
        </is>
      </c>
      <c r="E731" s="151" t="n">
        <v>0</v>
      </c>
      <c r="F731" s="100" t="n">
        <v>0</v>
      </c>
      <c r="G731" s="100" t="n">
        <v>0</v>
      </c>
      <c r="H731" s="74" t="inlineStr">
        <is>
          <t>Solicitações de fardamentos administrativos</t>
        </is>
      </c>
    </row>
    <row r="732" ht="15" customHeight="1" s="75">
      <c r="A732" s="74" t="inlineStr">
        <is>
          <t>JUNHO/2026</t>
        </is>
      </c>
      <c r="B732" s="74" t="inlineStr">
        <is>
          <t>RH</t>
        </is>
      </c>
      <c r="C732" s="74" t="inlineStr">
        <is>
          <t>Fardamentos</t>
        </is>
      </c>
      <c r="D732" s="74" t="inlineStr">
        <is>
          <t>Voicenet</t>
        </is>
      </c>
      <c r="E732" s="151" t="n">
        <v>0</v>
      </c>
      <c r="F732" s="100" t="n">
        <v>0</v>
      </c>
      <c r="G732" s="100" t="n">
        <v>0</v>
      </c>
      <c r="H732" s="74" t="inlineStr">
        <is>
          <t>Solicitações de fardamentos administrativos</t>
        </is>
      </c>
    </row>
    <row r="733" ht="15" customHeight="1" s="75">
      <c r="A733" s="74" t="inlineStr">
        <is>
          <t>JUNHO/2026</t>
        </is>
      </c>
      <c r="B733" s="74" t="inlineStr">
        <is>
          <t>RH</t>
        </is>
      </c>
      <c r="C733" s="74" t="inlineStr">
        <is>
          <t>Treinamentos/integração</t>
        </is>
      </c>
      <c r="D733" s="74" t="inlineStr">
        <is>
          <t>Voicenet</t>
        </is>
      </c>
      <c r="E733" s="151" t="n">
        <v>0</v>
      </c>
      <c r="F733" s="100" t="n">
        <v>0</v>
      </c>
      <c r="G733" s="100" t="n">
        <v>0</v>
      </c>
      <c r="H733" s="74" t="inlineStr">
        <is>
          <t>Despesa de alimentação de colaboradores em integração</t>
        </is>
      </c>
    </row>
    <row r="734" ht="15" customHeight="1" s="75">
      <c r="A734" s="74" t="inlineStr">
        <is>
          <t>JUNHO/2026</t>
        </is>
      </c>
      <c r="B734" s="74" t="inlineStr">
        <is>
          <t>Relacionamento</t>
        </is>
      </c>
      <c r="C734" s="74" t="inlineStr">
        <is>
          <t>Relacionamento Dtel</t>
        </is>
      </c>
      <c r="D734" s="74" t="inlineStr">
        <is>
          <t>H&amp;A</t>
        </is>
      </c>
      <c r="E734" s="151" t="n">
        <v>13418</v>
      </c>
      <c r="F734" s="100" t="n">
        <v>3.23223677486643</v>
      </c>
      <c r="G734" s="100" t="n">
        <v>43370.1530451578</v>
      </c>
      <c r="H734" s="74" t="inlineStr">
        <is>
          <t>Cálculo por número de clientes ativos</t>
        </is>
      </c>
    </row>
    <row r="735" ht="15" customHeight="1" s="75">
      <c r="A735" s="74" t="inlineStr">
        <is>
          <t>JUNHO/2026</t>
        </is>
      </c>
      <c r="B735" s="74" t="inlineStr">
        <is>
          <t>Segurança do Trabalho</t>
        </is>
      </c>
      <c r="C735" s="74" t="inlineStr">
        <is>
          <t>Equipamentos de Segurança</t>
        </is>
      </c>
      <c r="D735" s="74" t="inlineStr">
        <is>
          <t>DX2</t>
        </is>
      </c>
      <c r="E735" s="151" t="n">
        <v>-1</v>
      </c>
      <c r="F735" s="100" t="n">
        <v>514.86</v>
      </c>
      <c r="G735" s="100" t="n">
        <v>-514.86</v>
      </c>
      <c r="H735" s="74" t="inlineStr">
        <is>
          <t>EPI/Equipamentos do mês (CUSTO DE SEGURANÇA - JUN26.xlsx)</t>
        </is>
      </c>
    </row>
    <row r="736" ht="15" customHeight="1" s="75">
      <c r="A736" s="74" t="inlineStr">
        <is>
          <t>JUNHO/2026</t>
        </is>
      </c>
      <c r="B736" s="74" t="inlineStr">
        <is>
          <t>Segurança do Trabalho</t>
        </is>
      </c>
      <c r="C736" s="74" t="inlineStr">
        <is>
          <t>Equipamentos de Segurança</t>
        </is>
      </c>
      <c r="D736" s="74" t="inlineStr">
        <is>
          <t>H&amp;A</t>
        </is>
      </c>
      <c r="E736" s="151" t="n">
        <v>0</v>
      </c>
      <c r="F736" s="100" t="n">
        <v>0</v>
      </c>
      <c r="G736" s="100" t="n">
        <v>0</v>
      </c>
      <c r="H736" s="74" t="inlineStr">
        <is>
          <t>EPI/Equipamentos do mês</t>
        </is>
      </c>
    </row>
    <row r="737" ht="15" customHeight="1" s="75">
      <c r="A737" s="74" t="inlineStr">
        <is>
          <t>JUNHO/2026</t>
        </is>
      </c>
      <c r="B737" s="74" t="inlineStr">
        <is>
          <t>Segurança do Trabalho</t>
        </is>
      </c>
      <c r="C737" s="74" t="inlineStr">
        <is>
          <t>Km rodado Segurança e Saúde do Trabalho dtel p/ H&amp;a</t>
        </is>
      </c>
      <c r="D737" s="74" t="inlineStr">
        <is>
          <t>H&amp;A</t>
        </is>
      </c>
      <c r="E737" s="151" t="n">
        <v>0</v>
      </c>
      <c r="F737" s="100" t="n">
        <v>0</v>
      </c>
      <c r="G737" s="100" t="n">
        <v>0</v>
      </c>
      <c r="H737" s="74" t="inlineStr">
        <is>
          <t>Deslocamento da equipe para Horas cursos de normas e reciclagem ou visitas</t>
        </is>
      </c>
    </row>
    <row r="738" ht="15" customHeight="1" s="75">
      <c r="A738" s="74" t="inlineStr">
        <is>
          <t>JUNHO/2026</t>
        </is>
      </c>
      <c r="B738" s="74" t="inlineStr">
        <is>
          <t>Segurança do Trabalho</t>
        </is>
      </c>
      <c r="C738" s="74" t="inlineStr">
        <is>
          <t>Saude e segurança no trabalho</t>
        </is>
      </c>
      <c r="D738" s="74" t="inlineStr">
        <is>
          <t>H&amp;A</t>
        </is>
      </c>
      <c r="E738" s="151" t="n">
        <v>0</v>
      </c>
      <c r="F738" s="100" t="n">
        <v>0</v>
      </c>
      <c r="G738" s="100" t="n">
        <v>0</v>
      </c>
      <c r="H738" s="74" t="inlineStr">
        <is>
          <t>Rateio do departamento (despesa por colaborador, mês de jan fev e março)</t>
        </is>
      </c>
    </row>
    <row r="739" ht="15" customHeight="1" s="75">
      <c r="A739" s="74" t="inlineStr">
        <is>
          <t>JUNHO/2026</t>
        </is>
      </c>
      <c r="B739" s="74" t="inlineStr">
        <is>
          <t>Segurança do Trabalho</t>
        </is>
      </c>
      <c r="C739" s="74" t="inlineStr">
        <is>
          <t>Serviços prestados pela equipe Segurança do trabalho dtel p/ h&amp;a</t>
        </is>
      </c>
      <c r="D739" s="74" t="inlineStr">
        <is>
          <t>H&amp;A</t>
        </is>
      </c>
      <c r="E739" s="151" t="n">
        <v>0</v>
      </c>
      <c r="F739" s="100" t="n">
        <v>0</v>
      </c>
      <c r="G739" s="100" t="n">
        <v>0</v>
      </c>
      <c r="H739" s="74" t="inlineStr">
        <is>
          <t>Serviços da equipe para Horas cursos de normas e reciclagem ou visitas</t>
        </is>
      </c>
    </row>
    <row r="740" ht="15" customHeight="1" s="75">
      <c r="A740" s="74" t="inlineStr">
        <is>
          <t>JUNHO/2026</t>
        </is>
      </c>
      <c r="B740" s="74" t="inlineStr">
        <is>
          <t>Segurança do Trabalho</t>
        </is>
      </c>
      <c r="C740" s="74" t="inlineStr">
        <is>
          <t>Equipamentos de Segurança</t>
        </is>
      </c>
      <c r="D740" s="74" t="inlineStr">
        <is>
          <t>Soares e Lins</t>
        </is>
      </c>
      <c r="E740" s="151" t="n">
        <v>1</v>
      </c>
      <c r="F740" s="100" t="n">
        <v>987.11</v>
      </c>
      <c r="G740" s="100" t="n">
        <v>987.11</v>
      </c>
      <c r="H740" s="74" t="inlineStr">
        <is>
          <t>EPI/Equipamentos do mês</t>
        </is>
      </c>
    </row>
    <row r="741" ht="15" customHeight="1" s="75">
      <c r="A741" s="74" t="inlineStr">
        <is>
          <t>JUNHO/2026</t>
        </is>
      </c>
      <c r="B741" s="74" t="inlineStr">
        <is>
          <t>Segurança do Trabalho</t>
        </is>
      </c>
      <c r="C741" s="74" t="inlineStr">
        <is>
          <t>Equipamentos de Segurança</t>
        </is>
      </c>
      <c r="D741" s="74" t="inlineStr">
        <is>
          <t>Soares e Lins</t>
        </is>
      </c>
      <c r="E741" s="151" t="n">
        <v>0</v>
      </c>
      <c r="F741" s="100" t="n">
        <v>0</v>
      </c>
      <c r="G741" s="100" t="n">
        <v>0</v>
      </c>
      <c r="H741" s="74" t="inlineStr">
        <is>
          <t>EPI, EPC, Fardamento</t>
        </is>
      </c>
    </row>
    <row r="742" ht="15" customHeight="1" s="75">
      <c r="A742" s="74" t="inlineStr">
        <is>
          <t>JUNHO/2026</t>
        </is>
      </c>
      <c r="B742" s="74" t="inlineStr">
        <is>
          <t>Segurança do Trabalho</t>
        </is>
      </c>
      <c r="C742" s="74" t="inlineStr">
        <is>
          <t>Km rodado Segurança e Saúde do Trabalho dtel p/ soares e lins</t>
        </is>
      </c>
      <c r="D742" s="74" t="inlineStr">
        <is>
          <t>Soares e Lins</t>
        </is>
      </c>
      <c r="E742" s="151" t="n">
        <v>0</v>
      </c>
      <c r="F742" s="100" t="n">
        <v>0</v>
      </c>
      <c r="G742" s="100" t="n">
        <v>0</v>
      </c>
      <c r="H742" s="74" t="inlineStr">
        <is>
          <t>Deslocamento da equipe para Horas cursos de normas e reciclagem ou visitas</t>
        </is>
      </c>
    </row>
    <row r="743" ht="15" customHeight="1" s="75">
      <c r="A743" s="74" t="inlineStr">
        <is>
          <t>JUNHO/2026</t>
        </is>
      </c>
      <c r="B743" s="74" t="inlineStr">
        <is>
          <t>Segurança do Trabalho</t>
        </is>
      </c>
      <c r="C743" s="74" t="inlineStr">
        <is>
          <t>Serviços prestados pela equipe Segurança do trabalho</t>
        </is>
      </c>
      <c r="D743" s="74" t="inlineStr">
        <is>
          <t>Soares e Lins</t>
        </is>
      </c>
      <c r="E743" s="151" t="n">
        <v>0</v>
      </c>
      <c r="F743" s="100" t="n">
        <v>0</v>
      </c>
      <c r="G743" s="100" t="n">
        <v>0</v>
      </c>
      <c r="H743" s="74" t="inlineStr">
        <is>
          <t>Serviços da equipe para Horas cursos de normas e reciclagem ou visitas</t>
        </is>
      </c>
    </row>
    <row r="744" ht="15" customHeight="1" s="75">
      <c r="A744" s="74" t="inlineStr">
        <is>
          <t>JUNHO/2026</t>
        </is>
      </c>
      <c r="B744" s="74" t="inlineStr">
        <is>
          <t>Segurança do Trabalho</t>
        </is>
      </c>
      <c r="C744" s="74" t="inlineStr">
        <is>
          <t>Equipamentos de Segurança</t>
        </is>
      </c>
      <c r="D744" s="74" t="inlineStr">
        <is>
          <t>Soares e Silva</t>
        </is>
      </c>
      <c r="E744" s="151" t="n">
        <v>1</v>
      </c>
      <c r="F744" s="100" t="n">
        <v>3707.87</v>
      </c>
      <c r="G744" s="100" t="n">
        <v>3707.87</v>
      </c>
      <c r="H744" s="74" t="inlineStr">
        <is>
          <t>EPI/Equipamentos do mês</t>
        </is>
      </c>
    </row>
    <row r="745" ht="15" customHeight="1" s="75">
      <c r="A745" s="74" t="inlineStr">
        <is>
          <t>JUNHO/2026</t>
        </is>
      </c>
      <c r="B745" s="74" t="inlineStr">
        <is>
          <t>Segurança do Trabalho</t>
        </is>
      </c>
      <c r="C745" s="74" t="inlineStr">
        <is>
          <t>Km rodado Segurança e Saúde do Trabalho soares e silva p/ Dtel</t>
        </is>
      </c>
      <c r="D745" s="74" t="inlineStr">
        <is>
          <t>Soares e Silva</t>
        </is>
      </c>
      <c r="E745" s="151" t="n">
        <v>-1</v>
      </c>
      <c r="F745" s="100" t="n">
        <v>245.98</v>
      </c>
      <c r="G745" s="100" t="n">
        <v>-245.98</v>
      </c>
      <c r="H745" s="74" t="inlineStr">
        <is>
          <t>Deslocamento da equipe para Horas cursos de normas e reciclagem ou visitas</t>
        </is>
      </c>
    </row>
    <row r="746" ht="15" customHeight="1" s="75">
      <c r="A746" s="74" t="inlineStr">
        <is>
          <t>JUNHO/2026</t>
        </is>
      </c>
      <c r="B746" s="74" t="inlineStr">
        <is>
          <t>Segurança do Trabalho</t>
        </is>
      </c>
      <c r="C746" s="74" t="inlineStr">
        <is>
          <t>Km rodado Segurança e Saúde do Trabalho soares e silva p/ LITORAL</t>
        </is>
      </c>
      <c r="D746" s="74" t="inlineStr">
        <is>
          <t>Soares e Silva</t>
        </is>
      </c>
      <c r="E746" s="151" t="n">
        <v>-1</v>
      </c>
      <c r="F746" s="100" t="n">
        <v>451.06</v>
      </c>
      <c r="G746" s="100" t="n">
        <v>-451.06</v>
      </c>
      <c r="H746" s="74" t="inlineStr">
        <is>
          <t>Deslocamento da equipe para Horas cursos de normas e reciclagem ou visitas</t>
        </is>
      </c>
    </row>
    <row r="747" ht="15" customHeight="1" s="75">
      <c r="A747" s="74" t="inlineStr">
        <is>
          <t>JUNHO/2026</t>
        </is>
      </c>
      <c r="B747" s="74" t="inlineStr">
        <is>
          <t>Segurança do Trabalho</t>
        </is>
      </c>
      <c r="C747" s="74" t="inlineStr">
        <is>
          <t>Serviços prestados pela equipe Segurança do trabalho soares e silva p/ dtel</t>
        </is>
      </c>
      <c r="D747" s="74" t="inlineStr">
        <is>
          <t>Soares e Silva</t>
        </is>
      </c>
      <c r="E747" s="151" t="n">
        <v>-1</v>
      </c>
      <c r="F747" s="100" t="n">
        <v>589.14</v>
      </c>
      <c r="G747" s="100" t="n">
        <v>-589.14</v>
      </c>
      <c r="H747" s="74" t="inlineStr">
        <is>
          <t>Serviços da equipe para Horas cursos de normas e reciclagem ou visitas</t>
        </is>
      </c>
    </row>
    <row r="748" ht="15" customHeight="1" s="75">
      <c r="A748" s="74" t="inlineStr">
        <is>
          <t>JUNHO/2026</t>
        </is>
      </c>
      <c r="B748" s="74" t="inlineStr">
        <is>
          <t>Segurança do Trabalho</t>
        </is>
      </c>
      <c r="C748" s="74" t="inlineStr">
        <is>
          <t>Serviços prestados pela equipe Segurança do trabalho soares e silva p/ dtel</t>
        </is>
      </c>
      <c r="D748" s="74" t="inlineStr">
        <is>
          <t>Soares e Silva</t>
        </is>
      </c>
      <c r="E748" s="151" t="n">
        <v>-1</v>
      </c>
      <c r="F748" s="100" t="n">
        <v>171.62</v>
      </c>
      <c r="G748" s="100" t="n">
        <v>-171.62</v>
      </c>
      <c r="H748" s="74" t="inlineStr">
        <is>
          <t>Devolução de Crédito</t>
        </is>
      </c>
    </row>
    <row r="749" ht="15" customHeight="1" s="75">
      <c r="A749" s="74" t="inlineStr">
        <is>
          <t>JUNHO/2026</t>
        </is>
      </c>
      <c r="B749" s="74" t="inlineStr">
        <is>
          <t>Segurança do Trabalho</t>
        </is>
      </c>
      <c r="C749" s="74" t="inlineStr">
        <is>
          <t>Serviços prestados pela equipe Segurança do trabalho soares e silva p/ litoral</t>
        </is>
      </c>
      <c r="D749" s="74" t="inlineStr">
        <is>
          <t>Soares e Silva</t>
        </is>
      </c>
      <c r="E749" s="151" t="n">
        <v>-1</v>
      </c>
      <c r="F749" s="100" t="n">
        <v>158.76</v>
      </c>
      <c r="G749" s="100" t="n">
        <v>-158.76</v>
      </c>
      <c r="H749" s="74" t="inlineStr">
        <is>
          <t>Serviços da equipe para Horas cursos de normas e reciclagem ou visitas</t>
        </is>
      </c>
    </row>
    <row r="750" ht="15" customHeight="1" s="75">
      <c r="A750" s="74" t="inlineStr">
        <is>
          <t>JUNHO/2026</t>
        </is>
      </c>
      <c r="B750" s="74" t="inlineStr">
        <is>
          <t>Segurança do Trabalho</t>
        </is>
      </c>
      <c r="C750" s="74" t="inlineStr">
        <is>
          <t>Equipamentos de Segurança</t>
        </is>
      </c>
      <c r="D750" s="74" t="inlineStr">
        <is>
          <t>Solon Araújo</t>
        </is>
      </c>
      <c r="E750" s="151" t="n">
        <v>1</v>
      </c>
      <c r="F750" s="100" t="n">
        <v>4497.36</v>
      </c>
      <c r="G750" s="100" t="n">
        <v>4497.36</v>
      </c>
      <c r="H750" s="74" t="inlineStr">
        <is>
          <t>EPI, EPC, Fardamento</t>
        </is>
      </c>
    </row>
    <row r="751" ht="15" customHeight="1" s="75">
      <c r="A751" s="74" t="inlineStr">
        <is>
          <t>JUNHO/2026</t>
        </is>
      </c>
      <c r="B751" s="74" t="inlineStr">
        <is>
          <t>Segurança do Trabalho</t>
        </is>
      </c>
      <c r="C751" s="74" t="inlineStr">
        <is>
          <t>Equipamentos de Segurança</t>
        </is>
      </c>
      <c r="D751" s="74" t="inlineStr">
        <is>
          <t>Solon Araújo</t>
        </is>
      </c>
      <c r="E751" s="151" t="n">
        <v>0</v>
      </c>
      <c r="F751" s="100" t="n">
        <v>0</v>
      </c>
      <c r="G751" s="100" t="n">
        <v>0</v>
      </c>
      <c r="H751" s="74" t="inlineStr">
        <is>
          <t>EPI, EPC, Fardamento</t>
        </is>
      </c>
    </row>
    <row r="752" ht="15" customHeight="1" s="75">
      <c r="A752" s="74" t="inlineStr">
        <is>
          <t>JUNHO/2026</t>
        </is>
      </c>
      <c r="B752" s="74" t="inlineStr">
        <is>
          <t>Segurança do Trabalho</t>
        </is>
      </c>
      <c r="C752" s="74" t="inlineStr">
        <is>
          <t>Km rodado Segurança e Saúde do Trabalho soares e silva p/ LITORAL</t>
        </is>
      </c>
      <c r="D752" s="74" t="inlineStr">
        <is>
          <t>Solon Araújo</t>
        </is>
      </c>
      <c r="E752" s="151" t="n">
        <v>1</v>
      </c>
      <c r="F752" s="100" t="n">
        <v>158.76</v>
      </c>
      <c r="G752" s="100" t="n">
        <v>158.76</v>
      </c>
      <c r="H752" s="74" t="inlineStr">
        <is>
          <t>Serviços da equipe para Horas cursos de normas e reciclagem ou visitas</t>
        </is>
      </c>
    </row>
    <row r="753" ht="15" customHeight="1" s="75">
      <c r="A753" s="74" t="inlineStr">
        <is>
          <t>JUNHO/2026</t>
        </is>
      </c>
      <c r="B753" s="74" t="inlineStr">
        <is>
          <t>Segurança do Trabalho</t>
        </is>
      </c>
      <c r="C753" s="74" t="inlineStr">
        <is>
          <t>Serviços prestados pela equipe Segurança do trabalho soares e silva p/ LITORAL</t>
        </is>
      </c>
      <c r="D753" s="74" t="inlineStr">
        <is>
          <t>Solon Araújo</t>
        </is>
      </c>
      <c r="E753" s="151" t="n">
        <v>1</v>
      </c>
      <c r="F753" s="100" t="n">
        <v>451.06</v>
      </c>
      <c r="G753" s="100" t="n">
        <v>451.06</v>
      </c>
      <c r="H753" s="74" t="inlineStr">
        <is>
          <t>Serviços da equipe para Horas cursos de normas e reciclagem ou visitas</t>
        </is>
      </c>
    </row>
    <row r="754" ht="15" customHeight="1" s="75">
      <c r="A754" s="74" t="inlineStr">
        <is>
          <t>JUNHO/2026</t>
        </is>
      </c>
      <c r="B754" s="74" t="inlineStr">
        <is>
          <t>Segurança do Trabalho</t>
        </is>
      </c>
      <c r="C754" s="74" t="inlineStr">
        <is>
          <t>Equipamentos de Segurança</t>
        </is>
      </c>
      <c r="D754" s="74" t="inlineStr">
        <is>
          <t>Souza e Silva</t>
        </is>
      </c>
      <c r="E754" s="151" t="n">
        <v>1</v>
      </c>
      <c r="F754" s="100" t="n">
        <v>368.28</v>
      </c>
      <c r="G754" s="100" t="n">
        <v>368.28</v>
      </c>
      <c r="H754" s="74" t="inlineStr">
        <is>
          <t>EPI/Equipamentos do mês</t>
        </is>
      </c>
    </row>
    <row r="755" ht="15" customHeight="1" s="75">
      <c r="A755" s="74" t="inlineStr">
        <is>
          <t>JUNHO/2026</t>
        </is>
      </c>
      <c r="B755" s="74" t="inlineStr">
        <is>
          <t>Segurança do Trabalho</t>
        </is>
      </c>
      <c r="C755" s="74" t="inlineStr">
        <is>
          <t>Equipamentos de Segurança</t>
        </is>
      </c>
      <c r="D755" s="74" t="inlineStr">
        <is>
          <t>Souza e Silva</t>
        </is>
      </c>
      <c r="E755" s="151" t="n">
        <v>0</v>
      </c>
      <c r="F755" s="100" t="n">
        <v>0</v>
      </c>
      <c r="G755" s="100" t="n">
        <v>0</v>
      </c>
      <c r="H755" s="74" t="inlineStr">
        <is>
          <t>Devolução de Crédito</t>
        </is>
      </c>
    </row>
    <row r="756" ht="15" customHeight="1" s="75">
      <c r="A756" s="74" t="inlineStr">
        <is>
          <t>JUNHO/2026</t>
        </is>
      </c>
      <c r="B756" s="74" t="inlineStr">
        <is>
          <t>Segurança do Trabalho</t>
        </is>
      </c>
      <c r="C756" s="74" t="inlineStr">
        <is>
          <t>Equipamentos de Segurança</t>
        </is>
      </c>
      <c r="D756" s="74" t="inlineStr">
        <is>
          <t>Voicenet</t>
        </is>
      </c>
      <c r="E756" s="151" t="n">
        <v>1</v>
      </c>
      <c r="F756" s="100" t="n">
        <v>1043.05</v>
      </c>
      <c r="G756" s="100" t="n">
        <v>1043.05</v>
      </c>
      <c r="H756" s="74" t="inlineStr">
        <is>
          <t>EPI/Equipamentos do mês</t>
        </is>
      </c>
    </row>
    <row r="757" ht="15" customHeight="1" s="75">
      <c r="A757" s="74" t="inlineStr">
        <is>
          <t>JUNHO/2026</t>
        </is>
      </c>
      <c r="B757" s="74" t="inlineStr">
        <is>
          <t>Segurança do Trabalho</t>
        </is>
      </c>
      <c r="C757" s="74" t="inlineStr">
        <is>
          <t>Equipamentos de Segurança</t>
        </is>
      </c>
      <c r="D757" s="74" t="inlineStr">
        <is>
          <t>Voicenet</t>
        </is>
      </c>
      <c r="E757" s="151" t="n">
        <v>-1</v>
      </c>
      <c r="F757" s="100" t="n">
        <v>4096.89</v>
      </c>
      <c r="G757" s="100" t="n">
        <v>-4096.89</v>
      </c>
      <c r="H757" s="74" t="inlineStr">
        <is>
          <t>Devolução de Crédito</t>
        </is>
      </c>
    </row>
    <row r="758" ht="15" customHeight="1" s="75">
      <c r="A758" s="74" t="inlineStr">
        <is>
          <t>JUNHO/2026</t>
        </is>
      </c>
      <c r="B758" s="74" t="inlineStr">
        <is>
          <t>Segurança do Trabalho</t>
        </is>
      </c>
      <c r="C758" s="74" t="inlineStr">
        <is>
          <t>Km rodado Segurança e Saúde do Trabalho dtel p/ voice net</t>
        </is>
      </c>
      <c r="D758" s="74" t="inlineStr">
        <is>
          <t>Voicenet</t>
        </is>
      </c>
      <c r="E758" s="151" t="n">
        <v>0</v>
      </c>
      <c r="F758" s="100" t="n">
        <v>0</v>
      </c>
      <c r="G758" s="100" t="n">
        <v>0</v>
      </c>
      <c r="H758" s="74" t="inlineStr">
        <is>
          <t>Deslocamento da equipe para Horas cursos de normas e reciclagem ou visitas</t>
        </is>
      </c>
    </row>
    <row r="759" ht="15" customHeight="1" s="75">
      <c r="A759" s="74" t="inlineStr">
        <is>
          <t>JUNHO/2026</t>
        </is>
      </c>
      <c r="B759" s="74" t="inlineStr">
        <is>
          <t>Segurança do Trabalho</t>
        </is>
      </c>
      <c r="C759" s="74" t="inlineStr">
        <is>
          <t>Serviços prestados pela equipe Segurança do trabalho</t>
        </is>
      </c>
      <c r="D759" s="74" t="inlineStr">
        <is>
          <t>Voicenet</t>
        </is>
      </c>
      <c r="E759" s="151" t="n">
        <v>0</v>
      </c>
      <c r="F759" s="100" t="n">
        <v>0</v>
      </c>
      <c r="G759" s="100" t="n">
        <v>0</v>
      </c>
      <c r="H759" s="74" t="inlineStr">
        <is>
          <t>Serviços da equipe para Horas cursos de normas e reciclagem ou visitas</t>
        </is>
      </c>
    </row>
    <row r="760" ht="15" customHeight="1" s="75">
      <c r="A760" s="74" t="inlineStr">
        <is>
          <t>JUNHO/2026</t>
        </is>
      </c>
      <c r="B760" s="74" t="inlineStr">
        <is>
          <t>TIC</t>
        </is>
      </c>
      <c r="C760" s="74" t="inlineStr">
        <is>
          <t>E-mail Dtel</t>
        </is>
      </c>
      <c r="D760" s="74" t="inlineStr">
        <is>
          <t>DX2</t>
        </is>
      </c>
      <c r="E760" s="151" t="n">
        <v>2</v>
      </c>
      <c r="F760" s="100" t="n">
        <v>50</v>
      </c>
      <c r="G760" s="100" t="n">
        <v>100</v>
      </c>
      <c r="H760" s="74" t="inlineStr">
        <is>
          <t>Utilização de email corporativo</t>
        </is>
      </c>
    </row>
    <row r="761" ht="15" customHeight="1" s="75">
      <c r="A761" s="74" t="inlineStr">
        <is>
          <t>JUNHO/2026</t>
        </is>
      </c>
      <c r="B761" s="74" t="inlineStr">
        <is>
          <t>TIC</t>
        </is>
      </c>
      <c r="C761" s="74" t="inlineStr">
        <is>
          <t>E-mail Dtel</t>
        </is>
      </c>
      <c r="D761" s="74" t="inlineStr">
        <is>
          <t>H&amp;A</t>
        </is>
      </c>
      <c r="E761" s="151" t="n">
        <v>2</v>
      </c>
      <c r="F761" s="100" t="n">
        <v>50</v>
      </c>
      <c r="G761" s="100" t="n">
        <v>100</v>
      </c>
      <c r="H761" s="74" t="inlineStr">
        <is>
          <t>Utilização de email corporativo</t>
        </is>
      </c>
    </row>
    <row r="762" ht="15" customHeight="1" s="75">
      <c r="A762" s="74" t="inlineStr">
        <is>
          <t>JUNHO/2026</t>
        </is>
      </c>
      <c r="B762" s="74" t="inlineStr">
        <is>
          <t>TIC</t>
        </is>
      </c>
      <c r="C762" s="74" t="inlineStr">
        <is>
          <t>E-mail Dtel</t>
        </is>
      </c>
      <c r="D762" s="74" t="inlineStr">
        <is>
          <t>Soares e Lins</t>
        </is>
      </c>
      <c r="E762" s="151" t="n">
        <v>1</v>
      </c>
      <c r="F762" s="100" t="n">
        <v>10</v>
      </c>
      <c r="G762" s="100" t="n">
        <v>10</v>
      </c>
      <c r="H762" s="74" t="inlineStr">
        <is>
          <t>Utilização de email corporativo</t>
        </is>
      </c>
    </row>
    <row r="763" ht="15" customHeight="1" s="75">
      <c r="A763" s="74" t="inlineStr">
        <is>
          <t>JUNHO/2026</t>
        </is>
      </c>
      <c r="B763" s="74" t="inlineStr">
        <is>
          <t>TIC</t>
        </is>
      </c>
      <c r="C763" s="74" t="inlineStr">
        <is>
          <t>E-mail Dtel</t>
        </is>
      </c>
      <c r="D763" s="74" t="inlineStr">
        <is>
          <t>Soares e Silva</t>
        </is>
      </c>
      <c r="E763" s="151" t="n">
        <v>1</v>
      </c>
      <c r="F763" s="100" t="n">
        <v>10</v>
      </c>
      <c r="G763" s="100" t="n">
        <v>10</v>
      </c>
      <c r="H763" s="74" t="inlineStr">
        <is>
          <t>Utilização de email corporativo</t>
        </is>
      </c>
    </row>
    <row r="764" ht="15" customHeight="1" s="75">
      <c r="A764" s="74" t="inlineStr">
        <is>
          <t>JUNHO/2026</t>
        </is>
      </c>
      <c r="B764" s="74" t="inlineStr">
        <is>
          <t>TIC</t>
        </is>
      </c>
      <c r="C764" s="74" t="inlineStr">
        <is>
          <t>E-mail Dtel</t>
        </is>
      </c>
      <c r="D764" s="74" t="inlineStr">
        <is>
          <t>Soares e Silva</t>
        </is>
      </c>
      <c r="E764" s="151" t="n">
        <v>5</v>
      </c>
      <c r="F764" s="100" t="n">
        <v>50</v>
      </c>
      <c r="G764" s="100" t="n">
        <v>250</v>
      </c>
      <c r="H764" s="74" t="inlineStr">
        <is>
          <t>Utilização de email corporativo</t>
        </is>
      </c>
    </row>
    <row r="765" ht="15" customHeight="1" s="75">
      <c r="A765" s="74" t="inlineStr">
        <is>
          <t>JUNHO/2026</t>
        </is>
      </c>
      <c r="B765" s="74" t="inlineStr">
        <is>
          <t>TIC</t>
        </is>
      </c>
      <c r="C765" s="74" t="inlineStr">
        <is>
          <t>E-mail Dtel</t>
        </is>
      </c>
      <c r="D765" s="74" t="inlineStr">
        <is>
          <t>Solon Araújo</t>
        </is>
      </c>
      <c r="E765" s="151" t="n">
        <v>2</v>
      </c>
      <c r="F765" s="100" t="n">
        <v>50</v>
      </c>
      <c r="G765" s="100" t="n">
        <v>100</v>
      </c>
      <c r="H765" s="74" t="inlineStr">
        <is>
          <t>Utilização de email corporativo</t>
        </is>
      </c>
    </row>
    <row r="766" ht="15" customHeight="1" s="75">
      <c r="A766" s="74" t="inlineStr">
        <is>
          <t>JUNHO/2026</t>
        </is>
      </c>
      <c r="B766" s="74" t="inlineStr">
        <is>
          <t>TIC</t>
        </is>
      </c>
      <c r="C766" s="74" t="inlineStr">
        <is>
          <t>E-mail Dtel</t>
        </is>
      </c>
      <c r="D766" s="74" t="inlineStr">
        <is>
          <t>Souza e Silva</t>
        </is>
      </c>
      <c r="E766" s="151" t="n">
        <v>1</v>
      </c>
      <c r="F766" s="100" t="n">
        <v>50</v>
      </c>
      <c r="G766" s="100" t="n">
        <v>50</v>
      </c>
      <c r="H766" s="74" t="inlineStr">
        <is>
          <t>Utilização de email corporativo</t>
        </is>
      </c>
    </row>
    <row r="767" ht="15" customHeight="1" s="75">
      <c r="A767" s="74" t="inlineStr">
        <is>
          <t>JUNHO/2026</t>
        </is>
      </c>
      <c r="B767" s="74" t="inlineStr">
        <is>
          <t>TIC</t>
        </is>
      </c>
      <c r="C767" s="74" t="inlineStr">
        <is>
          <t>E-mail Dtel</t>
        </is>
      </c>
      <c r="D767" s="74" t="inlineStr">
        <is>
          <t>Voicenet</t>
        </is>
      </c>
      <c r="E767" s="151" t="n">
        <v>1</v>
      </c>
      <c r="F767" s="100" t="n">
        <v>90</v>
      </c>
      <c r="G767" s="100" t="n">
        <v>90</v>
      </c>
      <c r="H767" s="74" t="inlineStr">
        <is>
          <t>Utilização de email corporativo</t>
        </is>
      </c>
    </row>
    <row r="768" ht="15" customHeight="1" s="75">
      <c r="A768" s="74" t="inlineStr">
        <is>
          <t>JUNHO/2026</t>
        </is>
      </c>
      <c r="B768" s="74" t="inlineStr">
        <is>
          <t>TIC</t>
        </is>
      </c>
      <c r="C768" s="74" t="inlineStr">
        <is>
          <t>E-mail Dtel</t>
        </is>
      </c>
      <c r="D768" s="74" t="inlineStr">
        <is>
          <t>Voicenet</t>
        </is>
      </c>
      <c r="E768" s="151" t="n">
        <v>2</v>
      </c>
      <c r="F768" s="100" t="n">
        <v>10</v>
      </c>
      <c r="G768" s="100" t="n">
        <v>20</v>
      </c>
      <c r="H768" s="74" t="inlineStr">
        <is>
          <t>Utilização de email corporativo</t>
        </is>
      </c>
    </row>
    <row r="769" ht="15" customHeight="1" s="75">
      <c r="A769" s="74" t="inlineStr">
        <is>
          <t>JUNHO/2026</t>
        </is>
      </c>
      <c r="B769" s="74" t="inlineStr">
        <is>
          <t>TIC</t>
        </is>
      </c>
      <c r="C769" s="74" t="inlineStr">
        <is>
          <t>E-mail Dtel</t>
        </is>
      </c>
      <c r="D769" s="74" t="inlineStr">
        <is>
          <t>Voicenet</t>
        </is>
      </c>
      <c r="E769" s="151" t="n">
        <v>3</v>
      </c>
      <c r="F769" s="100" t="n">
        <v>50</v>
      </c>
      <c r="G769" s="100" t="n">
        <v>150</v>
      </c>
      <c r="H769" s="74" t="inlineStr">
        <is>
          <t>Utilização de email corporativo</t>
        </is>
      </c>
    </row>
    <row r="770" ht="15" customHeight="1" s="75">
      <c r="A770" s="74" t="inlineStr">
        <is>
          <t>JULHO/2026</t>
        </is>
      </c>
      <c r="B770" s="74" t="inlineStr">
        <is>
          <t>Adm Qualidade</t>
        </is>
      </c>
      <c r="C770" s="74" t="inlineStr">
        <is>
          <t>Qualidade</t>
        </is>
      </c>
      <c r="D770" s="74" t="inlineStr">
        <is>
          <t>H&amp;A</t>
        </is>
      </c>
      <c r="E770" s="151" t="n">
        <v>13530</v>
      </c>
      <c r="F770" s="100" t="n">
        <v>0.23</v>
      </c>
      <c r="G770" s="100" t="n">
        <v>3111.9</v>
      </c>
      <c r="H770" s="74" t="inlineStr">
        <is>
          <t>Cálculo por número de clientes ativos</t>
        </is>
      </c>
    </row>
    <row r="771" ht="15" customHeight="1" s="75">
      <c r="A771" s="74" t="inlineStr">
        <is>
          <t>JULHO/2026</t>
        </is>
      </c>
      <c r="B771" s="74" t="inlineStr">
        <is>
          <t>Atendimento</t>
        </is>
      </c>
      <c r="C771" s="74" t="inlineStr">
        <is>
          <t>Material de escritório</t>
        </is>
      </c>
      <c r="D771" s="74" t="inlineStr">
        <is>
          <t>DTEL</t>
        </is>
      </c>
      <c r="E771" s="151" t="n">
        <v>0</v>
      </c>
      <c r="F771" s="100" t="n">
        <v>0</v>
      </c>
      <c r="G771" s="100" t="n">
        <v>0</v>
      </c>
      <c r="H771" s="74" t="inlineStr">
        <is>
          <t>Preenchido da planilha de materiais (materiais recebidos em 06-2026.xlsx)</t>
        </is>
      </c>
    </row>
    <row r="772" ht="15" customHeight="1" s="75">
      <c r="A772" s="74" t="inlineStr">
        <is>
          <t>JULHO/2026</t>
        </is>
      </c>
      <c r="B772" s="74" t="inlineStr">
        <is>
          <t>Atendimento</t>
        </is>
      </c>
      <c r="C772" s="74" t="inlineStr">
        <is>
          <t>Material de uso coletivo</t>
        </is>
      </c>
      <c r="D772" s="74" t="inlineStr">
        <is>
          <t>DTEL</t>
        </is>
      </c>
      <c r="E772" s="151" t="n">
        <v>0</v>
      </c>
      <c r="F772" s="100" t="n">
        <v>0</v>
      </c>
      <c r="G772" s="100" t="n">
        <v>0</v>
      </c>
      <c r="H772" s="74" t="inlineStr">
        <is>
          <t>Preenchido da planilha de materiais (materiais recebidos em 05-2026.xlsx)</t>
        </is>
      </c>
    </row>
    <row r="773" ht="15" customHeight="1" s="75">
      <c r="A773" s="74" t="inlineStr">
        <is>
          <t>JULHO/2026</t>
        </is>
      </c>
      <c r="B773" s="74" t="inlineStr">
        <is>
          <t>Atendimento</t>
        </is>
      </c>
      <c r="C773" s="74" t="inlineStr">
        <is>
          <t>Material de escritório</t>
        </is>
      </c>
      <c r="D773" s="74" t="inlineStr">
        <is>
          <t>DX2</t>
        </is>
      </c>
      <c r="E773" s="151" t="n">
        <v>0</v>
      </c>
      <c r="F773" s="100" t="n">
        <v>0</v>
      </c>
      <c r="G773" s="100" t="n">
        <v>0</v>
      </c>
      <c r="H773" s="74" t="inlineStr">
        <is>
          <t>Capa de carnê</t>
        </is>
      </c>
    </row>
    <row r="774" ht="15" customHeight="1" s="75">
      <c r="A774" s="74" t="inlineStr">
        <is>
          <t>JULHO/2026</t>
        </is>
      </c>
      <c r="B774" s="74" t="inlineStr">
        <is>
          <t>Atendimento</t>
        </is>
      </c>
      <c r="C774" s="74" t="inlineStr">
        <is>
          <t>Material de uso coletivo</t>
        </is>
      </c>
      <c r="D774" s="74" t="inlineStr">
        <is>
          <t>DX2</t>
        </is>
      </c>
      <c r="E774" s="151" t="n">
        <v>0</v>
      </c>
      <c r="F774" s="100" t="n">
        <v>0</v>
      </c>
      <c r="G774" s="100" t="n">
        <v>0</v>
      </c>
      <c r="H774" s="74" t="inlineStr">
        <is>
          <t>Preenchido da planilha de materiais (materiais recebidos em 05-2026.xlsx)</t>
        </is>
      </c>
    </row>
    <row r="775" ht="15" customHeight="1" s="75">
      <c r="A775" s="74" t="inlineStr">
        <is>
          <t>JULHO/2026</t>
        </is>
      </c>
      <c r="B775" s="74" t="inlineStr">
        <is>
          <t>Atendimento</t>
        </is>
      </c>
      <c r="C775" s="74" t="inlineStr">
        <is>
          <t>Material de escritório</t>
        </is>
      </c>
      <c r="D775" s="74" t="inlineStr">
        <is>
          <t>H&amp;A</t>
        </is>
      </c>
      <c r="E775" s="151" t="n">
        <v>0</v>
      </c>
      <c r="F775" s="100" t="n">
        <v>0</v>
      </c>
      <c r="G775" s="100" t="n">
        <v>0</v>
      </c>
      <c r="H775" s="74" t="inlineStr">
        <is>
          <t>Porta panfleto</t>
        </is>
      </c>
    </row>
    <row r="776" ht="15" customHeight="1" s="75">
      <c r="A776" s="74" t="inlineStr">
        <is>
          <t>JULHO/2026</t>
        </is>
      </c>
      <c r="B776" s="74" t="inlineStr">
        <is>
          <t>Atendimento</t>
        </is>
      </c>
      <c r="C776" s="74" t="inlineStr">
        <is>
          <t>Promotor autonomo Erika sonara</t>
        </is>
      </c>
      <c r="D776" s="74" t="inlineStr">
        <is>
          <t>H&amp;A</t>
        </is>
      </c>
      <c r="E776" s="151" t="n">
        <v>0</v>
      </c>
      <c r="F776" s="100" t="n">
        <v>0</v>
      </c>
      <c r="G776" s="100" t="n">
        <v>0</v>
      </c>
      <c r="H776" s="74" t="inlineStr">
        <is>
          <t>Comissionamento de vendas realizadas na h&amp;a paga pela Dtel fev.</t>
        </is>
      </c>
    </row>
    <row r="777" ht="15" customHeight="1" s="75">
      <c r="A777" s="74" t="inlineStr">
        <is>
          <t>JULHO/2026</t>
        </is>
      </c>
      <c r="B777" s="74" t="inlineStr">
        <is>
          <t>Atendimento</t>
        </is>
      </c>
      <c r="C777" s="74" t="inlineStr">
        <is>
          <t>Material de escritório</t>
        </is>
      </c>
      <c r="D777" s="74" t="inlineStr">
        <is>
          <t>Soares e Lins</t>
        </is>
      </c>
      <c r="E777" s="151" t="n">
        <v>0</v>
      </c>
      <c r="F777" s="100" t="n">
        <v>0</v>
      </c>
      <c r="G777" s="100" t="n">
        <v>0</v>
      </c>
      <c r="H777" s="74" t="inlineStr">
        <is>
          <t>Porta panfleto</t>
        </is>
      </c>
    </row>
    <row r="778" ht="15" customHeight="1" s="75">
      <c r="A778" s="74" t="inlineStr">
        <is>
          <t>JULHO/2026</t>
        </is>
      </c>
      <c r="B778" s="74" t="inlineStr">
        <is>
          <t>Atendimento</t>
        </is>
      </c>
      <c r="C778" s="74" t="inlineStr">
        <is>
          <t>Material de uso coletivo</t>
        </is>
      </c>
      <c r="D778" s="74" t="inlineStr">
        <is>
          <t>Soares e Lins</t>
        </is>
      </c>
      <c r="E778" s="151" t="n">
        <v>0</v>
      </c>
      <c r="F778" s="100" t="n">
        <v>0</v>
      </c>
      <c r="G778" s="100" t="n">
        <v>0</v>
      </c>
      <c r="H778" s="74" t="inlineStr">
        <is>
          <t>Preenchido da planilha de materiais (materiais recebidos em 05-2026.xlsx)</t>
        </is>
      </c>
    </row>
    <row r="779" ht="15" customHeight="1" s="75">
      <c r="A779" s="74" t="inlineStr">
        <is>
          <t>JULHO/2026</t>
        </is>
      </c>
      <c r="B779" s="74" t="inlineStr">
        <is>
          <t>Atendimento</t>
        </is>
      </c>
      <c r="C779" s="74" t="inlineStr">
        <is>
          <t>Material de escritório</t>
        </is>
      </c>
      <c r="D779" s="74" t="inlineStr">
        <is>
          <t>Soares e Silva</t>
        </is>
      </c>
      <c r="E779" s="151" t="n">
        <v>0</v>
      </c>
      <c r="F779" s="100" t="n">
        <v>0</v>
      </c>
      <c r="G779" s="100" t="n">
        <v>0</v>
      </c>
      <c r="H779" s="74" t="inlineStr">
        <is>
          <t>Capa de carnê</t>
        </is>
      </c>
    </row>
    <row r="780" ht="15" customHeight="1" s="75">
      <c r="A780" s="74" t="inlineStr">
        <is>
          <t>JULHO/2026</t>
        </is>
      </c>
      <c r="B780" s="74" t="inlineStr">
        <is>
          <t>Atendimento</t>
        </is>
      </c>
      <c r="C780" s="74" t="inlineStr">
        <is>
          <t>Material de uso coletivo</t>
        </is>
      </c>
      <c r="D780" s="74" t="inlineStr">
        <is>
          <t>Soares e Silva</t>
        </is>
      </c>
      <c r="E780" s="151" t="n">
        <v>0</v>
      </c>
      <c r="F780" s="100" t="n">
        <v>0</v>
      </c>
      <c r="G780" s="100" t="n">
        <v>0</v>
      </c>
      <c r="H780" s="74" t="inlineStr">
        <is>
          <t>Água mineral</t>
        </is>
      </c>
    </row>
    <row r="781" ht="15" customHeight="1" s="75">
      <c r="A781" s="74" t="inlineStr">
        <is>
          <t>JULHO/2026</t>
        </is>
      </c>
      <c r="B781" s="74" t="inlineStr">
        <is>
          <t>Atendimento</t>
        </is>
      </c>
      <c r="C781" s="74" t="inlineStr">
        <is>
          <t>Material de escritório</t>
        </is>
      </c>
      <c r="D781" s="74" t="inlineStr">
        <is>
          <t>Solon Araújo</t>
        </is>
      </c>
      <c r="E781" s="151" t="n">
        <v>0</v>
      </c>
      <c r="F781" s="100" t="n">
        <v>0</v>
      </c>
      <c r="G781" s="100" t="n">
        <v>0</v>
      </c>
      <c r="H781" s="74" t="inlineStr">
        <is>
          <t>Caixa de resma</t>
        </is>
      </c>
    </row>
    <row r="782" ht="15" customHeight="1" s="75">
      <c r="A782" s="74" t="inlineStr">
        <is>
          <t>JULHO/2026</t>
        </is>
      </c>
      <c r="B782" s="74" t="inlineStr">
        <is>
          <t>Atendimento</t>
        </is>
      </c>
      <c r="C782" s="74" t="inlineStr">
        <is>
          <t>Material de uso coletivo</t>
        </is>
      </c>
      <c r="D782" s="74" t="inlineStr">
        <is>
          <t>Solon Araújo</t>
        </is>
      </c>
      <c r="E782" s="151" t="n">
        <v>0</v>
      </c>
      <c r="F782" s="100" t="n">
        <v>0</v>
      </c>
      <c r="G782" s="100" t="n">
        <v>0</v>
      </c>
      <c r="H782" s="74" t="inlineStr">
        <is>
          <t>Preenchido da planilha de materiais (materiais recebidos em 05-2026.xlsx)</t>
        </is>
      </c>
    </row>
    <row r="783" ht="15" customHeight="1" s="75">
      <c r="A783" s="74" t="inlineStr">
        <is>
          <t>JULHO/2026</t>
        </is>
      </c>
      <c r="B783" s="74" t="inlineStr">
        <is>
          <t>Atendimento</t>
        </is>
      </c>
      <c r="C783" s="74" t="inlineStr">
        <is>
          <t>Material de uso coletivo</t>
        </is>
      </c>
      <c r="D783" s="74" t="inlineStr">
        <is>
          <t>Solon Araújo</t>
        </is>
      </c>
      <c r="E783" s="151" t="n">
        <v>0</v>
      </c>
      <c r="F783" s="100" t="n">
        <v>0</v>
      </c>
      <c r="G783" s="100" t="n">
        <v>0</v>
      </c>
      <c r="H783" s="74" t="inlineStr">
        <is>
          <t>Água mineral</t>
        </is>
      </c>
    </row>
    <row r="784" ht="15" customHeight="1" s="75">
      <c r="A784" s="74" t="inlineStr">
        <is>
          <t>JULHO/2026</t>
        </is>
      </c>
      <c r="B784" s="74" t="inlineStr">
        <is>
          <t>Atendimento</t>
        </is>
      </c>
      <c r="C784" s="74" t="inlineStr">
        <is>
          <t>Material de escritório</t>
        </is>
      </c>
      <c r="D784" s="74" t="inlineStr">
        <is>
          <t>Souza e Silva</t>
        </is>
      </c>
      <c r="E784" s="151" t="n">
        <v>0</v>
      </c>
      <c r="F784" s="100" t="n">
        <v>0</v>
      </c>
      <c r="G784" s="100" t="n">
        <v>0</v>
      </c>
      <c r="H784" s="74" t="inlineStr">
        <is>
          <t>Porta panfleto</t>
        </is>
      </c>
    </row>
    <row r="785" ht="15" customHeight="1" s="75">
      <c r="A785" s="74" t="inlineStr">
        <is>
          <t>JULHO/2026</t>
        </is>
      </c>
      <c r="B785" s="74" t="inlineStr">
        <is>
          <t>Atendimento</t>
        </is>
      </c>
      <c r="C785" s="74" t="inlineStr">
        <is>
          <t>Material de escritório</t>
        </is>
      </c>
      <c r="D785" s="74" t="inlineStr">
        <is>
          <t>Souza e Silva</t>
        </is>
      </c>
      <c r="E785" s="151" t="n">
        <v>0</v>
      </c>
      <c r="F785" s="100" t="n">
        <v>0</v>
      </c>
      <c r="G785" s="100" t="n">
        <v>0</v>
      </c>
      <c r="H785" s="74" t="inlineStr">
        <is>
          <t>Panfletos</t>
        </is>
      </c>
    </row>
    <row r="786" ht="15" customHeight="1" s="75">
      <c r="A786" s="74" t="inlineStr">
        <is>
          <t>JULHO/2026</t>
        </is>
      </c>
      <c r="B786" s="74" t="inlineStr">
        <is>
          <t>COE</t>
        </is>
      </c>
      <c r="C786" s="74" t="inlineStr">
        <is>
          <t>Serviços do C.O.E distribuição de serviços</t>
        </is>
      </c>
      <c r="D786" s="74" t="inlineStr">
        <is>
          <t>Soares e Lins</t>
        </is>
      </c>
      <c r="E786" s="151" t="n">
        <v>3765</v>
      </c>
      <c r="F786" s="100" t="n">
        <v>0.43</v>
      </c>
      <c r="G786" s="100" t="n">
        <v>1618.95</v>
      </c>
      <c r="H786" s="74" t="inlineStr">
        <is>
          <t>Cálculo por número de clientes ativos</t>
        </is>
      </c>
    </row>
    <row r="787" ht="15" customHeight="1" s="75">
      <c r="A787" s="74" t="inlineStr">
        <is>
          <t>JULHO/2026</t>
        </is>
      </c>
      <c r="B787" s="74" t="inlineStr">
        <is>
          <t>COE</t>
        </is>
      </c>
      <c r="C787" s="74" t="inlineStr">
        <is>
          <t>Serviços do C.O.E distribuição de serviços</t>
        </is>
      </c>
      <c r="D787" s="74" t="inlineStr">
        <is>
          <t>Solon Araújo</t>
        </is>
      </c>
      <c r="E787" s="151" t="n">
        <v>14689</v>
      </c>
      <c r="F787" s="100" t="n">
        <v>0.43</v>
      </c>
      <c r="G787" s="100" t="n">
        <v>6316.27</v>
      </c>
      <c r="H787" s="74" t="inlineStr">
        <is>
          <t>Cálculo por número de clientes ativos</t>
        </is>
      </c>
    </row>
    <row r="788" ht="15" customHeight="1" s="75">
      <c r="A788" s="74" t="inlineStr">
        <is>
          <t>JULHO/2026</t>
        </is>
      </c>
      <c r="B788" s="74" t="inlineStr">
        <is>
          <t>COE</t>
        </is>
      </c>
      <c r="C788" s="74" t="inlineStr">
        <is>
          <t>Serviços do C.O.E distribuição de serviços</t>
        </is>
      </c>
      <c r="D788" s="74" t="inlineStr">
        <is>
          <t>Voicenet</t>
        </is>
      </c>
      <c r="E788" s="151" t="n">
        <v>4806</v>
      </c>
      <c r="F788" s="100" t="n">
        <v>0.43</v>
      </c>
      <c r="G788" s="100" t="n">
        <v>2066.58</v>
      </c>
      <c r="H788" s="74" t="inlineStr">
        <is>
          <t>Cálculo por número de clientes ativos</t>
        </is>
      </c>
    </row>
    <row r="789" ht="15" customHeight="1" s="75">
      <c r="A789" s="74" t="inlineStr">
        <is>
          <t>JULHO/2026</t>
        </is>
      </c>
      <c r="B789" s="74" t="inlineStr">
        <is>
          <t>Comercial</t>
        </is>
      </c>
      <c r="C789" s="74" t="inlineStr">
        <is>
          <t>Consultas e análises de crédito</t>
        </is>
      </c>
      <c r="D789" s="74" t="inlineStr">
        <is>
          <t>DTEL</t>
        </is>
      </c>
      <c r="E789" s="151" t="n">
        <v>6438</v>
      </c>
      <c r="F789" s="100" t="n">
        <v>1.86</v>
      </c>
      <c r="G789" s="100" t="n">
        <v>11974.68</v>
      </c>
      <c r="H789" s="74" t="inlineStr">
        <is>
          <t>Vendas cadastradas e consultadas pelo argos (Consulta e analise de crédito - Jul26.xlsx)</t>
        </is>
      </c>
    </row>
    <row r="790" ht="15" customHeight="1" s="75">
      <c r="A790" s="74" t="inlineStr">
        <is>
          <t>JULHO/2026</t>
        </is>
      </c>
      <c r="B790" s="74" t="inlineStr">
        <is>
          <t>Comercial</t>
        </is>
      </c>
      <c r="C790" s="74" t="inlineStr">
        <is>
          <t>Consultas e análises de crédito</t>
        </is>
      </c>
      <c r="D790" s="74" t="inlineStr">
        <is>
          <t>DX2</t>
        </is>
      </c>
      <c r="E790" s="151" t="n">
        <v>341</v>
      </c>
      <c r="F790" s="100" t="n">
        <v>1.86</v>
      </c>
      <c r="G790" s="100" t="n">
        <v>634.26</v>
      </c>
      <c r="H790" s="74" t="inlineStr">
        <is>
          <t>Vendas cadastradas e consultadas pelo argos (Consulta e analise de crédito - Jul26.xlsx)</t>
        </is>
      </c>
    </row>
    <row r="791" ht="15" customHeight="1" s="75">
      <c r="A791" s="74" t="inlineStr">
        <is>
          <t>JULHO/2026</t>
        </is>
      </c>
      <c r="B791" s="74" t="inlineStr">
        <is>
          <t>Comercial</t>
        </is>
      </c>
      <c r="C791" s="74" t="inlineStr">
        <is>
          <t>Custo do setor de vendas corporativo</t>
        </is>
      </c>
      <c r="D791" s="74" t="inlineStr">
        <is>
          <t>DX2</t>
        </is>
      </c>
      <c r="E791" s="151" t="n">
        <v>1</v>
      </c>
      <c r="F791" s="100" t="n">
        <v>1366.75</v>
      </c>
      <c r="G791" s="100" t="n">
        <v>1366.75</v>
      </c>
      <c r="H791" s="74" t="inlineStr">
        <is>
          <t>Despesa da equipe do corporativo</t>
        </is>
      </c>
    </row>
    <row r="792" ht="15" customHeight="1" s="75">
      <c r="A792" s="74" t="inlineStr">
        <is>
          <t>JULHO/2026</t>
        </is>
      </c>
      <c r="B792" s="74" t="inlineStr">
        <is>
          <t>Comercial</t>
        </is>
      </c>
      <c r="C792" s="74" t="inlineStr">
        <is>
          <t>Despesa com alimentação da itinerante pap</t>
        </is>
      </c>
      <c r="D792" s="74" t="inlineStr">
        <is>
          <t>DX2</t>
        </is>
      </c>
      <c r="E792" s="151" t="n">
        <v>0</v>
      </c>
      <c r="F792" s="100" t="n">
        <v>0</v>
      </c>
      <c r="G792" s="100" t="n">
        <v>0</v>
      </c>
      <c r="H792" s="74" t="inlineStr">
        <is>
          <t>Crédito por despesa com alimentação da equipe Dx2, em inauguração de loja h&amp;a</t>
        </is>
      </c>
    </row>
    <row r="793" ht="15" customHeight="1" s="75">
      <c r="A793" s="74" t="inlineStr">
        <is>
          <t>JULHO/2026</t>
        </is>
      </c>
      <c r="B793" s="74" t="inlineStr">
        <is>
          <t>Comercial</t>
        </is>
      </c>
      <c r="C793" s="74" t="inlineStr">
        <is>
          <t>Despesa da van DX2</t>
        </is>
      </c>
      <c r="D793" s="74" t="inlineStr">
        <is>
          <t>DX2</t>
        </is>
      </c>
      <c r="E793" s="151" t="n">
        <v>0</v>
      </c>
      <c r="F793" s="100" t="n">
        <v>0</v>
      </c>
      <c r="G793" s="100" t="n">
        <v>0</v>
      </c>
      <c r="H793" s="74" t="inlineStr">
        <is>
          <t>Crédito por despesa com combustivel da van</t>
        </is>
      </c>
    </row>
    <row r="794" ht="15" customHeight="1" s="75">
      <c r="A794" s="74" t="inlineStr">
        <is>
          <t>JULHO/2026</t>
        </is>
      </c>
      <c r="B794" s="74" t="inlineStr">
        <is>
          <t>Comercial</t>
        </is>
      </c>
      <c r="C794" s="74" t="inlineStr">
        <is>
          <t>Despesa do coordenador TIAGO, pela gestão da equipe</t>
        </is>
      </c>
      <c r="D794" s="74" t="inlineStr">
        <is>
          <t>DX2</t>
        </is>
      </c>
      <c r="E794" s="151" t="n">
        <v>-1</v>
      </c>
      <c r="F794" s="100" t="n">
        <v>620.34</v>
      </c>
      <c r="G794" s="100" t="n">
        <v>-620.34</v>
      </c>
      <c r="H794" s="74" t="inlineStr">
        <is>
          <t>Crédito por despesa com combustível e utilização de veÍculo dx2</t>
        </is>
      </c>
    </row>
    <row r="795" ht="15" customHeight="1" s="75">
      <c r="A795" s="74" t="inlineStr">
        <is>
          <t>JULHO/2026</t>
        </is>
      </c>
      <c r="B795" s="74" t="inlineStr">
        <is>
          <t>Comercial</t>
        </is>
      </c>
      <c r="C795" s="74" t="inlineStr">
        <is>
          <t>Despesa do coordenador TIAGO, pela gestão da equipe</t>
        </is>
      </c>
      <c r="D795" s="74" t="inlineStr">
        <is>
          <t>DX2</t>
        </is>
      </c>
      <c r="E795" s="151" t="n">
        <v>-1</v>
      </c>
      <c r="F795" s="100" t="n">
        <v>2216.95</v>
      </c>
      <c r="G795" s="100" t="n">
        <v>-2216.95</v>
      </c>
      <c r="H795" s="74" t="inlineStr">
        <is>
          <t>Crédito por participação do coordenador na base h&amp;a e soares e silva</t>
        </is>
      </c>
    </row>
    <row r="796" ht="15" customHeight="1" s="75">
      <c r="A796" s="74" t="inlineStr">
        <is>
          <t>JULHO/2026</t>
        </is>
      </c>
      <c r="B796" s="74" t="inlineStr">
        <is>
          <t>Comercial</t>
        </is>
      </c>
      <c r="C796" s="74" t="inlineStr">
        <is>
          <t>Vendas da equipe DX2 porta a porta P/ H&amp;A</t>
        </is>
      </c>
      <c r="D796" s="74" t="inlineStr">
        <is>
          <t>DX2</t>
        </is>
      </c>
      <c r="E796" s="151" t="n">
        <v>-1</v>
      </c>
      <c r="F796" s="100" t="n">
        <v>260.108024691358</v>
      </c>
      <c r="G796" s="100" t="n">
        <v>-260.108024691358</v>
      </c>
      <c r="H796" s="74" t="inlineStr">
        <is>
          <t>Vendas comercial varejo.xlsx (junho/2026)</t>
        </is>
      </c>
    </row>
    <row r="797" ht="15" customHeight="1" s="75">
      <c r="A797" s="74" t="inlineStr">
        <is>
          <t>JULHO/2026</t>
        </is>
      </c>
      <c r="B797" s="74" t="inlineStr">
        <is>
          <t>Comercial</t>
        </is>
      </c>
      <c r="C797" s="74" t="inlineStr">
        <is>
          <t>Vendas da equipe Dtel porta a porta</t>
        </is>
      </c>
      <c r="D797" s="74" t="inlineStr">
        <is>
          <t>DX2</t>
        </is>
      </c>
      <c r="E797" s="151" t="n">
        <v>0</v>
      </c>
      <c r="F797" s="100" t="n">
        <v>0</v>
      </c>
      <c r="G797" s="100" t="n">
        <v>0</v>
      </c>
      <c r="H797" s="74" t="inlineStr">
        <is>
          <t>Vendas instaladas</t>
        </is>
      </c>
    </row>
    <row r="798" ht="15" customHeight="1" s="75">
      <c r="A798" s="74" t="inlineStr">
        <is>
          <t>JULHO/2026</t>
        </is>
      </c>
      <c r="B798" s="74" t="inlineStr">
        <is>
          <t>Comercial</t>
        </is>
      </c>
      <c r="C798" s="74" t="inlineStr">
        <is>
          <t>Vendas da equipe Dx2 porta a porta p/ Dtel</t>
        </is>
      </c>
      <c r="D798" s="74" t="inlineStr">
        <is>
          <t>DX2</t>
        </is>
      </c>
      <c r="E798" s="151" t="n">
        <v>0</v>
      </c>
      <c r="F798" s="100" t="n">
        <v>0</v>
      </c>
      <c r="G798" s="100" t="n">
        <v>0</v>
      </c>
      <c r="H798" s="74" t="inlineStr">
        <is>
          <t>Vendas instaladas</t>
        </is>
      </c>
    </row>
    <row r="799" ht="15" customHeight="1" s="75">
      <c r="A799" s="74" t="inlineStr">
        <is>
          <t>JULHO/2026</t>
        </is>
      </c>
      <c r="B799" s="74" t="inlineStr">
        <is>
          <t>Comercial</t>
        </is>
      </c>
      <c r="C799" s="74" t="inlineStr">
        <is>
          <t>Vendas da equipe H&amp;A porta a porta P/ DX2</t>
        </is>
      </c>
      <c r="D799" s="74" t="inlineStr">
        <is>
          <t>DX2</t>
        </is>
      </c>
      <c r="E799" s="151" t="n">
        <v>3</v>
      </c>
      <c r="F799" s="100" t="n">
        <v>221.785743509048</v>
      </c>
      <c r="G799" s="100" t="n">
        <v>665.357230527144</v>
      </c>
      <c r="H799" s="74" t="inlineStr">
        <is>
          <t>Vendas comercial varejo.xlsx (junho/2026)</t>
        </is>
      </c>
    </row>
    <row r="800" ht="15" customHeight="1" s="75">
      <c r="A800" s="74" t="inlineStr">
        <is>
          <t>JULHO/2026</t>
        </is>
      </c>
      <c r="B800" s="74" t="inlineStr">
        <is>
          <t>Comercial</t>
        </is>
      </c>
      <c r="C800" s="74" t="inlineStr">
        <is>
          <t>Vendas da equipe VOICENET porta a porta P/  DX2</t>
        </is>
      </c>
      <c r="D800" s="74" t="inlineStr">
        <is>
          <t>DX2</t>
        </is>
      </c>
      <c r="E800" s="151" t="n">
        <v>0</v>
      </c>
      <c r="F800" s="100" t="n">
        <v>0</v>
      </c>
      <c r="G800" s="100" t="n">
        <v>0</v>
      </c>
      <c r="H800" s="74" t="inlineStr">
        <is>
          <t>Vendas instaladas</t>
        </is>
      </c>
    </row>
    <row r="801" ht="15" customHeight="1" s="75">
      <c r="A801" s="74" t="inlineStr">
        <is>
          <t>JULHO/2026</t>
        </is>
      </c>
      <c r="B801" s="74" t="inlineStr">
        <is>
          <t>Comercial</t>
        </is>
      </c>
      <c r="C801" s="74" t="inlineStr">
        <is>
          <t>Comissão de manutenção da Totum</t>
        </is>
      </c>
      <c r="D801" s="74" t="inlineStr">
        <is>
          <t>H&amp;A</t>
        </is>
      </c>
      <c r="E801" s="151" t="n">
        <v>1</v>
      </c>
      <c r="F801" s="100" t="n">
        <v>33.5</v>
      </c>
      <c r="G801" s="100" t="n">
        <v>33.5</v>
      </c>
      <c r="H801" s="74" t="inlineStr">
        <is>
          <t>Conselho regional de enfermagem de PE</t>
        </is>
      </c>
    </row>
    <row r="802" ht="15" customHeight="1" s="75">
      <c r="A802" s="74" t="inlineStr">
        <is>
          <t>JULHO/2026</t>
        </is>
      </c>
      <c r="B802" s="74" t="inlineStr">
        <is>
          <t>Comercial</t>
        </is>
      </c>
      <c r="C802" s="74" t="inlineStr">
        <is>
          <t>Comissão de manutenção da Totum</t>
        </is>
      </c>
      <c r="D802" s="74" t="inlineStr">
        <is>
          <t>H&amp;A</t>
        </is>
      </c>
      <c r="E802" s="151" t="n">
        <v>1</v>
      </c>
      <c r="F802" s="100" t="n">
        <v>22</v>
      </c>
      <c r="G802" s="100" t="n">
        <v>22</v>
      </c>
      <c r="H802" s="74" t="inlineStr">
        <is>
          <t>71 Batalhão De Infantaria Motorizado</t>
        </is>
      </c>
    </row>
    <row r="803" ht="15" customHeight="1" s="75">
      <c r="A803" s="74" t="inlineStr">
        <is>
          <t>JULHO/2026</t>
        </is>
      </c>
      <c r="B803" s="74" t="inlineStr">
        <is>
          <t>Comercial</t>
        </is>
      </c>
      <c r="C803" s="74" t="inlineStr">
        <is>
          <t>Consultas e análises de crédito</t>
        </is>
      </c>
      <c r="D803" s="74" t="inlineStr">
        <is>
          <t>H&amp;A</t>
        </is>
      </c>
      <c r="E803" s="151" t="n">
        <v>312</v>
      </c>
      <c r="F803" s="100" t="n">
        <v>1.86</v>
      </c>
      <c r="G803" s="100" t="n">
        <v>580.3200000000001</v>
      </c>
      <c r="H803" s="74" t="inlineStr">
        <is>
          <t>Vendas cadastradas e consultadas pelo argos</t>
        </is>
      </c>
    </row>
    <row r="804" ht="15" customHeight="1" s="75">
      <c r="A804" s="74" t="inlineStr">
        <is>
          <t>JULHO/2026</t>
        </is>
      </c>
      <c r="B804" s="74" t="inlineStr">
        <is>
          <t>Comercial</t>
        </is>
      </c>
      <c r="C804" s="74" t="inlineStr">
        <is>
          <t>Custo do setor de vendas corporativo</t>
        </is>
      </c>
      <c r="D804" s="74" t="inlineStr">
        <is>
          <t>H&amp;A</t>
        </is>
      </c>
      <c r="E804" s="151" t="n">
        <v>1</v>
      </c>
      <c r="F804" s="100" t="n">
        <v>1366.75</v>
      </c>
      <c r="G804" s="100" t="n">
        <v>1366.75</v>
      </c>
      <c r="H804" s="74" t="inlineStr">
        <is>
          <t>Despesa da equipe do corporativo</t>
        </is>
      </c>
    </row>
    <row r="805" ht="15" customHeight="1" s="75">
      <c r="A805" s="74" t="inlineStr">
        <is>
          <t>JULHO/2026</t>
        </is>
      </c>
      <c r="B805" s="74" t="inlineStr">
        <is>
          <t>Comercial</t>
        </is>
      </c>
      <c r="C805" s="74" t="inlineStr">
        <is>
          <t>Despesa com alimentação da itinerante pap</t>
        </is>
      </c>
      <c r="D805" s="74" t="inlineStr">
        <is>
          <t>H&amp;A</t>
        </is>
      </c>
      <c r="E805" s="151" t="n">
        <v>0</v>
      </c>
      <c r="F805" s="100" t="n">
        <v>0</v>
      </c>
      <c r="G805" s="100" t="n">
        <v>0</v>
      </c>
      <c r="H805" s="74" t="inlineStr">
        <is>
          <t>Despesa com alimentação da equipe Dx2, em inauguração de loja h&amp;a</t>
        </is>
      </c>
    </row>
    <row r="806" ht="15" customHeight="1" s="75">
      <c r="A806" s="74" t="inlineStr">
        <is>
          <t>JULHO/2026</t>
        </is>
      </c>
      <c r="B806" s="74" t="inlineStr">
        <is>
          <t>Comercial</t>
        </is>
      </c>
      <c r="C806" s="74" t="inlineStr">
        <is>
          <t>Despesa do coordenador TIAGO, pela gestão da equipe</t>
        </is>
      </c>
      <c r="D806" s="74" t="inlineStr">
        <is>
          <t>H&amp;A</t>
        </is>
      </c>
      <c r="E806" s="151" t="n">
        <v>0</v>
      </c>
      <c r="F806" s="100" t="n">
        <v>0</v>
      </c>
      <c r="G806" s="100" t="n">
        <v>0</v>
      </c>
      <c r="H806" s="74" t="inlineStr">
        <is>
          <t>Despesa com combustÍvel e utilização da van dx2</t>
        </is>
      </c>
    </row>
    <row r="807" ht="15" customHeight="1" s="75">
      <c r="A807" s="74" t="inlineStr">
        <is>
          <t>JULHO/2026</t>
        </is>
      </c>
      <c r="B807" s="74" t="inlineStr">
        <is>
          <t>Comercial</t>
        </is>
      </c>
      <c r="C807" s="74" t="inlineStr">
        <is>
          <t>Despesa do coordenador TIAGO, pela gestão da equipe</t>
        </is>
      </c>
      <c r="D807" s="74" t="inlineStr">
        <is>
          <t>H&amp;A</t>
        </is>
      </c>
      <c r="E807" s="151" t="n">
        <v>1</v>
      </c>
      <c r="F807" s="100" t="n">
        <v>446.88</v>
      </c>
      <c r="G807" s="100" t="n">
        <v>446.88</v>
      </c>
      <c r="H807" s="74" t="inlineStr">
        <is>
          <t>Despesa com combustÍvel e utilização de veiculo dx2</t>
        </is>
      </c>
    </row>
    <row r="808" ht="15" customHeight="1" s="75">
      <c r="A808" s="74" t="inlineStr">
        <is>
          <t>JULHO/2026</t>
        </is>
      </c>
      <c r="B808" s="74" t="inlineStr">
        <is>
          <t>Comercial</t>
        </is>
      </c>
      <c r="C808" s="74" t="inlineStr">
        <is>
          <t>Despesa do coordenador TIAGO, pela gestão da equipe</t>
        </is>
      </c>
      <c r="D808" s="74" t="inlineStr">
        <is>
          <t>H&amp;A</t>
        </is>
      </c>
      <c r="E808" s="151" t="n">
        <v>36</v>
      </c>
      <c r="F808" s="100" t="n">
        <v>21.95</v>
      </c>
      <c r="G808" s="100" t="n">
        <v>790.2</v>
      </c>
      <c r="H808" s="74" t="inlineStr">
        <is>
          <t>Despesa trabalhista dividida pela quantidade de vendas</t>
        </is>
      </c>
    </row>
    <row r="809" ht="15" customHeight="1" s="75">
      <c r="A809" s="74" t="inlineStr">
        <is>
          <t>JULHO/2026</t>
        </is>
      </c>
      <c r="B809" s="74" t="inlineStr">
        <is>
          <t>Comercial</t>
        </is>
      </c>
      <c r="C809" s="74" t="inlineStr">
        <is>
          <t>Vendas da equipe DX2 para H&amp;A</t>
        </is>
      </c>
      <c r="D809" s="74" t="inlineStr">
        <is>
          <t>H&amp;A</t>
        </is>
      </c>
      <c r="E809" s="151" t="n">
        <v>1</v>
      </c>
      <c r="F809" s="100" t="n">
        <v>260.108024691358</v>
      </c>
      <c r="G809" s="100" t="n">
        <v>260.108024691358</v>
      </c>
      <c r="H809" s="74" t="inlineStr">
        <is>
          <t>Vendas comercial varejo.xlsx (junho/2026)</t>
        </is>
      </c>
    </row>
    <row r="810" ht="15" customHeight="1" s="75">
      <c r="A810" s="74" t="inlineStr">
        <is>
          <t>JULHO/2026</t>
        </is>
      </c>
      <c r="B810" s="74" t="inlineStr">
        <is>
          <t>Comercial</t>
        </is>
      </c>
      <c r="C810" s="74" t="inlineStr">
        <is>
          <t>Vendas da equipe Dtel porta a porta</t>
        </is>
      </c>
      <c r="D810" s="74" t="inlineStr">
        <is>
          <t>H&amp;A</t>
        </is>
      </c>
      <c r="E810" s="151" t="n">
        <v>2</v>
      </c>
      <c r="F810" s="100" t="n">
        <v>221.785743509048</v>
      </c>
      <c r="G810" s="100" t="n">
        <v>443.571487018096</v>
      </c>
      <c r="H810" s="74" t="inlineStr">
        <is>
          <t>Vendas comercial varejo.xlsx (junho/2026)</t>
        </is>
      </c>
    </row>
    <row r="811" ht="15" customHeight="1" s="75">
      <c r="A811" s="74" t="inlineStr">
        <is>
          <t>JULHO/2026</t>
        </is>
      </c>
      <c r="B811" s="74" t="inlineStr">
        <is>
          <t>Comercial</t>
        </is>
      </c>
      <c r="C811" s="74" t="inlineStr">
        <is>
          <t>Vendas da equipe H&amp;A P/ VOICENET</t>
        </is>
      </c>
      <c r="D811" s="74" t="inlineStr">
        <is>
          <t>H&amp;A</t>
        </is>
      </c>
      <c r="E811" s="151" t="n">
        <v>0</v>
      </c>
      <c r="F811" s="100" t="n">
        <v>0</v>
      </c>
      <c r="G811" s="100" t="n">
        <v>0</v>
      </c>
      <c r="H811" s="74" t="inlineStr">
        <is>
          <t>Vendas instaladas</t>
        </is>
      </c>
    </row>
    <row r="812" ht="15" customHeight="1" s="75">
      <c r="A812" s="74" t="inlineStr">
        <is>
          <t>JULHO/2026</t>
        </is>
      </c>
      <c r="B812" s="74" t="inlineStr">
        <is>
          <t>Comercial</t>
        </is>
      </c>
      <c r="C812" s="74" t="inlineStr">
        <is>
          <t>Vendas da equipe H&amp;A para Dtel</t>
        </is>
      </c>
      <c r="D812" s="74" t="inlineStr">
        <is>
          <t>H&amp;A</t>
        </is>
      </c>
      <c r="E812" s="151" t="n">
        <v>-6</v>
      </c>
      <c r="F812" s="100" t="n">
        <v>221.785743509048</v>
      </c>
      <c r="G812" s="100" t="n">
        <v>-1330.71446105429</v>
      </c>
      <c r="H812" s="74" t="inlineStr">
        <is>
          <t>Vendas comercial varejo.xlsx (junho/2026)</t>
        </is>
      </c>
    </row>
    <row r="813" ht="15" customHeight="1" s="75">
      <c r="A813" s="74" t="inlineStr">
        <is>
          <t>JULHO/2026</t>
        </is>
      </c>
      <c r="B813" s="74" t="inlineStr">
        <is>
          <t>Comercial</t>
        </is>
      </c>
      <c r="C813" s="74" t="inlineStr">
        <is>
          <t>Vendas da equipe H&amp;A para Dx2</t>
        </is>
      </c>
      <c r="D813" s="74" t="inlineStr">
        <is>
          <t>H&amp;A</t>
        </is>
      </c>
      <c r="E813" s="151" t="n">
        <v>-3</v>
      </c>
      <c r="F813" s="100" t="n">
        <v>221.785743509048</v>
      </c>
      <c r="G813" s="100" t="n">
        <v>-665.357230527144</v>
      </c>
      <c r="H813" s="74" t="inlineStr">
        <is>
          <t>Vendas comercial varejo.xlsx (junho/2026)</t>
        </is>
      </c>
    </row>
    <row r="814" ht="15" customHeight="1" s="75">
      <c r="A814" s="74" t="inlineStr">
        <is>
          <t>JULHO/2026</t>
        </is>
      </c>
      <c r="B814" s="74" t="inlineStr">
        <is>
          <t>Comercial</t>
        </is>
      </c>
      <c r="C814" s="74" t="inlineStr">
        <is>
          <t>Vendas da equipe H&amp;A para soares e silva</t>
        </is>
      </c>
      <c r="D814" s="74" t="inlineStr">
        <is>
          <t>H&amp;A</t>
        </is>
      </c>
      <c r="E814" s="151" t="n">
        <v>-2</v>
      </c>
      <c r="F814" s="100" t="n">
        <v>221.785743509048</v>
      </c>
      <c r="G814" s="100" t="n">
        <v>-443.571487018096</v>
      </c>
      <c r="H814" s="74" t="inlineStr">
        <is>
          <t>Vendas comercial varejo.xlsx (junho/2026)</t>
        </is>
      </c>
    </row>
    <row r="815" ht="15" customHeight="1" s="75">
      <c r="A815" s="74" t="inlineStr">
        <is>
          <t>JULHO/2026</t>
        </is>
      </c>
      <c r="B815" s="74" t="inlineStr">
        <is>
          <t>Comercial</t>
        </is>
      </c>
      <c r="C815" s="74" t="inlineStr">
        <is>
          <t>Consultas e análises de crédito</t>
        </is>
      </c>
      <c r="D815" s="74" t="inlineStr">
        <is>
          <t>Soares e Lins</t>
        </is>
      </c>
      <c r="E815" s="151" t="n">
        <v>222</v>
      </c>
      <c r="F815" s="100" t="n">
        <v>1.86</v>
      </c>
      <c r="G815" s="100" t="n">
        <v>412.92</v>
      </c>
      <c r="H815" s="74" t="inlineStr">
        <is>
          <t>Vendas cadastradas e consultadas pelo argos</t>
        </is>
      </c>
    </row>
    <row r="816" ht="15" customHeight="1" s="75">
      <c r="A816" s="74" t="inlineStr">
        <is>
          <t>JULHO/2026</t>
        </is>
      </c>
      <c r="B816" s="74" t="inlineStr">
        <is>
          <t>Comercial</t>
        </is>
      </c>
      <c r="C816" s="74" t="inlineStr">
        <is>
          <t>Custo do setor de vendas corporativo</t>
        </is>
      </c>
      <c r="D816" s="74" t="inlineStr">
        <is>
          <t>Soares e Lins</t>
        </is>
      </c>
      <c r="E816" s="151" t="n">
        <v>1</v>
      </c>
      <c r="F816" s="100" t="n">
        <v>1366.75</v>
      </c>
      <c r="G816" s="100" t="n">
        <v>1366.75</v>
      </c>
      <c r="H816" s="74" t="inlineStr">
        <is>
          <t>Despesa da equipe do corporativo</t>
        </is>
      </c>
    </row>
    <row r="817" ht="15" customHeight="1" s="75">
      <c r="A817" s="74" t="inlineStr">
        <is>
          <t>JULHO/2026</t>
        </is>
      </c>
      <c r="B817" s="74" t="inlineStr">
        <is>
          <t>Comercial</t>
        </is>
      </c>
      <c r="C817" s="74" t="inlineStr">
        <is>
          <t>Vendas da equipe Dtel porta a porta</t>
        </is>
      </c>
      <c r="D817" s="74" t="inlineStr">
        <is>
          <t>Soares e Lins</t>
        </is>
      </c>
      <c r="E817" s="151" t="n">
        <v>1</v>
      </c>
      <c r="F817" s="100" t="n">
        <v>221.785743509048</v>
      </c>
      <c r="G817" s="100" t="n">
        <v>221.785743509048</v>
      </c>
      <c r="H817" s="74" t="inlineStr">
        <is>
          <t>Vendas comercial varejo.xlsx (junho/2026)</t>
        </is>
      </c>
    </row>
    <row r="818" ht="15" customHeight="1" s="75">
      <c r="A818" s="74" t="inlineStr">
        <is>
          <t>JULHO/2026</t>
        </is>
      </c>
      <c r="B818" s="74" t="inlineStr">
        <is>
          <t>Comercial</t>
        </is>
      </c>
      <c r="C818" s="74" t="inlineStr">
        <is>
          <t>Vendas da equipe Soares e lins p/ Dtel</t>
        </is>
      </c>
      <c r="D818" s="74" t="inlineStr">
        <is>
          <t>Soares e Lins</t>
        </is>
      </c>
      <c r="E818" s="151" t="n">
        <v>0</v>
      </c>
      <c r="F818" s="100" t="n">
        <v>0</v>
      </c>
      <c r="G818" s="100" t="n">
        <v>0</v>
      </c>
      <c r="H818" s="74" t="inlineStr">
        <is>
          <t>Vendas comercial varejo.xlsx (junho/2026)</t>
        </is>
      </c>
    </row>
    <row r="819" ht="15" customHeight="1" s="75">
      <c r="A819" s="74" t="inlineStr">
        <is>
          <t>JULHO/2026</t>
        </is>
      </c>
      <c r="B819" s="74" t="inlineStr">
        <is>
          <t>Comercial</t>
        </is>
      </c>
      <c r="C819" s="74" t="inlineStr">
        <is>
          <t>Vendas da equipe Soares e lins p/ solon</t>
        </is>
      </c>
      <c r="D819" s="74" t="inlineStr">
        <is>
          <t>Soares e Lins</t>
        </is>
      </c>
      <c r="E819" s="151" t="n">
        <v>0</v>
      </c>
      <c r="F819" s="100" t="n">
        <v>0</v>
      </c>
      <c r="G819" s="100" t="n">
        <v>0</v>
      </c>
    </row>
    <row r="820" ht="15" customHeight="1" s="75">
      <c r="A820" s="74" t="inlineStr">
        <is>
          <t>JULHO/2026</t>
        </is>
      </c>
      <c r="B820" s="74" t="inlineStr">
        <is>
          <t>Comercial</t>
        </is>
      </c>
      <c r="C820" s="74" t="inlineStr">
        <is>
          <t>Vendas da equipe voicenet P/ SOARES E LINS</t>
        </is>
      </c>
      <c r="D820" s="74" t="inlineStr">
        <is>
          <t>Soares e Lins</t>
        </is>
      </c>
      <c r="E820" s="151" t="n">
        <v>0</v>
      </c>
      <c r="F820" s="100" t="n">
        <v>0</v>
      </c>
      <c r="G820" s="100" t="n">
        <v>0</v>
      </c>
      <c r="H820" s="74" t="inlineStr">
        <is>
          <t>Vendas instaladas</t>
        </is>
      </c>
    </row>
    <row r="821" ht="15" customHeight="1" s="75">
      <c r="A821" s="74" t="inlineStr">
        <is>
          <t>JULHO/2026</t>
        </is>
      </c>
      <c r="B821" s="74" t="inlineStr">
        <is>
          <t>Comercial</t>
        </is>
      </c>
      <c r="C821" s="74" t="inlineStr">
        <is>
          <t>Consultas e análises de crédito</t>
        </is>
      </c>
      <c r="D821" s="74" t="inlineStr">
        <is>
          <t>Soares e Silva</t>
        </is>
      </c>
      <c r="E821" s="151" t="n">
        <v>669</v>
      </c>
      <c r="F821" s="100" t="n">
        <v>1.86</v>
      </c>
      <c r="G821" s="100" t="n">
        <v>1244.34</v>
      </c>
      <c r="H821" s="74" t="inlineStr">
        <is>
          <t>Vendas cadastradas e consultadas pelo argos</t>
        </is>
      </c>
    </row>
    <row r="822" ht="15" customHeight="1" s="75">
      <c r="A822" s="74" t="inlineStr">
        <is>
          <t>JULHO/2026</t>
        </is>
      </c>
      <c r="B822" s="74" t="inlineStr">
        <is>
          <t>Comercial</t>
        </is>
      </c>
      <c r="C822" s="74" t="inlineStr">
        <is>
          <t>Custo do setor de vendas corporativo</t>
        </is>
      </c>
      <c r="D822" s="74" t="inlineStr">
        <is>
          <t>Soares e Silva</t>
        </is>
      </c>
      <c r="E822" s="151" t="n">
        <v>1</v>
      </c>
      <c r="F822" s="100" t="n">
        <v>1366.75</v>
      </c>
      <c r="G822" s="100" t="n">
        <v>1366.75</v>
      </c>
      <c r="H822" s="74" t="inlineStr">
        <is>
          <t>Despesa da equipe do corporativo</t>
        </is>
      </c>
    </row>
    <row r="823" ht="15" customHeight="1" s="75">
      <c r="A823" s="74" t="inlineStr">
        <is>
          <t>JULHO/2026</t>
        </is>
      </c>
      <c r="B823" s="74" t="inlineStr">
        <is>
          <t>Comercial</t>
        </is>
      </c>
      <c r="C823" s="74" t="inlineStr">
        <is>
          <t>Despesa do coordenador TIAGO, pela gestão da equipe</t>
        </is>
      </c>
      <c r="D823" s="74" t="inlineStr">
        <is>
          <t>Soares e Silva</t>
        </is>
      </c>
      <c r="E823" s="151" t="n">
        <v>1</v>
      </c>
      <c r="F823" s="100" t="n">
        <v>173.46</v>
      </c>
      <c r="G823" s="100" t="n">
        <v>173.46</v>
      </c>
      <c r="H823" s="74" t="inlineStr">
        <is>
          <t>Despesa com combustÍvel e utilização de veÍculo dx2</t>
        </is>
      </c>
    </row>
    <row r="824" ht="15" customHeight="1" s="75">
      <c r="A824" s="74" t="inlineStr">
        <is>
          <t>JULHO/2026</t>
        </is>
      </c>
      <c r="B824" s="74" t="inlineStr">
        <is>
          <t>Comercial</t>
        </is>
      </c>
      <c r="C824" s="74" t="inlineStr">
        <is>
          <t>Despesa do coordenador TIAGO, pela gestão da equipe</t>
        </is>
      </c>
      <c r="D824" s="74" t="inlineStr">
        <is>
          <t>Soares e Silva</t>
        </is>
      </c>
      <c r="E824" s="151" t="n">
        <v>65</v>
      </c>
      <c r="F824" s="100" t="n">
        <v>21.95</v>
      </c>
      <c r="G824" s="100" t="n">
        <v>1426.75</v>
      </c>
      <c r="H824" s="74" t="inlineStr">
        <is>
          <t>Despesa trabalhista e pela quantidade de vendas</t>
        </is>
      </c>
    </row>
    <row r="825" ht="15" customHeight="1" s="75">
      <c r="A825" s="74" t="inlineStr">
        <is>
          <t>JULHO/2026</t>
        </is>
      </c>
      <c r="B825" s="74" t="inlineStr">
        <is>
          <t>Comercial</t>
        </is>
      </c>
      <c r="C825" s="74" t="inlineStr">
        <is>
          <t>Vendas da equipe Dtel porta a porta p/ Soares e silva</t>
        </is>
      </c>
      <c r="D825" s="74" t="inlineStr">
        <is>
          <t>Soares e Silva</t>
        </is>
      </c>
      <c r="E825" s="151" t="n">
        <v>1</v>
      </c>
      <c r="F825" s="100" t="n">
        <v>221.785743509048</v>
      </c>
      <c r="G825" s="100" t="n">
        <v>221.785743509048</v>
      </c>
      <c r="H825" s="74" t="inlineStr">
        <is>
          <t>Vendas comercial varejo.xlsx (junho/2026)</t>
        </is>
      </c>
    </row>
    <row r="826" ht="15" customHeight="1" s="75">
      <c r="A826" s="74" t="inlineStr">
        <is>
          <t>JULHO/2026</t>
        </is>
      </c>
      <c r="B826" s="74" t="inlineStr">
        <is>
          <t>Comercial</t>
        </is>
      </c>
      <c r="C826" s="74" t="inlineStr">
        <is>
          <t>Vendas da equipe H&amp;A para Soares e Silva</t>
        </is>
      </c>
      <c r="D826" s="74" t="inlineStr">
        <is>
          <t>Soares e Silva</t>
        </is>
      </c>
      <c r="E826" s="151" t="n">
        <v>2</v>
      </c>
      <c r="F826" s="100" t="n">
        <v>221.785743509048</v>
      </c>
      <c r="G826" s="100" t="n">
        <v>443.571487018096</v>
      </c>
      <c r="H826" s="74" t="inlineStr">
        <is>
          <t>Vendas comercial varejo.xlsx (junho/2026)</t>
        </is>
      </c>
    </row>
    <row r="827" ht="15" customHeight="1" s="75">
      <c r="A827" s="74" t="inlineStr">
        <is>
          <t>JULHO/2026</t>
        </is>
      </c>
      <c r="B827" s="74" t="inlineStr">
        <is>
          <t>Comercial</t>
        </is>
      </c>
      <c r="C827" s="74" t="inlineStr">
        <is>
          <t>Vendas da equipe Soares e Silva p/ DTEL</t>
        </is>
      </c>
      <c r="D827" s="74" t="inlineStr">
        <is>
          <t>Soares e Silva</t>
        </is>
      </c>
      <c r="E827" s="151" t="n">
        <v>0</v>
      </c>
      <c r="F827" s="100" t="n">
        <v>0</v>
      </c>
      <c r="G827" s="100" t="n">
        <v>0</v>
      </c>
    </row>
    <row r="828" ht="15" customHeight="1" s="75">
      <c r="A828" s="74" t="inlineStr">
        <is>
          <t>JULHO/2026</t>
        </is>
      </c>
      <c r="B828" s="74" t="inlineStr">
        <is>
          <t>Comercial</t>
        </is>
      </c>
      <c r="C828" s="74" t="inlineStr">
        <is>
          <t>Vendas da equipe voicenet porta a porta p/ Soares e silva</t>
        </is>
      </c>
      <c r="D828" s="74" t="inlineStr">
        <is>
          <t>Soares e Silva</t>
        </is>
      </c>
      <c r="E828" s="151" t="n">
        <v>0</v>
      </c>
      <c r="F828" s="100" t="n">
        <v>0</v>
      </c>
      <c r="G828" s="100" t="n">
        <v>0</v>
      </c>
      <c r="H828" s="74" t="inlineStr">
        <is>
          <t>Vendas comercial varejo.xlsx (junho/2026)</t>
        </is>
      </c>
    </row>
    <row r="829" ht="15" customHeight="1" s="75">
      <c r="A829" s="74" t="inlineStr">
        <is>
          <t>JULHO/2026</t>
        </is>
      </c>
      <c r="B829" s="74" t="inlineStr">
        <is>
          <t>Comercial</t>
        </is>
      </c>
      <c r="C829" s="74" t="inlineStr">
        <is>
          <t>Consultas e análises de crédito</t>
        </is>
      </c>
      <c r="D829" s="74" t="inlineStr">
        <is>
          <t>Solon Araújo</t>
        </is>
      </c>
      <c r="E829" s="151" t="n">
        <v>510</v>
      </c>
      <c r="F829" s="100" t="n">
        <v>1.86</v>
      </c>
      <c r="G829" s="100" t="n">
        <v>948.6</v>
      </c>
      <c r="H829" s="74" t="inlineStr">
        <is>
          <t>Vendas cadastradas e consultadas pelo argos</t>
        </is>
      </c>
    </row>
    <row r="830" ht="15" customHeight="1" s="75">
      <c r="A830" s="74" t="inlineStr">
        <is>
          <t>JULHO/2026</t>
        </is>
      </c>
      <c r="B830" s="74" t="inlineStr">
        <is>
          <t>Comercial</t>
        </is>
      </c>
      <c r="C830" s="74" t="inlineStr">
        <is>
          <t>Custo do setor de vendas corporativo</t>
        </is>
      </c>
      <c r="D830" s="74" t="inlineStr">
        <is>
          <t>Solon Araújo</t>
        </is>
      </c>
      <c r="E830" s="151" t="n">
        <v>1</v>
      </c>
      <c r="F830" s="100" t="n">
        <v>1366.75</v>
      </c>
      <c r="G830" s="100" t="n">
        <v>1366.75</v>
      </c>
      <c r="H830" s="74" t="inlineStr">
        <is>
          <t>Despesa da equipe do corporativo</t>
        </is>
      </c>
    </row>
    <row r="831" ht="15" customHeight="1" s="75">
      <c r="A831" s="74" t="inlineStr">
        <is>
          <t>JULHO/2026</t>
        </is>
      </c>
      <c r="B831" s="74" t="inlineStr">
        <is>
          <t>Comercial</t>
        </is>
      </c>
      <c r="C831" s="74" t="inlineStr">
        <is>
          <t>Despesa do coordenador TARCIZIO, pela gestão da equipe</t>
        </is>
      </c>
      <c r="D831" s="74" t="inlineStr">
        <is>
          <t>Solon Araújo</t>
        </is>
      </c>
      <c r="E831" s="151" t="n">
        <v>1</v>
      </c>
      <c r="F831" s="100" t="n">
        <v>542</v>
      </c>
      <c r="G831" s="100" t="n">
        <v>542</v>
      </c>
      <c r="H831" s="74" t="inlineStr">
        <is>
          <t>Despesa com combustivel e utilização carro dtel</t>
        </is>
      </c>
    </row>
    <row r="832" ht="15" customHeight="1" s="75">
      <c r="A832" s="74" t="inlineStr">
        <is>
          <t>JULHO/2026</t>
        </is>
      </c>
      <c r="B832" s="74" t="inlineStr">
        <is>
          <t>Comercial</t>
        </is>
      </c>
      <c r="C832" s="74" t="inlineStr">
        <is>
          <t>Despesa do coordenador TARCIZIO, pela gestão da equipe</t>
        </is>
      </c>
      <c r="D832" s="74" t="inlineStr">
        <is>
          <t>Solon Araújo</t>
        </is>
      </c>
      <c r="E832" s="151" t="n">
        <v>0</v>
      </c>
      <c r="F832" s="100" t="n">
        <v>0</v>
      </c>
      <c r="G832" s="100" t="n">
        <v>0</v>
      </c>
      <c r="H832" s="74" t="inlineStr">
        <is>
          <t>Despesa trabalhista dividida pela quantidade de vendas</t>
        </is>
      </c>
    </row>
    <row r="833" ht="15" customHeight="1" s="75">
      <c r="A833" s="74" t="inlineStr">
        <is>
          <t>JULHO/2026</t>
        </is>
      </c>
      <c r="B833" s="74" t="inlineStr">
        <is>
          <t>Comercial</t>
        </is>
      </c>
      <c r="C833" s="74" t="inlineStr">
        <is>
          <t>Vendas da equipe Dtel porta a porta</t>
        </is>
      </c>
      <c r="D833" s="74" t="inlineStr">
        <is>
          <t>Solon Araújo</t>
        </is>
      </c>
      <c r="E833" s="151" t="n">
        <v>6</v>
      </c>
      <c r="F833" s="100" t="n">
        <v>221.785743509048</v>
      </c>
      <c r="G833" s="100" t="n">
        <v>1330.71446105429</v>
      </c>
      <c r="H833" s="74" t="inlineStr">
        <is>
          <t>Vendas comercial varejo.xlsx (junho/2026)</t>
        </is>
      </c>
    </row>
    <row r="834" ht="15" customHeight="1" s="75">
      <c r="A834" s="74" t="inlineStr">
        <is>
          <t>JULHO/2026</t>
        </is>
      </c>
      <c r="B834" s="74" t="inlineStr">
        <is>
          <t>Comercial</t>
        </is>
      </c>
      <c r="C834" s="74" t="inlineStr">
        <is>
          <t>Vendas da equipe Voicenet p/ Solon</t>
        </is>
      </c>
      <c r="D834" s="74" t="inlineStr">
        <is>
          <t>Solon Araújo</t>
        </is>
      </c>
      <c r="E834" s="151" t="n">
        <v>0</v>
      </c>
      <c r="F834" s="100" t="n">
        <v>0</v>
      </c>
      <c r="G834" s="100" t="n">
        <v>0</v>
      </c>
      <c r="H834" s="74" t="inlineStr">
        <is>
          <t>Vendas instaladas</t>
        </is>
      </c>
    </row>
    <row r="835" ht="15" customHeight="1" s="75">
      <c r="A835" s="74" t="inlineStr">
        <is>
          <t>JULHO/2026</t>
        </is>
      </c>
      <c r="B835" s="74" t="inlineStr">
        <is>
          <t>Comercial</t>
        </is>
      </c>
      <c r="C835" s="74" t="inlineStr">
        <is>
          <t>Vendas da equipe da soares e lins para Solon</t>
        </is>
      </c>
      <c r="D835" s="74" t="inlineStr">
        <is>
          <t>Solon Araújo</t>
        </is>
      </c>
      <c r="E835" s="151" t="n">
        <v>0</v>
      </c>
      <c r="F835" s="100" t="n">
        <v>0</v>
      </c>
      <c r="G835" s="100" t="n">
        <v>0</v>
      </c>
      <c r="H835" s="74" t="inlineStr">
        <is>
          <t>Vendas instaladas</t>
        </is>
      </c>
    </row>
    <row r="836" ht="15" customHeight="1" s="75">
      <c r="A836" s="74" t="inlineStr">
        <is>
          <t>JULHO/2026</t>
        </is>
      </c>
      <c r="B836" s="74" t="inlineStr">
        <is>
          <t>Comercial</t>
        </is>
      </c>
      <c r="C836" s="74" t="inlineStr">
        <is>
          <t>Vendas da equipe solon p/ Dtel</t>
        </is>
      </c>
      <c r="D836" s="74" t="inlineStr">
        <is>
          <t>Solon Araújo</t>
        </is>
      </c>
      <c r="E836" s="151" t="n">
        <v>0</v>
      </c>
      <c r="F836" s="100" t="n">
        <v>0</v>
      </c>
      <c r="G836" s="100" t="n">
        <v>0</v>
      </c>
      <c r="H836" s="74" t="inlineStr">
        <is>
          <t>Vendas instaladas</t>
        </is>
      </c>
    </row>
    <row r="837" ht="15" customHeight="1" s="75">
      <c r="A837" s="74" t="inlineStr">
        <is>
          <t>JULHO/2026</t>
        </is>
      </c>
      <c r="B837" s="74" t="inlineStr">
        <is>
          <t>Comercial</t>
        </is>
      </c>
      <c r="C837" s="74" t="inlineStr">
        <is>
          <t>Consultas e análises de crédito</t>
        </is>
      </c>
      <c r="D837" s="74" t="inlineStr">
        <is>
          <t>Souza e Silva</t>
        </is>
      </c>
      <c r="E837" s="151" t="n">
        <v>154</v>
      </c>
      <c r="F837" s="100" t="n">
        <v>1.86</v>
      </c>
      <c r="G837" s="100" t="n">
        <v>286.44</v>
      </c>
      <c r="H837" s="74" t="inlineStr">
        <is>
          <t>Vendas cadastradas e consultadas pelo argos</t>
        </is>
      </c>
    </row>
    <row r="838" ht="15" customHeight="1" s="75">
      <c r="A838" s="74" t="inlineStr">
        <is>
          <t>JULHO/2026</t>
        </is>
      </c>
      <c r="B838" s="74" t="inlineStr">
        <is>
          <t>Comercial</t>
        </is>
      </c>
      <c r="C838" s="74" t="inlineStr">
        <is>
          <t>Custo do setor de vendas corporativo</t>
        </is>
      </c>
      <c r="D838" s="74" t="inlineStr">
        <is>
          <t>Souza e Silva</t>
        </is>
      </c>
      <c r="E838" s="151" t="n">
        <v>1</v>
      </c>
      <c r="F838" s="100" t="n">
        <v>1366.75</v>
      </c>
      <c r="G838" s="100" t="n">
        <v>1366.75</v>
      </c>
      <c r="H838" s="74" t="inlineStr">
        <is>
          <t>Despesa da equipe do corporativo</t>
        </is>
      </c>
    </row>
    <row r="839" ht="15" customHeight="1" s="75">
      <c r="A839" s="74" t="inlineStr">
        <is>
          <t>JULHO/2026</t>
        </is>
      </c>
      <c r="B839" s="74" t="inlineStr">
        <is>
          <t>Comercial</t>
        </is>
      </c>
      <c r="C839" s="74" t="inlineStr">
        <is>
          <t>Despesa do coordenador TARCIZIO, pela gestão da equipe</t>
        </is>
      </c>
      <c r="D839" s="74" t="inlineStr">
        <is>
          <t>Souza e Silva</t>
        </is>
      </c>
      <c r="E839" s="151" t="n">
        <v>1</v>
      </c>
      <c r="F839" s="100" t="n">
        <v>729</v>
      </c>
      <c r="G839" s="100" t="n">
        <v>729</v>
      </c>
      <c r="H839" s="74" t="inlineStr">
        <is>
          <t>Despesa com combustível e utilização carro dtel</t>
        </is>
      </c>
    </row>
    <row r="840" ht="15" customHeight="1" s="75">
      <c r="A840" s="74" t="inlineStr">
        <is>
          <t>JULHO/2026</t>
        </is>
      </c>
      <c r="B840" s="74" t="inlineStr">
        <is>
          <t>Comercial</t>
        </is>
      </c>
      <c r="C840" s="74" t="inlineStr">
        <is>
          <t>Despesa do coordenador TARCIZIO, pela gestão da equipe</t>
        </is>
      </c>
      <c r="D840" s="74" t="inlineStr">
        <is>
          <t>Souza e Silva</t>
        </is>
      </c>
      <c r="E840" s="151" t="n">
        <v>35</v>
      </c>
      <c r="F840" s="100" t="n">
        <v>18.52</v>
      </c>
      <c r="G840" s="100" t="n">
        <v>648.2</v>
      </c>
      <c r="H840" s="74" t="inlineStr">
        <is>
          <t>Despesa trabalhista dividida pela quantidade de vendas</t>
        </is>
      </c>
    </row>
    <row r="841" ht="15" customHeight="1" s="75">
      <c r="A841" s="74" t="inlineStr">
        <is>
          <t>JULHO/2026</t>
        </is>
      </c>
      <c r="B841" s="74" t="inlineStr">
        <is>
          <t>Comercial</t>
        </is>
      </c>
      <c r="C841" s="74" t="inlineStr">
        <is>
          <t>Vendas da equipe Dtel porta a porta</t>
        </is>
      </c>
      <c r="D841" s="74" t="inlineStr">
        <is>
          <t>Souza e Silva</t>
        </is>
      </c>
      <c r="E841" s="151" t="n">
        <v>0</v>
      </c>
      <c r="F841" s="100" t="n">
        <v>0</v>
      </c>
      <c r="G841" s="100" t="n">
        <v>0</v>
      </c>
      <c r="H841" s="74" t="inlineStr">
        <is>
          <t>Vendas instaladas</t>
        </is>
      </c>
    </row>
    <row r="842" ht="15" customHeight="1" s="75">
      <c r="A842" s="74" t="inlineStr">
        <is>
          <t>JULHO/2026</t>
        </is>
      </c>
      <c r="B842" s="74" t="inlineStr">
        <is>
          <t>Comercial</t>
        </is>
      </c>
      <c r="C842" s="74" t="inlineStr">
        <is>
          <t>Vendas da equipe Souza e silva p/ DTEL</t>
        </is>
      </c>
      <c r="D842" s="74" t="inlineStr">
        <is>
          <t>Souza e Silva</t>
        </is>
      </c>
      <c r="E842" s="151" t="n">
        <v>-1</v>
      </c>
      <c r="F842" s="100" t="n">
        <v>519.806923076923</v>
      </c>
      <c r="G842" s="100" t="n">
        <v>-519.806923076923</v>
      </c>
      <c r="H842" s="74" t="inlineStr">
        <is>
          <t>Vendas comercial varejo.xlsx (junho/2026)</t>
        </is>
      </c>
    </row>
    <row r="843" ht="15" customHeight="1" s="75">
      <c r="A843" s="74" t="inlineStr">
        <is>
          <t>JULHO/2026</t>
        </is>
      </c>
      <c r="B843" s="74" t="inlineStr">
        <is>
          <t>Comercial</t>
        </is>
      </c>
      <c r="C843" s="74" t="inlineStr">
        <is>
          <t>Comissão de manutenção da Totum</t>
        </is>
      </c>
      <c r="D843" s="74" t="inlineStr">
        <is>
          <t>Voicenet</t>
        </is>
      </c>
      <c r="E843" s="151" t="n">
        <v>1</v>
      </c>
      <c r="F843" s="100" t="n">
        <v>25.5</v>
      </c>
      <c r="G843" s="100" t="n">
        <v>25.5</v>
      </c>
      <c r="H843" s="74" t="inlineStr">
        <is>
          <t>Conselho regional de farmacia do estado de PE</t>
        </is>
      </c>
    </row>
    <row r="844" ht="15" customHeight="1" s="75">
      <c r="A844" s="74" t="inlineStr">
        <is>
          <t>JULHO/2026</t>
        </is>
      </c>
      <c r="B844" s="74" t="inlineStr">
        <is>
          <t>Comercial</t>
        </is>
      </c>
      <c r="C844" s="74" t="inlineStr">
        <is>
          <t>Consultas e análises de crédito</t>
        </is>
      </c>
      <c r="D844" s="74" t="inlineStr">
        <is>
          <t>Voicenet</t>
        </is>
      </c>
      <c r="E844" s="151" t="n">
        <v>268</v>
      </c>
      <c r="F844" s="100" t="n">
        <v>1.86</v>
      </c>
      <c r="G844" s="100" t="n">
        <v>498.48</v>
      </c>
      <c r="H844" s="74" t="inlineStr">
        <is>
          <t>Vendas cadastradas e consultadas pelo argos</t>
        </is>
      </c>
    </row>
    <row r="845" ht="15" customHeight="1" s="75">
      <c r="A845" s="74" t="inlineStr">
        <is>
          <t>JULHO/2026</t>
        </is>
      </c>
      <c r="B845" s="74" t="inlineStr">
        <is>
          <t>Comercial</t>
        </is>
      </c>
      <c r="C845" s="74" t="inlineStr">
        <is>
          <t>Custo do setor de vendas corporativo</t>
        </is>
      </c>
      <c r="D845" s="74" t="inlineStr">
        <is>
          <t>Voicenet</t>
        </is>
      </c>
      <c r="E845" s="151" t="n">
        <v>1</v>
      </c>
      <c r="F845" s="100" t="n">
        <v>1366.75</v>
      </c>
      <c r="G845" s="100" t="n">
        <v>1366.75</v>
      </c>
      <c r="H845" s="74" t="inlineStr">
        <is>
          <t>Despesa da equipe do corporativo</t>
        </is>
      </c>
    </row>
    <row r="846" ht="15" customHeight="1" s="75">
      <c r="A846" s="74" t="inlineStr">
        <is>
          <t>JULHO/2026</t>
        </is>
      </c>
      <c r="B846" s="74" t="inlineStr">
        <is>
          <t>Comercial</t>
        </is>
      </c>
      <c r="C846" s="74" t="inlineStr">
        <is>
          <t>Vendas da equipe Dtel porta a porta</t>
        </is>
      </c>
      <c r="D846" s="74" t="inlineStr">
        <is>
          <t>Voicenet</t>
        </is>
      </c>
      <c r="E846" s="151" t="n">
        <v>5</v>
      </c>
      <c r="F846" s="100" t="n">
        <v>221.785743509048</v>
      </c>
      <c r="G846" s="100" t="n">
        <v>1108.92871754524</v>
      </c>
      <c r="H846" s="74" t="inlineStr">
        <is>
          <t>Vendas comercial varejo</t>
        </is>
      </c>
    </row>
    <row r="847" ht="15" customHeight="1" s="75">
      <c r="A847" s="74" t="inlineStr">
        <is>
          <t>JULHO/2026</t>
        </is>
      </c>
      <c r="B847" s="74" t="inlineStr">
        <is>
          <t>Comercial</t>
        </is>
      </c>
      <c r="C847" s="74" t="inlineStr">
        <is>
          <t>Vendas da equipe H&amp;A p/ voice</t>
        </is>
      </c>
      <c r="D847" s="74" t="inlineStr">
        <is>
          <t>Voicenet</t>
        </is>
      </c>
      <c r="E847" s="151" t="n">
        <v>0</v>
      </c>
      <c r="F847" s="100" t="n">
        <v>0</v>
      </c>
      <c r="G847" s="100" t="n">
        <v>0</v>
      </c>
    </row>
    <row r="848" ht="15" customHeight="1" s="75">
      <c r="A848" s="74" t="inlineStr">
        <is>
          <t>JULHO/2026</t>
        </is>
      </c>
      <c r="B848" s="74" t="inlineStr">
        <is>
          <t>Comercial</t>
        </is>
      </c>
      <c r="C848" s="74" t="inlineStr">
        <is>
          <t>Vendas da equipe Voicenet para Dtel</t>
        </is>
      </c>
      <c r="D848" s="74" t="inlineStr">
        <is>
          <t>Voicenet</t>
        </is>
      </c>
      <c r="E848" s="151" t="n">
        <v>-8</v>
      </c>
      <c r="F848" s="100" t="n">
        <v>289.27</v>
      </c>
      <c r="G848" s="100" t="n">
        <v>-2314.16</v>
      </c>
      <c r="H848" s="74" t="inlineStr">
        <is>
          <t>Vendas comercial varejo.xlsx (junho/2026)</t>
        </is>
      </c>
    </row>
    <row r="849" ht="15" customHeight="1" s="75">
      <c r="A849" s="74" t="inlineStr">
        <is>
          <t>JULHO/2026</t>
        </is>
      </c>
      <c r="B849" s="74" t="inlineStr">
        <is>
          <t>Comercial</t>
        </is>
      </c>
      <c r="C849" s="74" t="inlineStr">
        <is>
          <t>Vendas da equipe da Voicenet para soares e silva</t>
        </is>
      </c>
      <c r="D849" s="74" t="inlineStr">
        <is>
          <t>Voicenet</t>
        </is>
      </c>
      <c r="E849" s="151" t="n">
        <v>0</v>
      </c>
      <c r="F849" s="100" t="n">
        <v>0</v>
      </c>
      <c r="G849" s="100" t="n">
        <v>0</v>
      </c>
      <c r="H849" s="74" t="inlineStr">
        <is>
          <t>Vendas instaladas</t>
        </is>
      </c>
    </row>
    <row r="850" ht="15" customHeight="1" s="75">
      <c r="A850" s="74" t="inlineStr">
        <is>
          <t>JULHO/2026</t>
        </is>
      </c>
      <c r="B850" s="74" t="inlineStr">
        <is>
          <t>Comercial</t>
        </is>
      </c>
      <c r="C850" s="74" t="inlineStr">
        <is>
          <t>Vendas da equipe voicenet p/ Solon</t>
        </is>
      </c>
      <c r="D850" s="74" t="inlineStr">
        <is>
          <t>Voicenet</t>
        </is>
      </c>
      <c r="E850" s="151" t="n">
        <v>0</v>
      </c>
      <c r="F850" s="100" t="n">
        <v>0</v>
      </c>
      <c r="G850" s="100" t="n">
        <v>0</v>
      </c>
    </row>
    <row r="851" ht="15" customHeight="1" s="75">
      <c r="A851" s="74" t="inlineStr">
        <is>
          <t>JULHO/2026</t>
        </is>
      </c>
      <c r="B851" s="74" t="inlineStr">
        <is>
          <t>Configuração</t>
        </is>
      </c>
      <c r="C851" s="74" t="inlineStr">
        <is>
          <t>Serviços de configuração e suporte ao Técnico</t>
        </is>
      </c>
      <c r="D851" s="74" t="inlineStr">
        <is>
          <t>DX2</t>
        </is>
      </c>
      <c r="E851" s="151" t="n">
        <v>6588</v>
      </c>
      <c r="F851" s="100" t="n">
        <v>0.2</v>
      </c>
      <c r="G851" s="100" t="n">
        <v>1317.6</v>
      </c>
      <c r="H851" s="74" t="inlineStr">
        <is>
          <t>Cálculo por número de clientes ativos</t>
        </is>
      </c>
    </row>
    <row r="852" ht="15" customHeight="1" s="75">
      <c r="A852" s="74" t="inlineStr">
        <is>
          <t>JULHO/2026</t>
        </is>
      </c>
      <c r="B852" s="74" t="inlineStr">
        <is>
          <t>Configuração</t>
        </is>
      </c>
      <c r="C852" s="74" t="inlineStr">
        <is>
          <t>Serviços de configuração e suporte ao Técnico</t>
        </is>
      </c>
      <c r="D852" s="74" t="inlineStr">
        <is>
          <t>H&amp;A</t>
        </is>
      </c>
      <c r="E852" s="151" t="n">
        <v>13530</v>
      </c>
      <c r="F852" s="100" t="n">
        <v>0.2</v>
      </c>
      <c r="G852" s="100" t="n">
        <v>2706</v>
      </c>
      <c r="H852" s="74" t="inlineStr">
        <is>
          <t>Cálculo por número de clientes ativos</t>
        </is>
      </c>
    </row>
    <row r="853" ht="15" customHeight="1" s="75">
      <c r="A853" s="74" t="inlineStr">
        <is>
          <t>JULHO/2026</t>
        </is>
      </c>
      <c r="B853" s="74" t="inlineStr">
        <is>
          <t>Configuração</t>
        </is>
      </c>
      <c r="C853" s="74" t="inlineStr">
        <is>
          <t>Serviços de configuração e suporte ao Técnico</t>
        </is>
      </c>
      <c r="D853" s="74" t="inlineStr">
        <is>
          <t>Soares e Lins</t>
        </is>
      </c>
      <c r="E853" s="151" t="n">
        <v>3765</v>
      </c>
      <c r="F853" s="100" t="n">
        <v>0.2</v>
      </c>
      <c r="G853" s="100" t="n">
        <v>753</v>
      </c>
      <c r="H853" s="74" t="inlineStr">
        <is>
          <t>Cálculo por número de clientes ativos</t>
        </is>
      </c>
    </row>
    <row r="854" ht="15" customHeight="1" s="75">
      <c r="A854" s="74" t="inlineStr">
        <is>
          <t>JULHO/2026</t>
        </is>
      </c>
      <c r="B854" s="74" t="inlineStr">
        <is>
          <t>Configuração</t>
        </is>
      </c>
      <c r="C854" s="74" t="inlineStr">
        <is>
          <t>Serviços de configuração e suporte ao Técnico</t>
        </is>
      </c>
      <c r="D854" s="74" t="inlineStr">
        <is>
          <t>Soares e Silva</t>
        </is>
      </c>
      <c r="E854" s="151" t="n">
        <v>6568</v>
      </c>
      <c r="F854" s="100" t="n">
        <v>0.2</v>
      </c>
      <c r="G854" s="100" t="n">
        <v>1313.6</v>
      </c>
      <c r="H854" s="74" t="inlineStr">
        <is>
          <t>Cálculo por número de clientes ativos</t>
        </is>
      </c>
    </row>
    <row r="855" ht="15" customHeight="1" s="75">
      <c r="A855" s="74" t="inlineStr">
        <is>
          <t>JULHO/2026</t>
        </is>
      </c>
      <c r="B855" s="74" t="inlineStr">
        <is>
          <t>Configuração</t>
        </is>
      </c>
      <c r="C855" s="74" t="inlineStr">
        <is>
          <t>Serviços de configuração e suporte ao Técnico</t>
        </is>
      </c>
      <c r="D855" s="74" t="inlineStr">
        <is>
          <t>Solon Araújo</t>
        </is>
      </c>
      <c r="E855" s="151" t="n">
        <v>14689</v>
      </c>
      <c r="F855" s="100" t="n">
        <v>0.2</v>
      </c>
      <c r="G855" s="100" t="n">
        <v>2937.8</v>
      </c>
      <c r="H855" s="74" t="inlineStr">
        <is>
          <t>Cálculo por número de clientes ativos</t>
        </is>
      </c>
    </row>
    <row r="856" ht="15" customHeight="1" s="75">
      <c r="A856" s="74" t="inlineStr">
        <is>
          <t>JULHO/2026</t>
        </is>
      </c>
      <c r="B856" s="74" t="inlineStr">
        <is>
          <t>Configuração</t>
        </is>
      </c>
      <c r="C856" s="74" t="inlineStr">
        <is>
          <t>Serviços de configuração e suporte ao Técnico</t>
        </is>
      </c>
      <c r="D856" s="74" t="inlineStr">
        <is>
          <t>Souza e Silva</t>
        </is>
      </c>
      <c r="E856" s="151" t="n">
        <v>4805</v>
      </c>
      <c r="F856" s="100" t="n">
        <v>0.2</v>
      </c>
      <c r="G856" s="100" t="n">
        <v>961</v>
      </c>
      <c r="H856" s="74" t="inlineStr">
        <is>
          <t>Cálculo por número de clientes ativos</t>
        </is>
      </c>
    </row>
    <row r="857" ht="15" customHeight="1" s="75">
      <c r="A857" s="74" t="inlineStr">
        <is>
          <t>JULHO/2026</t>
        </is>
      </c>
      <c r="B857" s="74" t="inlineStr">
        <is>
          <t>Configuração</t>
        </is>
      </c>
      <c r="C857" s="74" t="inlineStr">
        <is>
          <t>Serviços de configuração e suporte ao Técnico</t>
        </is>
      </c>
      <c r="D857" s="74" t="inlineStr">
        <is>
          <t>Voicenet</t>
        </is>
      </c>
      <c r="E857" s="151" t="n">
        <v>4806</v>
      </c>
      <c r="F857" s="100" t="n">
        <v>0.2</v>
      </c>
      <c r="G857" s="100" t="n">
        <v>961.2</v>
      </c>
      <c r="H857" s="74" t="inlineStr">
        <is>
          <t>Cálculo por número de clientes ativos</t>
        </is>
      </c>
    </row>
    <row r="858" ht="15" customHeight="1" s="75">
      <c r="A858" s="74" t="inlineStr">
        <is>
          <t>JULHO/2026</t>
        </is>
      </c>
      <c r="B858" s="74" t="inlineStr">
        <is>
          <t>Desenvolvimento</t>
        </is>
      </c>
      <c r="C858" s="74" t="inlineStr">
        <is>
          <t>Setor de Desenvolvimento</t>
        </is>
      </c>
      <c r="D858" s="74" t="inlineStr">
        <is>
          <t>H&amp;A</t>
        </is>
      </c>
      <c r="E858" s="151" t="n">
        <v>13530</v>
      </c>
      <c r="F858" s="100" t="n">
        <v>0.11</v>
      </c>
      <c r="G858" s="100" t="n">
        <v>1488.3</v>
      </c>
      <c r="H858" s="74" t="inlineStr">
        <is>
          <t>Cálculo por número de clientes ativos</t>
        </is>
      </c>
    </row>
    <row r="859" ht="15" customHeight="1" s="75">
      <c r="A859" s="74" t="inlineStr">
        <is>
          <t>JULHO/2026</t>
        </is>
      </c>
      <c r="B859" s="74" t="inlineStr">
        <is>
          <t>Engenharia</t>
        </is>
      </c>
      <c r="C859" s="74" t="inlineStr">
        <is>
          <t>Uso mútuo de Postes</t>
        </is>
      </c>
      <c r="D859" s="74" t="inlineStr">
        <is>
          <t>DX2</t>
        </is>
      </c>
      <c r="E859" s="151" t="n">
        <v>1579</v>
      </c>
      <c r="F859" s="100" t="n">
        <v>7.19</v>
      </c>
      <c r="G859" s="100" t="n">
        <v>11353.01</v>
      </c>
      <c r="H859" s="74" t="inlineStr">
        <is>
          <t>Contrato das empresas que está em nome da Dtel</t>
        </is>
      </c>
    </row>
    <row r="860" ht="15" customHeight="1" s="75">
      <c r="A860" s="74" t="inlineStr">
        <is>
          <t>JULHO/2026</t>
        </is>
      </c>
      <c r="B860" s="74" t="inlineStr">
        <is>
          <t>Engenharia</t>
        </is>
      </c>
      <c r="C860" s="74" t="inlineStr">
        <is>
          <t>Uso mútuo de Postes</t>
        </is>
      </c>
      <c r="D860" s="74" t="inlineStr">
        <is>
          <t>Soares e Lins</t>
        </is>
      </c>
      <c r="E860" s="151" t="n">
        <v>469</v>
      </c>
      <c r="F860" s="100" t="n">
        <v>7.19</v>
      </c>
      <c r="G860" s="100" t="n">
        <v>3372.11</v>
      </c>
      <c r="H860" s="74" t="inlineStr">
        <is>
          <t>Contrato das empresas que está em nome da Dtel</t>
        </is>
      </c>
    </row>
    <row r="861" ht="15" customHeight="1" s="75">
      <c r="A861" s="74" t="inlineStr">
        <is>
          <t>JULHO/2026</t>
        </is>
      </c>
      <c r="B861" s="74" t="inlineStr">
        <is>
          <t>Engenharia</t>
        </is>
      </c>
      <c r="C861" s="74" t="inlineStr">
        <is>
          <t>Uso mútuo de Postes</t>
        </is>
      </c>
      <c r="D861" s="74" t="inlineStr">
        <is>
          <t>Soares e Silva</t>
        </is>
      </c>
      <c r="E861" s="151" t="n">
        <v>727</v>
      </c>
      <c r="F861" s="100" t="n">
        <v>7.20444291609354</v>
      </c>
      <c r="G861" s="100" t="n">
        <v>5237.63</v>
      </c>
      <c r="H861" s="74" t="inlineStr">
        <is>
          <t>Contrato das empresas que está em nome da Dtel</t>
        </is>
      </c>
    </row>
    <row r="862" ht="15" customHeight="1" s="75">
      <c r="A862" s="74" t="inlineStr">
        <is>
          <t>JULHO/2026</t>
        </is>
      </c>
      <c r="B862" s="74" t="inlineStr">
        <is>
          <t>Engenharia</t>
        </is>
      </c>
      <c r="C862" s="74" t="inlineStr">
        <is>
          <t>Uso mútuo de Postes</t>
        </is>
      </c>
      <c r="D862" s="74" t="inlineStr">
        <is>
          <t>Solon Araújo</t>
        </is>
      </c>
      <c r="E862" s="151" t="n">
        <v>2981</v>
      </c>
      <c r="F862" s="100" t="n">
        <v>7.19</v>
      </c>
      <c r="G862" s="100" t="n">
        <v>21433.39</v>
      </c>
      <c r="H862" s="74" t="inlineStr">
        <is>
          <t>Contrato das empresas que está em nome da Dtel</t>
        </is>
      </c>
    </row>
    <row r="863" ht="15" customHeight="1" s="75">
      <c r="A863" s="74" t="inlineStr">
        <is>
          <t>JULHO/2026</t>
        </is>
      </c>
      <c r="B863" s="74" t="inlineStr">
        <is>
          <t>Engenharia</t>
        </is>
      </c>
      <c r="C863" s="74" t="inlineStr">
        <is>
          <t>Uso mútuo de Postes</t>
        </is>
      </c>
      <c r="D863" s="74" t="inlineStr">
        <is>
          <t>Souza e Silva</t>
        </is>
      </c>
      <c r="E863" s="151" t="n">
        <v>2548</v>
      </c>
      <c r="F863" s="100" t="n">
        <v>7.19859497645212</v>
      </c>
      <c r="G863" s="100" t="n">
        <v>18342.02</v>
      </c>
      <c r="H863" s="74" t="inlineStr">
        <is>
          <t>Contrato das empresas que está em nome da Dtel</t>
        </is>
      </c>
    </row>
    <row r="864" ht="15" customHeight="1" s="75">
      <c r="A864" s="74" t="inlineStr">
        <is>
          <t>JULHO/2026</t>
        </is>
      </c>
      <c r="B864" s="74" t="inlineStr">
        <is>
          <t>Engenharia</t>
        </is>
      </c>
      <c r="C864" s="74" t="inlineStr">
        <is>
          <t>Despesas da equipe de Engenharia</t>
        </is>
      </c>
      <c r="D864" s="74" t="inlineStr">
        <is>
          <t>Voicenet</t>
        </is>
      </c>
      <c r="E864" s="151" t="n">
        <v>0</v>
      </c>
      <c r="F864" s="100" t="n">
        <v>0</v>
      </c>
      <c r="G864" s="100" t="n">
        <v>0</v>
      </c>
      <c r="H864" s="74" t="inlineStr">
        <is>
          <t>Combustível, alimentação</t>
        </is>
      </c>
    </row>
    <row r="865" ht="15" customHeight="1" s="75">
      <c r="A865" s="74" t="inlineStr">
        <is>
          <t>JULHO/2026</t>
        </is>
      </c>
      <c r="B865" s="74" t="inlineStr">
        <is>
          <t>Engenharia</t>
        </is>
      </c>
      <c r="C865" s="74" t="inlineStr">
        <is>
          <t>Uso mútuo de Postes</t>
        </is>
      </c>
      <c r="D865" s="74" t="inlineStr">
        <is>
          <t>Voicenet</t>
        </is>
      </c>
      <c r="E865" s="151" t="n">
        <v>1</v>
      </c>
      <c r="F865" s="100" t="n">
        <v>800</v>
      </c>
      <c r="G865" s="100" t="n">
        <v>800</v>
      </c>
      <c r="H865" s="74" t="inlineStr">
        <is>
          <t>Contrato das empresas que está em nome da Dtel</t>
        </is>
      </c>
    </row>
    <row r="866" ht="15" customHeight="1" s="75">
      <c r="A866" s="74" t="inlineStr">
        <is>
          <t>JULHO/2026</t>
        </is>
      </c>
      <c r="B866" s="74" t="inlineStr">
        <is>
          <t>Estoque</t>
        </is>
      </c>
      <c r="C866" s="74" t="inlineStr">
        <is>
          <t>Serviços realizados pelo estoque</t>
        </is>
      </c>
      <c r="D866" s="74" t="inlineStr">
        <is>
          <t>DX2</t>
        </is>
      </c>
      <c r="E866" s="151" t="n">
        <v>0</v>
      </c>
      <c r="F866" s="100" t="n">
        <v>0</v>
      </c>
      <c r="G866" s="100" t="n">
        <v>0</v>
      </c>
      <c r="H866" s="74" t="inlineStr">
        <is>
          <t>Serviços de marcação de equipamentos</t>
        </is>
      </c>
    </row>
    <row r="867" ht="15" customHeight="1" s="75">
      <c r="A867" s="74" t="inlineStr">
        <is>
          <t>JULHO/2026</t>
        </is>
      </c>
      <c r="B867" s="74" t="inlineStr">
        <is>
          <t>Estoque</t>
        </is>
      </c>
      <c r="C867" s="74" t="inlineStr">
        <is>
          <t>Serviços realizados pelo estoque</t>
        </is>
      </c>
      <c r="D867" s="74" t="inlineStr">
        <is>
          <t>H&amp;A</t>
        </is>
      </c>
      <c r="E867" s="151" t="n">
        <v>0</v>
      </c>
      <c r="F867" s="100" t="n">
        <v>0</v>
      </c>
      <c r="G867" s="100" t="n">
        <v>0</v>
      </c>
      <c r="H867" s="74" t="inlineStr">
        <is>
          <t>Serviços de marcação de equipamentos</t>
        </is>
      </c>
    </row>
    <row r="868" ht="15" customHeight="1" s="75">
      <c r="A868" s="74" t="inlineStr">
        <is>
          <t>JULHO/2026</t>
        </is>
      </c>
      <c r="B868" s="74" t="inlineStr">
        <is>
          <t>Estoque</t>
        </is>
      </c>
      <c r="C868" s="74" t="inlineStr">
        <is>
          <t>Serviços realizados pelo estoque</t>
        </is>
      </c>
      <c r="D868" s="74" t="inlineStr">
        <is>
          <t>Soares e Lins</t>
        </is>
      </c>
      <c r="E868" s="151" t="n">
        <v>0</v>
      </c>
      <c r="F868" s="100" t="n">
        <v>0</v>
      </c>
      <c r="G868" s="100" t="n">
        <v>0</v>
      </c>
      <c r="H868" s="74" t="inlineStr">
        <is>
          <t>Serviços de marcação de equipamentos</t>
        </is>
      </c>
    </row>
    <row r="869" ht="15" customHeight="1" s="75">
      <c r="A869" s="74" t="inlineStr">
        <is>
          <t>JULHO/2026</t>
        </is>
      </c>
      <c r="B869" s="74" t="inlineStr">
        <is>
          <t>Estoque</t>
        </is>
      </c>
      <c r="C869" s="74" t="inlineStr">
        <is>
          <t>Serviços realizados pelo estoque</t>
        </is>
      </c>
      <c r="D869" s="74" t="inlineStr">
        <is>
          <t>Soares e Silva</t>
        </is>
      </c>
      <c r="E869" s="151" t="n">
        <v>0</v>
      </c>
      <c r="F869" s="100" t="n">
        <v>0</v>
      </c>
      <c r="G869" s="100" t="n">
        <v>0</v>
      </c>
      <c r="H869" s="74" t="inlineStr">
        <is>
          <t>Horas trabalhas em serviços realizado da oficina Dtel p/ soares e silva</t>
        </is>
      </c>
    </row>
    <row r="870" ht="15" customHeight="1" s="75">
      <c r="A870" s="74" t="inlineStr">
        <is>
          <t>JULHO/2026</t>
        </is>
      </c>
      <c r="B870" s="74" t="inlineStr">
        <is>
          <t>Estoque</t>
        </is>
      </c>
      <c r="C870" s="74" t="inlineStr">
        <is>
          <t>Serviços realizados pelo estoque</t>
        </is>
      </c>
      <c r="D870" s="74" t="inlineStr">
        <is>
          <t>Soares e Silva</t>
        </is>
      </c>
      <c r="E870" s="151" t="n">
        <v>0</v>
      </c>
      <c r="F870" s="100" t="n">
        <v>0</v>
      </c>
      <c r="G870" s="100" t="n">
        <v>0</v>
      </c>
      <c r="H870" s="74" t="inlineStr">
        <is>
          <t>Serviços de marcação de equipamentos</t>
        </is>
      </c>
    </row>
    <row r="871" ht="15" customHeight="1" s="75">
      <c r="A871" s="74" t="inlineStr">
        <is>
          <t>JULHO/2026</t>
        </is>
      </c>
      <c r="B871" s="74" t="inlineStr">
        <is>
          <t>Estoque</t>
        </is>
      </c>
      <c r="C871" s="74" t="inlineStr">
        <is>
          <t>Serviços realizados pelo estoque</t>
        </is>
      </c>
      <c r="D871" s="74" t="inlineStr">
        <is>
          <t>Solon Araújo</t>
        </is>
      </c>
      <c r="E871" s="151" t="n">
        <v>0</v>
      </c>
      <c r="F871" s="100" t="n">
        <v>0</v>
      </c>
      <c r="G871" s="100" t="n">
        <v>0</v>
      </c>
      <c r="H871" s="74" t="inlineStr">
        <is>
          <t>Horas trabalhas em serviços realizado da oficina Dtel p/ litoral</t>
        </is>
      </c>
    </row>
    <row r="872" ht="15" customHeight="1" s="75">
      <c r="A872" s="74" t="inlineStr">
        <is>
          <t>JULHO/2026</t>
        </is>
      </c>
      <c r="B872" s="74" t="inlineStr">
        <is>
          <t>Estoque</t>
        </is>
      </c>
      <c r="C872" s="74" t="inlineStr">
        <is>
          <t>Serviços realizados pelo estoque</t>
        </is>
      </c>
      <c r="D872" s="74" t="inlineStr">
        <is>
          <t>Solon Araújo</t>
        </is>
      </c>
      <c r="E872" s="151" t="n">
        <v>0</v>
      </c>
      <c r="F872" s="100" t="n">
        <v>0</v>
      </c>
      <c r="G872" s="100" t="n">
        <v>0</v>
      </c>
      <c r="H872" s="74" t="inlineStr">
        <is>
          <t>Serviços de marcação de equipamentos</t>
        </is>
      </c>
    </row>
    <row r="873" ht="15" customHeight="1" s="75">
      <c r="A873" s="74" t="inlineStr">
        <is>
          <t>JULHO/2026</t>
        </is>
      </c>
      <c r="B873" s="74" t="inlineStr">
        <is>
          <t>Estoque</t>
        </is>
      </c>
      <c r="C873" s="74" t="inlineStr">
        <is>
          <t>Serviços realizados pelo estoque</t>
        </is>
      </c>
      <c r="D873" s="74" t="inlineStr">
        <is>
          <t>Souza e Silva</t>
        </is>
      </c>
      <c r="E873" s="151" t="n">
        <v>0</v>
      </c>
      <c r="F873" s="100" t="n">
        <v>0</v>
      </c>
      <c r="G873" s="100" t="n">
        <v>0</v>
      </c>
      <c r="H873" s="74" t="inlineStr">
        <is>
          <t>Serviços de marcação de equipamentos</t>
        </is>
      </c>
    </row>
    <row r="874" ht="15" customHeight="1" s="75">
      <c r="A874" s="74" t="inlineStr">
        <is>
          <t>JULHO/2026</t>
        </is>
      </c>
      <c r="B874" s="74" t="inlineStr">
        <is>
          <t>Estoque</t>
        </is>
      </c>
      <c r="C874" s="74" t="inlineStr">
        <is>
          <t>Serviços realizados pelo estoque</t>
        </is>
      </c>
      <c r="D874" s="74" t="inlineStr">
        <is>
          <t>Voicenet</t>
        </is>
      </c>
      <c r="E874" s="151" t="n">
        <v>0</v>
      </c>
      <c r="F874" s="100" t="n">
        <v>0</v>
      </c>
      <c r="G874" s="100" t="n">
        <v>0</v>
      </c>
      <c r="H874" s="74" t="inlineStr">
        <is>
          <t>Serviços de marcação de equipamentos</t>
        </is>
      </c>
    </row>
    <row r="875" ht="15" customHeight="1" s="75">
      <c r="A875" s="74" t="inlineStr">
        <is>
          <t>JULHO/2026</t>
        </is>
      </c>
      <c r="B875" s="74" t="inlineStr">
        <is>
          <t>Frota</t>
        </is>
      </c>
      <c r="C875" s="74" t="inlineStr">
        <is>
          <t>Abastecimento</t>
        </is>
      </c>
      <c r="D875" s="74" t="inlineStr">
        <is>
          <t>DX2</t>
        </is>
      </c>
      <c r="E875" s="151" t="n">
        <v>0</v>
      </c>
      <c r="F875" s="100" t="n">
        <v>0</v>
      </c>
      <c r="G875" s="100" t="n">
        <v>0</v>
      </c>
      <c r="H875" s="74" t="inlineStr">
        <is>
          <t>Abastecimento da van da dx2 com cartao Dtel</t>
        </is>
      </c>
    </row>
    <row r="876" ht="15" customHeight="1" s="75">
      <c r="A876" s="74" t="inlineStr">
        <is>
          <t>JULHO/2026</t>
        </is>
      </c>
      <c r="B876" s="74" t="inlineStr">
        <is>
          <t>Frota</t>
        </is>
      </c>
      <c r="C876" s="74" t="inlineStr">
        <is>
          <t>Locação de veículos</t>
        </is>
      </c>
      <c r="D876" s="74" t="inlineStr">
        <is>
          <t>DX2</t>
        </is>
      </c>
      <c r="E876" s="151" t="n">
        <v>0</v>
      </c>
      <c r="F876" s="100" t="n">
        <v>0</v>
      </c>
      <c r="G876" s="100" t="n">
        <v>0</v>
      </c>
      <c r="H876" s="74" t="inlineStr">
        <is>
          <t>Veiculos Dtel emprestado para serviços na DX2 (2 carros)</t>
        </is>
      </c>
    </row>
    <row r="877" ht="15" customHeight="1" s="75">
      <c r="A877" s="74" t="inlineStr">
        <is>
          <t>JULHO/2026</t>
        </is>
      </c>
      <c r="B877" s="74" t="inlineStr">
        <is>
          <t>Frota</t>
        </is>
      </c>
      <c r="C877" s="74" t="inlineStr">
        <is>
          <t>Rastreamento veicular</t>
        </is>
      </c>
      <c r="D877" s="74" t="inlineStr">
        <is>
          <t>DX2</t>
        </is>
      </c>
      <c r="E877" s="151" t="n">
        <v>10</v>
      </c>
      <c r="F877" s="100" t="n">
        <v>20</v>
      </c>
      <c r="G877" s="100" t="n">
        <v>200</v>
      </c>
      <c r="H877" s="74" t="inlineStr">
        <is>
          <t>Rastreamento dos veículos</t>
        </is>
      </c>
    </row>
    <row r="878" ht="15" customHeight="1" s="75">
      <c r="A878" s="74" t="inlineStr">
        <is>
          <t>JULHO/2026</t>
        </is>
      </c>
      <c r="B878" s="74" t="inlineStr">
        <is>
          <t>Frota</t>
        </is>
      </c>
      <c r="C878" s="74" t="inlineStr">
        <is>
          <t>Transporte de produtos</t>
        </is>
      </c>
      <c r="D878" s="74" t="inlineStr">
        <is>
          <t>DX2</t>
        </is>
      </c>
      <c r="E878" s="151" t="n">
        <v>1</v>
      </c>
      <c r="F878" s="100" t="n">
        <v>927.6900000000001</v>
      </c>
      <c r="G878" s="100" t="n">
        <v>927.6900000000001</v>
      </c>
      <c r="H878" s="74" t="inlineStr">
        <is>
          <t>Transporte de produtos - Frota.xlsx</t>
        </is>
      </c>
    </row>
    <row r="879" ht="15" customHeight="1" s="75">
      <c r="A879" s="74" t="inlineStr">
        <is>
          <t>JULHO/2026</t>
        </is>
      </c>
      <c r="B879" s="74" t="inlineStr">
        <is>
          <t>Frota</t>
        </is>
      </c>
      <c r="C879" s="74" t="inlineStr">
        <is>
          <t>Troca de Oleo e Filtro</t>
        </is>
      </c>
      <c r="D879" s="74" t="inlineStr">
        <is>
          <t>DX2</t>
        </is>
      </c>
      <c r="E879" s="151" t="n">
        <v>1</v>
      </c>
      <c r="F879" s="100" t="n">
        <v>480</v>
      </c>
      <c r="G879" s="100" t="n">
        <v>480</v>
      </c>
      <c r="H879" s="74" t="inlineStr">
        <is>
          <t>Manutenção veicular</t>
        </is>
      </c>
    </row>
    <row r="880" ht="15" customHeight="1" s="75">
      <c r="A880" s="74" t="inlineStr">
        <is>
          <t>JULHO/2026</t>
        </is>
      </c>
      <c r="B880" s="74" t="inlineStr">
        <is>
          <t>Frota</t>
        </is>
      </c>
      <c r="C880" s="74" t="inlineStr">
        <is>
          <t>Transporte de produtos</t>
        </is>
      </c>
      <c r="D880" s="74" t="inlineStr">
        <is>
          <t>H&amp;A</t>
        </is>
      </c>
      <c r="E880" s="151" t="n">
        <v>0</v>
      </c>
      <c r="F880" s="100" t="n">
        <v>0</v>
      </c>
      <c r="G880" s="100" t="n">
        <v>0</v>
      </c>
      <c r="H880" s="74" t="inlineStr">
        <is>
          <t>Transportes entre CD01 e empresas no rateio da rota</t>
        </is>
      </c>
    </row>
    <row r="881" ht="15" customHeight="1" s="75">
      <c r="A881" s="74" t="inlineStr">
        <is>
          <t>JULHO/2026</t>
        </is>
      </c>
      <c r="B881" s="74" t="inlineStr">
        <is>
          <t>Frota</t>
        </is>
      </c>
      <c r="C881" s="74" t="inlineStr">
        <is>
          <t>Rastreamento veicular</t>
        </is>
      </c>
      <c r="D881" s="74" t="inlineStr">
        <is>
          <t>Soares e Lins</t>
        </is>
      </c>
      <c r="E881" s="151" t="n">
        <v>3</v>
      </c>
      <c r="F881" s="100" t="n">
        <v>20</v>
      </c>
      <c r="G881" s="100" t="n">
        <v>60</v>
      </c>
      <c r="H881" s="74" t="inlineStr">
        <is>
          <t>Rastreamento dos veículos</t>
        </is>
      </c>
    </row>
    <row r="882" ht="15" customHeight="1" s="75">
      <c r="A882" s="74" t="inlineStr">
        <is>
          <t>JULHO/2026</t>
        </is>
      </c>
      <c r="B882" s="74" t="inlineStr">
        <is>
          <t>Frota</t>
        </is>
      </c>
      <c r="C882" s="74" t="inlineStr">
        <is>
          <t>Transporte de produtos</t>
        </is>
      </c>
      <c r="D882" s="74" t="inlineStr">
        <is>
          <t>Soares e Lins</t>
        </is>
      </c>
      <c r="E882" s="151" t="n">
        <v>0</v>
      </c>
      <c r="F882" s="100" t="n">
        <v>0</v>
      </c>
      <c r="G882" s="100" t="n">
        <v>0</v>
      </c>
      <c r="H882" s="74" t="inlineStr">
        <is>
          <t>Transporte de produtos - Frota.xlsx</t>
        </is>
      </c>
    </row>
    <row r="883" ht="15" customHeight="1" s="75">
      <c r="A883" s="74" t="inlineStr">
        <is>
          <t>JULHO/2026</t>
        </is>
      </c>
      <c r="B883" s="74" t="inlineStr">
        <is>
          <t>Frota</t>
        </is>
      </c>
      <c r="C883" s="74" t="inlineStr">
        <is>
          <t>Troca de Oleo e Filtro</t>
        </is>
      </c>
      <c r="D883" s="74" t="inlineStr">
        <is>
          <t>Soares e Lins</t>
        </is>
      </c>
      <c r="E883" s="151" t="n">
        <v>0</v>
      </c>
      <c r="F883" s="100" t="n">
        <v>0</v>
      </c>
      <c r="G883" s="100" t="n">
        <v>0</v>
      </c>
      <c r="H883" s="74" t="inlineStr">
        <is>
          <t>Manutenção veicular</t>
        </is>
      </c>
    </row>
    <row r="884" ht="15" customHeight="1" s="75">
      <c r="A884" s="74" t="inlineStr">
        <is>
          <t>JULHO/2026</t>
        </is>
      </c>
      <c r="B884" s="74" t="inlineStr">
        <is>
          <t>Frota</t>
        </is>
      </c>
      <c r="C884" s="74" t="inlineStr">
        <is>
          <t>Abastecimento</t>
        </is>
      </c>
      <c r="D884" s="74" t="inlineStr">
        <is>
          <t>Soares e Silva</t>
        </is>
      </c>
      <c r="E884" s="151" t="n">
        <v>0</v>
      </c>
      <c r="F884" s="100" t="n">
        <v>0</v>
      </c>
      <c r="G884" s="100" t="n">
        <v>0</v>
      </c>
      <c r="H884" s="74" t="inlineStr">
        <is>
          <t>Abastecimento de 2 veiculos</t>
        </is>
      </c>
    </row>
    <row r="885" ht="15" customHeight="1" s="75">
      <c r="A885" s="74" t="inlineStr">
        <is>
          <t>JULHO/2026</t>
        </is>
      </c>
      <c r="B885" s="74" t="inlineStr">
        <is>
          <t>Frota</t>
        </is>
      </c>
      <c r="C885" s="74" t="inlineStr">
        <is>
          <t>Locação de veículos</t>
        </is>
      </c>
      <c r="D885" s="74" t="inlineStr">
        <is>
          <t>Soares e Silva</t>
        </is>
      </c>
      <c r="E885" s="151" t="n">
        <v>0</v>
      </c>
      <c r="F885" s="100" t="n">
        <v>0</v>
      </c>
      <c r="G885" s="100" t="n">
        <v>0</v>
      </c>
      <c r="H885" s="74" t="inlineStr">
        <is>
          <t>Veiculos Dtel emprestado para serviços 2 carros</t>
        </is>
      </c>
    </row>
    <row r="886" ht="15" customHeight="1" s="75">
      <c r="A886" s="74" t="inlineStr">
        <is>
          <t>JULHO/2026</t>
        </is>
      </c>
      <c r="B886" s="74" t="inlineStr">
        <is>
          <t>Frota</t>
        </is>
      </c>
      <c r="C886" s="74" t="inlineStr">
        <is>
          <t>Rastreamento veicular</t>
        </is>
      </c>
      <c r="D886" s="74" t="inlineStr">
        <is>
          <t>Soares e Silva</t>
        </is>
      </c>
      <c r="E886" s="151" t="n">
        <v>13</v>
      </c>
      <c r="F886" s="100" t="n">
        <v>20</v>
      </c>
      <c r="G886" s="100" t="n">
        <v>260</v>
      </c>
      <c r="H886" s="74" t="inlineStr">
        <is>
          <t>Rastreamento dos veículos</t>
        </is>
      </c>
    </row>
    <row r="887" ht="15" customHeight="1" s="75">
      <c r="A887" s="74" t="inlineStr">
        <is>
          <t>JULHO/2026</t>
        </is>
      </c>
      <c r="B887" s="74" t="inlineStr">
        <is>
          <t>Frota</t>
        </is>
      </c>
      <c r="C887" s="74" t="inlineStr">
        <is>
          <t>Transporte de produtos</t>
        </is>
      </c>
      <c r="D887" s="74" t="inlineStr">
        <is>
          <t>Soares e Silva</t>
        </is>
      </c>
      <c r="E887" s="151" t="n">
        <v>1</v>
      </c>
      <c r="F887" s="100" t="n">
        <v>1454.08</v>
      </c>
      <c r="G887" s="100" t="n">
        <v>1454.08</v>
      </c>
      <c r="H887" s="74" t="inlineStr">
        <is>
          <t>Transporte de produtos - Frota.xlsx</t>
        </is>
      </c>
    </row>
    <row r="888" ht="15" customHeight="1" s="75">
      <c r="A888" s="74" t="inlineStr">
        <is>
          <t>JULHO/2026</t>
        </is>
      </c>
      <c r="B888" s="74" t="inlineStr">
        <is>
          <t>Frota</t>
        </is>
      </c>
      <c r="C888" s="74" t="inlineStr">
        <is>
          <t>Troca de Oleo e Filtro</t>
        </is>
      </c>
      <c r="D888" s="74" t="inlineStr">
        <is>
          <t>Soares e Silva</t>
        </is>
      </c>
      <c r="E888" s="151" t="n">
        <v>1</v>
      </c>
      <c r="F888" s="100" t="n">
        <v>456</v>
      </c>
      <c r="G888" s="100" t="n">
        <v>456</v>
      </c>
      <c r="H888" s="74" t="inlineStr">
        <is>
          <t>Manutenção veicular</t>
        </is>
      </c>
    </row>
    <row r="889" ht="15" customHeight="1" s="75">
      <c r="A889" s="74" t="inlineStr">
        <is>
          <t>JULHO/2026</t>
        </is>
      </c>
      <c r="B889" s="74" t="inlineStr">
        <is>
          <t>Frota</t>
        </is>
      </c>
      <c r="C889" s="74" t="inlineStr">
        <is>
          <t>Rastreamento veicular</t>
        </is>
      </c>
      <c r="D889" s="74" t="inlineStr">
        <is>
          <t>Solon Araújo</t>
        </is>
      </c>
      <c r="E889" s="151" t="n">
        <v>19</v>
      </c>
      <c r="F889" s="100" t="n">
        <v>20</v>
      </c>
      <c r="G889" s="100" t="n">
        <v>380</v>
      </c>
      <c r="H889" s="74" t="inlineStr">
        <is>
          <t>Rastreamento dos veículos</t>
        </is>
      </c>
    </row>
    <row r="890" ht="15" customHeight="1" s="75">
      <c r="A890" s="74" t="inlineStr">
        <is>
          <t>JULHO/2026</t>
        </is>
      </c>
      <c r="B890" s="74" t="inlineStr">
        <is>
          <t>Frota</t>
        </is>
      </c>
      <c r="C890" s="74" t="inlineStr">
        <is>
          <t>Transporte de produtos</t>
        </is>
      </c>
      <c r="D890" s="74" t="inlineStr">
        <is>
          <t>Solon Araújo</t>
        </is>
      </c>
      <c r="E890" s="151" t="n">
        <v>1</v>
      </c>
      <c r="F890" s="100" t="n">
        <v>1598.23</v>
      </c>
      <c r="G890" s="100" t="n">
        <v>1598.23</v>
      </c>
      <c r="H890" s="74" t="inlineStr">
        <is>
          <t>Transporte de produtos - Frota.xlsx</t>
        </is>
      </c>
    </row>
    <row r="891" ht="15" customHeight="1" s="75">
      <c r="A891" s="74" t="inlineStr">
        <is>
          <t>JULHO/2026</t>
        </is>
      </c>
      <c r="B891" s="74" t="inlineStr">
        <is>
          <t>Frota</t>
        </is>
      </c>
      <c r="C891" s="74" t="inlineStr">
        <is>
          <t>Troca de Óleo e Filtro</t>
        </is>
      </c>
      <c r="D891" s="74" t="inlineStr">
        <is>
          <t>Solon Araújo</t>
        </is>
      </c>
      <c r="E891" s="151" t="n">
        <v>0</v>
      </c>
      <c r="F891" s="100" t="n">
        <v>0</v>
      </c>
      <c r="G891" s="100" t="n">
        <v>0</v>
      </c>
      <c r="H891" s="74" t="inlineStr">
        <is>
          <t>Transporte de produtos - Frota.xlsx</t>
        </is>
      </c>
    </row>
    <row r="892" ht="15" customHeight="1" s="75">
      <c r="A892" s="74" t="inlineStr">
        <is>
          <t>JULHO/2026</t>
        </is>
      </c>
      <c r="B892" s="74" t="inlineStr">
        <is>
          <t>Frota</t>
        </is>
      </c>
      <c r="C892" s="74" t="inlineStr">
        <is>
          <t>Manutenção de veiculo</t>
        </is>
      </c>
      <c r="D892" s="74" t="inlineStr">
        <is>
          <t>Souza e Silva</t>
        </is>
      </c>
      <c r="E892" s="151" t="n">
        <v>0</v>
      </c>
      <c r="F892" s="100" t="n">
        <v>0</v>
      </c>
      <c r="G892" s="100" t="n">
        <v>0</v>
      </c>
      <c r="H892" s="74" t="inlineStr">
        <is>
          <t>Reboque de carro</t>
        </is>
      </c>
    </row>
    <row r="893" ht="15" customHeight="1" s="75">
      <c r="A893" s="74" t="inlineStr">
        <is>
          <t>JULHO/2026</t>
        </is>
      </c>
      <c r="B893" s="74" t="inlineStr">
        <is>
          <t>Frota</t>
        </is>
      </c>
      <c r="C893" s="74" t="inlineStr">
        <is>
          <t>Rastreamento veicular</t>
        </is>
      </c>
      <c r="D893" s="74" t="inlineStr">
        <is>
          <t>Souza e Silva</t>
        </is>
      </c>
      <c r="E893" s="151" t="n">
        <v>4</v>
      </c>
      <c r="F893" s="100" t="n">
        <v>20</v>
      </c>
      <c r="G893" s="100" t="n">
        <v>80</v>
      </c>
      <c r="H893" s="74" t="inlineStr">
        <is>
          <t>Rastreamento dos veículos</t>
        </is>
      </c>
    </row>
    <row r="894" ht="15" customHeight="1" s="75">
      <c r="A894" s="74" t="inlineStr">
        <is>
          <t>JULHO/2026</t>
        </is>
      </c>
      <c r="B894" s="74" t="inlineStr">
        <is>
          <t>Frota</t>
        </is>
      </c>
      <c r="C894" s="74" t="inlineStr">
        <is>
          <t>Transporte de produtos</t>
        </is>
      </c>
      <c r="D894" s="74" t="inlineStr">
        <is>
          <t>Souza e Silva</t>
        </is>
      </c>
      <c r="E894" s="151" t="n">
        <v>1</v>
      </c>
      <c r="F894" s="100" t="n">
        <v>415.62</v>
      </c>
      <c r="G894" s="100" t="n">
        <v>415.62</v>
      </c>
      <c r="H894" s="74" t="inlineStr">
        <is>
          <t>Transporte de produtos - Frota.xlsx</t>
        </is>
      </c>
    </row>
    <row r="895" ht="15" customHeight="1" s="75">
      <c r="A895" s="74" t="inlineStr">
        <is>
          <t>JULHO/2026</t>
        </is>
      </c>
      <c r="B895" s="74" t="inlineStr">
        <is>
          <t>Frota</t>
        </is>
      </c>
      <c r="C895" s="74" t="inlineStr">
        <is>
          <t>Troca de Óleo e Filtro</t>
        </is>
      </c>
      <c r="D895" s="74" t="inlineStr">
        <is>
          <t>Souza e Silva</t>
        </is>
      </c>
      <c r="E895" s="151" t="n">
        <v>1</v>
      </c>
      <c r="F895" s="100" t="n">
        <v>108</v>
      </c>
      <c r="G895" s="100" t="n">
        <v>108</v>
      </c>
      <c r="H895" s="74" t="inlineStr">
        <is>
          <t>Manutenção veicular</t>
        </is>
      </c>
    </row>
    <row r="896" ht="15" customHeight="1" s="75">
      <c r="A896" s="74" t="inlineStr">
        <is>
          <t>JULHO/2026</t>
        </is>
      </c>
      <c r="B896" s="74" t="inlineStr">
        <is>
          <t>Frota</t>
        </is>
      </c>
      <c r="C896" s="74" t="inlineStr">
        <is>
          <t>Abastecimento</t>
        </is>
      </c>
      <c r="D896" s="74" t="inlineStr">
        <is>
          <t>Voicenet</t>
        </is>
      </c>
      <c r="E896" s="151" t="n">
        <v>0</v>
      </c>
      <c r="F896" s="100" t="n">
        <v>0</v>
      </c>
      <c r="G896" s="100" t="n">
        <v>0</v>
      </c>
      <c r="H896" s="74" t="inlineStr">
        <is>
          <t>Abastecimento de veiculos</t>
        </is>
      </c>
    </row>
    <row r="897" ht="15" customHeight="1" s="75">
      <c r="A897" s="74" t="inlineStr">
        <is>
          <t>JULHO/2026</t>
        </is>
      </c>
      <c r="B897" s="74" t="inlineStr">
        <is>
          <t>Frota</t>
        </is>
      </c>
      <c r="C897" s="74" t="inlineStr">
        <is>
          <t>Rastreamento veicular</t>
        </is>
      </c>
      <c r="D897" s="74" t="inlineStr">
        <is>
          <t>Voicenet</t>
        </is>
      </c>
      <c r="E897" s="151" t="n">
        <v>8</v>
      </c>
      <c r="F897" s="100" t="n">
        <v>20</v>
      </c>
      <c r="G897" s="100" t="n">
        <v>160</v>
      </c>
      <c r="H897" s="74" t="inlineStr">
        <is>
          <t>Rastreamento dos veículos</t>
        </is>
      </c>
    </row>
    <row r="898" ht="15" customHeight="1" s="75">
      <c r="A898" s="74" t="inlineStr">
        <is>
          <t>JULHO/2026</t>
        </is>
      </c>
      <c r="B898" s="74" t="inlineStr">
        <is>
          <t>Frota</t>
        </is>
      </c>
      <c r="C898" s="74" t="inlineStr">
        <is>
          <t>Transporte de produtos</t>
        </is>
      </c>
      <c r="D898" s="74" t="inlineStr">
        <is>
          <t>Voicenet</t>
        </is>
      </c>
      <c r="E898" s="151" t="n">
        <v>1</v>
      </c>
      <c r="F898" s="100" t="n">
        <v>468.01</v>
      </c>
      <c r="G898" s="100" t="n">
        <v>468.01</v>
      </c>
      <c r="H898" s="74" t="inlineStr">
        <is>
          <t>Transporte de produtos</t>
        </is>
      </c>
    </row>
    <row r="899" ht="15" customHeight="1" s="75">
      <c r="A899" s="74" t="inlineStr">
        <is>
          <t>JULHO/2026</t>
        </is>
      </c>
      <c r="B899" s="74" t="inlineStr">
        <is>
          <t>Frota</t>
        </is>
      </c>
      <c r="C899" s="74" t="inlineStr">
        <is>
          <t>Troca de Oleo e Filtro</t>
        </is>
      </c>
      <c r="D899" s="74" t="inlineStr">
        <is>
          <t>Voicenet</t>
        </is>
      </c>
      <c r="E899" s="151" t="n">
        <v>1</v>
      </c>
      <c r="F899" s="100" t="n">
        <v>72</v>
      </c>
      <c r="G899" s="100" t="n">
        <v>72</v>
      </c>
      <c r="H899" s="74" t="inlineStr">
        <is>
          <t>Manutenção veicular</t>
        </is>
      </c>
    </row>
    <row r="900" ht="15" customHeight="1" s="75">
      <c r="A900" s="74" t="inlineStr">
        <is>
          <t>JULHO/2026</t>
        </is>
      </c>
      <c r="B900" s="74" t="inlineStr">
        <is>
          <t>Instalação</t>
        </is>
      </c>
      <c r="C900" s="74" t="inlineStr">
        <is>
          <t>KM rodado para serviços técnicos DX2 p/ Soares &amp; silva</t>
        </is>
      </c>
      <c r="D900" s="74" t="inlineStr">
        <is>
          <t>DX2</t>
        </is>
      </c>
      <c r="E900" s="151" t="n">
        <v>0</v>
      </c>
      <c r="F900" s="100" t="n">
        <v>0</v>
      </c>
      <c r="G900" s="100" t="n">
        <v>0</v>
      </c>
      <c r="H900" s="74" t="inlineStr">
        <is>
          <t>Serviços das equipes dx2 p/ soares e silva</t>
        </is>
      </c>
    </row>
    <row r="901" ht="15" customHeight="1" s="75">
      <c r="A901" s="74" t="inlineStr">
        <is>
          <t>JULHO/2026</t>
        </is>
      </c>
      <c r="B901" s="74" t="inlineStr">
        <is>
          <t>Instalação</t>
        </is>
      </c>
      <c r="C901" s="74" t="inlineStr">
        <is>
          <t>KM rodado para serviços técnicos DX2 para SOLON</t>
        </is>
      </c>
      <c r="D901" s="74" t="inlineStr">
        <is>
          <t>DX2</t>
        </is>
      </c>
      <c r="E901" s="151" t="n">
        <v>0</v>
      </c>
      <c r="F901" s="100" t="n">
        <v>0</v>
      </c>
      <c r="G901" s="100" t="n">
        <v>0</v>
      </c>
      <c r="H901" s="74" t="inlineStr">
        <is>
          <t>Serviços das equipes dx2 p/ solon</t>
        </is>
      </c>
    </row>
    <row r="902" ht="15" customHeight="1" s="75">
      <c r="A902" s="74" t="inlineStr">
        <is>
          <t>JULHO/2026</t>
        </is>
      </c>
      <c r="B902" s="74" t="inlineStr">
        <is>
          <t>Instalação</t>
        </is>
      </c>
      <c r="C902" s="74" t="inlineStr">
        <is>
          <t>Serviços técnicos da DX2 P/ SOLON</t>
        </is>
      </c>
      <c r="D902" s="74" t="inlineStr">
        <is>
          <t>DX2</t>
        </is>
      </c>
      <c r="E902" s="151" t="n">
        <v>0</v>
      </c>
      <c r="F902" s="100" t="n">
        <v>0</v>
      </c>
      <c r="G902" s="100" t="n">
        <v>0</v>
      </c>
      <c r="H902" s="74" t="inlineStr">
        <is>
          <t>Serviços das equipes técnicas Dx2 p/ solon</t>
        </is>
      </c>
    </row>
    <row r="903" ht="15" customHeight="1" s="75">
      <c r="A903" s="74" t="inlineStr">
        <is>
          <t>JULHO/2026</t>
        </is>
      </c>
      <c r="B903" s="74" t="inlineStr">
        <is>
          <t>Instalação</t>
        </is>
      </c>
      <c r="C903" s="74" t="inlineStr">
        <is>
          <t>Serviços técnicos da DX2 p/ Soares &amp; Silva</t>
        </is>
      </c>
      <c r="D903" s="74" t="inlineStr">
        <is>
          <t>DX2</t>
        </is>
      </c>
      <c r="E903" s="151" t="n">
        <v>0</v>
      </c>
      <c r="F903" s="100" t="n">
        <v>0</v>
      </c>
      <c r="G903" s="100" t="n">
        <v>0</v>
      </c>
      <c r="H903" s="74" t="inlineStr">
        <is>
          <t>Serviços das equipes técnicas Dx2 p/ soares e silva</t>
        </is>
      </c>
    </row>
    <row r="904" ht="15" customHeight="1" s="75">
      <c r="A904" s="74" t="inlineStr">
        <is>
          <t>JULHO/2026</t>
        </is>
      </c>
      <c r="B904" s="74" t="inlineStr">
        <is>
          <t>Instalação</t>
        </is>
      </c>
      <c r="C904" s="74" t="inlineStr">
        <is>
          <t>Serviços técnicos da DX2 P/ H&amp;A</t>
        </is>
      </c>
      <c r="D904" s="74" t="inlineStr">
        <is>
          <t>H&amp;A</t>
        </is>
      </c>
      <c r="E904" s="151" t="n">
        <v>0</v>
      </c>
      <c r="F904" s="100" t="n">
        <v>0</v>
      </c>
      <c r="G904" s="100" t="n">
        <v>0</v>
      </c>
      <c r="H904" s="74" t="inlineStr">
        <is>
          <t>Deslocamento de equipes</t>
        </is>
      </c>
    </row>
    <row r="905" ht="15" customHeight="1" s="75">
      <c r="A905" s="74" t="inlineStr">
        <is>
          <t>JULHO/2026</t>
        </is>
      </c>
      <c r="B905" s="74" t="inlineStr">
        <is>
          <t>Instalação</t>
        </is>
      </c>
      <c r="C905" s="74" t="inlineStr">
        <is>
          <t>km rodado da equipe DX2 para H&amp;A</t>
        </is>
      </c>
      <c r="D905" s="74" t="inlineStr">
        <is>
          <t>H&amp;A</t>
        </is>
      </c>
      <c r="E905" s="151" t="n">
        <v>0</v>
      </c>
      <c r="F905" s="100" t="n">
        <v>0</v>
      </c>
      <c r="G905" s="100" t="n">
        <v>0</v>
      </c>
      <c r="H905" s="74" t="inlineStr">
        <is>
          <t>Serviços das equipes técnicas Dtel</t>
        </is>
      </c>
    </row>
    <row r="906" ht="15" customHeight="1" s="75">
      <c r="A906" s="74" t="inlineStr">
        <is>
          <t>JULHO/2026</t>
        </is>
      </c>
      <c r="B906" s="74" t="inlineStr">
        <is>
          <t>Instalação</t>
        </is>
      </c>
      <c r="C906" s="74" t="inlineStr">
        <is>
          <t>KM rodado para serviços técnicos Dtel p/ S&amp;L</t>
        </is>
      </c>
      <c r="D906" s="74" t="inlineStr">
        <is>
          <t>Soares e Lins</t>
        </is>
      </c>
      <c r="E906" s="151" t="n">
        <v>0</v>
      </c>
      <c r="F906" s="100" t="n">
        <v>0</v>
      </c>
      <c r="G906" s="100" t="n">
        <v>0</v>
      </c>
      <c r="H906" s="74" t="inlineStr">
        <is>
          <t>Deslocamento de equipes dtel</t>
        </is>
      </c>
    </row>
    <row r="907" ht="15" customHeight="1" s="75">
      <c r="A907" s="74" t="inlineStr">
        <is>
          <t>JULHO/2026</t>
        </is>
      </c>
      <c r="B907" s="74" t="inlineStr">
        <is>
          <t>Instalação</t>
        </is>
      </c>
      <c r="C907" s="74" t="inlineStr">
        <is>
          <t>KM rodado para serviços técnicos S&amp;L para DTEL</t>
        </is>
      </c>
      <c r="D907" s="74" t="inlineStr">
        <is>
          <t>Soares e Lins</t>
        </is>
      </c>
      <c r="E907" s="151" t="n">
        <v>0</v>
      </c>
      <c r="F907" s="100" t="n">
        <v>0</v>
      </c>
      <c r="G907" s="100" t="n">
        <v>0</v>
      </c>
      <c r="H907" s="74" t="inlineStr">
        <is>
          <t>Deslocamento de equipes soares e lins</t>
        </is>
      </c>
    </row>
    <row r="908" ht="15" customHeight="1" s="75">
      <c r="A908" s="74" t="inlineStr">
        <is>
          <t>JULHO/2026</t>
        </is>
      </c>
      <c r="B908" s="74" t="inlineStr">
        <is>
          <t>Instalação</t>
        </is>
      </c>
      <c r="C908" s="74" t="inlineStr">
        <is>
          <t>KM rodado para serviços técnicos da S&amp;L para DTEL</t>
        </is>
      </c>
      <c r="D908" s="74" t="inlineStr">
        <is>
          <t>Soares e Lins</t>
        </is>
      </c>
      <c r="E908" s="151" t="n">
        <v>0</v>
      </c>
      <c r="F908" s="100" t="n">
        <v>0</v>
      </c>
      <c r="G908" s="100" t="n">
        <v>0</v>
      </c>
      <c r="H908" s="74" t="inlineStr">
        <is>
          <t>Deslocamento de equipes</t>
        </is>
      </c>
    </row>
    <row r="909" ht="15" customHeight="1" s="75">
      <c r="A909" s="74" t="inlineStr">
        <is>
          <t>JULHO/2026</t>
        </is>
      </c>
      <c r="B909" s="74" t="inlineStr">
        <is>
          <t>Instalação</t>
        </is>
      </c>
      <c r="C909" s="74" t="inlineStr">
        <is>
          <t>Serviços técnicos da Dtel para S&amp;L</t>
        </is>
      </c>
      <c r="D909" s="74" t="inlineStr">
        <is>
          <t>Soares e Lins</t>
        </is>
      </c>
      <c r="E909" s="151" t="n">
        <v>0</v>
      </c>
      <c r="F909" s="100" t="n">
        <v>0</v>
      </c>
      <c r="G909" s="100" t="n">
        <v>0</v>
      </c>
      <c r="H909" s="74" t="inlineStr">
        <is>
          <t>Serviços da equipe técnica</t>
        </is>
      </c>
    </row>
    <row r="910" ht="15" customHeight="1" s="75">
      <c r="A910" s="74" t="inlineStr">
        <is>
          <t>JULHO/2026</t>
        </is>
      </c>
      <c r="B910" s="74" t="inlineStr">
        <is>
          <t>Instalação</t>
        </is>
      </c>
      <c r="C910" s="74" t="inlineStr">
        <is>
          <t>Serviços técnicos da S&amp;L para DTEL</t>
        </is>
      </c>
      <c r="D910" s="74" t="inlineStr">
        <is>
          <t>Soares e Lins</t>
        </is>
      </c>
      <c r="E910" s="151" t="n">
        <v>0</v>
      </c>
      <c r="F910" s="100" t="n">
        <v>0</v>
      </c>
      <c r="G910" s="100" t="n">
        <v>0</v>
      </c>
      <c r="H910" s="74" t="inlineStr">
        <is>
          <t>Serviços da equipe técnica</t>
        </is>
      </c>
    </row>
    <row r="911" ht="15" customHeight="1" s="75">
      <c r="A911" s="74" t="inlineStr">
        <is>
          <t>JULHO/2026</t>
        </is>
      </c>
      <c r="B911" s="74" t="inlineStr">
        <is>
          <t>Instalação</t>
        </is>
      </c>
      <c r="C911" s="74" t="inlineStr">
        <is>
          <t>Supervisor JOSUE DE MOURA SILVA JUNIOR</t>
        </is>
      </c>
      <c r="D911" s="74" t="inlineStr">
        <is>
          <t>Soares e Lins</t>
        </is>
      </c>
      <c r="E911" s="151" t="n">
        <v>1</v>
      </c>
      <c r="F911" s="100" t="n">
        <v>3548.72</v>
      </c>
      <c r="G911" s="100" t="n">
        <v>3548.72</v>
      </c>
      <c r="H911" s="74" t="inlineStr">
        <is>
          <t>Despesa dividida entre s&amp;l e dtel pelo supervisor JOSUE estar assumindo as bases</t>
        </is>
      </c>
    </row>
    <row r="912" ht="15" customHeight="1" s="75">
      <c r="A912" s="74" t="inlineStr">
        <is>
          <t>JULHO/2026</t>
        </is>
      </c>
      <c r="B912" s="74" t="inlineStr">
        <is>
          <t>Instalação</t>
        </is>
      </c>
      <c r="C912" s="74" t="inlineStr">
        <is>
          <t>KM rodado para serviços técnicos Dx2 p/ soares e silva</t>
        </is>
      </c>
      <c r="D912" s="74" t="inlineStr">
        <is>
          <t>Soares e Silva</t>
        </is>
      </c>
      <c r="E912" s="151" t="n">
        <v>0</v>
      </c>
      <c r="F912" s="100" t="n">
        <v>0</v>
      </c>
      <c r="G912" s="100" t="n">
        <v>0</v>
      </c>
      <c r="H912" s="74" t="inlineStr">
        <is>
          <t>Deslocamento de equipes</t>
        </is>
      </c>
    </row>
    <row r="913" ht="15" customHeight="1" s="75">
      <c r="A913" s="74" t="inlineStr">
        <is>
          <t>JULHO/2026</t>
        </is>
      </c>
      <c r="B913" s="74" t="inlineStr">
        <is>
          <t>Instalação</t>
        </is>
      </c>
      <c r="C913" s="74" t="inlineStr">
        <is>
          <t>Serviços técnicos da Dx2 p/ soares e silva</t>
        </is>
      </c>
      <c r="D913" s="74" t="inlineStr">
        <is>
          <t>Soares e Silva</t>
        </is>
      </c>
      <c r="E913" s="151" t="n">
        <v>0</v>
      </c>
      <c r="F913" s="100" t="n">
        <v>0</v>
      </c>
      <c r="G913" s="100" t="n">
        <v>0</v>
      </c>
      <c r="H913" s="74" t="inlineStr">
        <is>
          <t>Serviços das equipes técnicas</t>
        </is>
      </c>
    </row>
    <row r="914" ht="15" customHeight="1" s="75">
      <c r="A914" s="74" t="inlineStr">
        <is>
          <t>JULHO/2026</t>
        </is>
      </c>
      <c r="B914" s="74" t="inlineStr">
        <is>
          <t>Instalação</t>
        </is>
      </c>
      <c r="C914" s="74" t="inlineStr">
        <is>
          <t>KM rodado para serviços técnicos Souza e Silva p/ Solon</t>
        </is>
      </c>
      <c r="D914" s="74" t="inlineStr">
        <is>
          <t>Solon Araújo</t>
        </is>
      </c>
      <c r="E914" s="151" t="n">
        <v>0</v>
      </c>
      <c r="F914" s="100" t="n">
        <v>0</v>
      </c>
      <c r="G914" s="100" t="n">
        <v>0</v>
      </c>
      <c r="H914" s="74" t="inlineStr">
        <is>
          <t>Deslocamento de equipes da DTEL</t>
        </is>
      </c>
    </row>
    <row r="915" ht="15" customHeight="1" s="75">
      <c r="A915" s="74" t="inlineStr">
        <is>
          <t>JULHO/2026</t>
        </is>
      </c>
      <c r="B915" s="74" t="inlineStr">
        <is>
          <t>Instalação</t>
        </is>
      </c>
      <c r="C915" s="74" t="inlineStr">
        <is>
          <t>KM rodado para serviços técnicos dx2 p/ Solon</t>
        </is>
      </c>
      <c r="D915" s="74" t="inlineStr">
        <is>
          <t>Solon Araújo</t>
        </is>
      </c>
      <c r="E915" s="151" t="n">
        <v>0</v>
      </c>
      <c r="F915" s="100" t="n">
        <v>0</v>
      </c>
      <c r="G915" s="100" t="n">
        <v>0</v>
      </c>
      <c r="H915" s="74" t="inlineStr">
        <is>
          <t>Serviços das equipes dx2 p/ solon</t>
        </is>
      </c>
    </row>
    <row r="916" ht="15" customHeight="1" s="75">
      <c r="A916" s="74" t="inlineStr">
        <is>
          <t>JULHO/2026</t>
        </is>
      </c>
      <c r="B916" s="74" t="inlineStr">
        <is>
          <t>Instalação</t>
        </is>
      </c>
      <c r="C916" s="74" t="inlineStr">
        <is>
          <t>Serviços técnicos da Dx2 p/ Solon</t>
        </is>
      </c>
      <c r="D916" s="74" t="inlineStr">
        <is>
          <t>Solon Araújo</t>
        </is>
      </c>
      <c r="E916" s="151" t="n">
        <v>0</v>
      </c>
      <c r="F916" s="100" t="n">
        <v>0</v>
      </c>
      <c r="G916" s="100" t="n">
        <v>0</v>
      </c>
      <c r="H916" s="74" t="inlineStr">
        <is>
          <t>Serviços das equipes técnicas Dx2 p/ solon</t>
        </is>
      </c>
    </row>
    <row r="917" ht="15" customHeight="1" s="75">
      <c r="A917" s="74" t="inlineStr">
        <is>
          <t>JULHO/2026</t>
        </is>
      </c>
      <c r="B917" s="74" t="inlineStr">
        <is>
          <t>Instalação</t>
        </is>
      </c>
      <c r="C917" s="74" t="inlineStr">
        <is>
          <t>Serviços técnicos da Souza p/ Solon</t>
        </is>
      </c>
      <c r="D917" s="74" t="inlineStr">
        <is>
          <t>Solon Araújo</t>
        </is>
      </c>
      <c r="E917" s="151" t="n">
        <v>0</v>
      </c>
      <c r="F917" s="100" t="n">
        <v>0</v>
      </c>
      <c r="G917" s="100" t="n">
        <v>0</v>
      </c>
      <c r="H917" s="74" t="inlineStr">
        <is>
          <t>Serviços das equipes técnicas Dtel</t>
        </is>
      </c>
    </row>
    <row r="918" ht="15" customHeight="1" s="75">
      <c r="A918" s="74" t="inlineStr">
        <is>
          <t>JULHO/2026</t>
        </is>
      </c>
      <c r="B918" s="74" t="inlineStr">
        <is>
          <t>Instalação</t>
        </is>
      </c>
      <c r="C918" s="74" t="inlineStr">
        <is>
          <t>KM rodado para serviços técnicos Souza e Silva p/ Solon</t>
        </is>
      </c>
      <c r="D918" s="74" t="inlineStr">
        <is>
          <t>Souza e Silva</t>
        </is>
      </c>
      <c r="E918" s="151" t="n">
        <v>0</v>
      </c>
      <c r="F918" s="100" t="n">
        <v>0</v>
      </c>
      <c r="G918" s="100" t="n">
        <v>0</v>
      </c>
      <c r="H918" s="74" t="inlineStr">
        <is>
          <t>Deslocamento de equipes</t>
        </is>
      </c>
    </row>
    <row r="919" ht="15" customHeight="1" s="75">
      <c r="A919" s="74" t="inlineStr">
        <is>
          <t>JULHO/2026</t>
        </is>
      </c>
      <c r="B919" s="74" t="inlineStr">
        <is>
          <t>Instalação</t>
        </is>
      </c>
      <c r="C919" s="74" t="inlineStr">
        <is>
          <t>KM rodado para serviços técnicos Souza e silva p/ soares e silva</t>
        </is>
      </c>
      <c r="D919" s="74" t="inlineStr">
        <is>
          <t>Souza e Silva</t>
        </is>
      </c>
      <c r="E919" s="151" t="n">
        <v>0</v>
      </c>
      <c r="F919" s="100" t="n">
        <v>0</v>
      </c>
      <c r="G919" s="100" t="n">
        <v>0</v>
      </c>
      <c r="H919" s="74" t="inlineStr">
        <is>
          <t>Deslocamento de equipes</t>
        </is>
      </c>
    </row>
    <row r="920" ht="15" customHeight="1" s="75">
      <c r="A920" s="74" t="inlineStr">
        <is>
          <t>JULHO/2026</t>
        </is>
      </c>
      <c r="B920" s="74" t="inlineStr">
        <is>
          <t>Instalação</t>
        </is>
      </c>
      <c r="C920" s="74" t="inlineStr">
        <is>
          <t>Serviços técnicos da Souza e silva p/ soares e silva</t>
        </is>
      </c>
      <c r="D920" s="74" t="inlineStr">
        <is>
          <t>Souza e Silva</t>
        </is>
      </c>
      <c r="E920" s="151" t="n">
        <v>0</v>
      </c>
      <c r="F920" s="100" t="n">
        <v>0</v>
      </c>
      <c r="G920" s="100" t="n">
        <v>0</v>
      </c>
      <c r="H920" s="74" t="inlineStr">
        <is>
          <t>Serviços das equipes técnicas</t>
        </is>
      </c>
    </row>
    <row r="921" ht="15" customHeight="1" s="75">
      <c r="A921" s="74" t="inlineStr">
        <is>
          <t>JULHO/2026</t>
        </is>
      </c>
      <c r="B921" s="74" t="inlineStr">
        <is>
          <t>Instalação</t>
        </is>
      </c>
      <c r="C921" s="74" t="inlineStr">
        <is>
          <t>Serviços técnicos da Souza p/ Solon</t>
        </is>
      </c>
      <c r="D921" s="74" t="inlineStr">
        <is>
          <t>Souza e Silva</t>
        </is>
      </c>
      <c r="E921" s="151" t="n">
        <v>0</v>
      </c>
      <c r="F921" s="100" t="n">
        <v>0</v>
      </c>
      <c r="G921" s="100" t="n">
        <v>0</v>
      </c>
      <c r="H921" s="74" t="inlineStr">
        <is>
          <t>Serviços das equipes técnicas da Dtel</t>
        </is>
      </c>
    </row>
    <row r="922" ht="15" customHeight="1" s="75">
      <c r="A922" s="74" t="inlineStr">
        <is>
          <t>JULHO/2026</t>
        </is>
      </c>
      <c r="B922" s="74" t="inlineStr">
        <is>
          <t>Instalação</t>
        </is>
      </c>
      <c r="C922" s="74" t="inlineStr">
        <is>
          <t>Gestão Regional MICHELANGELO</t>
        </is>
      </c>
      <c r="D922" s="74" t="inlineStr">
        <is>
          <t>Voicenet</t>
        </is>
      </c>
      <c r="E922" s="151" t="n">
        <v>4806</v>
      </c>
      <c r="F922" s="100" t="n">
        <v>0.62</v>
      </c>
      <c r="G922" s="100" t="n">
        <v>2979.72</v>
      </c>
      <c r="H922" s="74" t="inlineStr">
        <is>
          <t>Cálculo por número de clientes ativos</t>
        </is>
      </c>
    </row>
    <row r="923" ht="15" customHeight="1" s="75">
      <c r="A923" s="74" t="inlineStr">
        <is>
          <t>JULHO/2026</t>
        </is>
      </c>
      <c r="B923" s="74" t="inlineStr">
        <is>
          <t>Instalação</t>
        </is>
      </c>
      <c r="C923" s="74" t="inlineStr">
        <is>
          <t>KM rodado para serviços técnicos Dtel para Voicenet</t>
        </is>
      </c>
      <c r="D923" s="74" t="inlineStr">
        <is>
          <t>Voicenet</t>
        </is>
      </c>
      <c r="E923" s="151" t="n">
        <v>1</v>
      </c>
      <c r="F923" s="100" t="n">
        <v>561.64</v>
      </c>
      <c r="G923" s="100" t="n">
        <v>561.64</v>
      </c>
      <c r="H923" s="74" t="inlineStr">
        <is>
          <t>Deslocamento de equipes</t>
        </is>
      </c>
    </row>
    <row r="924" ht="15" customHeight="1" s="75">
      <c r="A924" s="74" t="inlineStr">
        <is>
          <t>JULHO/2026</t>
        </is>
      </c>
      <c r="B924" s="74" t="inlineStr">
        <is>
          <t>Instalação</t>
        </is>
      </c>
      <c r="C924" s="74" t="inlineStr">
        <is>
          <t>KM rodado para serviços técnicos Voicenet p/ Dtel</t>
        </is>
      </c>
      <c r="D924" s="74" t="inlineStr">
        <is>
          <t>Voicenet</t>
        </is>
      </c>
      <c r="E924" s="151" t="n">
        <v>0</v>
      </c>
      <c r="F924" s="100" t="n">
        <v>0</v>
      </c>
      <c r="G924" s="100" t="n">
        <v>0</v>
      </c>
      <c r="H924" s="74" t="inlineStr">
        <is>
          <t>Deslocamento de equipes</t>
        </is>
      </c>
    </row>
    <row r="925" ht="15" customHeight="1" s="75">
      <c r="A925" s="74" t="inlineStr">
        <is>
          <t>JULHO/2026</t>
        </is>
      </c>
      <c r="B925" s="74" t="inlineStr">
        <is>
          <t>Instalação</t>
        </is>
      </c>
      <c r="C925" s="74" t="inlineStr">
        <is>
          <t>Serviços técnicos da Dtel para voicenet</t>
        </is>
      </c>
      <c r="D925" s="74" t="inlineStr">
        <is>
          <t>Voicenet</t>
        </is>
      </c>
      <c r="E925" s="151" t="n">
        <v>1</v>
      </c>
      <c r="F925" s="100" t="n">
        <v>2033.5</v>
      </c>
      <c r="G925" s="100" t="n">
        <v>2033.5</v>
      </c>
      <c r="H925" s="74" t="inlineStr">
        <is>
          <t>Serviços das equipes técnicas da Dtel</t>
        </is>
      </c>
    </row>
    <row r="926" ht="15" customHeight="1" s="75">
      <c r="A926" s="74" t="inlineStr">
        <is>
          <t>JULHO/2026</t>
        </is>
      </c>
      <c r="B926" s="74" t="inlineStr">
        <is>
          <t>Instalação</t>
        </is>
      </c>
      <c r="C926" s="74" t="inlineStr">
        <is>
          <t>Serviços técnicos da voicenet p/ Dtel</t>
        </is>
      </c>
      <c r="D926" s="74" t="inlineStr">
        <is>
          <t>Voicenet</t>
        </is>
      </c>
      <c r="E926" s="151" t="n">
        <v>0</v>
      </c>
      <c r="F926" s="100" t="n">
        <v>0</v>
      </c>
      <c r="G926" s="100" t="n">
        <v>0</v>
      </c>
      <c r="H926" s="74" t="inlineStr">
        <is>
          <t>Serviços das equipes técnicas</t>
        </is>
      </c>
    </row>
    <row r="927" ht="15" customHeight="1" s="75">
      <c r="A927" s="74" t="inlineStr">
        <is>
          <t>JULHO/2026</t>
        </is>
      </c>
      <c r="B927" s="74" t="inlineStr">
        <is>
          <t>Licitação</t>
        </is>
      </c>
      <c r="C927" s="74" t="inlineStr">
        <is>
          <t>Conselho Regional De Enfermagem De Alagoas</t>
        </is>
      </c>
      <c r="D927" s="74" t="inlineStr">
        <is>
          <t>H&amp;A</t>
        </is>
      </c>
      <c r="E927" s="151" t="n">
        <v>1</v>
      </c>
      <c r="F927" s="100" t="n">
        <v>238.88</v>
      </c>
      <c r="G927" s="100" t="n">
        <v>238.88</v>
      </c>
      <c r="H927" s="74" t="inlineStr">
        <is>
          <t>Mensalidade recebida pela H&amp;A (parcela julho)</t>
        </is>
      </c>
    </row>
    <row r="928" ht="15" customHeight="1" s="75">
      <c r="A928" s="74" t="inlineStr">
        <is>
          <t>JULHO/2026</t>
        </is>
      </c>
      <c r="B928" s="74" t="inlineStr">
        <is>
          <t>Licitação</t>
        </is>
      </c>
      <c r="C928" s="74" t="inlineStr">
        <is>
          <t>Conselho Regional de Enfermagem de Pernambuco - Coren PE</t>
        </is>
      </c>
      <c r="D928" s="74" t="inlineStr">
        <is>
          <t>H&amp;A</t>
        </is>
      </c>
      <c r="E928" s="151" t="n">
        <v>1</v>
      </c>
      <c r="F928" s="100" t="n">
        <v>624.79</v>
      </c>
      <c r="G928" s="100" t="n">
        <v>624.79</v>
      </c>
      <c r="H928" s="74" t="inlineStr">
        <is>
          <t>Mensalidade recebida pela H&amp;A (parcela julho)</t>
        </is>
      </c>
    </row>
    <row r="929" ht="15" customHeight="1" s="75">
      <c r="A929" s="74" t="inlineStr">
        <is>
          <t>JULHO/2026</t>
        </is>
      </c>
      <c r="B929" s="74" t="inlineStr">
        <is>
          <t>Licitação</t>
        </is>
      </c>
      <c r="C929" s="74" t="inlineStr">
        <is>
          <t>Conselho regional de farmacia dos estado de pernambuco</t>
        </is>
      </c>
      <c r="D929" s="74" t="inlineStr">
        <is>
          <t>H&amp;A</t>
        </is>
      </c>
      <c r="E929" s="151" t="n">
        <v>1</v>
      </c>
      <c r="F929" s="100" t="n">
        <v>510</v>
      </c>
      <c r="G929" s="100" t="n">
        <v>510</v>
      </c>
      <c r="H929" s="74" t="inlineStr">
        <is>
          <t>Mensalidade recebida pela H&amp;A (parcela julho)</t>
        </is>
      </c>
    </row>
    <row r="930" ht="15" customHeight="1" s="75">
      <c r="A930" s="74" t="inlineStr">
        <is>
          <t>JULHO/2026</t>
        </is>
      </c>
      <c r="B930" s="74" t="inlineStr">
        <is>
          <t>Licitação</t>
        </is>
      </c>
      <c r="C930" s="74" t="inlineStr">
        <is>
          <t>Câmara de vereadores-Vitória de Stº Antão</t>
        </is>
      </c>
      <c r="D930" s="74" t="inlineStr">
        <is>
          <t>H&amp;A</t>
        </is>
      </c>
      <c r="E930" s="151" t="n">
        <v>1</v>
      </c>
      <c r="F930" s="100" t="n">
        <v>333.1</v>
      </c>
      <c r="G930" s="100" t="n">
        <v>333.1</v>
      </c>
      <c r="H930" s="74" t="inlineStr">
        <is>
          <t>Mensalidade recebida pela H&amp;A (parcela julho)</t>
        </is>
      </c>
    </row>
    <row r="931" ht="15" customHeight="1" s="75">
      <c r="A931" s="74" t="inlineStr">
        <is>
          <t>JULHO/2026</t>
        </is>
      </c>
      <c r="B931" s="74" t="inlineStr">
        <is>
          <t>Licitação</t>
        </is>
      </c>
      <c r="C931" s="74" t="inlineStr">
        <is>
          <t>Fundo Municipal De Saude De Primavera</t>
        </is>
      </c>
      <c r="D931" s="74" t="inlineStr">
        <is>
          <t>H&amp;A</t>
        </is>
      </c>
      <c r="E931" s="151" t="n">
        <v>1</v>
      </c>
      <c r="F931" s="100" t="n">
        <v>2973.2</v>
      </c>
      <c r="G931" s="100" t="n">
        <v>2973.2</v>
      </c>
      <c r="H931" s="74" t="inlineStr">
        <is>
          <t>Mensalidade recebida pela H&amp;A (parcela julho)</t>
        </is>
      </c>
    </row>
    <row r="932" ht="15" customHeight="1" s="75">
      <c r="A932" s="74" t="inlineStr">
        <is>
          <t>JULHO/2026</t>
        </is>
      </c>
      <c r="B932" s="74" t="inlineStr">
        <is>
          <t>Licitação</t>
        </is>
      </c>
      <c r="C932" s="74" t="inlineStr">
        <is>
          <t>Fundo Municipal de assistencia social de primavera</t>
        </is>
      </c>
      <c r="D932" s="74" t="inlineStr">
        <is>
          <t>H&amp;A</t>
        </is>
      </c>
      <c r="E932" s="151" t="n">
        <v>1</v>
      </c>
      <c r="F932" s="100" t="n">
        <v>1833.24</v>
      </c>
      <c r="G932" s="100" t="n">
        <v>1833.24</v>
      </c>
      <c r="H932" s="74" t="inlineStr">
        <is>
          <t>Mensalidade recebida pela H&amp;A (parcela julho)</t>
        </is>
      </c>
    </row>
    <row r="933" ht="15" customHeight="1" s="75">
      <c r="A933" s="74" t="inlineStr">
        <is>
          <t>JULHO/2026</t>
        </is>
      </c>
      <c r="B933" s="74" t="inlineStr">
        <is>
          <t>Licitação</t>
        </is>
      </c>
      <c r="C933" s="74" t="inlineStr">
        <is>
          <t>Municipio De Primavera</t>
        </is>
      </c>
      <c r="D933" s="74" t="inlineStr">
        <is>
          <t>H&amp;A</t>
        </is>
      </c>
      <c r="E933" s="151" t="n">
        <v>1</v>
      </c>
      <c r="F933" s="100" t="n">
        <v>7615.46</v>
      </c>
      <c r="G933" s="100" t="n">
        <v>7615.46</v>
      </c>
      <c r="H933" s="74" t="inlineStr">
        <is>
          <t>Mensalidade recebida pela H&amp;A (parcela julho)</t>
        </is>
      </c>
    </row>
    <row r="934" ht="15" customHeight="1" s="75">
      <c r="A934" s="74" t="inlineStr">
        <is>
          <t>JULHO/2026</t>
        </is>
      </c>
      <c r="B934" s="74" t="inlineStr">
        <is>
          <t>Licitação</t>
        </is>
      </c>
      <c r="C934" s="74" t="inlineStr">
        <is>
          <t>Agência reguladora dos serviços públicos do estado de Alagoas - ARSAL</t>
        </is>
      </c>
      <c r="D934" s="74" t="inlineStr">
        <is>
          <t>Soares e Silva</t>
        </is>
      </c>
      <c r="E934" s="151" t="n">
        <v>-1</v>
      </c>
      <c r="F934" s="100" t="n">
        <v>1046.56</v>
      </c>
      <c r="G934" s="100" t="n">
        <v>-1046.56</v>
      </c>
      <c r="H934" s="74" t="inlineStr">
        <is>
          <t>Mensalidade recebida pela Dtel (parcela junho)</t>
        </is>
      </c>
    </row>
    <row r="935" ht="15" customHeight="1" s="75">
      <c r="A935" s="74" t="inlineStr">
        <is>
          <t>JULHO/2026</t>
        </is>
      </c>
      <c r="B935" s="74" t="inlineStr">
        <is>
          <t>Licitação</t>
        </is>
      </c>
      <c r="C935" s="74" t="inlineStr">
        <is>
          <t>Conselho Regional De Enfermagem De Alagoas</t>
        </is>
      </c>
      <c r="D935" s="74" t="inlineStr">
        <is>
          <t>Soares e Silva</t>
        </is>
      </c>
      <c r="E935" s="151" t="n">
        <v>0</v>
      </c>
      <c r="F935" s="100" t="n">
        <v>0</v>
      </c>
      <c r="G935" s="100" t="n">
        <v>0</v>
      </c>
      <c r="H935" s="74" t="inlineStr">
        <is>
          <t>Imposto pago pela h&amp;a sob o recebimento da licitação</t>
        </is>
      </c>
    </row>
    <row r="936" ht="15" customHeight="1" s="75">
      <c r="A936" s="74" t="inlineStr">
        <is>
          <t>JULHO/2026</t>
        </is>
      </c>
      <c r="B936" s="74" t="inlineStr">
        <is>
          <t>Licitação</t>
        </is>
      </c>
      <c r="C936" s="74" t="inlineStr">
        <is>
          <t>Conselho Regional De Enfermagem De Alagoas</t>
        </is>
      </c>
      <c r="D936" s="74" t="inlineStr">
        <is>
          <t>Soares e Silva</t>
        </is>
      </c>
      <c r="E936" s="151" t="n">
        <v>-1</v>
      </c>
      <c r="F936" s="100" t="n">
        <v>238.88</v>
      </c>
      <c r="G936" s="100" t="n">
        <v>-238.88</v>
      </c>
      <c r="H936" s="74" t="inlineStr">
        <is>
          <t>Mensalidade recebida pela H&amp;A (parcela junho)</t>
        </is>
      </c>
    </row>
    <row r="937" ht="15" customHeight="1" s="75">
      <c r="A937" s="74" t="inlineStr">
        <is>
          <t>JULHO/2026</t>
        </is>
      </c>
      <c r="B937" s="74" t="inlineStr">
        <is>
          <t>Licitação</t>
        </is>
      </c>
      <c r="C937" s="74" t="inlineStr">
        <is>
          <t>Conselho regional de farmacia dos estado de pernambuco</t>
        </is>
      </c>
      <c r="D937" s="74" t="inlineStr">
        <is>
          <t>Voicenet</t>
        </is>
      </c>
      <c r="E937" s="151" t="n">
        <v>1</v>
      </c>
      <c r="F937" s="100" t="n">
        <v>67.33</v>
      </c>
      <c r="G937" s="100" t="n">
        <v>67.33</v>
      </c>
      <c r="H937" s="74" t="inlineStr">
        <is>
          <t>Imposto pago pela h&amp;a, pelo recebimento da licitação</t>
        </is>
      </c>
    </row>
    <row r="938" ht="15" customHeight="1" s="75">
      <c r="A938" s="74" t="inlineStr">
        <is>
          <t>JULHO/2026</t>
        </is>
      </c>
      <c r="B938" s="74" t="inlineStr">
        <is>
          <t>Licitação</t>
        </is>
      </c>
      <c r="C938" s="74" t="inlineStr">
        <is>
          <t>Conselho regional de farmacia dos estado de pernambuco</t>
        </is>
      </c>
      <c r="D938" s="74" t="inlineStr">
        <is>
          <t>Voicenet</t>
        </is>
      </c>
      <c r="E938" s="151" t="n">
        <v>-1</v>
      </c>
      <c r="F938" s="100" t="n">
        <v>510</v>
      </c>
      <c r="G938" s="100" t="n">
        <v>-510</v>
      </c>
      <c r="H938" s="74" t="inlineStr">
        <is>
          <t>Mensalidade recebida pela H&amp;A (parcela junho)</t>
        </is>
      </c>
    </row>
    <row r="939" ht="15" customHeight="1" s="75">
      <c r="A939" s="74" t="inlineStr">
        <is>
          <t>JULHO/2026</t>
        </is>
      </c>
      <c r="B939" s="74" t="inlineStr">
        <is>
          <t>Manutenção Predial</t>
        </is>
      </c>
      <c r="C939" s="74" t="inlineStr">
        <is>
          <t>Manutenção predial</t>
        </is>
      </c>
      <c r="D939" s="74" t="inlineStr">
        <is>
          <t>DX2</t>
        </is>
      </c>
      <c r="E939" s="151" t="n">
        <v>1</v>
      </c>
      <c r="F939" s="100" t="n">
        <v>1027.18</v>
      </c>
      <c r="G939" s="100" t="n">
        <v>1027.18</v>
      </c>
      <c r="H939" s="74" t="inlineStr">
        <is>
          <t>Despesa com combust. e colaborador para verificação obra tacaimbó</t>
        </is>
      </c>
    </row>
    <row r="940" ht="15" customHeight="1" s="75">
      <c r="A940" s="74" t="inlineStr">
        <is>
          <t>JULHO/2026</t>
        </is>
      </c>
      <c r="B940" s="74" t="inlineStr">
        <is>
          <t>Manutenção Predial</t>
        </is>
      </c>
      <c r="C940" s="74" t="inlineStr">
        <is>
          <t>Manutenção predial</t>
        </is>
      </c>
      <c r="D940" s="74" t="inlineStr">
        <is>
          <t>H&amp;A</t>
        </is>
      </c>
      <c r="E940" s="151" t="n">
        <v>0</v>
      </c>
      <c r="F940" s="100" t="n">
        <v>0</v>
      </c>
      <c r="G940" s="100" t="n">
        <v>0</v>
      </c>
      <c r="H940" s="74" t="inlineStr">
        <is>
          <t>Despesa com combust. e colaborador para manutenção de ar condicionado do estoque</t>
        </is>
      </c>
    </row>
    <row r="941" ht="15" customHeight="1" s="75">
      <c r="A941" s="74" t="inlineStr">
        <is>
          <t>JULHO/2026</t>
        </is>
      </c>
      <c r="B941" s="74" t="inlineStr">
        <is>
          <t>Manutenção Predial</t>
        </is>
      </c>
      <c r="C941" s="74" t="inlineStr">
        <is>
          <t>Manutenção predial</t>
        </is>
      </c>
      <c r="D941" s="74" t="inlineStr">
        <is>
          <t>Soares e Lins</t>
        </is>
      </c>
      <c r="E941" s="151" t="n">
        <v>0</v>
      </c>
      <c r="F941" s="100" t="n">
        <v>0</v>
      </c>
      <c r="G941" s="100" t="n">
        <v>0</v>
      </c>
      <c r="H941" s="74" t="inlineStr">
        <is>
          <t>Serviços executados</t>
        </is>
      </c>
    </row>
    <row r="942" ht="15" customHeight="1" s="75">
      <c r="A942" s="74" t="inlineStr">
        <is>
          <t>JULHO/2026</t>
        </is>
      </c>
      <c r="B942" s="74" t="inlineStr">
        <is>
          <t>Manutenção Predial</t>
        </is>
      </c>
      <c r="C942" s="74" t="inlineStr">
        <is>
          <t>Manutenção predial</t>
        </is>
      </c>
      <c r="D942" s="74" t="inlineStr">
        <is>
          <t>Soares e Silva</t>
        </is>
      </c>
      <c r="E942" s="151" t="n">
        <v>1</v>
      </c>
      <c r="F942" s="100" t="n">
        <v>9586.030000000001</v>
      </c>
      <c r="G942" s="100" t="n">
        <v>9586.030000000001</v>
      </c>
      <c r="H942" s="74" t="inlineStr">
        <is>
          <t>Despesa com material, combust., e colaborador para finalização pop b maceió</t>
        </is>
      </c>
    </row>
    <row r="943" ht="15" customHeight="1" s="75">
      <c r="A943" s="74" t="inlineStr">
        <is>
          <t>JULHO/2026</t>
        </is>
      </c>
      <c r="B943" s="74" t="inlineStr">
        <is>
          <t>Manutenção Predial</t>
        </is>
      </c>
      <c r="C943" s="74" t="inlineStr">
        <is>
          <t>Manutenção predial</t>
        </is>
      </c>
      <c r="D943" s="74" t="inlineStr">
        <is>
          <t>Solon Araújo</t>
        </is>
      </c>
      <c r="E943" s="151" t="n">
        <v>0</v>
      </c>
      <c r="F943" s="100" t="n">
        <v>0</v>
      </c>
      <c r="G943" s="100" t="n">
        <v>0</v>
      </c>
      <c r="H943" s="74" t="inlineStr">
        <is>
          <t>Despesa com material, combust, e colaborador para manut. de ar, e manut. de telhado</t>
        </is>
      </c>
    </row>
    <row r="944" ht="15" customHeight="1" s="75">
      <c r="A944" s="74" t="inlineStr">
        <is>
          <t>JULHO/2026</t>
        </is>
      </c>
      <c r="B944" s="74" t="inlineStr">
        <is>
          <t>Manutenção Predial</t>
        </is>
      </c>
      <c r="C944" s="74" t="inlineStr">
        <is>
          <t>Manutenção predial</t>
        </is>
      </c>
      <c r="D944" s="74" t="inlineStr">
        <is>
          <t>Souza e Silva</t>
        </is>
      </c>
      <c r="E944" s="151" t="n">
        <v>0</v>
      </c>
      <c r="F944" s="100" t="n">
        <v>0</v>
      </c>
      <c r="G944" s="100" t="n">
        <v>0</v>
      </c>
      <c r="H944" s="74" t="inlineStr">
        <is>
          <t>Serviços executados</t>
        </is>
      </c>
    </row>
    <row r="945" ht="15" customHeight="1" s="75">
      <c r="A945" s="74" t="inlineStr">
        <is>
          <t>JULHO/2026</t>
        </is>
      </c>
      <c r="B945" s="74" t="inlineStr">
        <is>
          <t>Manutenção Predial</t>
        </is>
      </c>
      <c r="C945" s="74" t="inlineStr">
        <is>
          <t>Manutenção predial</t>
        </is>
      </c>
      <c r="D945" s="74" t="inlineStr">
        <is>
          <t>Voicenet</t>
        </is>
      </c>
      <c r="E945" s="151" t="n">
        <v>1</v>
      </c>
      <c r="F945" s="100" t="n">
        <v>371.45</v>
      </c>
      <c r="G945" s="100" t="n">
        <v>371.45</v>
      </c>
      <c r="H945" s="74" t="inlineStr">
        <is>
          <t>Despesa com combust. e colaborador para verificação edf estação madalena</t>
        </is>
      </c>
    </row>
    <row r="946" ht="15" customHeight="1" s="75">
      <c r="A946" s="74" t="inlineStr">
        <is>
          <t>JULHO/2026</t>
        </is>
      </c>
      <c r="B946" s="74" t="inlineStr">
        <is>
          <t>Marketing</t>
        </is>
      </c>
      <c r="C946" s="74" t="inlineStr">
        <is>
          <t>Vendas do site Mundiale</t>
        </is>
      </c>
      <c r="D946" s="74" t="inlineStr">
        <is>
          <t>DTEL</t>
        </is>
      </c>
      <c r="E946" s="151" t="n">
        <v>149</v>
      </c>
      <c r="F946" s="100" t="n">
        <v>125.29</v>
      </c>
      <c r="G946" s="100" t="n">
        <v>18668.21</v>
      </c>
      <c r="H946" s="74" t="inlineStr">
        <is>
          <t>Vendas instaladas do impulsionamento site mundiale (VENDAS MUNDIALE jul26.xlsx)</t>
        </is>
      </c>
    </row>
    <row r="947" ht="15" customHeight="1" s="75">
      <c r="A947" s="74" t="inlineStr">
        <is>
          <t>JULHO/2026</t>
        </is>
      </c>
      <c r="B947" s="74" t="inlineStr">
        <is>
          <t>Marketing</t>
        </is>
      </c>
      <c r="C947" s="74" t="inlineStr">
        <is>
          <t>Vendas do site Mundiale</t>
        </is>
      </c>
      <c r="D947" s="74" t="inlineStr">
        <is>
          <t>DX2</t>
        </is>
      </c>
      <c r="E947" s="151" t="n">
        <v>2</v>
      </c>
      <c r="F947" s="100" t="n">
        <v>161.82</v>
      </c>
      <c r="G947" s="100" t="n">
        <v>323.64</v>
      </c>
      <c r="H947" s="74" t="inlineStr">
        <is>
          <t>Vendas instaladas do impulsionamento site mundiale (VENDAS MUNDIALE jul26.xlsx)</t>
        </is>
      </c>
    </row>
    <row r="948" ht="15" customHeight="1" s="75">
      <c r="A948" s="74" t="inlineStr">
        <is>
          <t>JULHO/2026</t>
        </is>
      </c>
      <c r="B948" s="74" t="inlineStr">
        <is>
          <t>Marketing</t>
        </is>
      </c>
      <c r="C948" s="74" t="inlineStr">
        <is>
          <t>Vendas do site Mundiale</t>
        </is>
      </c>
      <c r="D948" s="74" t="inlineStr">
        <is>
          <t>H&amp;A</t>
        </is>
      </c>
      <c r="E948" s="151" t="n">
        <v>22</v>
      </c>
      <c r="F948" s="100" t="n">
        <v>156.91</v>
      </c>
      <c r="G948" s="100" t="n">
        <v>3452.02</v>
      </c>
      <c r="H948" s="74" t="inlineStr">
        <is>
          <t>Vendas instaladas do impulsionamento site mundiale</t>
        </is>
      </c>
    </row>
    <row r="949" ht="15" customHeight="1" s="75">
      <c r="A949" s="74" t="inlineStr">
        <is>
          <t>JULHO/2026</t>
        </is>
      </c>
      <c r="B949" s="74" t="inlineStr">
        <is>
          <t>Marketing</t>
        </is>
      </c>
      <c r="C949" s="74" t="inlineStr">
        <is>
          <t>Vendas do site Mundiale</t>
        </is>
      </c>
      <c r="D949" s="74" t="inlineStr">
        <is>
          <t>Soares e Lins</t>
        </is>
      </c>
      <c r="E949" s="151" t="n">
        <v>11</v>
      </c>
      <c r="F949" s="100" t="n">
        <v>164.27</v>
      </c>
      <c r="G949" s="100" t="n">
        <v>1806.97</v>
      </c>
      <c r="H949" s="74" t="inlineStr">
        <is>
          <t>Vendas instaladas do impulsionamento site mundiale</t>
        </is>
      </c>
    </row>
    <row r="950" ht="15" customHeight="1" s="75">
      <c r="A950" s="74" t="inlineStr">
        <is>
          <t>JULHO/2026</t>
        </is>
      </c>
      <c r="B950" s="74" t="inlineStr">
        <is>
          <t>Marketing</t>
        </is>
      </c>
      <c r="C950" s="74" t="inlineStr">
        <is>
          <t>Vendas do site Mundiale</t>
        </is>
      </c>
      <c r="D950" s="74" t="inlineStr">
        <is>
          <t>Soares e Silva</t>
        </is>
      </c>
      <c r="E950" s="151" t="n">
        <v>24</v>
      </c>
      <c r="F950" s="100" t="n">
        <v>152.82</v>
      </c>
      <c r="G950" s="100" t="n">
        <v>3667.68</v>
      </c>
      <c r="H950" s="74" t="inlineStr">
        <is>
          <t>Vendas instaladas do impulsionamento site mundiale</t>
        </is>
      </c>
    </row>
    <row r="951" ht="15" customHeight="1" s="75">
      <c r="A951" s="74" t="inlineStr">
        <is>
          <t>JULHO/2026</t>
        </is>
      </c>
      <c r="B951" s="74" t="inlineStr">
        <is>
          <t>Marketing</t>
        </is>
      </c>
      <c r="C951" s="74" t="inlineStr">
        <is>
          <t>Vendas do site Mundiale</t>
        </is>
      </c>
      <c r="D951" s="74" t="inlineStr">
        <is>
          <t>Solon Araújo</t>
        </is>
      </c>
      <c r="E951" s="151" t="n">
        <v>10</v>
      </c>
      <c r="F951" s="100" t="n">
        <v>151.02</v>
      </c>
      <c r="G951" s="100" t="n">
        <v>1510.2</v>
      </c>
      <c r="H951" s="74" t="inlineStr">
        <is>
          <t>Vendas instaladas do impulsionamento site mundiale</t>
        </is>
      </c>
    </row>
    <row r="952" ht="15" customHeight="1" s="75">
      <c r="A952" s="74" t="inlineStr">
        <is>
          <t>JULHO/2026</t>
        </is>
      </c>
      <c r="B952" s="74" t="inlineStr">
        <is>
          <t>Marketing</t>
        </is>
      </c>
      <c r="C952" s="74" t="inlineStr">
        <is>
          <t>Vendas do site Mundiale</t>
        </is>
      </c>
      <c r="D952" s="74" t="inlineStr">
        <is>
          <t>Souza e Silva</t>
        </is>
      </c>
      <c r="E952" s="151" t="n">
        <v>0</v>
      </c>
      <c r="F952" s="100" t="n">
        <v>0</v>
      </c>
      <c r="G952" s="100" t="n">
        <v>0</v>
      </c>
      <c r="H952" s="74" t="inlineStr">
        <is>
          <t>Vendas instaladas do impulsionamento site mundiale</t>
        </is>
      </c>
    </row>
    <row r="953" ht="15" customHeight="1" s="75">
      <c r="A953" s="74" t="inlineStr">
        <is>
          <t>JULHO/2026</t>
        </is>
      </c>
      <c r="B953" s="74" t="inlineStr">
        <is>
          <t>Marketing</t>
        </is>
      </c>
      <c r="C953" s="74" t="inlineStr">
        <is>
          <t>Vendas do site Mundiale</t>
        </is>
      </c>
      <c r="D953" s="74" t="inlineStr">
        <is>
          <t>Voicenet</t>
        </is>
      </c>
      <c r="E953" s="151" t="n">
        <v>12</v>
      </c>
      <c r="F953" s="100" t="n">
        <v>157.32</v>
      </c>
      <c r="G953" s="100" t="n">
        <v>1887.84</v>
      </c>
      <c r="H953" s="74" t="inlineStr">
        <is>
          <t>Vendas instaladas do impulsionamento site mundiale</t>
        </is>
      </c>
    </row>
    <row r="954" ht="15" customHeight="1" s="75">
      <c r="A954" s="74" t="inlineStr">
        <is>
          <t>JULHO/2026</t>
        </is>
      </c>
      <c r="B954" s="74" t="inlineStr">
        <is>
          <t>RH</t>
        </is>
      </c>
      <c r="C954" s="74" t="inlineStr">
        <is>
          <t>Fardamentos</t>
        </is>
      </c>
      <c r="D954" s="74" t="inlineStr">
        <is>
          <t>DX2</t>
        </is>
      </c>
      <c r="E954" s="151" t="n">
        <v>1</v>
      </c>
      <c r="F954" s="100" t="n">
        <v>91.2</v>
      </c>
      <c r="G954" s="100" t="n">
        <v>91.2</v>
      </c>
      <c r="H954" s="74" t="inlineStr">
        <is>
          <t>Solicitações de fardamentos administrativos</t>
        </is>
      </c>
    </row>
    <row r="955" ht="15" customHeight="1" s="75">
      <c r="A955" s="74" t="inlineStr">
        <is>
          <t>JULHO/2026</t>
        </is>
      </c>
      <c r="B955" s="74" t="inlineStr">
        <is>
          <t>RH</t>
        </is>
      </c>
      <c r="C955" s="74" t="inlineStr">
        <is>
          <t>Treinamentos/integração</t>
        </is>
      </c>
      <c r="D955" s="74" t="inlineStr">
        <is>
          <t>DX2</t>
        </is>
      </c>
      <c r="E955" s="151" t="n">
        <v>0</v>
      </c>
      <c r="F955" s="100" t="n">
        <v>0</v>
      </c>
      <c r="G955" s="100" t="n">
        <v>0</v>
      </c>
      <c r="H955" s="74" t="inlineStr">
        <is>
          <t>Despesas com seleção, treinamentos...</t>
        </is>
      </c>
    </row>
    <row r="956" ht="15" customHeight="1" s="75">
      <c r="A956" s="74" t="inlineStr">
        <is>
          <t>JULHO/2026</t>
        </is>
      </c>
      <c r="B956" s="74" t="inlineStr">
        <is>
          <t>RH</t>
        </is>
      </c>
      <c r="C956" s="74" t="inlineStr">
        <is>
          <t>Fardamentos</t>
        </is>
      </c>
      <c r="D956" s="74" t="inlineStr">
        <is>
          <t>H&amp;A</t>
        </is>
      </c>
      <c r="E956" s="151" t="n">
        <v>0</v>
      </c>
      <c r="F956" s="100" t="n">
        <v>0</v>
      </c>
      <c r="G956" s="100" t="n">
        <v>0</v>
      </c>
      <c r="H956" s="74" t="inlineStr">
        <is>
          <t>Solicitações de fardamentos administrativos</t>
        </is>
      </c>
    </row>
    <row r="957" ht="15" customHeight="1" s="75">
      <c r="A957" s="74" t="inlineStr">
        <is>
          <t>JULHO/2026</t>
        </is>
      </c>
      <c r="B957" s="74" t="inlineStr">
        <is>
          <t>RH</t>
        </is>
      </c>
      <c r="C957" s="74" t="inlineStr">
        <is>
          <t>Fardamentos</t>
        </is>
      </c>
      <c r="D957" s="74" t="inlineStr">
        <is>
          <t>H&amp;A</t>
        </is>
      </c>
      <c r="E957" s="151" t="n">
        <v>0</v>
      </c>
      <c r="F957" s="100" t="n">
        <v>0</v>
      </c>
      <c r="G957" s="100" t="n">
        <v>0</v>
      </c>
      <c r="H957" s="74" t="inlineStr">
        <is>
          <t>Solicitações de fardamentos administrativos</t>
        </is>
      </c>
    </row>
    <row r="958" ht="15" customHeight="1" s="75">
      <c r="A958" s="74" t="inlineStr">
        <is>
          <t>JULHO/2026</t>
        </is>
      </c>
      <c r="B958" s="74" t="inlineStr">
        <is>
          <t>RH</t>
        </is>
      </c>
      <c r="C958" s="74" t="inlineStr">
        <is>
          <t>Treinamentos/integração</t>
        </is>
      </c>
      <c r="D958" s="74" t="inlineStr">
        <is>
          <t>H&amp;A</t>
        </is>
      </c>
      <c r="E958" s="151" t="n">
        <v>0</v>
      </c>
      <c r="F958" s="100" t="n">
        <v>0</v>
      </c>
      <c r="G958" s="100" t="n">
        <v>0</v>
      </c>
      <c r="H958" s="74" t="inlineStr">
        <is>
          <t>Despesas com seleção, treinamentos...</t>
        </is>
      </c>
    </row>
    <row r="959" ht="15" customHeight="1" s="75">
      <c r="A959" s="74" t="inlineStr">
        <is>
          <t>JULHO/2026</t>
        </is>
      </c>
      <c r="B959" s="74" t="inlineStr">
        <is>
          <t>RH</t>
        </is>
      </c>
      <c r="C959" s="74" t="inlineStr">
        <is>
          <t>Fardamentos</t>
        </is>
      </c>
      <c r="D959" s="74" t="inlineStr">
        <is>
          <t>Soares e Lins</t>
        </is>
      </c>
      <c r="E959" s="151" t="n">
        <v>0</v>
      </c>
      <c r="F959" s="100" t="n">
        <v>0</v>
      </c>
      <c r="G959" s="100" t="n">
        <v>0</v>
      </c>
      <c r="H959" s="74" t="inlineStr">
        <is>
          <t>Solicitações de fardamentos administrativos</t>
        </is>
      </c>
    </row>
    <row r="960" ht="15" customHeight="1" s="75">
      <c r="A960" s="74" t="inlineStr">
        <is>
          <t>JULHO/2026</t>
        </is>
      </c>
      <c r="B960" s="74" t="inlineStr">
        <is>
          <t>RH</t>
        </is>
      </c>
      <c r="C960" s="74" t="inlineStr">
        <is>
          <t>Treinamentos/integração</t>
        </is>
      </c>
      <c r="D960" s="74" t="inlineStr">
        <is>
          <t>Soares e Lins</t>
        </is>
      </c>
      <c r="E960" s="151" t="n">
        <v>0</v>
      </c>
      <c r="F960" s="100" t="n">
        <v>0</v>
      </c>
      <c r="G960" s="100" t="n">
        <v>0</v>
      </c>
      <c r="H960" s="74" t="inlineStr">
        <is>
          <t>Despesa com integração/alimentação</t>
        </is>
      </c>
    </row>
    <row r="961" ht="15" customHeight="1" s="75">
      <c r="A961" s="74" t="inlineStr">
        <is>
          <t>JULHO/2026</t>
        </is>
      </c>
      <c r="B961" s="74" t="inlineStr">
        <is>
          <t>RH</t>
        </is>
      </c>
      <c r="C961" s="74" t="inlineStr">
        <is>
          <t>Fardamentos</t>
        </is>
      </c>
      <c r="D961" s="74" t="inlineStr">
        <is>
          <t>Soares e Silva</t>
        </is>
      </c>
      <c r="E961" s="151" t="n">
        <v>1</v>
      </c>
      <c r="F961" s="100" t="n">
        <v>696</v>
      </c>
      <c r="G961" s="100" t="n">
        <v>696</v>
      </c>
      <c r="H961" s="74" t="inlineStr">
        <is>
          <t>Solicitações de fardamentos administrativos</t>
        </is>
      </c>
    </row>
    <row r="962" ht="15" customHeight="1" s="75">
      <c r="A962" s="74" t="inlineStr">
        <is>
          <t>JULHO/2026</t>
        </is>
      </c>
      <c r="B962" s="74" t="inlineStr">
        <is>
          <t>RH</t>
        </is>
      </c>
      <c r="C962" s="74" t="inlineStr">
        <is>
          <t>Fardamentos</t>
        </is>
      </c>
      <c r="D962" s="74" t="inlineStr">
        <is>
          <t>Soares e Silva</t>
        </is>
      </c>
      <c r="E962" s="151" t="n">
        <v>0</v>
      </c>
      <c r="F962" s="100" t="n">
        <v>0</v>
      </c>
      <c r="G962" s="100" t="n">
        <v>0</v>
      </c>
      <c r="H962" s="74" t="inlineStr">
        <is>
          <t>Solicitações de fardamentos administrativos</t>
        </is>
      </c>
    </row>
    <row r="963" ht="15" customHeight="1" s="75">
      <c r="A963" s="74" t="inlineStr">
        <is>
          <t>JULHO/2026</t>
        </is>
      </c>
      <c r="B963" s="74" t="inlineStr">
        <is>
          <t>RH</t>
        </is>
      </c>
      <c r="C963" s="74" t="inlineStr">
        <is>
          <t>Fardamentos</t>
        </is>
      </c>
      <c r="D963" s="74" t="inlineStr">
        <is>
          <t>Solon Araújo</t>
        </is>
      </c>
      <c r="E963" s="151" t="n">
        <v>1</v>
      </c>
      <c r="F963" s="100" t="n">
        <v>980.4</v>
      </c>
      <c r="G963" s="100" t="n">
        <v>980.4</v>
      </c>
      <c r="H963" s="74" t="inlineStr">
        <is>
          <t>Solicitações de fardamentos administrativos</t>
        </is>
      </c>
    </row>
    <row r="964" ht="15" customHeight="1" s="75">
      <c r="A964" s="74" t="inlineStr">
        <is>
          <t>JULHO/2026</t>
        </is>
      </c>
      <c r="B964" s="74" t="inlineStr">
        <is>
          <t>RH</t>
        </is>
      </c>
      <c r="C964" s="74" t="inlineStr">
        <is>
          <t>Treinamentos/integração</t>
        </is>
      </c>
      <c r="D964" s="74" t="inlineStr">
        <is>
          <t>Solon Araújo</t>
        </is>
      </c>
      <c r="E964" s="151" t="n">
        <v>0</v>
      </c>
      <c r="F964" s="100" t="n">
        <v>0</v>
      </c>
      <c r="G964" s="100" t="n">
        <v>0</v>
      </c>
      <c r="H964" s="74" t="inlineStr">
        <is>
          <t>Despesas com seleção, treinamentos...</t>
        </is>
      </c>
    </row>
    <row r="965" ht="15" customHeight="1" s="75">
      <c r="A965" s="74" t="inlineStr">
        <is>
          <t>JULHO/2026</t>
        </is>
      </c>
      <c r="B965" s="74" t="inlineStr">
        <is>
          <t>RH</t>
        </is>
      </c>
      <c r="C965" s="74" t="inlineStr">
        <is>
          <t>Fardamentos</t>
        </is>
      </c>
      <c r="D965" s="74" t="inlineStr">
        <is>
          <t>Souza e Silva</t>
        </is>
      </c>
      <c r="E965" s="151" t="n">
        <v>0</v>
      </c>
      <c r="F965" s="100" t="n">
        <v>0</v>
      </c>
      <c r="G965" s="100" t="n">
        <v>0</v>
      </c>
      <c r="H965" s="74" t="inlineStr">
        <is>
          <t>Solicitações de fardamentos administrativos</t>
        </is>
      </c>
    </row>
    <row r="966" ht="15" customHeight="1" s="75">
      <c r="A966" s="74" t="inlineStr">
        <is>
          <t>JULHO/2026</t>
        </is>
      </c>
      <c r="B966" s="74" t="inlineStr">
        <is>
          <t>RH</t>
        </is>
      </c>
      <c r="C966" s="74" t="inlineStr">
        <is>
          <t>Fardamentos</t>
        </is>
      </c>
      <c r="D966" s="74" t="inlineStr">
        <is>
          <t>Voicenet</t>
        </is>
      </c>
      <c r="E966" s="151" t="n">
        <v>1</v>
      </c>
      <c r="F966" s="100" t="n">
        <v>314.6</v>
      </c>
      <c r="G966" s="100" t="n">
        <v>314.6</v>
      </c>
      <c r="H966" s="74" t="inlineStr">
        <is>
          <t>Solicitações de fardamentos administrativos</t>
        </is>
      </c>
    </row>
    <row r="967" ht="15" customHeight="1" s="75">
      <c r="A967" s="74" t="inlineStr">
        <is>
          <t>JULHO/2026</t>
        </is>
      </c>
      <c r="B967" s="74" t="inlineStr">
        <is>
          <t>RH</t>
        </is>
      </c>
      <c r="C967" s="74" t="inlineStr">
        <is>
          <t>Treinamentos/integração</t>
        </is>
      </c>
      <c r="D967" s="74" t="inlineStr">
        <is>
          <t>Voicenet</t>
        </is>
      </c>
      <c r="E967" s="151" t="n">
        <v>0</v>
      </c>
      <c r="F967" s="100" t="n">
        <v>0</v>
      </c>
      <c r="G967" s="100" t="n">
        <v>0</v>
      </c>
      <c r="H967" s="74" t="inlineStr">
        <is>
          <t>Despesa de alimentação de colaboradores em integração</t>
        </is>
      </c>
    </row>
    <row r="968" ht="15" customHeight="1" s="75">
      <c r="A968" s="74" t="inlineStr">
        <is>
          <t>JULHO/2026</t>
        </is>
      </c>
      <c r="B968" s="74" t="inlineStr">
        <is>
          <t>Relacionamento</t>
        </is>
      </c>
      <c r="C968" s="74" t="inlineStr">
        <is>
          <t>Relacionamento Dtel</t>
        </is>
      </c>
      <c r="D968" s="74" t="inlineStr">
        <is>
          <t>H&amp;A</t>
        </is>
      </c>
      <c r="E968" s="151" t="n">
        <v>13530</v>
      </c>
      <c r="F968" s="100" t="n">
        <v>2.48</v>
      </c>
      <c r="G968" s="100" t="n">
        <v>33554.4</v>
      </c>
      <c r="H968" s="74" t="inlineStr">
        <is>
          <t>Cálculo por número de clientes ativos</t>
        </is>
      </c>
    </row>
    <row r="969" ht="15" customHeight="1" s="75">
      <c r="A969" s="74" t="inlineStr">
        <is>
          <t>JULHO/2026</t>
        </is>
      </c>
      <c r="B969" s="74" t="inlineStr">
        <is>
          <t>Segurança do Trabalho</t>
        </is>
      </c>
      <c r="C969" s="74" t="inlineStr">
        <is>
          <t>Equipamentos de Segurança</t>
        </is>
      </c>
      <c r="D969" s="74" t="inlineStr">
        <is>
          <t>DX2</t>
        </is>
      </c>
      <c r="E969" s="151" t="n">
        <v>-1</v>
      </c>
      <c r="F969" s="100" t="n">
        <v>847.7</v>
      </c>
      <c r="G969" s="100" t="n">
        <v>-847.7</v>
      </c>
      <c r="H969" s="74" t="inlineStr">
        <is>
          <t>Devolução de Crédito</t>
        </is>
      </c>
    </row>
    <row r="970" ht="15" customHeight="1" s="75">
      <c r="A970" s="74" t="inlineStr">
        <is>
          <t>JULHO/2026</t>
        </is>
      </c>
      <c r="B970" s="74" t="inlineStr">
        <is>
          <t>Segurança do Trabalho</t>
        </is>
      </c>
      <c r="C970" s="74" t="inlineStr">
        <is>
          <t>Equipamentos de Segurança</t>
        </is>
      </c>
      <c r="D970" s="74" t="inlineStr">
        <is>
          <t>DX2</t>
        </is>
      </c>
      <c r="E970" s="151" t="n">
        <v>1</v>
      </c>
      <c r="F970" s="100" t="n">
        <v>2959.45</v>
      </c>
      <c r="G970" s="100" t="n">
        <v>2959.45</v>
      </c>
      <c r="H970" s="74" t="inlineStr">
        <is>
          <t>EPI/Equipamentos do mês (CUSTO DE SEGURANÇA - JUl26.xlsx)</t>
        </is>
      </c>
    </row>
    <row r="971" ht="15" customHeight="1" s="75">
      <c r="A971" s="74" t="inlineStr">
        <is>
          <t>JULHO/2026</t>
        </is>
      </c>
      <c r="B971" s="74" t="inlineStr">
        <is>
          <t>Segurança do Trabalho</t>
        </is>
      </c>
      <c r="C971" s="74" t="inlineStr">
        <is>
          <t>Equipamentos de Segurança</t>
        </is>
      </c>
      <c r="D971" s="74" t="inlineStr">
        <is>
          <t>H&amp;A</t>
        </is>
      </c>
      <c r="E971" s="151" t="n">
        <v>1</v>
      </c>
      <c r="F971" s="100" t="n">
        <v>863</v>
      </c>
      <c r="G971" s="100" t="n">
        <v>863</v>
      </c>
      <c r="H971" s="74" t="inlineStr">
        <is>
          <t>EPI/Equipamentos do mês</t>
        </is>
      </c>
    </row>
    <row r="972" ht="15" customHeight="1" s="75">
      <c r="A972" s="74" t="inlineStr">
        <is>
          <t>JULHO/2026</t>
        </is>
      </c>
      <c r="B972" s="74" t="inlineStr">
        <is>
          <t>Segurança do Trabalho</t>
        </is>
      </c>
      <c r="C972" s="74" t="inlineStr">
        <is>
          <t>Km rodado Segurança e Saúde do Trabalho dtel p/ H&amp;a</t>
        </is>
      </c>
      <c r="D972" s="74" t="inlineStr">
        <is>
          <t>H&amp;A</t>
        </is>
      </c>
      <c r="E972" s="151" t="n">
        <v>0</v>
      </c>
      <c r="F972" s="100" t="n">
        <v>0</v>
      </c>
      <c r="G972" s="100" t="n">
        <v>0</v>
      </c>
      <c r="H972" s="74" t="inlineStr">
        <is>
          <t>Deslocamento da equipe para Horas cursos de normas e reciclagem ou visitas</t>
        </is>
      </c>
    </row>
    <row r="973" ht="15" customHeight="1" s="75">
      <c r="A973" s="74" t="inlineStr">
        <is>
          <t>JULHO/2026</t>
        </is>
      </c>
      <c r="B973" s="74" t="inlineStr">
        <is>
          <t>Segurança do Trabalho</t>
        </is>
      </c>
      <c r="C973" s="74" t="inlineStr">
        <is>
          <t>Saude e segurança no trabalho</t>
        </is>
      </c>
      <c r="D973" s="74" t="inlineStr">
        <is>
          <t>H&amp;A</t>
        </is>
      </c>
      <c r="E973" s="151" t="n">
        <v>0</v>
      </c>
      <c r="F973" s="100" t="n">
        <v>0</v>
      </c>
      <c r="G973" s="100" t="n">
        <v>0</v>
      </c>
      <c r="H973" s="74" t="inlineStr">
        <is>
          <t>Rateio do departamento (despesa por colaborador, mês de jan fev e março)</t>
        </is>
      </c>
    </row>
    <row r="974" ht="15" customHeight="1" s="75">
      <c r="A974" s="74" t="inlineStr">
        <is>
          <t>JULHO/2026</t>
        </is>
      </c>
      <c r="B974" s="74" t="inlineStr">
        <is>
          <t>Segurança do Trabalho</t>
        </is>
      </c>
      <c r="C974" s="74" t="inlineStr">
        <is>
          <t>Serviços prestados pela equipe Segurança do trabalho dtel p/ h&amp;a</t>
        </is>
      </c>
      <c r="D974" s="74" t="inlineStr">
        <is>
          <t>H&amp;A</t>
        </is>
      </c>
      <c r="E974" s="151" t="n">
        <v>1</v>
      </c>
      <c r="F974" s="100" t="n">
        <v>6471.5</v>
      </c>
      <c r="G974" s="100" t="n">
        <v>6471.5</v>
      </c>
      <c r="H974" s="74" t="inlineStr">
        <is>
          <t>Serviços da equipe para Horas cursos de normas e reciclagem ou visitas</t>
        </is>
      </c>
    </row>
    <row r="975" ht="15" customHeight="1" s="75">
      <c r="A975" s="74" t="inlineStr">
        <is>
          <t>JULHO/2026</t>
        </is>
      </c>
      <c r="B975" s="74" t="inlineStr">
        <is>
          <t>Segurança do Trabalho</t>
        </is>
      </c>
      <c r="C975" s="74" t="inlineStr">
        <is>
          <t>Equipamentos de Segurança</t>
        </is>
      </c>
      <c r="D975" s="74" t="inlineStr">
        <is>
          <t>Soares e Lins</t>
        </is>
      </c>
      <c r="E975" s="151" t="n">
        <v>1</v>
      </c>
      <c r="F975" s="100" t="n">
        <v>1119.06</v>
      </c>
      <c r="G975" s="100" t="n">
        <v>1119.06</v>
      </c>
      <c r="H975" s="74" t="inlineStr">
        <is>
          <t>EPI/Equipamentos do mês</t>
        </is>
      </c>
    </row>
    <row r="976" ht="15" customHeight="1" s="75">
      <c r="A976" s="74" t="inlineStr">
        <is>
          <t>JULHO/2026</t>
        </is>
      </c>
      <c r="B976" s="74" t="inlineStr">
        <is>
          <t>Segurança do Trabalho</t>
        </is>
      </c>
      <c r="C976" s="74" t="inlineStr">
        <is>
          <t>Equipamentos de Segurança</t>
        </is>
      </c>
      <c r="D976" s="74" t="inlineStr">
        <is>
          <t>Soares e Lins</t>
        </is>
      </c>
      <c r="E976" s="151" t="n">
        <v>-1</v>
      </c>
      <c r="F976" s="100" t="n">
        <v>155.9</v>
      </c>
      <c r="G976" s="100" t="n">
        <v>-155.9</v>
      </c>
      <c r="H976" s="74" t="inlineStr">
        <is>
          <t>Devolução de Crédito</t>
        </is>
      </c>
    </row>
    <row r="977" ht="15" customHeight="1" s="75">
      <c r="A977" s="74" t="inlineStr">
        <is>
          <t>JULHO/2026</t>
        </is>
      </c>
      <c r="B977" s="74" t="inlineStr">
        <is>
          <t>Segurança do Trabalho</t>
        </is>
      </c>
      <c r="C977" s="74" t="inlineStr">
        <is>
          <t>Km rodado Segurança e Saúde do Trabalho dtel p/ soares e lins</t>
        </is>
      </c>
      <c r="D977" s="74" t="inlineStr">
        <is>
          <t>Soares e Lins</t>
        </is>
      </c>
      <c r="E977" s="151" t="n">
        <v>0</v>
      </c>
      <c r="F977" s="100" t="n">
        <v>0</v>
      </c>
      <c r="G977" s="100" t="n">
        <v>0</v>
      </c>
      <c r="H977" s="74" t="inlineStr">
        <is>
          <t>Deslocamento da equipe para Horas cursos de normas e reciclagem ou visitas</t>
        </is>
      </c>
    </row>
    <row r="978" ht="15" customHeight="1" s="75">
      <c r="A978" s="74" t="inlineStr">
        <is>
          <t>JULHO/2026</t>
        </is>
      </c>
      <c r="B978" s="74" t="inlineStr">
        <is>
          <t>Segurança do Trabalho</t>
        </is>
      </c>
      <c r="C978" s="74" t="inlineStr">
        <is>
          <t>Serviços prestados pela equipe Segurança do trabalho</t>
        </is>
      </c>
      <c r="D978" s="74" t="inlineStr">
        <is>
          <t>Soares e Lins</t>
        </is>
      </c>
      <c r="E978" s="151" t="n">
        <v>0</v>
      </c>
      <c r="F978" s="100" t="n">
        <v>0</v>
      </c>
      <c r="G978" s="100" t="n">
        <v>0</v>
      </c>
      <c r="H978" s="74" t="inlineStr">
        <is>
          <t>Serviços da equipe para Horas cursos de normas e reciclagem ou visitas</t>
        </is>
      </c>
    </row>
    <row r="979" ht="15" customHeight="1" s="75">
      <c r="A979" s="74" t="inlineStr">
        <is>
          <t>JULHO/2026</t>
        </is>
      </c>
      <c r="B979" s="74" t="inlineStr">
        <is>
          <t>Segurança do Trabalho</t>
        </is>
      </c>
      <c r="C979" s="74" t="inlineStr">
        <is>
          <t>Equipamentos de Segurança</t>
        </is>
      </c>
      <c r="D979" s="74" t="inlineStr">
        <is>
          <t>Soares e Silva</t>
        </is>
      </c>
      <c r="E979" s="151" t="n">
        <v>1</v>
      </c>
      <c r="F979" s="100" t="n">
        <v>8439.17</v>
      </c>
      <c r="G979" s="100" t="n">
        <v>8439.17</v>
      </c>
      <c r="H979" s="74" t="inlineStr">
        <is>
          <t>EPI/Equipamentos do mês</t>
        </is>
      </c>
    </row>
    <row r="980" ht="15" customHeight="1" s="75">
      <c r="A980" s="74" t="inlineStr">
        <is>
          <t>JULHO/2026</t>
        </is>
      </c>
      <c r="B980" s="74" t="inlineStr">
        <is>
          <t>Segurança do Trabalho</t>
        </is>
      </c>
      <c r="C980" s="74" t="inlineStr">
        <is>
          <t>Km rodado Segurança e Saúde do Trabalho soares e silva p/ Dtel</t>
        </is>
      </c>
      <c r="D980" s="74" t="inlineStr">
        <is>
          <t>Soares e Silva</t>
        </is>
      </c>
      <c r="E980" s="151" t="n">
        <v>0</v>
      </c>
      <c r="F980" s="100" t="n">
        <v>0</v>
      </c>
      <c r="G980" s="100" t="n">
        <v>0</v>
      </c>
      <c r="H980" s="74" t="inlineStr">
        <is>
          <t>Deslocamento da equipe para Horas cursos de normas e reciclagem ou visitas</t>
        </is>
      </c>
    </row>
    <row r="981" ht="15" customHeight="1" s="75">
      <c r="A981" s="74" t="inlineStr">
        <is>
          <t>JULHO/2026</t>
        </is>
      </c>
      <c r="B981" s="74" t="inlineStr">
        <is>
          <t>Segurança do Trabalho</t>
        </is>
      </c>
      <c r="C981" s="74" t="inlineStr">
        <is>
          <t>Km rodado Segurança e Saúde do Trabalho soares e silva p/ LITORAL</t>
        </is>
      </c>
      <c r="D981" s="74" t="inlineStr">
        <is>
          <t>Soares e Silva</t>
        </is>
      </c>
      <c r="E981" s="151" t="n">
        <v>0</v>
      </c>
      <c r="F981" s="100" t="n">
        <v>0</v>
      </c>
      <c r="G981" s="100" t="n">
        <v>0</v>
      </c>
      <c r="H981" s="74" t="inlineStr">
        <is>
          <t>Deslocamento da equipe para Horas cursos de normas e reciclagem ou visitas</t>
        </is>
      </c>
    </row>
    <row r="982" ht="15" customHeight="1" s="75">
      <c r="A982" s="74" t="inlineStr">
        <is>
          <t>JULHO/2026</t>
        </is>
      </c>
      <c r="B982" s="74" t="inlineStr">
        <is>
          <t>Segurança do Trabalho</t>
        </is>
      </c>
      <c r="C982" s="74" t="inlineStr">
        <is>
          <t>Serviços prestados pela equipe Seg. soares e silva p/ dtel</t>
        </is>
      </c>
      <c r="D982" s="74" t="inlineStr">
        <is>
          <t>Soares e Silva</t>
        </is>
      </c>
      <c r="E982" s="151" t="n">
        <v>-1</v>
      </c>
      <c r="F982" s="100" t="n">
        <v>358.78</v>
      </c>
      <c r="G982" s="100" t="n">
        <v>-358.78</v>
      </c>
      <c r="H982" s="74" t="inlineStr">
        <is>
          <t>Devolução de Crédito</t>
        </is>
      </c>
    </row>
    <row r="983" ht="15" customHeight="1" s="75">
      <c r="A983" s="74" t="inlineStr">
        <is>
          <t>JULHO/2026</t>
        </is>
      </c>
      <c r="B983" s="74" t="inlineStr">
        <is>
          <t>Segurança do Trabalho</t>
        </is>
      </c>
      <c r="C983" s="74" t="inlineStr">
        <is>
          <t>Serviços prestados pela equipe Segurança do trabalho soares e silva p/ dtel</t>
        </is>
      </c>
      <c r="D983" s="74" t="inlineStr">
        <is>
          <t>Soares e Silva</t>
        </is>
      </c>
      <c r="E983" s="151" t="n">
        <v>0</v>
      </c>
      <c r="F983" s="100" t="n">
        <v>0</v>
      </c>
      <c r="G983" s="100" t="n">
        <v>0</v>
      </c>
      <c r="H983" s="74" t="inlineStr">
        <is>
          <t>Serviços da equipe para Horas cursos de normas e reciclagem ou visitas</t>
        </is>
      </c>
    </row>
    <row r="984" ht="15" customHeight="1" s="75">
      <c r="A984" s="74" t="inlineStr">
        <is>
          <t>JULHO/2026</t>
        </is>
      </c>
      <c r="B984" s="74" t="inlineStr">
        <is>
          <t>Segurança do Trabalho</t>
        </is>
      </c>
      <c r="C984" s="74" t="inlineStr">
        <is>
          <t>Serviços prestados pela equipe Segurança do trabalho soares e silva p/ litoral</t>
        </is>
      </c>
      <c r="D984" s="74" t="inlineStr">
        <is>
          <t>Soares e Silva</t>
        </is>
      </c>
      <c r="E984" s="151" t="n">
        <v>0</v>
      </c>
      <c r="F984" s="100" t="n">
        <v>0</v>
      </c>
      <c r="G984" s="100" t="n">
        <v>0</v>
      </c>
      <c r="H984" s="74" t="inlineStr">
        <is>
          <t>Serviços da equipe para Horas cursos de normas e reciclagem ou visitas</t>
        </is>
      </c>
    </row>
    <row r="985" ht="15" customHeight="1" s="75">
      <c r="A985" s="74" t="inlineStr">
        <is>
          <t>JULHO/2026</t>
        </is>
      </c>
      <c r="B985" s="74" t="inlineStr">
        <is>
          <t>Segurança do Trabalho</t>
        </is>
      </c>
      <c r="C985" s="74" t="inlineStr">
        <is>
          <t>Equipamentos de Segurança</t>
        </is>
      </c>
      <c r="D985" s="74" t="inlineStr">
        <is>
          <t>Solon Araújo</t>
        </is>
      </c>
      <c r="E985" s="151" t="n">
        <v>1</v>
      </c>
      <c r="F985" s="100" t="n">
        <v>3957</v>
      </c>
      <c r="G985" s="100" t="n">
        <v>3957</v>
      </c>
      <c r="H985" s="74" t="inlineStr">
        <is>
          <t>EPI, EPC, Fardamento</t>
        </is>
      </c>
    </row>
    <row r="986" ht="15" customHeight="1" s="75">
      <c r="A986" s="74" t="inlineStr">
        <is>
          <t>JULHO/2026</t>
        </is>
      </c>
      <c r="B986" s="74" t="inlineStr">
        <is>
          <t>Segurança do Trabalho</t>
        </is>
      </c>
      <c r="C986" s="74" t="inlineStr">
        <is>
          <t>Equipamentos de Segurança</t>
        </is>
      </c>
      <c r="D986" s="74" t="inlineStr">
        <is>
          <t>Solon Araújo</t>
        </is>
      </c>
      <c r="E986" s="151" t="n">
        <v>0</v>
      </c>
      <c r="F986" s="100" t="n">
        <v>0</v>
      </c>
      <c r="G986" s="100" t="n">
        <v>0</v>
      </c>
      <c r="H986" s="74" t="inlineStr">
        <is>
          <t>EPI, EPC, Fardamento</t>
        </is>
      </c>
    </row>
    <row r="987" ht="15" customHeight="1" s="75">
      <c r="A987" s="74" t="inlineStr">
        <is>
          <t>JULHO/2026</t>
        </is>
      </c>
      <c r="B987" s="74" t="inlineStr">
        <is>
          <t>Segurança do Trabalho</t>
        </is>
      </c>
      <c r="C987" s="74" t="inlineStr">
        <is>
          <t>Km rodado Segurança e Saúde do Trabalho soares e silva p/ LITORAL</t>
        </is>
      </c>
      <c r="D987" s="74" t="inlineStr">
        <is>
          <t>Solon Araújo</t>
        </is>
      </c>
      <c r="E987" s="151" t="n">
        <v>0</v>
      </c>
      <c r="F987" s="100" t="n">
        <v>0</v>
      </c>
      <c r="G987" s="100" t="n">
        <v>0</v>
      </c>
      <c r="H987" s="74" t="inlineStr">
        <is>
          <t>Serviços da equipe para Horas cursos de normas e reciclagem ou visitas</t>
        </is>
      </c>
    </row>
    <row r="988" ht="15" customHeight="1" s="75">
      <c r="A988" s="74" t="inlineStr">
        <is>
          <t>JULHO/2026</t>
        </is>
      </c>
      <c r="B988" s="74" t="inlineStr">
        <is>
          <t>Segurança do Trabalho</t>
        </is>
      </c>
      <c r="C988" s="74" t="inlineStr">
        <is>
          <t>Serviços prestados pela equipe Segurança do trabalho soares e silva p/ LITORAL</t>
        </is>
      </c>
      <c r="D988" s="74" t="inlineStr">
        <is>
          <t>Solon Araújo</t>
        </is>
      </c>
      <c r="E988" s="151" t="n">
        <v>0</v>
      </c>
      <c r="F988" s="100" t="n">
        <v>0</v>
      </c>
      <c r="G988" s="100" t="n">
        <v>0</v>
      </c>
      <c r="H988" s="74" t="inlineStr">
        <is>
          <t>Serviços da equipe para Horas cursos de normas e reciclagem ou visitas</t>
        </is>
      </c>
    </row>
    <row r="989" ht="15" customHeight="1" s="75">
      <c r="A989" s="74" t="inlineStr">
        <is>
          <t>JULHO/2026</t>
        </is>
      </c>
      <c r="B989" s="74" t="inlineStr">
        <is>
          <t>Segurança do Trabalho</t>
        </is>
      </c>
      <c r="C989" s="74" t="inlineStr">
        <is>
          <t>Equipamentos de Segurança</t>
        </is>
      </c>
      <c r="D989" s="74" t="inlineStr">
        <is>
          <t>Souza e Silva</t>
        </is>
      </c>
      <c r="E989" s="151" t="n">
        <v>1</v>
      </c>
      <c r="F989" s="100" t="n">
        <v>1010.04</v>
      </c>
      <c r="G989" s="100" t="n">
        <v>1010.04</v>
      </c>
      <c r="H989" s="74" t="inlineStr">
        <is>
          <t>EPI/Equipamentos do mês</t>
        </is>
      </c>
    </row>
    <row r="990" ht="15" customHeight="1" s="75">
      <c r="A990" s="74" t="inlineStr">
        <is>
          <t>JULHO/2026</t>
        </is>
      </c>
      <c r="B990" s="74" t="inlineStr">
        <is>
          <t>Segurança do Trabalho</t>
        </is>
      </c>
      <c r="C990" s="74" t="inlineStr">
        <is>
          <t>Equipamentos de Segurança</t>
        </is>
      </c>
      <c r="D990" s="74" t="inlineStr">
        <is>
          <t>Souza e Silva</t>
        </is>
      </c>
      <c r="E990" s="151" t="n">
        <v>0</v>
      </c>
      <c r="F990" s="100" t="n">
        <v>0</v>
      </c>
      <c r="G990" s="100" t="n">
        <v>0</v>
      </c>
      <c r="H990" s="74" t="inlineStr">
        <is>
          <t>Devolução de Crédito</t>
        </is>
      </c>
    </row>
    <row r="991" ht="15" customHeight="1" s="75">
      <c r="A991" s="74" t="inlineStr">
        <is>
          <t>JULHO/2026</t>
        </is>
      </c>
      <c r="B991" s="74" t="inlineStr">
        <is>
          <t>Segurança do Trabalho</t>
        </is>
      </c>
      <c r="C991" s="74" t="inlineStr">
        <is>
          <t>Equipamentos de Segurança</t>
        </is>
      </c>
      <c r="D991" s="74" t="inlineStr">
        <is>
          <t>Voicenet</t>
        </is>
      </c>
      <c r="E991" s="151" t="n">
        <v>1</v>
      </c>
      <c r="F991" s="100" t="n">
        <v>6035.94</v>
      </c>
      <c r="G991" s="100" t="n">
        <v>6035.94</v>
      </c>
      <c r="H991" s="74" t="inlineStr">
        <is>
          <t>EPI/Equipamentos do mês</t>
        </is>
      </c>
    </row>
    <row r="992" ht="15" customHeight="1" s="75">
      <c r="A992" s="74" t="inlineStr">
        <is>
          <t>JULHO/2026</t>
        </is>
      </c>
      <c r="B992" s="74" t="inlineStr">
        <is>
          <t>Segurança do Trabalho</t>
        </is>
      </c>
      <c r="C992" s="74" t="inlineStr">
        <is>
          <t>Equipamentos de Segurança</t>
        </is>
      </c>
      <c r="D992" s="74" t="inlineStr">
        <is>
          <t>Voicenet</t>
        </is>
      </c>
      <c r="E992" s="151" t="n">
        <v>-1</v>
      </c>
      <c r="F992" s="100" t="n">
        <v>1333.53</v>
      </c>
      <c r="G992" s="100" t="n">
        <v>-1333.53</v>
      </c>
      <c r="H992" s="74" t="inlineStr">
        <is>
          <t>Devolução de Crédito</t>
        </is>
      </c>
    </row>
    <row r="993" ht="15" customHeight="1" s="75">
      <c r="A993" s="74" t="inlineStr">
        <is>
          <t>JULHO/2026</t>
        </is>
      </c>
      <c r="B993" s="74" t="inlineStr">
        <is>
          <t>Segurança do Trabalho</t>
        </is>
      </c>
      <c r="C993" s="74" t="inlineStr">
        <is>
          <t>Km rodado Segurança e Saúde do Trabalho dtel p/ voice net</t>
        </is>
      </c>
      <c r="D993" s="74" t="inlineStr">
        <is>
          <t>Voicenet</t>
        </is>
      </c>
      <c r="E993" s="151" t="n">
        <v>0</v>
      </c>
      <c r="F993" s="100" t="n">
        <v>0</v>
      </c>
      <c r="G993" s="100" t="n">
        <v>0</v>
      </c>
      <c r="H993" s="74" t="inlineStr">
        <is>
          <t>Deslocamento da equipe para Horas cursos de normas e reciclagem ou visitas</t>
        </is>
      </c>
    </row>
    <row r="994" ht="15" customHeight="1" s="75">
      <c r="A994" s="74" t="inlineStr">
        <is>
          <t>JULHO/2026</t>
        </is>
      </c>
      <c r="B994" s="74" t="inlineStr">
        <is>
          <t>Segurança do Trabalho</t>
        </is>
      </c>
      <c r="C994" s="74" t="inlineStr">
        <is>
          <t>Serviços prestados pela equipe Segurança do trabalho</t>
        </is>
      </c>
      <c r="D994" s="74" t="inlineStr">
        <is>
          <t>Voicenet</t>
        </is>
      </c>
      <c r="E994" s="151" t="n">
        <v>0</v>
      </c>
      <c r="F994" s="100" t="n">
        <v>0</v>
      </c>
      <c r="G994" s="100" t="n">
        <v>0</v>
      </c>
      <c r="H994" s="74" t="inlineStr">
        <is>
          <t>Serviços da equipe para Horas cursos de normas e reciclagem ou visitas</t>
        </is>
      </c>
    </row>
    <row r="995" ht="15" customHeight="1" s="75">
      <c r="A995" s="74" t="inlineStr">
        <is>
          <t>JULHO/2026</t>
        </is>
      </c>
      <c r="B995" s="74" t="inlineStr">
        <is>
          <t>TIC</t>
        </is>
      </c>
      <c r="C995" s="74" t="inlineStr">
        <is>
          <t>E-mail Dtel</t>
        </is>
      </c>
      <c r="D995" s="74" t="inlineStr">
        <is>
          <t>DX2</t>
        </is>
      </c>
      <c r="E995" s="151" t="n">
        <v>2</v>
      </c>
      <c r="F995" s="100" t="n">
        <v>50</v>
      </c>
      <c r="G995" s="100" t="n">
        <v>100</v>
      </c>
      <c r="H995" s="74" t="inlineStr">
        <is>
          <t>Utilização de email corporativo</t>
        </is>
      </c>
    </row>
    <row r="996" ht="15" customHeight="1" s="75">
      <c r="A996" s="74" t="inlineStr">
        <is>
          <t>JULHO/2026</t>
        </is>
      </c>
      <c r="B996" s="74" t="inlineStr">
        <is>
          <t>TIC</t>
        </is>
      </c>
      <c r="C996" s="74" t="inlineStr">
        <is>
          <t>E-mail Dtel</t>
        </is>
      </c>
      <c r="D996" s="74" t="inlineStr">
        <is>
          <t>H&amp;A</t>
        </is>
      </c>
      <c r="E996" s="151" t="n">
        <v>2</v>
      </c>
      <c r="F996" s="100" t="n">
        <v>50</v>
      </c>
      <c r="G996" s="100" t="n">
        <v>100</v>
      </c>
      <c r="H996" s="74" t="inlineStr">
        <is>
          <t>Utilização de email corporativo</t>
        </is>
      </c>
    </row>
    <row r="997" ht="15" customHeight="1" s="75">
      <c r="A997" s="74" t="inlineStr">
        <is>
          <t>JULHO/2026</t>
        </is>
      </c>
      <c r="B997" s="74" t="inlineStr">
        <is>
          <t>TIC</t>
        </is>
      </c>
      <c r="C997" s="74" t="inlineStr">
        <is>
          <t>E-mail Dtel</t>
        </is>
      </c>
      <c r="D997" s="74" t="inlineStr">
        <is>
          <t>Soares e Lins</t>
        </is>
      </c>
      <c r="E997" s="151" t="n">
        <v>1</v>
      </c>
      <c r="F997" s="100" t="n">
        <v>10</v>
      </c>
      <c r="G997" s="100" t="n">
        <v>10</v>
      </c>
      <c r="H997" s="74" t="inlineStr">
        <is>
          <t>Utilização de email corporativo</t>
        </is>
      </c>
    </row>
    <row r="998" ht="15" customHeight="1" s="75">
      <c r="A998" s="74" t="inlineStr">
        <is>
          <t>JULHO/2026</t>
        </is>
      </c>
      <c r="B998" s="74" t="inlineStr">
        <is>
          <t>TIC</t>
        </is>
      </c>
      <c r="C998" s="74" t="inlineStr">
        <is>
          <t>E-mail Dtel</t>
        </is>
      </c>
      <c r="D998" s="74" t="inlineStr">
        <is>
          <t>Soares e Silva</t>
        </is>
      </c>
      <c r="E998" s="151" t="n">
        <v>1</v>
      </c>
      <c r="F998" s="100" t="n">
        <v>10</v>
      </c>
      <c r="G998" s="100" t="n">
        <v>10</v>
      </c>
      <c r="H998" s="74" t="inlineStr">
        <is>
          <t>Utilização de email corporativo</t>
        </is>
      </c>
    </row>
    <row r="999" ht="15" customHeight="1" s="75">
      <c r="A999" s="74" t="inlineStr">
        <is>
          <t>JULHO/2026</t>
        </is>
      </c>
      <c r="B999" s="74" t="inlineStr">
        <is>
          <t>TIC</t>
        </is>
      </c>
      <c r="C999" s="74" t="inlineStr">
        <is>
          <t>E-mail Dtel</t>
        </is>
      </c>
      <c r="D999" s="74" t="inlineStr">
        <is>
          <t>Soares e Silva</t>
        </is>
      </c>
      <c r="E999" s="151" t="n">
        <v>5</v>
      </c>
      <c r="F999" s="100" t="n">
        <v>50</v>
      </c>
      <c r="G999" s="100" t="n">
        <v>250</v>
      </c>
      <c r="H999" s="74" t="inlineStr">
        <is>
          <t>Utilização de email corporativo</t>
        </is>
      </c>
    </row>
    <row r="1000" ht="15" customHeight="1" s="75">
      <c r="A1000" s="74" t="inlineStr">
        <is>
          <t>JULHO/2026</t>
        </is>
      </c>
      <c r="B1000" s="74" t="inlineStr">
        <is>
          <t>TIC</t>
        </is>
      </c>
      <c r="C1000" s="74" t="inlineStr">
        <is>
          <t>E-mail Dtel</t>
        </is>
      </c>
      <c r="D1000" s="74" t="inlineStr">
        <is>
          <t>Solon Araújo</t>
        </is>
      </c>
      <c r="E1000" s="151" t="n">
        <v>1</v>
      </c>
      <c r="F1000" s="100" t="n">
        <v>10</v>
      </c>
      <c r="G1000" s="100" t="n">
        <v>10</v>
      </c>
      <c r="H1000" s="74" t="inlineStr">
        <is>
          <t>Utilização de email corporativo</t>
        </is>
      </c>
    </row>
    <row r="1001" ht="15" customHeight="1" s="75">
      <c r="A1001" s="74" t="inlineStr">
        <is>
          <t>JULHO/2026</t>
        </is>
      </c>
      <c r="B1001" s="74" t="inlineStr">
        <is>
          <t>TIC</t>
        </is>
      </c>
      <c r="C1001" s="74" t="inlineStr">
        <is>
          <t>E-mail Dtel</t>
        </is>
      </c>
      <c r="D1001" s="74" t="inlineStr">
        <is>
          <t>Solon Araújo</t>
        </is>
      </c>
      <c r="E1001" s="151" t="n">
        <v>2</v>
      </c>
      <c r="F1001" s="100" t="n">
        <v>50</v>
      </c>
      <c r="G1001" s="100" t="n">
        <v>100</v>
      </c>
      <c r="H1001" s="74" t="inlineStr">
        <is>
          <t>Utilização de email corporativo</t>
        </is>
      </c>
    </row>
    <row r="1002" ht="15" customHeight="1" s="75">
      <c r="A1002" s="74" t="inlineStr">
        <is>
          <t>JULHO/2026</t>
        </is>
      </c>
      <c r="B1002" s="74" t="inlineStr">
        <is>
          <t>TIC</t>
        </is>
      </c>
      <c r="C1002" s="74" t="inlineStr">
        <is>
          <t>E-mail Dtel</t>
        </is>
      </c>
      <c r="D1002" s="74" t="inlineStr">
        <is>
          <t>Souza e Silva</t>
        </is>
      </c>
      <c r="E1002" s="151" t="n">
        <v>1</v>
      </c>
      <c r="F1002" s="100" t="n">
        <v>50</v>
      </c>
      <c r="G1002" s="100" t="n">
        <v>50</v>
      </c>
      <c r="H1002" s="74" t="inlineStr">
        <is>
          <t>Utilização de email corporativo</t>
        </is>
      </c>
    </row>
    <row r="1003" ht="15" customHeight="1" s="75">
      <c r="A1003" s="74" t="inlineStr">
        <is>
          <t>JULHO/2026</t>
        </is>
      </c>
      <c r="B1003" s="74" t="inlineStr">
        <is>
          <t>TIC</t>
        </is>
      </c>
      <c r="C1003" s="74" t="inlineStr">
        <is>
          <t>E-mail Dtel</t>
        </is>
      </c>
      <c r="D1003" s="74" t="inlineStr">
        <is>
          <t>Voicenet</t>
        </is>
      </c>
      <c r="E1003" s="151" t="n">
        <v>1</v>
      </c>
      <c r="F1003" s="100" t="n">
        <v>90</v>
      </c>
      <c r="G1003" s="100" t="n">
        <v>90</v>
      </c>
      <c r="H1003" s="74" t="inlineStr">
        <is>
          <t>Utilização de email corporativo</t>
        </is>
      </c>
    </row>
    <row r="1004" ht="15" customHeight="1" s="75">
      <c r="A1004" s="74" t="inlineStr">
        <is>
          <t>JULHO/2026</t>
        </is>
      </c>
      <c r="B1004" s="74" t="inlineStr">
        <is>
          <t>TIC</t>
        </is>
      </c>
      <c r="C1004" s="74" t="inlineStr">
        <is>
          <t>E-mail Dtel</t>
        </is>
      </c>
      <c r="D1004" s="74" t="inlineStr">
        <is>
          <t>Voicenet</t>
        </is>
      </c>
      <c r="E1004" s="151" t="n">
        <v>2</v>
      </c>
      <c r="F1004" s="100" t="n">
        <v>10</v>
      </c>
      <c r="G1004" s="100" t="n">
        <v>20</v>
      </c>
      <c r="H1004" s="74" t="inlineStr">
        <is>
          <t>Utilização de email corporativo</t>
        </is>
      </c>
    </row>
    <row r="1005" ht="15" customHeight="1" s="75">
      <c r="A1005" s="74" t="inlineStr">
        <is>
          <t>JULHO/2026</t>
        </is>
      </c>
      <c r="B1005" s="74" t="inlineStr">
        <is>
          <t>TIC</t>
        </is>
      </c>
      <c r="C1005" s="74" t="inlineStr">
        <is>
          <t>E-mail Dtel</t>
        </is>
      </c>
      <c r="D1005" s="74" t="inlineStr">
        <is>
          <t>Voicenet</t>
        </is>
      </c>
      <c r="E1005" s="151" t="n">
        <v>3</v>
      </c>
      <c r="F1005" s="100" t="n">
        <v>50</v>
      </c>
      <c r="G1005" s="100" t="n">
        <v>150</v>
      </c>
      <c r="H1005" s="74" t="inlineStr">
        <is>
          <t>Utilização de email corporativo</t>
        </is>
      </c>
    </row>
    <row r="1006" ht="15" customHeight="1" s="75">
      <c r="A1006" s="74" t="inlineStr">
        <is>
          <t>JULHO/2026</t>
        </is>
      </c>
      <c r="B1006" s="74" t="inlineStr">
        <is>
          <t>Compras</t>
        </is>
      </c>
      <c r="C1006" s="74" t="inlineStr">
        <is>
          <t>Compras</t>
        </is>
      </c>
      <c r="D1006" s="74" t="inlineStr">
        <is>
          <t>DX2</t>
        </is>
      </c>
      <c r="E1006" s="151" t="n">
        <v>6588</v>
      </c>
      <c r="F1006" s="100" t="n">
        <v>0.117612</v>
      </c>
      <c r="G1006" s="100" t="n">
        <v>774.827856</v>
      </c>
      <c r="H1006" s="74" t="inlineStr">
        <is>
          <t>Cálculo por número de clientes ativos</t>
        </is>
      </c>
    </row>
    <row r="1007" ht="15" customHeight="1" s="75">
      <c r="A1007" s="74" t="inlineStr">
        <is>
          <t>JULHO/2026</t>
        </is>
      </c>
      <c r="B1007" s="74" t="inlineStr">
        <is>
          <t>Compras</t>
        </is>
      </c>
      <c r="C1007" s="74" t="inlineStr">
        <is>
          <t>Compras</t>
        </is>
      </c>
      <c r="D1007" s="74" t="inlineStr">
        <is>
          <t>Soares e Lins</t>
        </is>
      </c>
      <c r="E1007" s="151" t="n">
        <v>3765</v>
      </c>
      <c r="F1007" s="100" t="n">
        <v>0.117612</v>
      </c>
      <c r="G1007" s="100" t="n">
        <v>442.80918</v>
      </c>
      <c r="H1007" s="74" t="inlineStr">
        <is>
          <t>Cálculo por número de clientes ativos</t>
        </is>
      </c>
    </row>
    <row r="1008" ht="15" customHeight="1" s="75">
      <c r="A1008" s="74" t="inlineStr">
        <is>
          <t>JULHO/2026</t>
        </is>
      </c>
      <c r="B1008" s="74" t="inlineStr">
        <is>
          <t>Compras</t>
        </is>
      </c>
      <c r="C1008" s="74" t="inlineStr">
        <is>
          <t>Compras</t>
        </is>
      </c>
      <c r="D1008" s="74" t="inlineStr">
        <is>
          <t>Soares e Silva</t>
        </is>
      </c>
      <c r="E1008" s="151" t="n">
        <v>6568</v>
      </c>
      <c r="F1008" s="100" t="n">
        <v>0.117612</v>
      </c>
      <c r="G1008" s="100" t="n">
        <v>772.4756159999999</v>
      </c>
      <c r="H1008" s="74" t="inlineStr">
        <is>
          <t>Cálculo por número de clientes ativos</t>
        </is>
      </c>
    </row>
    <row r="1009" ht="15" customHeight="1" s="75">
      <c r="A1009" s="74" t="inlineStr">
        <is>
          <t>JULHO/2026</t>
        </is>
      </c>
      <c r="B1009" s="74" t="inlineStr">
        <is>
          <t>Compras</t>
        </is>
      </c>
      <c r="C1009" s="74" t="inlineStr">
        <is>
          <t>Compras</t>
        </is>
      </c>
      <c r="D1009" s="74" t="inlineStr">
        <is>
          <t>Solon Araújo</t>
        </is>
      </c>
      <c r="E1009" s="151" t="n">
        <v>14689</v>
      </c>
      <c r="F1009" s="100" t="n">
        <v>0.117612</v>
      </c>
      <c r="G1009" s="100" t="n">
        <v>1727.602668</v>
      </c>
      <c r="H1009" s="74" t="inlineStr">
        <is>
          <t>Cálculo por número de clientes ativos</t>
        </is>
      </c>
    </row>
    <row r="1010" ht="15" customHeight="1" s="75">
      <c r="A1010" s="74" t="inlineStr">
        <is>
          <t>JULHO/2026</t>
        </is>
      </c>
      <c r="B1010" s="74" t="inlineStr">
        <is>
          <t>Compras</t>
        </is>
      </c>
      <c r="C1010" s="74" t="inlineStr">
        <is>
          <t>Compras</t>
        </is>
      </c>
      <c r="D1010" s="74" t="inlineStr">
        <is>
          <t>Souza e Silva</t>
        </is>
      </c>
      <c r="E1010" s="151" t="n">
        <v>4805</v>
      </c>
      <c r="F1010" s="100" t="n">
        <v>0.117612</v>
      </c>
      <c r="G1010" s="100" t="n">
        <v>565.12566</v>
      </c>
      <c r="H1010" s="74" t="inlineStr">
        <is>
          <t>Cálculo por número de clientes ativos</t>
        </is>
      </c>
    </row>
    <row r="1011" ht="15" customHeight="1" s="75">
      <c r="A1011" s="74" t="inlineStr">
        <is>
          <t>JULHO/2026</t>
        </is>
      </c>
      <c r="B1011" s="74" t="inlineStr">
        <is>
          <t>Compras</t>
        </is>
      </c>
      <c r="C1011" s="74" t="inlineStr">
        <is>
          <t>Compras</t>
        </is>
      </c>
      <c r="D1011" s="74" t="inlineStr">
        <is>
          <t>Voicenet</t>
        </is>
      </c>
      <c r="E1011" s="151" t="n">
        <v>4806</v>
      </c>
      <c r="F1011" s="100" t="n">
        <v>0.117612</v>
      </c>
      <c r="G1011" s="100" t="n">
        <v>565.243272</v>
      </c>
      <c r="H1011" s="74" t="inlineStr">
        <is>
          <t>Cálculo por número de clientes ativos</t>
        </is>
      </c>
    </row>
    <row r="1012" ht="15" customHeight="1" s="75">
      <c r="A1012" s="74" t="inlineStr">
        <is>
          <t>JULHO/2026</t>
        </is>
      </c>
      <c r="B1012" s="74" t="inlineStr">
        <is>
          <t>Compras</t>
        </is>
      </c>
      <c r="C1012" s="74" t="inlineStr">
        <is>
          <t>Compras</t>
        </is>
      </c>
      <c r="D1012" s="74" t="inlineStr">
        <is>
          <t>H&amp;A</t>
        </is>
      </c>
      <c r="E1012" s="151" t="n">
        <v>13530</v>
      </c>
      <c r="F1012" s="100" t="n">
        <v>0.117612</v>
      </c>
      <c r="G1012" s="100" t="n">
        <v>1591.29036</v>
      </c>
      <c r="H1012" s="74" t="inlineStr">
        <is>
          <t>Cálculo por número de clientes ativos</t>
        </is>
      </c>
    </row>
    <row r="1013" ht="15" customHeight="1" s="75">
      <c r="A1013" s="74" t="inlineStr">
        <is>
          <t>JULHO/2026</t>
        </is>
      </c>
      <c r="B1013" s="74" t="inlineStr">
        <is>
          <t>Adm Qualidade</t>
        </is>
      </c>
      <c r="C1013" s="74" t="inlineStr">
        <is>
          <t>Qualidade</t>
        </is>
      </c>
      <c r="D1013" s="74" t="inlineStr">
        <is>
          <t>DX2</t>
        </is>
      </c>
      <c r="E1013" s="151" t="n">
        <v>6588</v>
      </c>
      <c r="F1013" s="100" t="n">
        <v>0.190684</v>
      </c>
      <c r="G1013" s="100" t="n">
        <v>1256.226192</v>
      </c>
      <c r="H1013" s="74" t="inlineStr">
        <is>
          <t>Cálculo por número de clientes ativos</t>
        </is>
      </c>
    </row>
    <row r="1014" ht="15" customHeight="1" s="75">
      <c r="A1014" s="74" t="inlineStr">
        <is>
          <t>JULHO/2026</t>
        </is>
      </c>
      <c r="B1014" s="74" t="inlineStr">
        <is>
          <t>Adm Qualidade</t>
        </is>
      </c>
      <c r="C1014" s="74" t="inlineStr">
        <is>
          <t>Qualidade</t>
        </is>
      </c>
      <c r="D1014" s="74" t="inlineStr">
        <is>
          <t>Soares e Lins</t>
        </is>
      </c>
      <c r="E1014" s="151" t="n">
        <v>3765</v>
      </c>
      <c r="F1014" s="100" t="n">
        <v>0.190684</v>
      </c>
      <c r="G1014" s="100" t="n">
        <v>717.92526</v>
      </c>
      <c r="H1014" s="74" t="inlineStr">
        <is>
          <t>Cálculo por número de clientes ativos</t>
        </is>
      </c>
    </row>
    <row r="1015" ht="15" customHeight="1" s="75">
      <c r="A1015" s="74" t="inlineStr">
        <is>
          <t>JULHO/2026</t>
        </is>
      </c>
      <c r="B1015" s="74" t="inlineStr">
        <is>
          <t>Adm Qualidade</t>
        </is>
      </c>
      <c r="C1015" s="74" t="inlineStr">
        <is>
          <t>Qualidade</t>
        </is>
      </c>
      <c r="D1015" s="74" t="inlineStr">
        <is>
          <t>Soares e Silva</t>
        </is>
      </c>
      <c r="E1015" s="151" t="n">
        <v>6568</v>
      </c>
      <c r="F1015" s="100" t="n">
        <v>0.190684</v>
      </c>
      <c r="G1015" s="100" t="n">
        <v>1252.412512</v>
      </c>
      <c r="H1015" s="74" t="inlineStr">
        <is>
          <t>Cálculo por número de clientes ativos</t>
        </is>
      </c>
    </row>
    <row r="1016" ht="15" customHeight="1" s="75">
      <c r="A1016" s="74" t="inlineStr">
        <is>
          <t>JULHO/2026</t>
        </is>
      </c>
      <c r="B1016" s="74" t="inlineStr">
        <is>
          <t>Adm Qualidade</t>
        </is>
      </c>
      <c r="C1016" s="74" t="inlineStr">
        <is>
          <t>Qualidade</t>
        </is>
      </c>
      <c r="D1016" s="74" t="inlineStr">
        <is>
          <t>Solon Araújo</t>
        </is>
      </c>
      <c r="E1016" s="151" t="n">
        <v>14689</v>
      </c>
      <c r="F1016" s="100" t="n">
        <v>0.190684</v>
      </c>
      <c r="G1016" s="100" t="n">
        <v>2800.957276</v>
      </c>
      <c r="H1016" s="74" t="inlineStr">
        <is>
          <t>Cálculo por número de clientes ativos</t>
        </is>
      </c>
    </row>
    <row r="1017" ht="15" customHeight="1" s="75">
      <c r="A1017" s="74" t="inlineStr">
        <is>
          <t>JULHO/2026</t>
        </is>
      </c>
      <c r="B1017" s="74" t="inlineStr">
        <is>
          <t>Adm Qualidade</t>
        </is>
      </c>
      <c r="C1017" s="74" t="inlineStr">
        <is>
          <t>Qualidade</t>
        </is>
      </c>
      <c r="D1017" s="74" t="inlineStr">
        <is>
          <t>Souza e Silva</t>
        </is>
      </c>
      <c r="E1017" s="151" t="n">
        <v>4805</v>
      </c>
      <c r="F1017" s="100" t="n">
        <v>0.190684</v>
      </c>
      <c r="G1017" s="100" t="n">
        <v>916.23662</v>
      </c>
      <c r="H1017" s="74" t="inlineStr">
        <is>
          <t>Cálculo por número de clientes ativos</t>
        </is>
      </c>
    </row>
    <row r="1018" ht="15" customHeight="1" s="75">
      <c r="A1018" s="74" t="inlineStr">
        <is>
          <t>JULHO/2026</t>
        </is>
      </c>
      <c r="B1018" s="74" t="inlineStr">
        <is>
          <t>Adm Qualidade</t>
        </is>
      </c>
      <c r="C1018" s="74" t="inlineStr">
        <is>
          <t>Qualidade</t>
        </is>
      </c>
      <c r="D1018" s="74" t="inlineStr">
        <is>
          <t>Voicenet</t>
        </is>
      </c>
      <c r="E1018" s="151" t="n">
        <v>4806</v>
      </c>
      <c r="F1018" s="100" t="n">
        <v>0.190684</v>
      </c>
      <c r="G1018" s="100" t="n">
        <v>916.427304</v>
      </c>
      <c r="H1018" s="74" t="inlineStr">
        <is>
          <t>Cálculo por número de clientes ativos</t>
        </is>
      </c>
    </row>
    <row r="1019" ht="15" customHeight="1" s="75">
      <c r="A1019" s="74" t="inlineStr">
        <is>
          <t>JULHO/2026</t>
        </is>
      </c>
      <c r="B1019" s="74" t="inlineStr">
        <is>
          <t>Fique Móvel</t>
        </is>
      </c>
      <c r="C1019" s="74" t="inlineStr">
        <is>
          <t>Fique Móvel</t>
        </is>
      </c>
      <c r="D1019" s="74" t="inlineStr">
        <is>
          <t>DX2</t>
        </is>
      </c>
      <c r="E1019" s="151" t="n">
        <v>6588</v>
      </c>
      <c r="F1019" s="100" t="n">
        <v>0.059165</v>
      </c>
      <c r="G1019" s="100" t="n">
        <v>389.77902</v>
      </c>
      <c r="H1019" s="74" t="inlineStr">
        <is>
          <t>Cálculo por número de clientes ativos</t>
        </is>
      </c>
    </row>
    <row r="1020" ht="15" customHeight="1" s="75">
      <c r="A1020" s="74" t="inlineStr">
        <is>
          <t>JULHO/2026</t>
        </is>
      </c>
      <c r="B1020" s="74" t="inlineStr">
        <is>
          <t>Fique Móvel</t>
        </is>
      </c>
      <c r="C1020" s="74" t="inlineStr">
        <is>
          <t>Fique Móvel</t>
        </is>
      </c>
      <c r="D1020" s="74" t="inlineStr">
        <is>
          <t>H&amp;A</t>
        </is>
      </c>
      <c r="E1020" s="151" t="n">
        <v>13530</v>
      </c>
      <c r="F1020" s="100" t="n">
        <v>0.059165</v>
      </c>
      <c r="G1020" s="100" t="n">
        <v>800.50245</v>
      </c>
      <c r="H1020" s="74" t="inlineStr">
        <is>
          <t>Cálculo por número de clientes ativos</t>
        </is>
      </c>
    </row>
    <row r="1021" ht="15" customHeight="1" s="75">
      <c r="A1021" s="74" t="inlineStr">
        <is>
          <t>JULHO/2026</t>
        </is>
      </c>
      <c r="B1021" s="74" t="inlineStr">
        <is>
          <t>Fique Móvel</t>
        </is>
      </c>
      <c r="C1021" s="74" t="inlineStr">
        <is>
          <t>Fique Móvel</t>
        </is>
      </c>
      <c r="D1021" s="74" t="inlineStr">
        <is>
          <t>Soares e Lins</t>
        </is>
      </c>
      <c r="E1021" s="151" t="n">
        <v>3765</v>
      </c>
      <c r="F1021" s="100" t="n">
        <v>0.059165</v>
      </c>
      <c r="G1021" s="100" t="n">
        <v>222.756225</v>
      </c>
      <c r="H1021" s="74" t="inlineStr">
        <is>
          <t>Cálculo por número de clientes ativos</t>
        </is>
      </c>
    </row>
    <row r="1022" ht="15" customHeight="1" s="75">
      <c r="A1022" s="74" t="inlineStr">
        <is>
          <t>JULHO/2026</t>
        </is>
      </c>
      <c r="B1022" s="74" t="inlineStr">
        <is>
          <t>Fique Móvel</t>
        </is>
      </c>
      <c r="C1022" s="74" t="inlineStr">
        <is>
          <t>Fique Móvel</t>
        </is>
      </c>
      <c r="D1022" s="74" t="inlineStr">
        <is>
          <t>Soares e Silva</t>
        </is>
      </c>
      <c r="E1022" s="151" t="n">
        <v>6568</v>
      </c>
      <c r="F1022" s="100" t="n">
        <v>0.059165</v>
      </c>
      <c r="G1022" s="100" t="n">
        <v>388.59572</v>
      </c>
      <c r="H1022" s="74" t="inlineStr">
        <is>
          <t>Cálculo por número de clientes ativos</t>
        </is>
      </c>
    </row>
    <row r="1023" ht="15" customHeight="1" s="75">
      <c r="A1023" s="74" t="inlineStr">
        <is>
          <t>JULHO/2026</t>
        </is>
      </c>
      <c r="B1023" s="74" t="inlineStr">
        <is>
          <t>Fique Móvel</t>
        </is>
      </c>
      <c r="C1023" s="74" t="inlineStr">
        <is>
          <t>Fique Móvel</t>
        </is>
      </c>
      <c r="D1023" s="74" t="inlineStr">
        <is>
          <t>Solon Araújo</t>
        </is>
      </c>
      <c r="E1023" s="151" t="n">
        <v>14689</v>
      </c>
      <c r="F1023" s="100" t="n">
        <v>0.059165</v>
      </c>
      <c r="G1023" s="100" t="n">
        <v>869.074685</v>
      </c>
      <c r="H1023" s="74" t="inlineStr">
        <is>
          <t>Cálculo por número de clientes ativos</t>
        </is>
      </c>
    </row>
    <row r="1024" ht="15" customHeight="1" s="75">
      <c r="A1024" s="74" t="inlineStr">
        <is>
          <t>JULHO/2026</t>
        </is>
      </c>
      <c r="B1024" s="74" t="inlineStr">
        <is>
          <t>Fique Móvel</t>
        </is>
      </c>
      <c r="C1024" s="74" t="inlineStr">
        <is>
          <t>Fique Móvel</t>
        </is>
      </c>
      <c r="D1024" s="74" t="inlineStr">
        <is>
          <t>Souza e Silva</t>
        </is>
      </c>
      <c r="E1024" s="151" t="n">
        <v>4805</v>
      </c>
      <c r="F1024" s="100" t="n">
        <v>0.059165</v>
      </c>
      <c r="G1024" s="100" t="n">
        <v>284.287825</v>
      </c>
      <c r="H1024" s="74" t="inlineStr">
        <is>
          <t>Cálculo por número de clientes ativos</t>
        </is>
      </c>
    </row>
    <row r="1025" ht="15" customHeight="1" s="75">
      <c r="A1025" s="74" t="inlineStr">
        <is>
          <t>JULHO/2026</t>
        </is>
      </c>
      <c r="B1025" s="74" t="inlineStr">
        <is>
          <t>Fique Móvel</t>
        </is>
      </c>
      <c r="C1025" s="74" t="inlineStr">
        <is>
          <t>Fique Móvel</t>
        </is>
      </c>
      <c r="D1025" s="74" t="inlineStr">
        <is>
          <t>Voicenet</t>
        </is>
      </c>
      <c r="E1025" s="151" t="n">
        <v>4806</v>
      </c>
      <c r="F1025" s="100" t="n">
        <v>0.059165</v>
      </c>
      <c r="G1025" s="100" t="n">
        <v>284.34699</v>
      </c>
      <c r="H1025" s="74" t="inlineStr">
        <is>
          <t>Cálculo por número de clientes ativos</t>
        </is>
      </c>
    </row>
    <row r="1026" ht="15" customHeight="1" s="75">
      <c r="A1026" s="74" t="inlineStr">
        <is>
          <t>JULHO/2026</t>
        </is>
      </c>
      <c r="B1026" s="74" t="inlineStr">
        <is>
          <t>Financeiro</t>
        </is>
      </c>
      <c r="C1026" s="74" t="inlineStr">
        <is>
          <t>Financeiro</t>
        </is>
      </c>
      <c r="D1026" s="74" t="inlineStr">
        <is>
          <t>DX2</t>
        </is>
      </c>
      <c r="E1026" s="151" t="n">
        <v>6588</v>
      </c>
      <c r="F1026" s="100" t="n">
        <v>0.258107</v>
      </c>
      <c r="G1026" s="100" t="n">
        <v>1700.408916</v>
      </c>
      <c r="H1026" s="74" t="inlineStr">
        <is>
          <t>Cálculo por número de clientes ativos</t>
        </is>
      </c>
    </row>
    <row r="1027" ht="15" customHeight="1" s="75">
      <c r="A1027" s="74" t="inlineStr">
        <is>
          <t>JULHO/2026</t>
        </is>
      </c>
      <c r="B1027" s="74" t="inlineStr">
        <is>
          <t>Financeiro</t>
        </is>
      </c>
      <c r="C1027" s="74" t="inlineStr">
        <is>
          <t>Financeiro</t>
        </is>
      </c>
      <c r="D1027" s="74" t="inlineStr">
        <is>
          <t>Soares e Lins</t>
        </is>
      </c>
      <c r="E1027" s="151" t="n">
        <v>3765</v>
      </c>
      <c r="F1027" s="100" t="n">
        <v>0.258107</v>
      </c>
      <c r="G1027" s="100" t="n">
        <v>971.772855</v>
      </c>
      <c r="H1027" s="74" t="inlineStr">
        <is>
          <t>Cálculo por número de clientes ativos</t>
        </is>
      </c>
    </row>
    <row r="1028" ht="15" customHeight="1" s="75">
      <c r="A1028" s="74" t="inlineStr">
        <is>
          <t>JULHO/2026</t>
        </is>
      </c>
      <c r="B1028" s="74" t="inlineStr">
        <is>
          <t>Financeiro</t>
        </is>
      </c>
      <c r="C1028" s="74" t="inlineStr">
        <is>
          <t>Financeiro</t>
        </is>
      </c>
      <c r="D1028" s="74" t="inlineStr">
        <is>
          <t>Soares e Silva</t>
        </is>
      </c>
      <c r="E1028" s="151" t="n">
        <v>6568</v>
      </c>
      <c r="F1028" s="100" t="n">
        <v>0.258107</v>
      </c>
      <c r="G1028" s="100" t="n">
        <v>1695.246776</v>
      </c>
      <c r="H1028" s="74" t="inlineStr">
        <is>
          <t>Cálculo por número de clientes ativos</t>
        </is>
      </c>
    </row>
    <row r="1029" ht="15" customHeight="1" s="75">
      <c r="A1029" s="74" t="inlineStr">
        <is>
          <t>JULHO/2026</t>
        </is>
      </c>
      <c r="B1029" s="74" t="inlineStr">
        <is>
          <t>Financeiro</t>
        </is>
      </c>
      <c r="C1029" s="74" t="inlineStr">
        <is>
          <t>Financeiro</t>
        </is>
      </c>
      <c r="D1029" s="74" t="inlineStr">
        <is>
          <t>Solon Araújo</t>
        </is>
      </c>
      <c r="E1029" s="151" t="n">
        <v>14689</v>
      </c>
      <c r="F1029" s="100" t="n">
        <v>0.258107</v>
      </c>
      <c r="G1029" s="100" t="n">
        <v>3791.333723</v>
      </c>
      <c r="H1029" s="74" t="inlineStr">
        <is>
          <t>Cálculo por número de clientes ativos</t>
        </is>
      </c>
    </row>
    <row r="1030" ht="15" customHeight="1" s="75">
      <c r="A1030" s="74" t="inlineStr">
        <is>
          <t>JULHO/2026</t>
        </is>
      </c>
      <c r="B1030" s="74" t="inlineStr">
        <is>
          <t>Financeiro</t>
        </is>
      </c>
      <c r="C1030" s="74" t="inlineStr">
        <is>
          <t>Financeiro</t>
        </is>
      </c>
      <c r="D1030" s="74" t="inlineStr">
        <is>
          <t>Souza e Silva</t>
        </is>
      </c>
      <c r="E1030" s="151" t="n">
        <v>4805</v>
      </c>
      <c r="F1030" s="100" t="n">
        <v>0.258107</v>
      </c>
      <c r="G1030" s="100" t="n">
        <v>1240.204135</v>
      </c>
      <c r="H1030" s="74" t="inlineStr">
        <is>
          <t>Cálculo por número de clientes ativos</t>
        </is>
      </c>
    </row>
    <row r="1031" ht="15" customHeight="1" s="75">
      <c r="A1031" s="74" t="inlineStr">
        <is>
          <t>JULHO/2026</t>
        </is>
      </c>
      <c r="B1031" s="74" t="inlineStr">
        <is>
          <t>Financeiro</t>
        </is>
      </c>
      <c r="C1031" s="74" t="inlineStr">
        <is>
          <t>Financeiro</t>
        </is>
      </c>
      <c r="D1031" s="74" t="inlineStr">
        <is>
          <t>Voicenet</t>
        </is>
      </c>
      <c r="E1031" s="151" t="n">
        <v>4806</v>
      </c>
      <c r="F1031" s="100" t="n">
        <v>0.258107</v>
      </c>
      <c r="G1031" s="100" t="n">
        <v>1240.462242</v>
      </c>
      <c r="H1031" s="74" t="inlineStr">
        <is>
          <t>Cálculo por número de clientes ativos</t>
        </is>
      </c>
    </row>
    <row r="1032" ht="15" customHeight="1" s="75">
      <c r="A1032" s="74" t="inlineStr">
        <is>
          <t>JULHO/2026</t>
        </is>
      </c>
      <c r="B1032" s="74" t="inlineStr">
        <is>
          <t>Financeiro</t>
        </is>
      </c>
      <c r="C1032" s="74" t="inlineStr">
        <is>
          <t>Financeiro</t>
        </is>
      </c>
      <c r="D1032" s="74" t="inlineStr">
        <is>
          <t>H&amp;A</t>
        </is>
      </c>
      <c r="E1032" s="151" t="n">
        <v>13530</v>
      </c>
      <c r="F1032" s="100" t="n">
        <v>0.258107</v>
      </c>
      <c r="G1032" s="100" t="n">
        <v>3492.18771</v>
      </c>
      <c r="H1032" s="74" t="inlineStr">
        <is>
          <t>Cálculo por número de clientes ativos</t>
        </is>
      </c>
    </row>
    <row r="1033" ht="15" customHeight="1" s="75">
      <c r="A1033" s="74" t="inlineStr">
        <is>
          <t>JULHO/2026</t>
        </is>
      </c>
      <c r="B1033" s="74" t="inlineStr">
        <is>
          <t>Jurídico</t>
        </is>
      </c>
      <c r="C1033" s="74" t="inlineStr">
        <is>
          <t>Jurídico</t>
        </is>
      </c>
      <c r="D1033" s="74" t="inlineStr">
        <is>
          <t>DX2</t>
        </is>
      </c>
      <c r="E1033" s="151" t="n">
        <v>6588</v>
      </c>
      <c r="F1033" s="100" t="n">
        <v>0.02785</v>
      </c>
      <c r="G1033" s="100" t="n">
        <v>183.4758</v>
      </c>
      <c r="H1033" s="74" t="inlineStr">
        <is>
          <t>Cálculo por número de clientes ativos</t>
        </is>
      </c>
    </row>
    <row r="1034" ht="15" customHeight="1" s="75">
      <c r="A1034" s="74" t="inlineStr">
        <is>
          <t>JULHO/2026</t>
        </is>
      </c>
      <c r="B1034" s="74" t="inlineStr">
        <is>
          <t>Jurídico</t>
        </is>
      </c>
      <c r="C1034" s="74" t="inlineStr">
        <is>
          <t>Jurídico</t>
        </is>
      </c>
      <c r="D1034" s="74" t="inlineStr">
        <is>
          <t>H&amp;A</t>
        </is>
      </c>
      <c r="E1034" s="151" t="n">
        <v>13530</v>
      </c>
      <c r="F1034" s="100" t="n">
        <v>0.02785</v>
      </c>
      <c r="G1034" s="100" t="n">
        <v>376.8105</v>
      </c>
      <c r="H1034" s="74" t="inlineStr">
        <is>
          <t>Cálculo por número de clientes ativos</t>
        </is>
      </c>
    </row>
    <row r="1035" ht="15" customHeight="1" s="75">
      <c r="A1035" s="74" t="inlineStr">
        <is>
          <t>JULHO/2026</t>
        </is>
      </c>
      <c r="B1035" s="74" t="inlineStr">
        <is>
          <t>Jurídico</t>
        </is>
      </c>
      <c r="C1035" s="74" t="inlineStr">
        <is>
          <t>Jurídico</t>
        </is>
      </c>
      <c r="D1035" s="74" t="inlineStr">
        <is>
          <t>Soares e Lins</t>
        </is>
      </c>
      <c r="E1035" s="151" t="n">
        <v>3765</v>
      </c>
      <c r="F1035" s="100" t="n">
        <v>0.02785</v>
      </c>
      <c r="G1035" s="100" t="n">
        <v>104.85525</v>
      </c>
      <c r="H1035" s="74" t="inlineStr">
        <is>
          <t>Cálculo por número de clientes ativos</t>
        </is>
      </c>
    </row>
    <row r="1036" ht="15" customHeight="1" s="75">
      <c r="A1036" s="74" t="inlineStr">
        <is>
          <t>JULHO/2026</t>
        </is>
      </c>
      <c r="B1036" s="74" t="inlineStr">
        <is>
          <t>Jurídico</t>
        </is>
      </c>
      <c r="C1036" s="74" t="inlineStr">
        <is>
          <t>Jurídico</t>
        </is>
      </c>
      <c r="D1036" s="74" t="inlineStr">
        <is>
          <t>Soares e Silva</t>
        </is>
      </c>
      <c r="E1036" s="151" t="n">
        <v>6568</v>
      </c>
      <c r="F1036" s="100" t="n">
        <v>0.02785</v>
      </c>
      <c r="G1036" s="100" t="n">
        <v>182.9188</v>
      </c>
      <c r="H1036" s="74" t="inlineStr">
        <is>
          <t>Cálculo por número de clientes ativos</t>
        </is>
      </c>
    </row>
    <row r="1037" ht="15" customHeight="1" s="75">
      <c r="A1037" s="74" t="inlineStr">
        <is>
          <t>JULHO/2026</t>
        </is>
      </c>
      <c r="B1037" s="74" t="inlineStr">
        <is>
          <t>Jurídico</t>
        </is>
      </c>
      <c r="C1037" s="74" t="inlineStr">
        <is>
          <t>Jurídico</t>
        </is>
      </c>
      <c r="D1037" s="74" t="inlineStr">
        <is>
          <t>Solon Araújo</t>
        </is>
      </c>
      <c r="E1037" s="151" t="n">
        <v>14689</v>
      </c>
      <c r="F1037" s="100" t="n">
        <v>0.02785</v>
      </c>
      <c r="G1037" s="100" t="n">
        <v>409.08865</v>
      </c>
      <c r="H1037" s="74" t="inlineStr">
        <is>
          <t>Cálculo por número de clientes ativos</t>
        </is>
      </c>
    </row>
    <row r="1038" ht="15" customHeight="1" s="75">
      <c r="A1038" s="74" t="inlineStr">
        <is>
          <t>JULHO/2026</t>
        </is>
      </c>
      <c r="B1038" s="74" t="inlineStr">
        <is>
          <t>Jurídico</t>
        </is>
      </c>
      <c r="C1038" s="74" t="inlineStr">
        <is>
          <t>Jurídico</t>
        </is>
      </c>
      <c r="D1038" s="74" t="inlineStr">
        <is>
          <t>Souza e Silva</t>
        </is>
      </c>
      <c r="E1038" s="151" t="n">
        <v>4805</v>
      </c>
      <c r="F1038" s="100" t="n">
        <v>0.02785</v>
      </c>
      <c r="G1038" s="100" t="n">
        <v>133.81925</v>
      </c>
      <c r="H1038" s="74" t="inlineStr">
        <is>
          <t>Cálculo por número de clientes ativos</t>
        </is>
      </c>
    </row>
    <row r="1039" ht="15" customHeight="1" s="75">
      <c r="A1039" s="74" t="inlineStr">
        <is>
          <t>JULHO/2026</t>
        </is>
      </c>
      <c r="B1039" s="74" t="inlineStr">
        <is>
          <t>Jurídico</t>
        </is>
      </c>
      <c r="C1039" s="74" t="inlineStr">
        <is>
          <t>Jurídico</t>
        </is>
      </c>
      <c r="D1039" s="74" t="inlineStr">
        <is>
          <t>Voicenet</t>
        </is>
      </c>
      <c r="E1039" s="151" t="n">
        <v>4806</v>
      </c>
      <c r="F1039" s="100" t="n">
        <v>0.02785</v>
      </c>
      <c r="G1039" s="100" t="n">
        <v>133.8471</v>
      </c>
      <c r="H1039" s="74" t="inlineStr">
        <is>
          <t>Cálculo por número de clientes ativos</t>
        </is>
      </c>
    </row>
    <row r="1040" ht="15" customHeight="1" s="75">
      <c r="A1040" s="74" t="inlineStr">
        <is>
          <t>JULHO/2026</t>
        </is>
      </c>
      <c r="B1040" s="74" t="inlineStr">
        <is>
          <t>Logistica</t>
        </is>
      </c>
      <c r="C1040" s="74" t="inlineStr">
        <is>
          <t>Logistica</t>
        </is>
      </c>
      <c r="D1040" s="74" t="inlineStr">
        <is>
          <t>DX2</t>
        </is>
      </c>
      <c r="E1040" s="151" t="n">
        <v>6588</v>
      </c>
      <c r="F1040" s="100" t="n">
        <v>0.484427</v>
      </c>
      <c r="G1040" s="100" t="n">
        <v>3191.405076</v>
      </c>
      <c r="H1040" s="74" t="inlineStr">
        <is>
          <t>Cálculo por número de clientes ativos</t>
        </is>
      </c>
    </row>
    <row r="1041" ht="15" customHeight="1" s="75">
      <c r="A1041" s="74" t="inlineStr">
        <is>
          <t>JULHO/2026</t>
        </is>
      </c>
      <c r="B1041" s="74" t="inlineStr">
        <is>
          <t>Logistica</t>
        </is>
      </c>
      <c r="C1041" s="74" t="inlineStr">
        <is>
          <t>Logistica</t>
        </is>
      </c>
      <c r="D1041" s="74" t="inlineStr">
        <is>
          <t>Soares e Lins</t>
        </is>
      </c>
      <c r="E1041" s="151" t="n">
        <v>3765</v>
      </c>
      <c r="F1041" s="100" t="n">
        <v>0.484427</v>
      </c>
      <c r="G1041" s="100" t="n">
        <v>1823.867655</v>
      </c>
      <c r="H1041" s="74" t="inlineStr">
        <is>
          <t>Cálculo por número de clientes ativos</t>
        </is>
      </c>
    </row>
    <row r="1042" ht="15" customHeight="1" s="75">
      <c r="A1042" s="74" t="inlineStr">
        <is>
          <t>JULHO/2026</t>
        </is>
      </c>
      <c r="B1042" s="74" t="inlineStr">
        <is>
          <t>Logistica</t>
        </is>
      </c>
      <c r="C1042" s="74" t="inlineStr">
        <is>
          <t>Logistica</t>
        </is>
      </c>
      <c r="D1042" s="74" t="inlineStr">
        <is>
          <t>Soares e Silva</t>
        </is>
      </c>
      <c r="E1042" s="151" t="n">
        <v>6568</v>
      </c>
      <c r="F1042" s="100" t="n">
        <v>0.484427</v>
      </c>
      <c r="G1042" s="100" t="n">
        <v>3181.716536</v>
      </c>
      <c r="H1042" s="74" t="inlineStr">
        <is>
          <t>Cálculo por número de clientes ativos</t>
        </is>
      </c>
    </row>
    <row r="1043" ht="15" customHeight="1" s="75">
      <c r="A1043" s="74" t="inlineStr">
        <is>
          <t>JULHO/2026</t>
        </is>
      </c>
      <c r="B1043" s="74" t="inlineStr">
        <is>
          <t>Logistica</t>
        </is>
      </c>
      <c r="C1043" s="74" t="inlineStr">
        <is>
          <t>Logistica</t>
        </is>
      </c>
      <c r="D1043" s="74" t="inlineStr">
        <is>
          <t>Solon Araújo</t>
        </is>
      </c>
      <c r="E1043" s="151" t="n">
        <v>14689</v>
      </c>
      <c r="F1043" s="100" t="n">
        <v>0.484427</v>
      </c>
      <c r="G1043" s="100" t="n">
        <v>7115.748203</v>
      </c>
      <c r="H1043" s="74" t="inlineStr">
        <is>
          <t>Cálculo por número de clientes ativos</t>
        </is>
      </c>
    </row>
    <row r="1044" ht="15" customHeight="1" s="75">
      <c r="A1044" s="74" t="inlineStr">
        <is>
          <t>JULHO/2026</t>
        </is>
      </c>
      <c r="B1044" s="74" t="inlineStr">
        <is>
          <t>Logistica</t>
        </is>
      </c>
      <c r="C1044" s="74" t="inlineStr">
        <is>
          <t>Logistica</t>
        </is>
      </c>
      <c r="D1044" s="74" t="inlineStr">
        <is>
          <t>Souza e Silva</t>
        </is>
      </c>
      <c r="E1044" s="151" t="n">
        <v>4805</v>
      </c>
      <c r="F1044" s="100" t="n">
        <v>0.484427</v>
      </c>
      <c r="G1044" s="100" t="n">
        <v>2327.671735</v>
      </c>
      <c r="H1044" s="74" t="inlineStr">
        <is>
          <t>Cálculo por número de clientes ativos</t>
        </is>
      </c>
    </row>
    <row r="1045" ht="15" customHeight="1" s="75">
      <c r="A1045" s="74" t="inlineStr">
        <is>
          <t>JULHO/2026</t>
        </is>
      </c>
      <c r="B1045" s="74" t="inlineStr">
        <is>
          <t>Logistica</t>
        </is>
      </c>
      <c r="C1045" s="74" t="inlineStr">
        <is>
          <t>Logistica</t>
        </is>
      </c>
      <c r="D1045" s="74" t="inlineStr">
        <is>
          <t>Voicenet</t>
        </is>
      </c>
      <c r="E1045" s="151" t="n">
        <v>4806</v>
      </c>
      <c r="F1045" s="100" t="n">
        <v>0.484427</v>
      </c>
      <c r="G1045" s="100" t="n">
        <v>2328.156162</v>
      </c>
      <c r="H1045" s="74" t="inlineStr">
        <is>
          <t>Cálculo por número de clientes ativos</t>
        </is>
      </c>
    </row>
    <row r="1046" ht="15" customHeight="1" s="75">
      <c r="A1046" s="74" t="inlineStr">
        <is>
          <t>JULHO/2026</t>
        </is>
      </c>
      <c r="B1046" s="74" t="inlineStr">
        <is>
          <t>Logistica</t>
        </is>
      </c>
      <c r="C1046" s="74" t="inlineStr">
        <is>
          <t>Logistica</t>
        </is>
      </c>
      <c r="D1046" s="74" t="inlineStr">
        <is>
          <t>H&amp;A</t>
        </is>
      </c>
      <c r="E1046" s="151" t="n">
        <v>13530</v>
      </c>
      <c r="F1046" s="100" t="n">
        <v>0.484427</v>
      </c>
      <c r="G1046" s="100" t="n">
        <v>6554.29731</v>
      </c>
      <c r="H1046" s="74" t="inlineStr">
        <is>
          <t>Cálculo por número de clientes ativos</t>
        </is>
      </c>
    </row>
    <row r="1047" ht="15" customHeight="1" s="75">
      <c r="A1047" s="74" t="inlineStr">
        <is>
          <t>JULHO/2026</t>
        </is>
      </c>
      <c r="B1047" s="74" t="inlineStr">
        <is>
          <t>NOC</t>
        </is>
      </c>
      <c r="C1047" s="74" t="inlineStr">
        <is>
          <t>NOC</t>
        </is>
      </c>
      <c r="D1047" s="74" t="inlineStr">
        <is>
          <t>DX2</t>
        </is>
      </c>
      <c r="E1047" s="151" t="n">
        <v>6588</v>
      </c>
      <c r="F1047" s="100" t="n">
        <v>0.371854</v>
      </c>
      <c r="G1047" s="100" t="n">
        <v>2449.774152</v>
      </c>
      <c r="H1047" s="74" t="inlineStr">
        <is>
          <t>Cálculo por número de clientes ativos</t>
        </is>
      </c>
    </row>
    <row r="1048" ht="15" customHeight="1" s="75">
      <c r="A1048" s="74" t="inlineStr">
        <is>
          <t>JULHO/2026</t>
        </is>
      </c>
      <c r="B1048" s="74" t="inlineStr">
        <is>
          <t>NOC</t>
        </is>
      </c>
      <c r="C1048" s="74" t="inlineStr">
        <is>
          <t>NOC</t>
        </is>
      </c>
      <c r="D1048" s="74" t="inlineStr">
        <is>
          <t>H&amp;A</t>
        </is>
      </c>
      <c r="E1048" s="151" t="n">
        <v>13530</v>
      </c>
      <c r="F1048" s="100" t="n">
        <v>0.371854</v>
      </c>
      <c r="G1048" s="100" t="n">
        <v>5031.18462</v>
      </c>
      <c r="H1048" s="74" t="inlineStr">
        <is>
          <t>Cálculo por número de clientes ativos</t>
        </is>
      </c>
    </row>
    <row r="1049" ht="15" customHeight="1" s="75">
      <c r="A1049" s="74" t="inlineStr">
        <is>
          <t>JULHO/2026</t>
        </is>
      </c>
      <c r="B1049" s="74" t="inlineStr">
        <is>
          <t>NOC</t>
        </is>
      </c>
      <c r="C1049" s="74" t="inlineStr">
        <is>
          <t>NOC</t>
        </is>
      </c>
      <c r="D1049" s="74" t="inlineStr">
        <is>
          <t>Soares e Lins</t>
        </is>
      </c>
      <c r="E1049" s="151" t="n">
        <v>3765</v>
      </c>
      <c r="F1049" s="100" t="n">
        <v>0.371854</v>
      </c>
      <c r="G1049" s="100" t="n">
        <v>1400.03031</v>
      </c>
      <c r="H1049" s="74" t="inlineStr">
        <is>
          <t>Cálculo por número de clientes ativos</t>
        </is>
      </c>
    </row>
    <row r="1050" ht="15" customHeight="1" s="75">
      <c r="A1050" s="74" t="inlineStr">
        <is>
          <t>JULHO/2026</t>
        </is>
      </c>
      <c r="B1050" s="74" t="inlineStr">
        <is>
          <t>NOC</t>
        </is>
      </c>
      <c r="C1050" s="74" t="inlineStr">
        <is>
          <t>NOC</t>
        </is>
      </c>
      <c r="D1050" s="74" t="inlineStr">
        <is>
          <t>Soares e Silva</t>
        </is>
      </c>
      <c r="E1050" s="151" t="n">
        <v>6568</v>
      </c>
      <c r="F1050" s="100" t="n">
        <v>0.371854</v>
      </c>
      <c r="G1050" s="100" t="n">
        <v>2442.337072</v>
      </c>
      <c r="H1050" s="74" t="inlineStr">
        <is>
          <t>Cálculo por número de clientes ativos</t>
        </is>
      </c>
    </row>
    <row r="1051" ht="15" customHeight="1" s="75">
      <c r="A1051" s="74" t="inlineStr">
        <is>
          <t>JULHO/2026</t>
        </is>
      </c>
      <c r="B1051" s="74" t="inlineStr">
        <is>
          <t>NOC</t>
        </is>
      </c>
      <c r="C1051" s="74" t="inlineStr">
        <is>
          <t>NOC</t>
        </is>
      </c>
      <c r="D1051" s="74" t="inlineStr">
        <is>
          <t>Solon Araújo</t>
        </is>
      </c>
      <c r="E1051" s="151" t="n">
        <v>14689</v>
      </c>
      <c r="F1051" s="100" t="n">
        <v>0.371854</v>
      </c>
      <c r="G1051" s="100" t="n">
        <v>5462.163406</v>
      </c>
      <c r="H1051" s="74" t="inlineStr">
        <is>
          <t>Cálculo por número de clientes ativos</t>
        </is>
      </c>
    </row>
    <row r="1052" ht="15" customHeight="1" s="75">
      <c r="A1052" s="74" t="inlineStr">
        <is>
          <t>JULHO/2026</t>
        </is>
      </c>
      <c r="B1052" s="74" t="inlineStr">
        <is>
          <t>NOC</t>
        </is>
      </c>
      <c r="C1052" s="74" t="inlineStr">
        <is>
          <t>NOC</t>
        </is>
      </c>
      <c r="D1052" s="74" t="inlineStr">
        <is>
          <t>Souza e Silva</t>
        </is>
      </c>
      <c r="E1052" s="151" t="n">
        <v>4805</v>
      </c>
      <c r="F1052" s="100" t="n">
        <v>0.371854</v>
      </c>
      <c r="G1052" s="100" t="n">
        <v>1786.75847</v>
      </c>
      <c r="H1052" s="74" t="inlineStr">
        <is>
          <t>Cálculo por número de clientes ativos</t>
        </is>
      </c>
    </row>
    <row r="1053" ht="15" customHeight="1" s="75">
      <c r="A1053" s="74" t="inlineStr">
        <is>
          <t>JULHO/2026</t>
        </is>
      </c>
      <c r="B1053" s="74" t="inlineStr">
        <is>
          <t>NOC</t>
        </is>
      </c>
      <c r="C1053" s="74" t="inlineStr">
        <is>
          <t>NOC</t>
        </is>
      </c>
      <c r="D1053" s="74" t="inlineStr">
        <is>
          <t>Voicenet</t>
        </is>
      </c>
      <c r="E1053" s="151" t="n">
        <v>4806</v>
      </c>
      <c r="F1053" s="100" t="n">
        <v>0.371854</v>
      </c>
      <c r="G1053" s="100" t="n">
        <v>1787.130324</v>
      </c>
      <c r="H1053" s="74" t="inlineStr">
        <is>
          <t>Cálculo por número de clientes ativos</t>
        </is>
      </c>
    </row>
    <row r="1054" ht="15" customHeight="1" s="75">
      <c r="A1054" s="74" t="inlineStr">
        <is>
          <t>JULHO/2026</t>
        </is>
      </c>
      <c r="B1054" s="74" t="inlineStr">
        <is>
          <t>RH</t>
        </is>
      </c>
      <c r="C1054" s="74" t="inlineStr">
        <is>
          <t>Custo do departamento de RH</t>
        </is>
      </c>
      <c r="D1054" s="74" t="inlineStr">
        <is>
          <t>DX2</t>
        </is>
      </c>
      <c r="E1054" s="151" t="n">
        <v>29</v>
      </c>
      <c r="F1054" s="100" t="n">
        <v>29.741876</v>
      </c>
      <c r="G1054" s="100" t="n">
        <v>862.514404</v>
      </c>
      <c r="H1054" s="74" t="inlineStr">
        <is>
          <t>Cálculo por número de funcionários ativos</t>
        </is>
      </c>
    </row>
    <row r="1055" ht="15" customHeight="1" s="75">
      <c r="A1055" s="74" t="inlineStr">
        <is>
          <t>JULHO/2026</t>
        </is>
      </c>
      <c r="B1055" s="74" t="inlineStr">
        <is>
          <t>RH</t>
        </is>
      </c>
      <c r="C1055" s="74" t="inlineStr">
        <is>
          <t>Custo do departamento de RH</t>
        </is>
      </c>
      <c r="D1055" s="74" t="inlineStr">
        <is>
          <t>H&amp;A</t>
        </is>
      </c>
      <c r="E1055" s="151" t="n"/>
      <c r="F1055" s="100" t="n"/>
      <c r="G1055" s="100" t="n"/>
      <c r="H1055" s="74" t="inlineStr">
        <is>
          <t>Cálculo por número de funcionários ativos (sem quantidade exata para H&amp;A)</t>
        </is>
      </c>
    </row>
    <row r="1056" ht="15" customHeight="1" s="75">
      <c r="A1056" s="74" t="inlineStr">
        <is>
          <t>JULHO/2026</t>
        </is>
      </c>
      <c r="B1056" s="74" t="inlineStr">
        <is>
          <t>RH</t>
        </is>
      </c>
      <c r="C1056" s="74" t="inlineStr">
        <is>
          <t>Custo do departamento de RH</t>
        </is>
      </c>
      <c r="D1056" s="74" t="inlineStr">
        <is>
          <t>Soares e Lins</t>
        </is>
      </c>
      <c r="E1056" s="151" t="n">
        <v>10</v>
      </c>
      <c r="F1056" s="100" t="n">
        <v>29.741876</v>
      </c>
      <c r="G1056" s="100" t="n">
        <v>297.41876</v>
      </c>
      <c r="H1056" s="74" t="inlineStr">
        <is>
          <t>Cálculo por número de funcionários ativos</t>
        </is>
      </c>
    </row>
    <row r="1057" ht="15" customHeight="1" s="75">
      <c r="A1057" s="74" t="inlineStr">
        <is>
          <t>JULHO/2026</t>
        </is>
      </c>
      <c r="B1057" s="74" t="inlineStr">
        <is>
          <t>RH</t>
        </is>
      </c>
      <c r="C1057" s="74" t="inlineStr">
        <is>
          <t>Custo do departamento de RH</t>
        </is>
      </c>
      <c r="D1057" s="74" t="inlineStr">
        <is>
          <t>Soares e Silva</t>
        </is>
      </c>
      <c r="E1057" s="151" t="n">
        <v>43</v>
      </c>
      <c r="F1057" s="100" t="n">
        <v>29.741876</v>
      </c>
      <c r="G1057" s="100" t="n">
        <v>1278.900668</v>
      </c>
      <c r="H1057" s="74" t="inlineStr">
        <is>
          <t>Cálculo por número de funcionários ativos</t>
        </is>
      </c>
    </row>
    <row r="1058" ht="15" customHeight="1" s="75">
      <c r="A1058" s="74" t="inlineStr">
        <is>
          <t>JULHO/2026</t>
        </is>
      </c>
      <c r="B1058" s="74" t="inlineStr">
        <is>
          <t>RH</t>
        </is>
      </c>
      <c r="C1058" s="74" t="inlineStr">
        <is>
          <t>Custo do departamento de RH</t>
        </is>
      </c>
      <c r="D1058" s="74" t="inlineStr">
        <is>
          <t>Solon Araújo</t>
        </is>
      </c>
      <c r="E1058" s="151" t="n">
        <v>45</v>
      </c>
      <c r="F1058" s="100" t="n">
        <v>29.741876</v>
      </c>
      <c r="G1058" s="100" t="n">
        <v>1338.38442</v>
      </c>
      <c r="H1058" s="74" t="inlineStr">
        <is>
          <t>Cálculo por número de funcionários ativos</t>
        </is>
      </c>
    </row>
    <row r="1059" ht="15" customHeight="1" s="75">
      <c r="A1059" s="74" t="inlineStr">
        <is>
          <t>JULHO/2026</t>
        </is>
      </c>
      <c r="B1059" s="74" t="inlineStr">
        <is>
          <t>RH</t>
        </is>
      </c>
      <c r="C1059" s="74" t="inlineStr">
        <is>
          <t>Custo do departamento de RH</t>
        </is>
      </c>
      <c r="D1059" s="74" t="inlineStr">
        <is>
          <t>Souza e Silva</t>
        </is>
      </c>
      <c r="E1059" s="151" t="n">
        <v>18</v>
      </c>
      <c r="F1059" s="100" t="n">
        <v>29.741876</v>
      </c>
      <c r="G1059" s="100" t="n">
        <v>535.3537679999999</v>
      </c>
      <c r="H1059" s="74" t="inlineStr">
        <is>
          <t>Cálculo por número de funcionários ativos</t>
        </is>
      </c>
    </row>
    <row r="1060" ht="15" customHeight="1" s="75">
      <c r="A1060" s="74" t="inlineStr">
        <is>
          <t>JULHO/2026</t>
        </is>
      </c>
      <c r="B1060" s="74" t="inlineStr">
        <is>
          <t>RH</t>
        </is>
      </c>
      <c r="C1060" s="74" t="inlineStr">
        <is>
          <t>Custo do departamento de RH</t>
        </is>
      </c>
      <c r="D1060" s="74" t="inlineStr">
        <is>
          <t>Voicenet</t>
        </is>
      </c>
      <c r="E1060" s="151" t="n">
        <v>19</v>
      </c>
      <c r="F1060" s="100" t="n">
        <v>29.741876</v>
      </c>
      <c r="G1060" s="100" t="n">
        <v>565.095644</v>
      </c>
      <c r="H1060" s="74" t="inlineStr">
        <is>
          <t>Cálculo por número de funcionários ativos</t>
        </is>
      </c>
    </row>
    <row r="1061" ht="15" customHeight="1" s="75">
      <c r="A1061" s="74" t="inlineStr">
        <is>
          <t>JULHO/2026</t>
        </is>
      </c>
      <c r="B1061" s="74" t="inlineStr">
        <is>
          <t>DP</t>
        </is>
      </c>
      <c r="C1061" s="74" t="inlineStr">
        <is>
          <t>Custo do departamento de DP</t>
        </is>
      </c>
      <c r="D1061" s="74" t="inlineStr">
        <is>
          <t>DX2</t>
        </is>
      </c>
      <c r="E1061" s="151" t="n">
        <v>29</v>
      </c>
      <c r="F1061" s="100" t="n">
        <v>43.540891</v>
      </c>
      <c r="G1061" s="100" t="n">
        <v>1262.685839</v>
      </c>
      <c r="H1061" s="74" t="inlineStr">
        <is>
          <t>Cálculo por número de funcionários ativos</t>
        </is>
      </c>
    </row>
    <row r="1062" ht="15" customHeight="1" s="75">
      <c r="A1062" s="74" t="inlineStr">
        <is>
          <t>JULHO/2026</t>
        </is>
      </c>
      <c r="B1062" s="74" t="inlineStr">
        <is>
          <t>DP</t>
        </is>
      </c>
      <c r="C1062" s="74" t="inlineStr">
        <is>
          <t>Custo do departamento de DP</t>
        </is>
      </c>
      <c r="D1062" s="74" t="inlineStr">
        <is>
          <t>H&amp;A</t>
        </is>
      </c>
      <c r="E1062" s="151" t="n"/>
      <c r="F1062" s="100" t="n"/>
      <c r="G1062" s="100" t="n"/>
      <c r="H1062" s="74" t="inlineStr">
        <is>
          <t>Cálculo por número de funcionários ativos (sem quantidade exata para H&amp;A)</t>
        </is>
      </c>
    </row>
    <row r="1063" ht="15" customHeight="1" s="75">
      <c r="A1063" s="74" t="inlineStr">
        <is>
          <t>JULHO/2026</t>
        </is>
      </c>
      <c r="B1063" s="74" t="inlineStr">
        <is>
          <t>DP</t>
        </is>
      </c>
      <c r="C1063" s="74" t="inlineStr">
        <is>
          <t>Custo do departamento de DP</t>
        </is>
      </c>
      <c r="D1063" s="74" t="inlineStr">
        <is>
          <t>Soares e Lins</t>
        </is>
      </c>
      <c r="E1063" s="151" t="n">
        <v>10</v>
      </c>
      <c r="F1063" s="100" t="n">
        <v>43.540891</v>
      </c>
      <c r="G1063" s="100" t="n">
        <v>435.40891</v>
      </c>
      <c r="H1063" s="74" t="inlineStr">
        <is>
          <t>Cálculo por número de funcionários ativos</t>
        </is>
      </c>
    </row>
    <row r="1064" ht="15" customHeight="1" s="75">
      <c r="A1064" s="74" t="inlineStr">
        <is>
          <t>JULHO/2026</t>
        </is>
      </c>
      <c r="B1064" s="74" t="inlineStr">
        <is>
          <t>DP</t>
        </is>
      </c>
      <c r="C1064" s="74" t="inlineStr">
        <is>
          <t>Custo do departamento de DP</t>
        </is>
      </c>
      <c r="D1064" s="74" t="inlineStr">
        <is>
          <t>Soares e Silva</t>
        </is>
      </c>
      <c r="E1064" s="151" t="n">
        <v>43</v>
      </c>
      <c r="F1064" s="100" t="n">
        <v>43.540891</v>
      </c>
      <c r="G1064" s="100" t="n">
        <v>1872.258313</v>
      </c>
      <c r="H1064" s="74" t="inlineStr">
        <is>
          <t>Cálculo por número de funcionários ativos</t>
        </is>
      </c>
    </row>
    <row r="1065" ht="15" customHeight="1" s="75">
      <c r="A1065" s="74" t="inlineStr">
        <is>
          <t>JULHO/2026</t>
        </is>
      </c>
      <c r="B1065" s="74" t="inlineStr">
        <is>
          <t>DP</t>
        </is>
      </c>
      <c r="C1065" s="74" t="inlineStr">
        <is>
          <t>Custo do departamento de DP</t>
        </is>
      </c>
      <c r="D1065" s="74" t="inlineStr">
        <is>
          <t>Solon Araújo</t>
        </is>
      </c>
      <c r="E1065" s="151" t="n">
        <v>45</v>
      </c>
      <c r="F1065" s="100" t="n">
        <v>43.540891</v>
      </c>
      <c r="G1065" s="100" t="n">
        <v>1959.340095</v>
      </c>
      <c r="H1065" s="74" t="inlineStr">
        <is>
          <t>Cálculo por número de funcionários ativos</t>
        </is>
      </c>
    </row>
    <row r="1066" ht="15" customHeight="1" s="75">
      <c r="A1066" s="74" t="inlineStr">
        <is>
          <t>JULHO/2026</t>
        </is>
      </c>
      <c r="B1066" s="74" t="inlineStr">
        <is>
          <t>DP</t>
        </is>
      </c>
      <c r="C1066" s="74" t="inlineStr">
        <is>
          <t>Custo do departamento de DP</t>
        </is>
      </c>
      <c r="D1066" s="74" t="inlineStr">
        <is>
          <t>Souza e Silva</t>
        </is>
      </c>
      <c r="E1066" s="151" t="n">
        <v>18</v>
      </c>
      <c r="F1066" s="100" t="n">
        <v>43.540891</v>
      </c>
      <c r="G1066" s="100" t="n">
        <v>783.736038</v>
      </c>
      <c r="H1066" s="74" t="inlineStr">
        <is>
          <t>Cálculo por número de funcionários ativos</t>
        </is>
      </c>
    </row>
    <row r="1067" ht="15" customHeight="1" s="75">
      <c r="A1067" s="74" t="inlineStr">
        <is>
          <t>JULHO/2026</t>
        </is>
      </c>
      <c r="B1067" s="74" t="inlineStr">
        <is>
          <t>DP</t>
        </is>
      </c>
      <c r="C1067" s="74" t="inlineStr">
        <is>
          <t>Custo do departamento de DP</t>
        </is>
      </c>
      <c r="D1067" s="74" t="inlineStr">
        <is>
          <t>Voicenet</t>
        </is>
      </c>
      <c r="E1067" s="151" t="n">
        <v>19</v>
      </c>
      <c r="F1067" s="100" t="n">
        <v>43.540891</v>
      </c>
      <c r="G1067" s="100" t="n">
        <v>827.276929</v>
      </c>
      <c r="H1067" s="74" t="inlineStr">
        <is>
          <t>Cálculo por número de funcionários ativos</t>
        </is>
      </c>
    </row>
    <row r="1068" ht="15" customHeight="1" s="75">
      <c r="A1068" s="74" t="inlineStr">
        <is>
          <t>JULHO/2026</t>
        </is>
      </c>
      <c r="B1068" s="74" t="inlineStr">
        <is>
          <t>Segurança do Trabalho</t>
        </is>
      </c>
      <c r="C1068" s="74" t="inlineStr">
        <is>
          <t>Custo do departamento de Segurança do trabalho</t>
        </is>
      </c>
      <c r="D1068" s="74" t="inlineStr">
        <is>
          <t>DX2</t>
        </is>
      </c>
      <c r="E1068" s="151" t="n">
        <v>29</v>
      </c>
      <c r="F1068" s="100" t="n">
        <v>47.658742</v>
      </c>
      <c r="G1068" s="100" t="n">
        <v>1382.103518</v>
      </c>
      <c r="H1068" s="74" t="inlineStr">
        <is>
          <t>Cálculo por número de funcionários ativos</t>
        </is>
      </c>
    </row>
    <row r="1069" ht="15" customHeight="1" s="75">
      <c r="A1069" s="74" t="inlineStr">
        <is>
          <t>JULHO/2026</t>
        </is>
      </c>
      <c r="B1069" s="74" t="inlineStr">
        <is>
          <t>Segurança do Trabalho</t>
        </is>
      </c>
      <c r="C1069" s="74" t="inlineStr">
        <is>
          <t>Custo do departamento de Segurança do trabalho</t>
        </is>
      </c>
      <c r="D1069" s="74" t="inlineStr">
        <is>
          <t>H&amp;A</t>
        </is>
      </c>
      <c r="E1069" s="151" t="n"/>
      <c r="F1069" s="100" t="n"/>
      <c r="G1069" s="100" t="n"/>
      <c r="H1069" s="74" t="inlineStr">
        <is>
          <t>Cálculo por número de funcionários ativos (sem quantidade exata para H&amp;A)</t>
        </is>
      </c>
    </row>
    <row r="1070" ht="15" customHeight="1" s="75">
      <c r="A1070" s="74" t="inlineStr">
        <is>
          <t>JULHO/2026</t>
        </is>
      </c>
      <c r="B1070" s="74" t="inlineStr">
        <is>
          <t>Segurança do Trabalho</t>
        </is>
      </c>
      <c r="C1070" s="74" t="inlineStr">
        <is>
          <t>Custo do departamento de Segurança do trabalho</t>
        </is>
      </c>
      <c r="D1070" s="74" t="inlineStr">
        <is>
          <t>Soares e Lins</t>
        </is>
      </c>
      <c r="E1070" s="151" t="n">
        <v>10</v>
      </c>
      <c r="F1070" s="100" t="n">
        <v>47.658742</v>
      </c>
      <c r="G1070" s="100" t="n">
        <v>476.58742</v>
      </c>
      <c r="H1070" s="74" t="inlineStr">
        <is>
          <t>Cálculo por número de funcionários ativos</t>
        </is>
      </c>
    </row>
    <row r="1071" ht="15" customHeight="1" s="75">
      <c r="A1071" s="74" t="inlineStr">
        <is>
          <t>JULHO/2026</t>
        </is>
      </c>
      <c r="B1071" s="74" t="inlineStr">
        <is>
          <t>Segurança do Trabalho</t>
        </is>
      </c>
      <c r="C1071" s="74" t="inlineStr">
        <is>
          <t>Custo do departamento de Segurança do trabalho</t>
        </is>
      </c>
      <c r="D1071" s="74" t="inlineStr">
        <is>
          <t>Soares e Silva</t>
        </is>
      </c>
      <c r="E1071" s="151" t="n">
        <v>43</v>
      </c>
      <c r="F1071" s="100" t="n">
        <v>47.658742</v>
      </c>
      <c r="G1071" s="100" t="n">
        <v>2049.325906</v>
      </c>
      <c r="H1071" s="74" t="inlineStr">
        <is>
          <t>Cálculo por número de funcionários ativos</t>
        </is>
      </c>
    </row>
    <row r="1072" ht="15" customHeight="1" s="75">
      <c r="A1072" s="74" t="inlineStr">
        <is>
          <t>JULHO/2026</t>
        </is>
      </c>
      <c r="B1072" s="74" t="inlineStr">
        <is>
          <t>Segurança do Trabalho</t>
        </is>
      </c>
      <c r="C1072" s="74" t="inlineStr">
        <is>
          <t>Custo do departamento de Segurança do trabalho</t>
        </is>
      </c>
      <c r="D1072" s="74" t="inlineStr">
        <is>
          <t>Solon Araújo</t>
        </is>
      </c>
      <c r="E1072" s="151" t="n">
        <v>45</v>
      </c>
      <c r="F1072" s="100" t="n">
        <v>47.658742</v>
      </c>
      <c r="G1072" s="100" t="n">
        <v>2144.64339</v>
      </c>
      <c r="H1072" s="74" t="inlineStr">
        <is>
          <t>Cálculo por número de funcionários ativos</t>
        </is>
      </c>
    </row>
    <row r="1073" ht="15" customHeight="1" s="75">
      <c r="A1073" s="74" t="inlineStr">
        <is>
          <t>JULHO/2026</t>
        </is>
      </c>
      <c r="B1073" s="74" t="inlineStr">
        <is>
          <t>Segurança do Trabalho</t>
        </is>
      </c>
      <c r="C1073" s="74" t="inlineStr">
        <is>
          <t>Custo do departamento de Segurança do trabalho</t>
        </is>
      </c>
      <c r="D1073" s="74" t="inlineStr">
        <is>
          <t>Souza e Silva</t>
        </is>
      </c>
      <c r="E1073" s="151" t="n">
        <v>18</v>
      </c>
      <c r="F1073" s="100" t="n">
        <v>47.658742</v>
      </c>
      <c r="G1073" s="100" t="n">
        <v>857.857356</v>
      </c>
      <c r="H1073" s="74" t="inlineStr">
        <is>
          <t>Cálculo por número de funcionários ativos</t>
        </is>
      </c>
    </row>
    <row r="1074" ht="15" customHeight="1" s="75">
      <c r="A1074" s="74" t="inlineStr">
        <is>
          <t>JULHO/2026</t>
        </is>
      </c>
      <c r="B1074" s="74" t="inlineStr">
        <is>
          <t>Segurança do Trabalho</t>
        </is>
      </c>
      <c r="C1074" s="74" t="inlineStr">
        <is>
          <t>Custo do departamento de Segurança do trabalho</t>
        </is>
      </c>
      <c r="D1074" s="74" t="inlineStr">
        <is>
          <t>Voicenet</t>
        </is>
      </c>
      <c r="E1074" s="151" t="n">
        <v>19</v>
      </c>
      <c r="F1074" s="100" t="n">
        <v>47.658742</v>
      </c>
      <c r="G1074" s="100" t="n">
        <v>905.5160980000001</v>
      </c>
      <c r="H1074" s="74" t="inlineStr">
        <is>
          <t>Cálculo por número de funcionários ativos</t>
        </is>
      </c>
    </row>
    <row r="1075" ht="15" customHeight="1" s="75">
      <c r="A1075" s="74" t="inlineStr">
        <is>
          <t>MAIO/2026</t>
        </is>
      </c>
      <c r="B1075" s="74" t="inlineStr">
        <is>
          <t>Diretoria Adm</t>
        </is>
      </c>
      <c r="C1075" s="74" t="inlineStr">
        <is>
          <t>Diretoria Adm</t>
        </is>
      </c>
      <c r="D1075" s="74" t="inlineStr">
        <is>
          <t>DX2</t>
        </is>
      </c>
      <c r="E1075" s="151" t="n">
        <v>6280</v>
      </c>
      <c r="F1075" s="100" t="n">
        <v>0.154543612417484</v>
      </c>
      <c r="G1075" s="100" t="n">
        <v>970.5338859818</v>
      </c>
      <c r="H1075" s="74" t="inlineStr">
        <is>
          <t>Cálculo por número de clientes ativos</t>
        </is>
      </c>
    </row>
    <row r="1076" ht="15" customHeight="1" s="75">
      <c r="A1076" s="74" t="inlineStr">
        <is>
          <t>MAIO/2026</t>
        </is>
      </c>
      <c r="B1076" s="74" t="inlineStr">
        <is>
          <t>Diretoria Adm</t>
        </is>
      </c>
      <c r="C1076" s="74" t="inlineStr">
        <is>
          <t>Diretoria Adm</t>
        </is>
      </c>
      <c r="D1076" s="74" t="inlineStr">
        <is>
          <t>H&amp;A</t>
        </is>
      </c>
      <c r="E1076" s="151" t="n">
        <v>13402</v>
      </c>
      <c r="F1076" s="100" t="n">
        <v>0.154543612417484</v>
      </c>
      <c r="G1076" s="100" t="n">
        <v>2071.19349361912</v>
      </c>
      <c r="H1076" s="74" t="inlineStr">
        <is>
          <t>Cálculo por número de clientes ativos</t>
        </is>
      </c>
    </row>
    <row r="1077" ht="15" customHeight="1" s="75">
      <c r="A1077" s="74" t="inlineStr">
        <is>
          <t>MAIO/2026</t>
        </is>
      </c>
      <c r="B1077" s="74" t="inlineStr">
        <is>
          <t>Diretoria Adm</t>
        </is>
      </c>
      <c r="C1077" s="74" t="inlineStr">
        <is>
          <t>Diretoria Adm</t>
        </is>
      </c>
      <c r="D1077" s="74" t="inlineStr">
        <is>
          <t>Solon Araújo</t>
        </is>
      </c>
      <c r="E1077" s="151" t="n">
        <v>14331</v>
      </c>
      <c r="F1077" s="100" t="n">
        <v>0.154543612417484</v>
      </c>
      <c r="G1077" s="100" t="n">
        <v>2214.76450955496</v>
      </c>
      <c r="H1077" s="74" t="inlineStr">
        <is>
          <t>Cálculo por número de clientes ativos</t>
        </is>
      </c>
    </row>
    <row r="1078" ht="15" customHeight="1" s="75">
      <c r="A1078" s="74" t="inlineStr">
        <is>
          <t>MAIO/2026</t>
        </is>
      </c>
      <c r="B1078" s="74" t="inlineStr">
        <is>
          <t>Diretoria Adm</t>
        </is>
      </c>
      <c r="C1078" s="74" t="inlineStr">
        <is>
          <t>Diretoria Adm</t>
        </is>
      </c>
      <c r="D1078" s="74" t="inlineStr">
        <is>
          <t>Soares e Lins</t>
        </is>
      </c>
      <c r="E1078" s="151" t="n">
        <v>3650</v>
      </c>
      <c r="F1078" s="100" t="n">
        <v>0.154543612417484</v>
      </c>
      <c r="G1078" s="100" t="n">
        <v>564.084185323817</v>
      </c>
      <c r="H1078" s="74" t="inlineStr">
        <is>
          <t>Cálculo por número de clientes ativos</t>
        </is>
      </c>
    </row>
    <row r="1079" ht="15" customHeight="1" s="75">
      <c r="A1079" s="74" t="inlineStr">
        <is>
          <t>MAIO/2026</t>
        </is>
      </c>
      <c r="B1079" s="74" t="inlineStr">
        <is>
          <t>Diretoria Adm</t>
        </is>
      </c>
      <c r="C1079" s="74" t="inlineStr">
        <is>
          <t>Diretoria Adm</t>
        </is>
      </c>
      <c r="D1079" s="74" t="inlineStr">
        <is>
          <t>Soares e Silva</t>
        </is>
      </c>
      <c r="E1079" s="151" t="n">
        <v>6396</v>
      </c>
      <c r="F1079" s="100" t="n">
        <v>0.154543612417484</v>
      </c>
      <c r="G1079" s="100" t="n">
        <v>988.460945022228</v>
      </c>
      <c r="H1079" s="74" t="inlineStr">
        <is>
          <t>Cálculo por número de clientes ativos</t>
        </is>
      </c>
    </row>
    <row r="1080" ht="15" customHeight="1" s="75">
      <c r="A1080" s="74" t="inlineStr">
        <is>
          <t>MAIO/2026</t>
        </is>
      </c>
      <c r="B1080" s="74" t="inlineStr">
        <is>
          <t>Diretoria Adm</t>
        </is>
      </c>
      <c r="C1080" s="74" t="inlineStr">
        <is>
          <t>Diretoria Adm</t>
        </is>
      </c>
      <c r="D1080" s="74" t="inlineStr">
        <is>
          <t>Souza e Silva</t>
        </is>
      </c>
      <c r="E1080" s="151" t="n">
        <v>4730</v>
      </c>
      <c r="F1080" s="100" t="n">
        <v>0.154543612417484</v>
      </c>
      <c r="G1080" s="100" t="n">
        <v>730.991286734699</v>
      </c>
      <c r="H1080" s="74" t="inlineStr">
        <is>
          <t>Cálculo por número de clientes ativos</t>
        </is>
      </c>
    </row>
    <row r="1081" ht="15" customHeight="1" s="75">
      <c r="A1081" s="74" t="inlineStr">
        <is>
          <t>MAIO/2026</t>
        </is>
      </c>
      <c r="B1081" s="74" t="inlineStr">
        <is>
          <t>Diretoria Adm</t>
        </is>
      </c>
      <c r="C1081" s="74" t="inlineStr">
        <is>
          <t>Diretoria Adm</t>
        </is>
      </c>
      <c r="D1081" s="74" t="inlineStr">
        <is>
          <t>Voicenet</t>
        </is>
      </c>
      <c r="E1081" s="151" t="n">
        <v>4782</v>
      </c>
      <c r="F1081" s="100" t="n">
        <v>0.154543612417484</v>
      </c>
      <c r="G1081" s="100" t="n">
        <v>739.027554580408</v>
      </c>
      <c r="H1081" s="74" t="inlineStr">
        <is>
          <t>Cálculo por número de clientes ativos</t>
        </is>
      </c>
    </row>
    <row r="1082" ht="15" customHeight="1" s="75">
      <c r="A1082" s="74" t="inlineStr">
        <is>
          <t>JUNHO/2026</t>
        </is>
      </c>
      <c r="B1082" s="74" t="inlineStr">
        <is>
          <t>Diretoria Adm</t>
        </is>
      </c>
      <c r="C1082" s="74" t="inlineStr">
        <is>
          <t>Diretoria Adm</t>
        </is>
      </c>
      <c r="D1082" s="74" t="inlineStr">
        <is>
          <t>DX2</t>
        </is>
      </c>
      <c r="E1082" s="151" t="n">
        <v>6445</v>
      </c>
      <c r="F1082" s="100" t="n">
        <v>0.150676625241861</v>
      </c>
      <c r="G1082" s="100" t="n">
        <v>971.110849683794</v>
      </c>
      <c r="H1082" s="74" t="inlineStr">
        <is>
          <t>Cálculo por número de clientes ativos</t>
        </is>
      </c>
    </row>
    <row r="1083" ht="15" customHeight="1" s="75">
      <c r="A1083" s="74" t="inlineStr">
        <is>
          <t>JUNHO/2026</t>
        </is>
      </c>
      <c r="B1083" s="74" t="inlineStr">
        <is>
          <t>Diretoria Adm</t>
        </is>
      </c>
      <c r="C1083" s="74" t="inlineStr">
        <is>
          <t>Diretoria Adm</t>
        </is>
      </c>
      <c r="D1083" s="74" t="inlineStr">
        <is>
          <t>H&amp;A</t>
        </is>
      </c>
      <c r="E1083" s="151" t="n">
        <v>13418</v>
      </c>
      <c r="F1083" s="100" t="n">
        <v>0.150676625241861</v>
      </c>
      <c r="G1083" s="100" t="n">
        <v>2021.77895749529</v>
      </c>
      <c r="H1083" s="74" t="inlineStr">
        <is>
          <t>Cálculo por número de clientes ativos</t>
        </is>
      </c>
    </row>
    <row r="1084" ht="15" customHeight="1" s="75">
      <c r="A1084" s="74" t="inlineStr">
        <is>
          <t>JUNHO/2026</t>
        </is>
      </c>
      <c r="B1084" s="74" t="inlineStr">
        <is>
          <t>Diretoria Adm</t>
        </is>
      </c>
      <c r="C1084" s="74" t="inlineStr">
        <is>
          <t>Diretoria Adm</t>
        </is>
      </c>
      <c r="D1084" s="74" t="inlineStr">
        <is>
          <t>Solon Araújo</t>
        </is>
      </c>
      <c r="E1084" s="151" t="n">
        <v>14441</v>
      </c>
      <c r="F1084" s="100" t="n">
        <v>0.150676625241861</v>
      </c>
      <c r="G1084" s="100" t="n">
        <v>2175.92114511772</v>
      </c>
      <c r="H1084" s="74" t="inlineStr">
        <is>
          <t>Cálculo por número de clientes ativos</t>
        </is>
      </c>
    </row>
    <row r="1085" ht="15" customHeight="1" s="75">
      <c r="A1085" s="74" t="inlineStr">
        <is>
          <t>JUNHO/2026</t>
        </is>
      </c>
      <c r="B1085" s="74" t="inlineStr">
        <is>
          <t>Diretoria Adm</t>
        </is>
      </c>
      <c r="C1085" s="74" t="inlineStr">
        <is>
          <t>Diretoria Adm</t>
        </is>
      </c>
      <c r="D1085" s="74" t="inlineStr">
        <is>
          <t>Soares e Lins</t>
        </is>
      </c>
      <c r="E1085" s="151" t="n">
        <v>3704</v>
      </c>
      <c r="F1085" s="100" t="n">
        <v>0.150676625241861</v>
      </c>
      <c r="G1085" s="100" t="n">
        <v>558.106219895853</v>
      </c>
      <c r="H1085" s="74" t="inlineStr">
        <is>
          <t>Cálculo por número de clientes ativos</t>
        </is>
      </c>
    </row>
    <row r="1086" ht="15" customHeight="1" s="75">
      <c r="A1086" s="74" t="inlineStr">
        <is>
          <t>JUNHO/2026</t>
        </is>
      </c>
      <c r="B1086" s="74" t="inlineStr">
        <is>
          <t>Diretoria Adm</t>
        </is>
      </c>
      <c r="C1086" s="74" t="inlineStr">
        <is>
          <t>Diretoria Adm</t>
        </is>
      </c>
      <c r="D1086" s="74" t="inlineStr">
        <is>
          <t>Soares e Silva</t>
        </is>
      </c>
      <c r="E1086" s="151" t="n">
        <v>6434</v>
      </c>
      <c r="F1086" s="100" t="n">
        <v>0.150676625241861</v>
      </c>
      <c r="G1086" s="100" t="n">
        <v>969.453406806134</v>
      </c>
      <c r="H1086" s="74" t="inlineStr">
        <is>
          <t>Cálculo por número de clientes ativos</t>
        </is>
      </c>
    </row>
    <row r="1087" ht="15" customHeight="1" s="75">
      <c r="A1087" s="74" t="inlineStr">
        <is>
          <t>JUNHO/2026</t>
        </is>
      </c>
      <c r="B1087" s="74" t="inlineStr">
        <is>
          <t>Diretoria Adm</t>
        </is>
      </c>
      <c r="C1087" s="74" t="inlineStr">
        <is>
          <t>Diretoria Adm</t>
        </is>
      </c>
      <c r="D1087" s="74" t="inlineStr">
        <is>
          <t>Souza e Silva</t>
        </is>
      </c>
      <c r="E1087" s="151" t="n">
        <v>4749</v>
      </c>
      <c r="F1087" s="100" t="n">
        <v>0.150676625241861</v>
      </c>
      <c r="G1087" s="100" t="n">
        <v>715.563293273598</v>
      </c>
      <c r="H1087" s="74" t="inlineStr">
        <is>
          <t>Cálculo por número de clientes ativos</t>
        </is>
      </c>
    </row>
    <row r="1088" ht="15" customHeight="1" s="75">
      <c r="A1088" s="74" t="inlineStr">
        <is>
          <t>JUNHO/2026</t>
        </is>
      </c>
      <c r="B1088" s="74" t="inlineStr">
        <is>
          <t>Diretoria Adm</t>
        </is>
      </c>
      <c r="C1088" s="74" t="inlineStr">
        <is>
          <t>Diretoria Adm</t>
        </is>
      </c>
      <c r="D1088" s="74" t="inlineStr">
        <is>
          <t>Voicenet</t>
        </is>
      </c>
      <c r="E1088" s="151" t="n">
        <v>4795</v>
      </c>
      <c r="F1088" s="100" t="n">
        <v>0.150676625241861</v>
      </c>
      <c r="G1088" s="100" t="n">
        <v>722.494418034724</v>
      </c>
      <c r="H1088" s="74" t="inlineStr">
        <is>
          <t>Cálculo por número de clientes ativos</t>
        </is>
      </c>
    </row>
    <row r="1089" ht="15" customHeight="1" s="75">
      <c r="A1089" s="74" t="inlineStr">
        <is>
          <t>JULHO/2026</t>
        </is>
      </c>
      <c r="B1089" s="74" t="inlineStr">
        <is>
          <t>Diretoria Adm</t>
        </is>
      </c>
      <c r="C1089" s="74" t="inlineStr">
        <is>
          <t>Diretoria Adm</t>
        </is>
      </c>
      <c r="D1089" s="74" t="inlineStr">
        <is>
          <t>DX2</t>
        </is>
      </c>
      <c r="E1089" s="151" t="n">
        <v>6588</v>
      </c>
      <c r="F1089" s="100" t="n">
        <v>0.145289779573281</v>
      </c>
      <c r="G1089" s="100" t="n">
        <v>957.169067828775</v>
      </c>
      <c r="H1089" s="74" t="inlineStr">
        <is>
          <t>Cálculo por número de clientes ativos</t>
        </is>
      </c>
    </row>
    <row r="1090" ht="15" customHeight="1" s="75">
      <c r="A1090" s="74" t="inlineStr">
        <is>
          <t>JULHO/2026</t>
        </is>
      </c>
      <c r="B1090" s="74" t="inlineStr">
        <is>
          <t>Diretoria Adm</t>
        </is>
      </c>
      <c r="C1090" s="74" t="inlineStr">
        <is>
          <t>Diretoria Adm</t>
        </is>
      </c>
      <c r="D1090" s="74" t="inlineStr">
        <is>
          <t>H&amp;A</t>
        </is>
      </c>
      <c r="E1090" s="151" t="n">
        <v>13530</v>
      </c>
      <c r="F1090" s="100" t="n">
        <v>0.145289779573281</v>
      </c>
      <c r="G1090" s="100" t="n">
        <v>1965.77071762649</v>
      </c>
      <c r="H1090" s="74" t="inlineStr">
        <is>
          <t>Cálculo por número de clientes ativos</t>
        </is>
      </c>
    </row>
    <row r="1091" ht="15" customHeight="1" s="75">
      <c r="A1091" s="74" t="inlineStr">
        <is>
          <t>JULHO/2026</t>
        </is>
      </c>
      <c r="B1091" s="74" t="inlineStr">
        <is>
          <t>Diretoria Adm</t>
        </is>
      </c>
      <c r="C1091" s="74" t="inlineStr">
        <is>
          <t>Diretoria Adm</t>
        </is>
      </c>
      <c r="D1091" s="74" t="inlineStr">
        <is>
          <t>Solon Araújo</t>
        </is>
      </c>
      <c r="E1091" s="151" t="n">
        <v>14689</v>
      </c>
      <c r="F1091" s="100" t="n">
        <v>0.145289779573281</v>
      </c>
      <c r="G1091" s="100" t="n">
        <v>2134.16157215193</v>
      </c>
      <c r="H1091" s="74" t="inlineStr">
        <is>
          <t>Cálculo por número de clientes ativos</t>
        </is>
      </c>
    </row>
    <row r="1092" ht="15" customHeight="1" s="75">
      <c r="A1092" s="74" t="inlineStr">
        <is>
          <t>JULHO/2026</t>
        </is>
      </c>
      <c r="B1092" s="74" t="inlineStr">
        <is>
          <t>Diretoria Adm</t>
        </is>
      </c>
      <c r="C1092" s="74" t="inlineStr">
        <is>
          <t>Diretoria Adm</t>
        </is>
      </c>
      <c r="D1092" s="74" t="inlineStr">
        <is>
          <t>Soares e Lins</t>
        </is>
      </c>
      <c r="E1092" s="151" t="n">
        <v>3765</v>
      </c>
      <c r="F1092" s="100" t="n">
        <v>0.145289779573281</v>
      </c>
      <c r="G1092" s="100" t="n">
        <v>547.016020093403</v>
      </c>
      <c r="H1092" s="74" t="inlineStr">
        <is>
          <t>Cálculo por número de clientes ativos</t>
        </is>
      </c>
    </row>
    <row r="1093" ht="15" customHeight="1" s="75">
      <c r="A1093" s="74" t="inlineStr">
        <is>
          <t>JULHO/2026</t>
        </is>
      </c>
      <c r="B1093" s="74" t="inlineStr">
        <is>
          <t>Diretoria Adm</t>
        </is>
      </c>
      <c r="C1093" s="74" t="inlineStr">
        <is>
          <t>Diretoria Adm</t>
        </is>
      </c>
      <c r="D1093" s="74" t="inlineStr">
        <is>
          <t>Soares e Silva</t>
        </is>
      </c>
      <c r="E1093" s="151" t="n">
        <v>6568</v>
      </c>
      <c r="F1093" s="100" t="n">
        <v>0.145289779573281</v>
      </c>
      <c r="G1093" s="100" t="n">
        <v>954.26327223731</v>
      </c>
      <c r="H1093" s="74" t="inlineStr">
        <is>
          <t>Cálculo por número de clientes ativos</t>
        </is>
      </c>
    </row>
    <row r="1094" ht="15" customHeight="1" s="75">
      <c r="A1094" s="74" t="inlineStr">
        <is>
          <t>JULHO/2026</t>
        </is>
      </c>
      <c r="B1094" s="74" t="inlineStr">
        <is>
          <t>Diretoria Adm</t>
        </is>
      </c>
      <c r="C1094" s="74" t="inlineStr">
        <is>
          <t>Diretoria Adm</t>
        </is>
      </c>
      <c r="D1094" s="74" t="inlineStr">
        <is>
          <t>Souza e Silva</t>
        </is>
      </c>
      <c r="E1094" s="151" t="n">
        <v>4805</v>
      </c>
      <c r="F1094" s="100" t="n">
        <v>0.145289779573281</v>
      </c>
      <c r="G1094" s="100" t="n">
        <v>698.117390849615</v>
      </c>
      <c r="H1094" s="74" t="inlineStr">
        <is>
          <t>Cálculo por número de clientes ativos</t>
        </is>
      </c>
    </row>
    <row r="1095" ht="15" customHeight="1" s="75">
      <c r="A1095" s="74" t="inlineStr">
        <is>
          <t>JULHO/2026</t>
        </is>
      </c>
      <c r="B1095" s="74" t="inlineStr">
        <is>
          <t>Diretoria Adm</t>
        </is>
      </c>
      <c r="C1095" s="74" t="inlineStr">
        <is>
          <t>Diretoria Adm</t>
        </is>
      </c>
      <c r="D1095" s="74" t="inlineStr">
        <is>
          <t>Voicenet</t>
        </is>
      </c>
      <c r="E1095" s="151" t="n">
        <v>4806</v>
      </c>
      <c r="F1095" s="100" t="n">
        <v>0.145289779573281</v>
      </c>
      <c r="G1095" s="100" t="n">
        <v>698.262680629189</v>
      </c>
      <c r="H1095" s="74" t="inlineStr">
        <is>
          <t>Cálculo por número de clientes ativos</t>
        </is>
      </c>
    </row>
    <row r="1096" ht="15" customHeight="1" s="75">
      <c r="A1096" s="74" t="inlineStr">
        <is>
          <t>MAIO/2026</t>
        </is>
      </c>
      <c r="B1096" s="74" t="inlineStr">
        <is>
          <t>Diretoria Operacional</t>
        </is>
      </c>
      <c r="C1096" s="74" t="inlineStr">
        <is>
          <t>Diretoria Operacional</t>
        </is>
      </c>
      <c r="D1096" s="74" t="inlineStr">
        <is>
          <t>DX2</t>
        </is>
      </c>
      <c r="E1096" s="151" t="n">
        <v>6280</v>
      </c>
      <c r="F1096" s="100" t="n">
        <v>0.145293801710045</v>
      </c>
      <c r="G1096" s="100" t="n">
        <v>912.445074739083</v>
      </c>
      <c r="H1096" s="74" t="inlineStr">
        <is>
          <t>Cálculo por número de clientes ativos</t>
        </is>
      </c>
    </row>
    <row r="1097" ht="15" customHeight="1" s="75">
      <c r="A1097" s="74" t="inlineStr">
        <is>
          <t>MAIO/2026</t>
        </is>
      </c>
      <c r="B1097" s="74" t="inlineStr">
        <is>
          <t>Diretoria Operacional</t>
        </is>
      </c>
      <c r="C1097" s="74" t="inlineStr">
        <is>
          <t>Diretoria Operacional</t>
        </is>
      </c>
      <c r="D1097" s="74" t="inlineStr">
        <is>
          <t>H&amp;A</t>
        </is>
      </c>
      <c r="E1097" s="151" t="n">
        <v>13402</v>
      </c>
      <c r="F1097" s="100" t="n">
        <v>0.145293801710045</v>
      </c>
      <c r="G1097" s="100" t="n">
        <v>1947.22753051802</v>
      </c>
      <c r="H1097" s="74" t="inlineStr">
        <is>
          <t>Cálculo por número de clientes ativos</t>
        </is>
      </c>
    </row>
    <row r="1098" ht="15" customHeight="1" s="75">
      <c r="A1098" s="74" t="inlineStr">
        <is>
          <t>MAIO/2026</t>
        </is>
      </c>
      <c r="B1098" s="74" t="inlineStr">
        <is>
          <t>Diretoria Operacional</t>
        </is>
      </c>
      <c r="C1098" s="74" t="inlineStr">
        <is>
          <t>Diretoria Operacional</t>
        </is>
      </c>
      <c r="D1098" s="74" t="inlineStr">
        <is>
          <t>Solon Araújo</t>
        </is>
      </c>
      <c r="E1098" s="151" t="n">
        <v>14331</v>
      </c>
      <c r="F1098" s="100" t="n">
        <v>0.145293801710045</v>
      </c>
      <c r="G1098" s="100" t="n">
        <v>2082.20547230666</v>
      </c>
      <c r="H1098" s="74" t="inlineStr">
        <is>
          <t>Cálculo por número de clientes ativos</t>
        </is>
      </c>
    </row>
    <row r="1099" ht="15" customHeight="1" s="75">
      <c r="A1099" s="74" t="inlineStr">
        <is>
          <t>MAIO/2026</t>
        </is>
      </c>
      <c r="B1099" s="74" t="inlineStr">
        <is>
          <t>Diretoria Operacional</t>
        </is>
      </c>
      <c r="C1099" s="74" t="inlineStr">
        <is>
          <t>Diretoria Operacional</t>
        </is>
      </c>
      <c r="D1099" s="74" t="inlineStr">
        <is>
          <t>Soares e Lins</t>
        </is>
      </c>
      <c r="E1099" s="151" t="n">
        <v>3650</v>
      </c>
      <c r="F1099" s="100" t="n">
        <v>0.145293801710045</v>
      </c>
      <c r="G1099" s="100" t="n">
        <v>530.322376241664</v>
      </c>
      <c r="H1099" s="74" t="inlineStr">
        <is>
          <t>Cálculo por número de clientes ativos</t>
        </is>
      </c>
    </row>
    <row r="1100" ht="15" customHeight="1" s="75">
      <c r="A1100" s="74" t="inlineStr">
        <is>
          <t>MAIO/2026</t>
        </is>
      </c>
      <c r="B1100" s="74" t="inlineStr">
        <is>
          <t>Diretoria Operacional</t>
        </is>
      </c>
      <c r="C1100" s="74" t="inlineStr">
        <is>
          <t>Diretoria Operacional</t>
        </is>
      </c>
      <c r="D1100" s="74" t="inlineStr">
        <is>
          <t>Soares e Silva</t>
        </is>
      </c>
      <c r="E1100" s="151" t="n">
        <v>6396</v>
      </c>
      <c r="F1100" s="100" t="n">
        <v>0.145293801710045</v>
      </c>
      <c r="G1100" s="100" t="n">
        <v>929.299155737448</v>
      </c>
      <c r="H1100" s="74" t="inlineStr">
        <is>
          <t>Cálculo por número de clientes ativos</t>
        </is>
      </c>
    </row>
    <row r="1101" ht="15" customHeight="1" s="75">
      <c r="A1101" s="74" t="inlineStr">
        <is>
          <t>MAIO/2026</t>
        </is>
      </c>
      <c r="B1101" s="74" t="inlineStr">
        <is>
          <t>Diretoria Operacional</t>
        </is>
      </c>
      <c r="C1101" s="74" t="inlineStr">
        <is>
          <t>Diretoria Operacional</t>
        </is>
      </c>
      <c r="D1101" s="74" t="inlineStr">
        <is>
          <t>Souza e Silva</t>
        </is>
      </c>
      <c r="E1101" s="151" t="n">
        <v>4730</v>
      </c>
      <c r="F1101" s="100" t="n">
        <v>0.145293801710045</v>
      </c>
      <c r="G1101" s="100" t="n">
        <v>687.239682088513</v>
      </c>
      <c r="H1101" s="74" t="inlineStr">
        <is>
          <t>Cálculo por número de clientes ativos</t>
        </is>
      </c>
    </row>
    <row r="1102" ht="15" customHeight="1" s="75">
      <c r="A1102" s="74" t="inlineStr">
        <is>
          <t>MAIO/2026</t>
        </is>
      </c>
      <c r="B1102" s="74" t="inlineStr">
        <is>
          <t>Diretoria Operacional</t>
        </is>
      </c>
      <c r="C1102" s="74" t="inlineStr">
        <is>
          <t>Diretoria Operacional</t>
        </is>
      </c>
      <c r="D1102" s="74" t="inlineStr">
        <is>
          <t>Voicenet</t>
        </is>
      </c>
      <c r="E1102" s="151" t="n">
        <v>4782</v>
      </c>
      <c r="F1102" s="100" t="n">
        <v>0.145293801710045</v>
      </c>
      <c r="G1102" s="100" t="n">
        <v>694.794959777435</v>
      </c>
      <c r="H1102" s="74" t="inlineStr">
        <is>
          <t>Cálculo por número de clientes ativos</t>
        </is>
      </c>
    </row>
    <row r="1103" ht="15" customHeight="1" s="75">
      <c r="A1103" s="74" t="inlineStr">
        <is>
          <t>JUNHO/2026</t>
        </is>
      </c>
      <c r="B1103" s="74" t="inlineStr">
        <is>
          <t>Diretoria Operacional</t>
        </is>
      </c>
      <c r="C1103" s="74" t="inlineStr">
        <is>
          <t>Diretoria Operacional</t>
        </is>
      </c>
      <c r="D1103" s="74" t="inlineStr">
        <is>
          <t>DX2</t>
        </is>
      </c>
      <c r="E1103" s="151" t="n">
        <v>6445</v>
      </c>
      <c r="F1103" s="100" t="n">
        <v>0.146782423739836</v>
      </c>
      <c r="G1103" s="100" t="n">
        <v>946.012721003243</v>
      </c>
      <c r="H1103" s="74" t="inlineStr">
        <is>
          <t>Cálculo por número de clientes ativos</t>
        </is>
      </c>
    </row>
    <row r="1104" ht="15" customHeight="1" s="75">
      <c r="A1104" s="74" t="inlineStr">
        <is>
          <t>JUNHO/2026</t>
        </is>
      </c>
      <c r="B1104" s="74" t="inlineStr">
        <is>
          <t>Diretoria Operacional</t>
        </is>
      </c>
      <c r="C1104" s="74" t="inlineStr">
        <is>
          <t>Diretoria Operacional</t>
        </is>
      </c>
      <c r="D1104" s="74" t="inlineStr">
        <is>
          <t>H&amp;A</t>
        </is>
      </c>
      <c r="E1104" s="151" t="n">
        <v>13418</v>
      </c>
      <c r="F1104" s="100" t="n">
        <v>0.146782423739836</v>
      </c>
      <c r="G1104" s="100" t="n">
        <v>1969.52656174112</v>
      </c>
      <c r="H1104" s="74" t="inlineStr">
        <is>
          <t>Cálculo por número de clientes ativos</t>
        </is>
      </c>
    </row>
    <row r="1105" ht="15" customHeight="1" s="75">
      <c r="A1105" s="74" t="inlineStr">
        <is>
          <t>JUNHO/2026</t>
        </is>
      </c>
      <c r="B1105" s="74" t="inlineStr">
        <is>
          <t>Diretoria Operacional</t>
        </is>
      </c>
      <c r="C1105" s="74" t="inlineStr">
        <is>
          <t>Diretoria Operacional</t>
        </is>
      </c>
      <c r="D1105" s="74" t="inlineStr">
        <is>
          <t>Solon Araújo</t>
        </is>
      </c>
      <c r="E1105" s="151" t="n">
        <v>14441</v>
      </c>
      <c r="F1105" s="100" t="n">
        <v>0.146782423739836</v>
      </c>
      <c r="G1105" s="100" t="n">
        <v>2119.68498122697</v>
      </c>
      <c r="H1105" s="74" t="inlineStr">
        <is>
          <t>Cálculo por número de clientes ativos</t>
        </is>
      </c>
    </row>
    <row r="1106" ht="15" customHeight="1" s="75">
      <c r="A1106" s="74" t="inlineStr">
        <is>
          <t>JUNHO/2026</t>
        </is>
      </c>
      <c r="B1106" s="74" t="inlineStr">
        <is>
          <t>Diretoria Operacional</t>
        </is>
      </c>
      <c r="C1106" s="74" t="inlineStr">
        <is>
          <t>Diretoria Operacional</t>
        </is>
      </c>
      <c r="D1106" s="74" t="inlineStr">
        <is>
          <t>Soares e Lins</t>
        </is>
      </c>
      <c r="E1106" s="151" t="n">
        <v>3704</v>
      </c>
      <c r="F1106" s="100" t="n">
        <v>0.146782423739836</v>
      </c>
      <c r="G1106" s="100" t="n">
        <v>543.6820975323531</v>
      </c>
      <c r="H1106" s="74" t="inlineStr">
        <is>
          <t>Cálculo por número de clientes ativos</t>
        </is>
      </c>
    </row>
    <row r="1107" ht="15" customHeight="1" s="75">
      <c r="A1107" s="74" t="inlineStr">
        <is>
          <t>JUNHO/2026</t>
        </is>
      </c>
      <c r="B1107" s="74" t="inlineStr">
        <is>
          <t>Diretoria Operacional</t>
        </is>
      </c>
      <c r="C1107" s="74" t="inlineStr">
        <is>
          <t>Diretoria Operacional</t>
        </is>
      </c>
      <c r="D1107" s="74" t="inlineStr">
        <is>
          <t>Soares e Silva</t>
        </is>
      </c>
      <c r="E1107" s="151" t="n">
        <v>6434</v>
      </c>
      <c r="F1107" s="100" t="n">
        <v>0.146782423739836</v>
      </c>
      <c r="G1107" s="100" t="n">
        <v>944.398114342105</v>
      </c>
      <c r="H1107" s="74" t="inlineStr">
        <is>
          <t>Cálculo por número de clientes ativos</t>
        </is>
      </c>
    </row>
    <row r="1108" ht="15" customHeight="1" s="75">
      <c r="A1108" s="74" t="inlineStr">
        <is>
          <t>JUNHO/2026</t>
        </is>
      </c>
      <c r="B1108" s="74" t="inlineStr">
        <is>
          <t>Diretoria Operacional</t>
        </is>
      </c>
      <c r="C1108" s="74" t="inlineStr">
        <is>
          <t>Diretoria Operacional</t>
        </is>
      </c>
      <c r="D1108" s="74" t="inlineStr">
        <is>
          <t>Souza e Silva</t>
        </is>
      </c>
      <c r="E1108" s="151" t="n">
        <v>4749</v>
      </c>
      <c r="F1108" s="100" t="n">
        <v>0.146782423739836</v>
      </c>
      <c r="G1108" s="100" t="n">
        <v>697.069730340481</v>
      </c>
      <c r="H1108" s="74" t="inlineStr">
        <is>
          <t>Cálculo por número de clientes ativos</t>
        </is>
      </c>
    </row>
    <row r="1109" ht="15" customHeight="1" s="75">
      <c r="A1109" s="74" t="inlineStr">
        <is>
          <t>JUNHO/2026</t>
        </is>
      </c>
      <c r="B1109" s="74" t="inlineStr">
        <is>
          <t>Diretoria Operacional</t>
        </is>
      </c>
      <c r="C1109" s="74" t="inlineStr">
        <is>
          <t>Diretoria Operacional</t>
        </is>
      </c>
      <c r="D1109" s="74" t="inlineStr">
        <is>
          <t>Voicenet</t>
        </is>
      </c>
      <c r="E1109" s="151" t="n">
        <v>4795</v>
      </c>
      <c r="F1109" s="100" t="n">
        <v>0.146782423739836</v>
      </c>
      <c r="G1109" s="100" t="n">
        <v>703.821721832514</v>
      </c>
      <c r="H1109" s="74" t="inlineStr">
        <is>
          <t>Cálculo por número de clientes ativos</t>
        </is>
      </c>
    </row>
    <row r="1110" ht="15" customHeight="1" s="75">
      <c r="A1110" s="74" t="inlineStr">
        <is>
          <t>JULHO/2026</t>
        </is>
      </c>
      <c r="B1110" s="74" t="inlineStr">
        <is>
          <t>Diretoria Operacional</t>
        </is>
      </c>
      <c r="C1110" s="74" t="inlineStr">
        <is>
          <t>Diretoria Operacional</t>
        </is>
      </c>
      <c r="D1110" s="74" t="inlineStr">
        <is>
          <t>DX2</t>
        </is>
      </c>
      <c r="E1110" s="151" t="n">
        <v>6588</v>
      </c>
      <c r="F1110" s="100" t="n">
        <v>0.136978220673766</v>
      </c>
      <c r="G1110" s="100" t="n">
        <v>902.41251779877</v>
      </c>
      <c r="H1110" s="74" t="inlineStr">
        <is>
          <t>Cálculo por número de clientes ativos</t>
        </is>
      </c>
    </row>
    <row r="1111" ht="15" customHeight="1" s="75">
      <c r="A1111" s="74" t="inlineStr">
        <is>
          <t>JULHO/2026</t>
        </is>
      </c>
      <c r="B1111" s="74" t="inlineStr">
        <is>
          <t>Diretoria Operacional</t>
        </is>
      </c>
      <c r="C1111" s="74" t="inlineStr">
        <is>
          <t>Diretoria Operacional</t>
        </is>
      </c>
      <c r="D1111" s="74" t="inlineStr">
        <is>
          <t>H&amp;A</t>
        </is>
      </c>
      <c r="E1111" s="151" t="n">
        <v>13530</v>
      </c>
      <c r="F1111" s="100" t="n">
        <v>0.136978220673766</v>
      </c>
      <c r="G1111" s="100" t="n">
        <v>1853.31532571605</v>
      </c>
      <c r="H1111" s="74" t="inlineStr">
        <is>
          <t>Cálculo por número de clientes ativos</t>
        </is>
      </c>
    </row>
    <row r="1112" ht="15" customHeight="1" s="75">
      <c r="A1112" s="74" t="inlineStr">
        <is>
          <t>JULHO/2026</t>
        </is>
      </c>
      <c r="B1112" s="74" t="inlineStr">
        <is>
          <t>Diretoria Operacional</t>
        </is>
      </c>
      <c r="C1112" s="74" t="inlineStr">
        <is>
          <t>Diretoria Operacional</t>
        </is>
      </c>
      <c r="D1112" s="74" t="inlineStr">
        <is>
          <t>Solon Araújo</t>
        </is>
      </c>
      <c r="E1112" s="151" t="n">
        <v>14689</v>
      </c>
      <c r="F1112" s="100" t="n">
        <v>0.136978220673766</v>
      </c>
      <c r="G1112" s="100" t="n">
        <v>2012.07308347695</v>
      </c>
      <c r="H1112" s="74" t="inlineStr">
        <is>
          <t>Cálculo por número de clientes ativos</t>
        </is>
      </c>
    </row>
    <row r="1113" ht="15" customHeight="1" s="75">
      <c r="A1113" s="74" t="inlineStr">
        <is>
          <t>JULHO/2026</t>
        </is>
      </c>
      <c r="B1113" s="74" t="inlineStr">
        <is>
          <t>Diretoria Operacional</t>
        </is>
      </c>
      <c r="C1113" s="74" t="inlineStr">
        <is>
          <t>Diretoria Operacional</t>
        </is>
      </c>
      <c r="D1113" s="74" t="inlineStr">
        <is>
          <t>Soares e Lins</t>
        </is>
      </c>
      <c r="E1113" s="151" t="n">
        <v>3765</v>
      </c>
      <c r="F1113" s="100" t="n">
        <v>0.136978220673766</v>
      </c>
      <c r="G1113" s="100" t="n">
        <v>515.7230008367291</v>
      </c>
      <c r="H1113" s="74" t="inlineStr">
        <is>
          <t>Cálculo por número de clientes ativos</t>
        </is>
      </c>
    </row>
    <row r="1114" ht="15" customHeight="1" s="75">
      <c r="A1114" s="74" t="inlineStr">
        <is>
          <t>JULHO/2026</t>
        </is>
      </c>
      <c r="B1114" s="74" t="inlineStr">
        <is>
          <t>Diretoria Operacional</t>
        </is>
      </c>
      <c r="C1114" s="74" t="inlineStr">
        <is>
          <t>Diretoria Operacional</t>
        </is>
      </c>
      <c r="D1114" s="74" t="inlineStr">
        <is>
          <t>Soares e Silva</t>
        </is>
      </c>
      <c r="E1114" s="151" t="n">
        <v>6568</v>
      </c>
      <c r="F1114" s="100" t="n">
        <v>0.136978220673766</v>
      </c>
      <c r="G1114" s="100" t="n">
        <v>899.672953385295</v>
      </c>
      <c r="H1114" s="74" t="inlineStr">
        <is>
          <t>Cálculo por número de clientes ativos</t>
        </is>
      </c>
    </row>
    <row r="1115" ht="15" customHeight="1" s="75">
      <c r="A1115" s="74" t="inlineStr">
        <is>
          <t>JULHO/2026</t>
        </is>
      </c>
      <c r="B1115" s="74" t="inlineStr">
        <is>
          <t>Diretoria Operacional</t>
        </is>
      </c>
      <c r="C1115" s="74" t="inlineStr">
        <is>
          <t>Diretoria Operacional</t>
        </is>
      </c>
      <c r="D1115" s="74" t="inlineStr">
        <is>
          <t>Souza e Silva</t>
        </is>
      </c>
      <c r="E1115" s="151" t="n">
        <v>4805</v>
      </c>
      <c r="F1115" s="100" t="n">
        <v>0.136978220673766</v>
      </c>
      <c r="G1115" s="100" t="n">
        <v>658.180350337446</v>
      </c>
      <c r="H1115" s="74" t="inlineStr">
        <is>
          <t>Cálculo por número de clientes ativos</t>
        </is>
      </c>
    </row>
    <row r="1116" ht="15" customHeight="1" s="75">
      <c r="A1116" s="74" t="inlineStr">
        <is>
          <t>JULHO/2026</t>
        </is>
      </c>
      <c r="B1116" s="74" t="inlineStr">
        <is>
          <t>Diretoria Operacional</t>
        </is>
      </c>
      <c r="C1116" s="74" t="inlineStr">
        <is>
          <t>Diretoria Operacional</t>
        </is>
      </c>
      <c r="D1116" s="74" t="inlineStr">
        <is>
          <t>Voicenet</t>
        </is>
      </c>
      <c r="E1116" s="151" t="n">
        <v>4806</v>
      </c>
      <c r="F1116" s="100" t="n">
        <v>0.136978220673766</v>
      </c>
      <c r="G1116" s="100" t="n">
        <v>658.317328558119</v>
      </c>
      <c r="H1116" s="74" t="inlineStr">
        <is>
          <t>Cálculo por número de clientes ativos</t>
        </is>
      </c>
    </row>
    <row r="1117" ht="15" customHeight="1" s="75">
      <c r="A1117" s="74" t="inlineStr">
        <is>
          <t>MAIO/2026</t>
        </is>
      </c>
      <c r="B1117" s="74" t="inlineStr">
        <is>
          <t>Gestão de Atendimento</t>
        </is>
      </c>
      <c r="C1117" s="74" t="inlineStr">
        <is>
          <t>Gestão de Atendimento</t>
        </is>
      </c>
      <c r="D1117" s="74" t="inlineStr">
        <is>
          <t>DX2</t>
        </is>
      </c>
      <c r="E1117" s="151" t="n">
        <v>6280</v>
      </c>
      <c r="F1117" s="100" t="n">
        <v>0.105568736012168</v>
      </c>
      <c r="G1117" s="100" t="n">
        <v>662.9716621564151</v>
      </c>
      <c r="H1117" s="74" t="inlineStr">
        <is>
          <t>Cálculo por número de clientes ativos</t>
        </is>
      </c>
    </row>
    <row r="1118" ht="15" customHeight="1" s="75">
      <c r="A1118" s="74" t="inlineStr">
        <is>
          <t>MAIO/2026</t>
        </is>
      </c>
      <c r="B1118" s="74" t="inlineStr">
        <is>
          <t>Gestão de Atendimento</t>
        </is>
      </c>
      <c r="C1118" s="74" t="inlineStr">
        <is>
          <t>Gestão de Atendimento</t>
        </is>
      </c>
      <c r="D1118" s="74" t="inlineStr">
        <is>
          <t>H&amp;A</t>
        </is>
      </c>
      <c r="E1118" s="151" t="n">
        <v>13402</v>
      </c>
      <c r="F1118" s="100" t="n">
        <v>0.105568736012168</v>
      </c>
      <c r="G1118" s="100" t="n">
        <v>1414.83220003508</v>
      </c>
      <c r="H1118" s="74" t="inlineStr">
        <is>
          <t>Cálculo por número de clientes ativos</t>
        </is>
      </c>
    </row>
    <row r="1119" ht="15" customHeight="1" s="75">
      <c r="A1119" s="74" t="inlineStr">
        <is>
          <t>MAIO/2026</t>
        </is>
      </c>
      <c r="B1119" s="74" t="inlineStr">
        <is>
          <t>Gestão de Atendimento</t>
        </is>
      </c>
      <c r="C1119" s="74" t="inlineStr">
        <is>
          <t>Gestão de Atendimento</t>
        </is>
      </c>
      <c r="D1119" s="74" t="inlineStr">
        <is>
          <t>Solon Araújo</t>
        </is>
      </c>
      <c r="E1119" s="151" t="n">
        <v>14331</v>
      </c>
      <c r="F1119" s="100" t="n">
        <v>0.105568736012168</v>
      </c>
      <c r="G1119" s="100" t="n">
        <v>1512.90555579038</v>
      </c>
      <c r="H1119" s="74" t="inlineStr">
        <is>
          <t>Cálculo por número de clientes ativos</t>
        </is>
      </c>
    </row>
    <row r="1120" ht="15" customHeight="1" s="75">
      <c r="A1120" s="74" t="inlineStr">
        <is>
          <t>MAIO/2026</t>
        </is>
      </c>
      <c r="B1120" s="74" t="inlineStr">
        <is>
          <t>Gestão de Atendimento</t>
        </is>
      </c>
      <c r="C1120" s="74" t="inlineStr">
        <is>
          <t>Gestão de Atendimento</t>
        </is>
      </c>
      <c r="D1120" s="74" t="inlineStr">
        <is>
          <t>Soares e Lins</t>
        </is>
      </c>
      <c r="E1120" s="151" t="n">
        <v>3650</v>
      </c>
      <c r="F1120" s="100" t="n">
        <v>0.105568736012168</v>
      </c>
      <c r="G1120" s="100" t="n">
        <v>385.325886444413</v>
      </c>
      <c r="H1120" s="74" t="inlineStr">
        <is>
          <t>Cálculo por número de clientes ativos</t>
        </is>
      </c>
    </row>
    <row r="1121" ht="15" customHeight="1" s="75">
      <c r="A1121" s="74" t="inlineStr">
        <is>
          <t>MAIO/2026</t>
        </is>
      </c>
      <c r="B1121" s="74" t="inlineStr">
        <is>
          <t>Gestão de Atendimento</t>
        </is>
      </c>
      <c r="C1121" s="74" t="inlineStr">
        <is>
          <t>Gestão de Atendimento</t>
        </is>
      </c>
      <c r="D1121" s="74" t="inlineStr">
        <is>
          <t>Soares e Silva</t>
        </is>
      </c>
      <c r="E1121" s="151" t="n">
        <v>6396</v>
      </c>
      <c r="F1121" s="100" t="n">
        <v>0.105568736012168</v>
      </c>
      <c r="G1121" s="100" t="n">
        <v>675.217635533827</v>
      </c>
      <c r="H1121" s="74" t="inlineStr">
        <is>
          <t>Cálculo por número de clientes ativos</t>
        </is>
      </c>
    </row>
    <row r="1122" ht="15" customHeight="1" s="75">
      <c r="A1122" s="74" t="inlineStr">
        <is>
          <t>MAIO/2026</t>
        </is>
      </c>
      <c r="B1122" s="74" t="inlineStr">
        <is>
          <t>Gestão de Atendimento</t>
        </is>
      </c>
      <c r="C1122" s="74" t="inlineStr">
        <is>
          <t>Gestão de Atendimento</t>
        </is>
      </c>
      <c r="D1122" s="74" t="inlineStr">
        <is>
          <t>Souza e Silva</t>
        </is>
      </c>
      <c r="E1122" s="151" t="n">
        <v>4730</v>
      </c>
      <c r="F1122" s="100" t="n">
        <v>0.105568736012168</v>
      </c>
      <c r="G1122" s="100" t="n">
        <v>499.340121337555</v>
      </c>
      <c r="H1122" s="74" t="inlineStr">
        <is>
          <t>Cálculo por número de clientes ativos</t>
        </is>
      </c>
    </row>
    <row r="1123" ht="15" customHeight="1" s="75">
      <c r="A1123" s="74" t="inlineStr">
        <is>
          <t>MAIO/2026</t>
        </is>
      </c>
      <c r="B1123" s="74" t="inlineStr">
        <is>
          <t>Gestão de Atendimento</t>
        </is>
      </c>
      <c r="C1123" s="74" t="inlineStr">
        <is>
          <t>Gestão de Atendimento</t>
        </is>
      </c>
      <c r="D1123" s="74" t="inlineStr">
        <is>
          <t>Voicenet</t>
        </is>
      </c>
      <c r="E1123" s="151" t="n">
        <v>4782</v>
      </c>
      <c r="F1123" s="100" t="n">
        <v>0.105568736012168</v>
      </c>
      <c r="G1123" s="100" t="n">
        <v>504.829695610187</v>
      </c>
      <c r="H1123" s="74" t="inlineStr">
        <is>
          <t>Cálculo por número de clientes ativos</t>
        </is>
      </c>
    </row>
    <row r="1124" ht="15" customHeight="1" s="75">
      <c r="A1124" s="74" t="inlineStr">
        <is>
          <t>JUNHO/2026</t>
        </is>
      </c>
      <c r="B1124" s="74" t="inlineStr">
        <is>
          <t>Gestão de Atendimento</t>
        </is>
      </c>
      <c r="C1124" s="74" t="inlineStr">
        <is>
          <t>Gestão de Atendimento</t>
        </is>
      </c>
      <c r="D1124" s="74" t="inlineStr">
        <is>
          <t>DX2</t>
        </is>
      </c>
      <c r="E1124" s="151" t="n">
        <v>6445</v>
      </c>
      <c r="F1124" s="100" t="n">
        <v>0.121785195875654</v>
      </c>
      <c r="G1124" s="100" t="n">
        <v>784.90558741859</v>
      </c>
      <c r="H1124" s="74" t="inlineStr">
        <is>
          <t>Cálculo por número de clientes ativos</t>
        </is>
      </c>
    </row>
    <row r="1125" ht="15" customHeight="1" s="75">
      <c r="A1125" s="74" t="inlineStr">
        <is>
          <t>JUNHO/2026</t>
        </is>
      </c>
      <c r="B1125" s="74" t="inlineStr">
        <is>
          <t>Gestão de Atendimento</t>
        </is>
      </c>
      <c r="C1125" s="74" t="inlineStr">
        <is>
          <t>Gestão de Atendimento</t>
        </is>
      </c>
      <c r="D1125" s="74" t="inlineStr">
        <is>
          <t>H&amp;A</t>
        </is>
      </c>
      <c r="E1125" s="151" t="n">
        <v>13418</v>
      </c>
      <c r="F1125" s="100" t="n">
        <v>0.121785195875654</v>
      </c>
      <c r="G1125" s="100" t="n">
        <v>1634.11375825953</v>
      </c>
      <c r="H1125" s="74" t="inlineStr">
        <is>
          <t>Cálculo por número de clientes ativos</t>
        </is>
      </c>
    </row>
    <row r="1126" ht="15" customHeight="1" s="75">
      <c r="A1126" s="74" t="inlineStr">
        <is>
          <t>JUNHO/2026</t>
        </is>
      </c>
      <c r="B1126" s="74" t="inlineStr">
        <is>
          <t>Gestão de Atendimento</t>
        </is>
      </c>
      <c r="C1126" s="74" t="inlineStr">
        <is>
          <t>Gestão de Atendimento</t>
        </is>
      </c>
      <c r="D1126" s="74" t="inlineStr">
        <is>
          <t>Solon Araújo</t>
        </is>
      </c>
      <c r="E1126" s="151" t="n">
        <v>14441</v>
      </c>
      <c r="F1126" s="100" t="n">
        <v>0.121785195875654</v>
      </c>
      <c r="G1126" s="100" t="n">
        <v>1758.70001364032</v>
      </c>
      <c r="H1126" s="74" t="inlineStr">
        <is>
          <t>Cálculo por número de clientes ativos</t>
        </is>
      </c>
    </row>
    <row r="1127" ht="15" customHeight="1" s="75">
      <c r="A1127" s="74" t="inlineStr">
        <is>
          <t>JUNHO/2026</t>
        </is>
      </c>
      <c r="B1127" s="74" t="inlineStr">
        <is>
          <t>Gestão de Atendimento</t>
        </is>
      </c>
      <c r="C1127" s="74" t="inlineStr">
        <is>
          <t>Gestão de Atendimento</t>
        </is>
      </c>
      <c r="D1127" s="74" t="inlineStr">
        <is>
          <t>Soares e Lins</t>
        </is>
      </c>
      <c r="E1127" s="151" t="n">
        <v>3704</v>
      </c>
      <c r="F1127" s="100" t="n">
        <v>0.121785195875654</v>
      </c>
      <c r="G1127" s="100" t="n">
        <v>451.092365523422</v>
      </c>
      <c r="H1127" s="74" t="inlineStr">
        <is>
          <t>Cálculo por número de clientes ativos</t>
        </is>
      </c>
    </row>
    <row r="1128" ht="15" customHeight="1" s="75">
      <c r="A1128" s="74" t="inlineStr">
        <is>
          <t>JUNHO/2026</t>
        </is>
      </c>
      <c r="B1128" s="74" t="inlineStr">
        <is>
          <t>Gestão de Atendimento</t>
        </is>
      </c>
      <c r="C1128" s="74" t="inlineStr">
        <is>
          <t>Gestão de Atendimento</t>
        </is>
      </c>
      <c r="D1128" s="74" t="inlineStr">
        <is>
          <t>Soares e Silva</t>
        </is>
      </c>
      <c r="E1128" s="151" t="n">
        <v>6434</v>
      </c>
      <c r="F1128" s="100" t="n">
        <v>0.121785195875654</v>
      </c>
      <c r="G1128" s="100" t="n">
        <v>783.565950263958</v>
      </c>
      <c r="H1128" s="74" t="inlineStr">
        <is>
          <t>Cálculo por número de clientes ativos</t>
        </is>
      </c>
    </row>
    <row r="1129" ht="15" customHeight="1" s="75">
      <c r="A1129" s="74" t="inlineStr">
        <is>
          <t>JUNHO/2026</t>
        </is>
      </c>
      <c r="B1129" s="74" t="inlineStr">
        <is>
          <t>Gestão de Atendimento</t>
        </is>
      </c>
      <c r="C1129" s="74" t="inlineStr">
        <is>
          <t>Gestão de Atendimento</t>
        </is>
      </c>
      <c r="D1129" s="74" t="inlineStr">
        <is>
          <t>Souza e Silva</t>
        </is>
      </c>
      <c r="E1129" s="151" t="n">
        <v>4749</v>
      </c>
      <c r="F1129" s="100" t="n">
        <v>0.121785195875654</v>
      </c>
      <c r="G1129" s="100" t="n">
        <v>578.357895213481</v>
      </c>
      <c r="H1129" s="74" t="inlineStr">
        <is>
          <t>Cálculo por número de clientes ativos</t>
        </is>
      </c>
    </row>
    <row r="1130" ht="15" customHeight="1" s="75">
      <c r="A1130" s="74" t="inlineStr">
        <is>
          <t>JUNHO/2026</t>
        </is>
      </c>
      <c r="B1130" s="74" t="inlineStr">
        <is>
          <t>Gestão de Atendimento</t>
        </is>
      </c>
      <c r="C1130" s="74" t="inlineStr">
        <is>
          <t>Gestão de Atendimento</t>
        </is>
      </c>
      <c r="D1130" s="74" t="inlineStr">
        <is>
          <t>Voicenet</t>
        </is>
      </c>
      <c r="E1130" s="151" t="n">
        <v>4795</v>
      </c>
      <c r="F1130" s="100" t="n">
        <v>0.121785195875654</v>
      </c>
      <c r="G1130" s="100" t="n">
        <v>583.960014223761</v>
      </c>
      <c r="H1130" s="74" t="inlineStr">
        <is>
          <t>Cálculo por número de clientes ativos</t>
        </is>
      </c>
    </row>
    <row r="1131" ht="15" customHeight="1" s="75">
      <c r="A1131" s="74" t="inlineStr">
        <is>
          <t>JULHO/2026</t>
        </is>
      </c>
      <c r="B1131" s="74" t="inlineStr">
        <is>
          <t>Gestão de Atendimento</t>
        </is>
      </c>
      <c r="C1131" s="74" t="inlineStr">
        <is>
          <t>Gestão de Atendimento</t>
        </is>
      </c>
      <c r="D1131" s="74" t="inlineStr">
        <is>
          <t>DX2</t>
        </is>
      </c>
      <c r="E1131" s="151" t="n">
        <v>6588</v>
      </c>
      <c r="F1131" s="100" t="n">
        <v>0.135504839680184</v>
      </c>
      <c r="G1131" s="100" t="n">
        <v>892.705883813052</v>
      </c>
      <c r="H1131" s="74" t="inlineStr">
        <is>
          <t>Cálculo por número de clientes ativos</t>
        </is>
      </c>
    </row>
    <row r="1132" ht="15" customHeight="1" s="75">
      <c r="A1132" s="74" t="inlineStr">
        <is>
          <t>JULHO/2026</t>
        </is>
      </c>
      <c r="B1132" s="74" t="inlineStr">
        <is>
          <t>Gestão de Atendimento</t>
        </is>
      </c>
      <c r="C1132" s="74" t="inlineStr">
        <is>
          <t>Gestão de Atendimento</t>
        </is>
      </c>
      <c r="D1132" s="74" t="inlineStr">
        <is>
          <t>H&amp;A</t>
        </is>
      </c>
      <c r="E1132" s="151" t="n">
        <v>13530</v>
      </c>
      <c r="F1132" s="100" t="n">
        <v>0.35</v>
      </c>
      <c r="G1132" s="100" t="n">
        <v>4735.5</v>
      </c>
      <c r="H1132" s="74" t="inlineStr">
        <is>
          <t>Cálculo por número de clientes ativos</t>
        </is>
      </c>
    </row>
    <row r="1133" ht="15" customHeight="1" s="75">
      <c r="A1133" s="74" t="inlineStr">
        <is>
          <t>JULHO/2026</t>
        </is>
      </c>
      <c r="B1133" s="74" t="inlineStr">
        <is>
          <t>Gestão de Atendimento</t>
        </is>
      </c>
      <c r="C1133" s="74" t="inlineStr">
        <is>
          <t>Gestão de Atendimento</t>
        </is>
      </c>
      <c r="D1133" s="74" t="inlineStr">
        <is>
          <t>Solon Araújo</t>
        </is>
      </c>
      <c r="E1133" s="151" t="n">
        <v>14689</v>
      </c>
      <c r="F1133" s="100" t="n">
        <v>0.135504839680184</v>
      </c>
      <c r="G1133" s="100" t="n">
        <v>1990.43059006222</v>
      </c>
      <c r="H1133" s="74" t="inlineStr">
        <is>
          <t>Cálculo por número de clientes ativos</t>
        </is>
      </c>
    </row>
    <row r="1134" ht="15" customHeight="1" s="75">
      <c r="A1134" s="74" t="inlineStr">
        <is>
          <t>JULHO/2026</t>
        </is>
      </c>
      <c r="B1134" s="74" t="inlineStr">
        <is>
          <t>Gestão de Atendimento</t>
        </is>
      </c>
      <c r="C1134" s="74" t="inlineStr">
        <is>
          <t>Gestão de Atendimento</t>
        </is>
      </c>
      <c r="D1134" s="74" t="inlineStr">
        <is>
          <t>Soares e Lins</t>
        </is>
      </c>
      <c r="E1134" s="151" t="n">
        <v>3765</v>
      </c>
      <c r="F1134" s="100" t="n">
        <v>0.135504839680184</v>
      </c>
      <c r="G1134" s="100" t="n">
        <v>510.175721395893</v>
      </c>
      <c r="H1134" s="74" t="inlineStr">
        <is>
          <t>Cálculo por número de clientes ativos</t>
        </is>
      </c>
    </row>
    <row r="1135" ht="15" customHeight="1" s="75">
      <c r="A1135" s="74" t="inlineStr">
        <is>
          <t>JULHO/2026</t>
        </is>
      </c>
      <c r="B1135" s="74" t="inlineStr">
        <is>
          <t>Gestão de Atendimento</t>
        </is>
      </c>
      <c r="C1135" s="74" t="inlineStr">
        <is>
          <t>Gestão de Atendimento</t>
        </is>
      </c>
      <c r="D1135" s="74" t="inlineStr">
        <is>
          <t>Soares e Silva</t>
        </is>
      </c>
      <c r="E1135" s="151" t="n">
        <v>6568</v>
      </c>
      <c r="F1135" s="100" t="n">
        <v>0.135504839680184</v>
      </c>
      <c r="G1135" s="100" t="n">
        <v>889.995787019449</v>
      </c>
      <c r="H1135" s="74" t="inlineStr">
        <is>
          <t>Cálculo por número de clientes ativos</t>
        </is>
      </c>
    </row>
    <row r="1136" ht="15" customHeight="1" s="75">
      <c r="A1136" s="74" t="inlineStr">
        <is>
          <t>JULHO/2026</t>
        </is>
      </c>
      <c r="B1136" s="74" t="inlineStr">
        <is>
          <t>Gestão de Atendimento</t>
        </is>
      </c>
      <c r="C1136" s="74" t="inlineStr">
        <is>
          <t>Gestão de Atendimento</t>
        </is>
      </c>
      <c r="D1136" s="74" t="inlineStr">
        <is>
          <t>Souza e Silva</t>
        </is>
      </c>
      <c r="E1136" s="151" t="n">
        <v>4805</v>
      </c>
      <c r="F1136" s="100" t="n">
        <v>0.135504839680184</v>
      </c>
      <c r="G1136" s="100" t="n">
        <v>651.100754663284</v>
      </c>
      <c r="H1136" s="74" t="inlineStr">
        <is>
          <t>Cálculo por número de clientes ativos</t>
        </is>
      </c>
    </row>
    <row r="1137" ht="15" customHeight="1" s="75">
      <c r="A1137" s="74" t="inlineStr">
        <is>
          <t>JULHO/2026</t>
        </is>
      </c>
      <c r="B1137" s="74" t="inlineStr">
        <is>
          <t>Gestão de Atendimento</t>
        </is>
      </c>
      <c r="C1137" s="74" t="inlineStr">
        <is>
          <t>Gestão de Atendimento</t>
        </is>
      </c>
      <c r="D1137" s="74" t="inlineStr">
        <is>
          <t>Voicenet</t>
        </is>
      </c>
      <c r="E1137" s="151" t="n">
        <v>4806</v>
      </c>
      <c r="F1137" s="100" t="n">
        <v>0.135504839680184</v>
      </c>
      <c r="G1137" s="100" t="n">
        <v>651.236259502964</v>
      </c>
      <c r="H1137" s="74" t="inlineStr">
        <is>
          <t>Cálculo por número de clientes ativos</t>
        </is>
      </c>
    </row>
    <row r="1138" ht="15" customHeight="1" s="75">
      <c r="A1138" s="74" t="inlineStr">
        <is>
          <t>MAIO/2026</t>
        </is>
      </c>
      <c r="B1138" s="74" t="inlineStr">
        <is>
          <t>CAC</t>
        </is>
      </c>
      <c r="C1138" s="74" t="inlineStr">
        <is>
          <t>CAC</t>
        </is>
      </c>
      <c r="D1138" s="74" t="inlineStr">
        <is>
          <t>DX2</t>
        </is>
      </c>
      <c r="E1138" s="151" t="n">
        <v>6280</v>
      </c>
      <c r="F1138" s="100" t="n">
        <v>0.08554408525717749</v>
      </c>
      <c r="G1138" s="100" t="n">
        <v>537.216855415075</v>
      </c>
      <c r="H1138" s="74" t="inlineStr">
        <is>
          <t>Cálculo por número de clientes ativos</t>
        </is>
      </c>
    </row>
    <row r="1139" ht="15" customHeight="1" s="75">
      <c r="A1139" s="74" t="inlineStr">
        <is>
          <t>MAIO/2026</t>
        </is>
      </c>
      <c r="B1139" s="74" t="inlineStr">
        <is>
          <t>CAC</t>
        </is>
      </c>
      <c r="C1139" s="74" t="inlineStr">
        <is>
          <t>CAC</t>
        </is>
      </c>
      <c r="D1139" s="74" t="inlineStr">
        <is>
          <t>H&amp;A</t>
        </is>
      </c>
      <c r="E1139" s="151" t="n">
        <v>13402</v>
      </c>
      <c r="F1139" s="100" t="n">
        <v>0.08554408525717749</v>
      </c>
      <c r="G1139" s="100" t="n">
        <v>1146.46183061669</v>
      </c>
      <c r="H1139" s="74" t="inlineStr">
        <is>
          <t>Cálculo por número de clientes ativos</t>
        </is>
      </c>
    </row>
    <row r="1140" ht="15" customHeight="1" s="75">
      <c r="A1140" s="74" t="inlineStr">
        <is>
          <t>MAIO/2026</t>
        </is>
      </c>
      <c r="B1140" s="74" t="inlineStr">
        <is>
          <t>CAC</t>
        </is>
      </c>
      <c r="C1140" s="74" t="inlineStr">
        <is>
          <t>CAC</t>
        </is>
      </c>
      <c r="D1140" s="74" t="inlineStr">
        <is>
          <t>Solon Araújo</t>
        </is>
      </c>
      <c r="E1140" s="151" t="n">
        <v>14331</v>
      </c>
      <c r="F1140" s="100" t="n">
        <v>0.08554408525717749</v>
      </c>
      <c r="G1140" s="100" t="n">
        <v>1225.93228582061</v>
      </c>
      <c r="H1140" s="74" t="inlineStr">
        <is>
          <t>Cálculo por número de clientes ativos</t>
        </is>
      </c>
    </row>
    <row r="1141" ht="15" customHeight="1" s="75">
      <c r="A1141" s="74" t="inlineStr">
        <is>
          <t>MAIO/2026</t>
        </is>
      </c>
      <c r="B1141" s="74" t="inlineStr">
        <is>
          <t>CAC</t>
        </is>
      </c>
      <c r="C1141" s="74" t="inlineStr">
        <is>
          <t>CAC</t>
        </is>
      </c>
      <c r="D1141" s="74" t="inlineStr">
        <is>
          <t>Soares e Lins</t>
        </is>
      </c>
      <c r="E1141" s="151" t="n">
        <v>3650</v>
      </c>
      <c r="F1141" s="100" t="n">
        <v>0.08554408525717749</v>
      </c>
      <c r="G1141" s="100" t="n">
        <v>312.235911188698</v>
      </c>
      <c r="H1141" s="74" t="inlineStr">
        <is>
          <t>Cálculo por número de clientes ativos</t>
        </is>
      </c>
    </row>
    <row r="1142" ht="15" customHeight="1" s="75">
      <c r="A1142" s="74" t="inlineStr">
        <is>
          <t>MAIO/2026</t>
        </is>
      </c>
      <c r="B1142" s="74" t="inlineStr">
        <is>
          <t>CAC</t>
        </is>
      </c>
      <c r="C1142" s="74" t="inlineStr">
        <is>
          <t>CAC</t>
        </is>
      </c>
      <c r="D1142" s="74" t="inlineStr">
        <is>
          <t>Soares e Silva</t>
        </is>
      </c>
      <c r="E1142" s="151" t="n">
        <v>6396</v>
      </c>
      <c r="F1142" s="100" t="n">
        <v>0.08554408525717749</v>
      </c>
      <c r="G1142" s="100" t="n">
        <v>547.139969304907</v>
      </c>
      <c r="H1142" s="74" t="inlineStr">
        <is>
          <t>Cálculo por número de clientes ativos</t>
        </is>
      </c>
    </row>
    <row r="1143" ht="15" customHeight="1" s="75">
      <c r="A1143" s="74" t="inlineStr">
        <is>
          <t>MAIO/2026</t>
        </is>
      </c>
      <c r="B1143" s="74" t="inlineStr">
        <is>
          <t>CAC</t>
        </is>
      </c>
      <c r="C1143" s="74" t="inlineStr">
        <is>
          <t>CAC</t>
        </is>
      </c>
      <c r="D1143" s="74" t="inlineStr">
        <is>
          <t>Souza e Silva</t>
        </is>
      </c>
      <c r="E1143" s="151" t="n">
        <v>4730</v>
      </c>
      <c r="F1143" s="100" t="n">
        <v>0.08554408525717749</v>
      </c>
      <c r="G1143" s="100" t="n">
        <v>404.62352326645</v>
      </c>
      <c r="H1143" s="74" t="inlineStr">
        <is>
          <t>Cálculo por número de clientes ativos</t>
        </is>
      </c>
    </row>
    <row r="1144" ht="15" customHeight="1" s="75">
      <c r="A1144" s="74" t="inlineStr">
        <is>
          <t>MAIO/2026</t>
        </is>
      </c>
      <c r="B1144" s="74" t="inlineStr">
        <is>
          <t>CAC</t>
        </is>
      </c>
      <c r="C1144" s="74" t="inlineStr">
        <is>
          <t>CAC</t>
        </is>
      </c>
      <c r="D1144" s="74" t="inlineStr">
        <is>
          <t>Voicenet</t>
        </is>
      </c>
      <c r="E1144" s="151" t="n">
        <v>4782</v>
      </c>
      <c r="F1144" s="100" t="n">
        <v>0.08554408525717749</v>
      </c>
      <c r="G1144" s="100" t="n">
        <v>409.071815699823</v>
      </c>
      <c r="H1144" s="74" t="inlineStr">
        <is>
          <t>Cálculo por número de clientes ativos</t>
        </is>
      </c>
    </row>
    <row r="1145" ht="15" customHeight="1" s="75">
      <c r="A1145" s="74" t="inlineStr">
        <is>
          <t>JUNHO/2026</t>
        </is>
      </c>
      <c r="B1145" s="74" t="inlineStr">
        <is>
          <t>CAC</t>
        </is>
      </c>
      <c r="C1145" s="74" t="inlineStr">
        <is>
          <t>CAC</t>
        </is>
      </c>
      <c r="D1145" s="74" t="inlineStr">
        <is>
          <t>DX2</t>
        </is>
      </c>
      <c r="E1145" s="151" t="n">
        <v>6445</v>
      </c>
      <c r="F1145" s="100" t="n">
        <v>0.08612507967953691</v>
      </c>
      <c r="G1145" s="100" t="n">
        <v>555.076138534615</v>
      </c>
      <c r="H1145" s="74" t="inlineStr">
        <is>
          <t>Cálculo por número de clientes ativos</t>
        </is>
      </c>
    </row>
    <row r="1146" ht="15" customHeight="1" s="75">
      <c r="A1146" s="74" t="inlineStr">
        <is>
          <t>JUNHO/2026</t>
        </is>
      </c>
      <c r="B1146" s="74" t="inlineStr">
        <is>
          <t>CAC</t>
        </is>
      </c>
      <c r="C1146" s="74" t="inlineStr">
        <is>
          <t>CAC</t>
        </is>
      </c>
      <c r="D1146" s="74" t="inlineStr">
        <is>
          <t>H&amp;A</t>
        </is>
      </c>
      <c r="E1146" s="151" t="n">
        <v>13418</v>
      </c>
      <c r="F1146" s="100" t="n">
        <v>0.08612507967953691</v>
      </c>
      <c r="G1146" s="100" t="n">
        <v>1155.62631914003</v>
      </c>
      <c r="H1146" s="74" t="inlineStr">
        <is>
          <t>Cálculo por número de clientes ativos</t>
        </is>
      </c>
    </row>
    <row r="1147" ht="15" customHeight="1" s="75">
      <c r="A1147" s="74" t="inlineStr">
        <is>
          <t>JUNHO/2026</t>
        </is>
      </c>
      <c r="B1147" s="74" t="inlineStr">
        <is>
          <t>CAC</t>
        </is>
      </c>
      <c r="C1147" s="74" t="inlineStr">
        <is>
          <t>CAC</t>
        </is>
      </c>
      <c r="D1147" s="74" t="inlineStr">
        <is>
          <t>Solon Araújo</t>
        </is>
      </c>
      <c r="E1147" s="151" t="n">
        <v>14441</v>
      </c>
      <c r="F1147" s="100" t="n">
        <v>0.08612507967953691</v>
      </c>
      <c r="G1147" s="100" t="n">
        <v>1243.73227565219</v>
      </c>
      <c r="H1147" s="74" t="inlineStr">
        <is>
          <t>Cálculo por número de clientes ativos</t>
        </is>
      </c>
    </row>
    <row r="1148" ht="15" customHeight="1" s="75">
      <c r="A1148" s="74" t="inlineStr">
        <is>
          <t>JUNHO/2026</t>
        </is>
      </c>
      <c r="B1148" s="74" t="inlineStr">
        <is>
          <t>CAC</t>
        </is>
      </c>
      <c r="C1148" s="74" t="inlineStr">
        <is>
          <t>CAC</t>
        </is>
      </c>
      <c r="D1148" s="74" t="inlineStr">
        <is>
          <t>Soares e Lins</t>
        </is>
      </c>
      <c r="E1148" s="151" t="n">
        <v>3704</v>
      </c>
      <c r="F1148" s="100" t="n">
        <v>0.08612507967953691</v>
      </c>
      <c r="G1148" s="100" t="n">
        <v>319.007295133005</v>
      </c>
      <c r="H1148" s="74" t="inlineStr">
        <is>
          <t>Cálculo por número de clientes ativos</t>
        </is>
      </c>
    </row>
    <row r="1149" ht="15" customHeight="1" s="75">
      <c r="A1149" s="74" t="inlineStr">
        <is>
          <t>JUNHO/2026</t>
        </is>
      </c>
      <c r="B1149" s="74" t="inlineStr">
        <is>
          <t>CAC</t>
        </is>
      </c>
      <c r="C1149" s="74" t="inlineStr">
        <is>
          <t>CAC</t>
        </is>
      </c>
      <c r="D1149" s="74" t="inlineStr">
        <is>
          <t>Soares e Silva</t>
        </is>
      </c>
      <c r="E1149" s="151" t="n">
        <v>6434</v>
      </c>
      <c r="F1149" s="100" t="n">
        <v>0.08612507967953691</v>
      </c>
      <c r="G1149" s="100" t="n">
        <v>554.12876265814</v>
      </c>
      <c r="H1149" s="74" t="inlineStr">
        <is>
          <t>Cálculo por número de clientes ativos</t>
        </is>
      </c>
    </row>
    <row r="1150" ht="15" customHeight="1" s="75">
      <c r="A1150" s="74" t="inlineStr">
        <is>
          <t>JUNHO/2026</t>
        </is>
      </c>
      <c r="B1150" s="74" t="inlineStr">
        <is>
          <t>CAC</t>
        </is>
      </c>
      <c r="C1150" s="74" t="inlineStr">
        <is>
          <t>CAC</t>
        </is>
      </c>
      <c r="D1150" s="74" t="inlineStr">
        <is>
          <t>Souza e Silva</t>
        </is>
      </c>
      <c r="E1150" s="151" t="n">
        <v>4749</v>
      </c>
      <c r="F1150" s="100" t="n">
        <v>0.08612507967953691</v>
      </c>
      <c r="G1150" s="100" t="n">
        <v>409.008003398121</v>
      </c>
      <c r="H1150" s="74" t="inlineStr">
        <is>
          <t>Cálculo por número de clientes ativos</t>
        </is>
      </c>
    </row>
    <row r="1151" ht="15" customHeight="1" s="75">
      <c r="A1151" s="74" t="inlineStr">
        <is>
          <t>JUNHO/2026</t>
        </is>
      </c>
      <c r="B1151" s="74" t="inlineStr">
        <is>
          <t>CAC</t>
        </is>
      </c>
      <c r="C1151" s="74" t="inlineStr">
        <is>
          <t>CAC</t>
        </is>
      </c>
      <c r="D1151" s="74" t="inlineStr">
        <is>
          <t>Voicenet</t>
        </is>
      </c>
      <c r="E1151" s="151" t="n">
        <v>4795</v>
      </c>
      <c r="F1151" s="100" t="n">
        <v>0.08612507967953691</v>
      </c>
      <c r="G1151" s="100" t="n">
        <v>412.96975706338</v>
      </c>
      <c r="H1151" s="74" t="inlineStr">
        <is>
          <t>Cálculo por número de clientes ativos</t>
        </is>
      </c>
    </row>
    <row r="1152" ht="15" customHeight="1" s="75">
      <c r="A1152" s="74" t="inlineStr">
        <is>
          <t>JULHO/2026</t>
        </is>
      </c>
      <c r="B1152" s="74" t="inlineStr">
        <is>
          <t>CAC</t>
        </is>
      </c>
      <c r="C1152" s="74" t="inlineStr">
        <is>
          <t>CAC</t>
        </is>
      </c>
      <c r="D1152" s="74" t="inlineStr">
        <is>
          <t>DX2</t>
        </is>
      </c>
      <c r="E1152" s="151" t="n">
        <v>6588</v>
      </c>
      <c r="F1152" s="100" t="n">
        <v>0.055610036180276</v>
      </c>
      <c r="G1152" s="100" t="n">
        <v>366.358918355658</v>
      </c>
      <c r="H1152" s="74" t="inlineStr">
        <is>
          <t>Cálculo por número de clientes ativos</t>
        </is>
      </c>
    </row>
    <row r="1153" ht="15" customHeight="1" s="75">
      <c r="A1153" s="74" t="inlineStr">
        <is>
          <t>JULHO/2026</t>
        </is>
      </c>
      <c r="B1153" s="74" t="inlineStr">
        <is>
          <t>CAC</t>
        </is>
      </c>
      <c r="C1153" s="74" t="inlineStr">
        <is>
          <t>CAC</t>
        </is>
      </c>
      <c r="D1153" s="74" t="inlineStr">
        <is>
          <t>H&amp;A</t>
        </is>
      </c>
      <c r="E1153" s="151" t="n">
        <v>13530</v>
      </c>
      <c r="F1153" s="100" t="n">
        <v>0.055610036180276</v>
      </c>
      <c r="G1153" s="100" t="n">
        <v>752.403789519134</v>
      </c>
      <c r="H1153" s="74" t="inlineStr">
        <is>
          <t>Cálculo por número de clientes ativos</t>
        </is>
      </c>
    </row>
    <row r="1154" ht="15" customHeight="1" s="75">
      <c r="A1154" s="74" t="inlineStr">
        <is>
          <t>JULHO/2026</t>
        </is>
      </c>
      <c r="B1154" s="74" t="inlineStr">
        <is>
          <t>CAC</t>
        </is>
      </c>
      <c r="C1154" s="74" t="inlineStr">
        <is>
          <t>CAC</t>
        </is>
      </c>
      <c r="D1154" s="74" t="inlineStr">
        <is>
          <t>Solon Araújo</t>
        </is>
      </c>
      <c r="E1154" s="151" t="n">
        <v>14689</v>
      </c>
      <c r="F1154" s="100" t="n">
        <v>0.055610036180276</v>
      </c>
      <c r="G1154" s="100" t="n">
        <v>816.855821452074</v>
      </c>
      <c r="H1154" s="74" t="inlineStr">
        <is>
          <t>Cálculo por número de clientes ativos</t>
        </is>
      </c>
    </row>
    <row r="1155" ht="15" customHeight="1" s="75">
      <c r="A1155" s="74" t="inlineStr">
        <is>
          <t>JULHO/2026</t>
        </is>
      </c>
      <c r="B1155" s="74" t="inlineStr">
        <is>
          <t>CAC</t>
        </is>
      </c>
      <c r="C1155" s="74" t="inlineStr">
        <is>
          <t>CAC</t>
        </is>
      </c>
      <c r="D1155" s="74" t="inlineStr">
        <is>
          <t>Soares e Lins</t>
        </is>
      </c>
      <c r="E1155" s="151" t="n">
        <v>3765</v>
      </c>
      <c r="F1155" s="100" t="n">
        <v>0.055610036180276</v>
      </c>
      <c r="G1155" s="100" t="n">
        <v>209.371786218739</v>
      </c>
      <c r="H1155" s="74" t="inlineStr">
        <is>
          <t>Cálculo por número de clientes ativos</t>
        </is>
      </c>
    </row>
    <row r="1156" ht="15" customHeight="1" s="75">
      <c r="A1156" s="74" t="inlineStr">
        <is>
          <t>JULHO/2026</t>
        </is>
      </c>
      <c r="B1156" s="74" t="inlineStr">
        <is>
          <t>CAC</t>
        </is>
      </c>
      <c r="C1156" s="74" t="inlineStr">
        <is>
          <t>CAC</t>
        </is>
      </c>
      <c r="D1156" s="74" t="inlineStr">
        <is>
          <t>Soares e Silva</t>
        </is>
      </c>
      <c r="E1156" s="151" t="n">
        <v>6568</v>
      </c>
      <c r="F1156" s="100" t="n">
        <v>0.055610036180276</v>
      </c>
      <c r="G1156" s="100" t="n">
        <v>365.246717632053</v>
      </c>
      <c r="H1156" s="74" t="inlineStr">
        <is>
          <t>Cálculo por número de clientes ativos</t>
        </is>
      </c>
    </row>
    <row r="1157">
      <c r="A1157" s="74" t="inlineStr">
        <is>
          <t>JULHO/2026</t>
        </is>
      </c>
      <c r="B1157" s="74" t="inlineStr">
        <is>
          <t>CAC</t>
        </is>
      </c>
      <c r="C1157" s="74" t="inlineStr">
        <is>
          <t>CAC</t>
        </is>
      </c>
      <c r="D1157" s="74" t="inlineStr">
        <is>
          <t>Souza e Silva</t>
        </is>
      </c>
      <c r="E1157" s="151" t="n">
        <v>4805</v>
      </c>
      <c r="F1157" s="100" t="n">
        <v>0.055610036180276</v>
      </c>
      <c r="G1157" s="100" t="n">
        <v>267.206223846226</v>
      </c>
      <c r="H1157" s="74" t="inlineStr">
        <is>
          <t>Cálculo por número de clientes ativos</t>
        </is>
      </c>
    </row>
    <row r="1158">
      <c r="A1158" s="74" t="inlineStr">
        <is>
          <t>JULHO/2026</t>
        </is>
      </c>
      <c r="B1158" s="74" t="inlineStr">
        <is>
          <t>CAC</t>
        </is>
      </c>
      <c r="C1158" s="74" t="inlineStr">
        <is>
          <t>CAC</t>
        </is>
      </c>
      <c r="D1158" s="74" t="inlineStr">
        <is>
          <t>Voicenet</t>
        </is>
      </c>
      <c r="E1158" s="151" t="n">
        <v>4806</v>
      </c>
      <c r="F1158" s="100" t="n">
        <v>0.055610036180276</v>
      </c>
      <c r="G1158" s="100" t="n">
        <v>267.261833882406</v>
      </c>
      <c r="H1158" s="74" t="inlineStr">
        <is>
          <t>Cálculo por número de clientes ativos</t>
        </is>
      </c>
    </row>
    <row r="1159">
      <c r="A1159" s="74" t="inlineStr">
        <is>
          <t>MAIO/2026</t>
        </is>
      </c>
      <c r="B1159" s="74" t="inlineStr">
        <is>
          <t>Relacionamento</t>
        </is>
      </c>
      <c r="C1159" s="74" t="inlineStr">
        <is>
          <t>Relacionamento Dtel</t>
        </is>
      </c>
      <c r="D1159" s="74" t="inlineStr">
        <is>
          <t>DX2</t>
        </is>
      </c>
      <c r="E1159" s="151" t="n">
        <v>6280</v>
      </c>
      <c r="F1159" s="100" t="n">
        <v>2.64</v>
      </c>
      <c r="G1159" s="100" t="n">
        <v>16579.2</v>
      </c>
      <c r="H1159" s="74" t="inlineStr">
        <is>
          <t>Cálculo por número de clientes ativos</t>
        </is>
      </c>
    </row>
    <row r="1160">
      <c r="A1160" s="74" t="inlineStr">
        <is>
          <t>MAIO/2026</t>
        </is>
      </c>
      <c r="B1160" s="74" t="inlineStr">
        <is>
          <t>Relacionamento</t>
        </is>
      </c>
      <c r="C1160" s="74" t="inlineStr">
        <is>
          <t>Relacionamento Dtel</t>
        </is>
      </c>
      <c r="D1160" s="74" t="inlineStr">
        <is>
          <t>Solon Araújo</t>
        </is>
      </c>
      <c r="E1160" s="151" t="n">
        <v>14331</v>
      </c>
      <c r="F1160" s="100" t="n">
        <v>2.64</v>
      </c>
      <c r="G1160" s="100" t="n">
        <v>37833.84</v>
      </c>
      <c r="H1160" s="74" t="inlineStr">
        <is>
          <t>Cálculo por número de clientes ativos</t>
        </is>
      </c>
    </row>
    <row r="1161">
      <c r="A1161" s="74" t="inlineStr">
        <is>
          <t>MAIO/2026</t>
        </is>
      </c>
      <c r="B1161" s="74" t="inlineStr">
        <is>
          <t>Relacionamento</t>
        </is>
      </c>
      <c r="C1161" s="74" t="inlineStr">
        <is>
          <t>Relacionamento Dtel</t>
        </is>
      </c>
      <c r="D1161" s="74" t="inlineStr">
        <is>
          <t>Soares e Lins</t>
        </is>
      </c>
      <c r="E1161" s="151" t="n">
        <v>3650</v>
      </c>
      <c r="F1161" s="100" t="n">
        <v>2.64</v>
      </c>
      <c r="G1161" s="100" t="n">
        <v>9636</v>
      </c>
      <c r="H1161" s="74" t="inlineStr">
        <is>
          <t>Cálculo por número de clientes ativos</t>
        </is>
      </c>
    </row>
    <row r="1162">
      <c r="A1162" s="74" t="inlineStr">
        <is>
          <t>MAIO/2026</t>
        </is>
      </c>
      <c r="B1162" s="74" t="inlineStr">
        <is>
          <t>Relacionamento</t>
        </is>
      </c>
      <c r="C1162" s="74" t="inlineStr">
        <is>
          <t>Relacionamento Dtel</t>
        </is>
      </c>
      <c r="D1162" s="74" t="inlineStr">
        <is>
          <t>Soares e Silva</t>
        </is>
      </c>
      <c r="E1162" s="151" t="n">
        <v>6396</v>
      </c>
      <c r="F1162" s="100" t="n">
        <v>2.64</v>
      </c>
      <c r="G1162" s="100" t="n">
        <v>16885.44</v>
      </c>
      <c r="H1162" s="74" t="inlineStr">
        <is>
          <t>Cálculo por número de clientes ativos</t>
        </is>
      </c>
    </row>
    <row r="1163">
      <c r="A1163" s="74" t="inlineStr">
        <is>
          <t>MAIO/2026</t>
        </is>
      </c>
      <c r="B1163" s="74" t="inlineStr">
        <is>
          <t>Relacionamento</t>
        </is>
      </c>
      <c r="C1163" s="74" t="inlineStr">
        <is>
          <t>Relacionamento Dtel</t>
        </is>
      </c>
      <c r="D1163" s="74" t="inlineStr">
        <is>
          <t>Souza e Silva</t>
        </is>
      </c>
      <c r="E1163" s="151" t="n">
        <v>4730</v>
      </c>
      <c r="F1163" s="100" t="n">
        <v>2.64</v>
      </c>
      <c r="G1163" s="100" t="n">
        <v>12487.2</v>
      </c>
      <c r="H1163" s="74" t="inlineStr">
        <is>
          <t>Cálculo por número de clientes ativos</t>
        </is>
      </c>
    </row>
    <row r="1164">
      <c r="A1164" s="74" t="inlineStr">
        <is>
          <t>MAIO/2026</t>
        </is>
      </c>
      <c r="B1164" s="74" t="inlineStr">
        <is>
          <t>Relacionamento</t>
        </is>
      </c>
      <c r="C1164" s="74" t="inlineStr">
        <is>
          <t>Relacionamento Dtel</t>
        </is>
      </c>
      <c r="D1164" s="74" t="inlineStr">
        <is>
          <t>Voicenet</t>
        </is>
      </c>
      <c r="E1164" s="151" t="n">
        <v>4782</v>
      </c>
      <c r="F1164" s="100" t="n">
        <v>2.64</v>
      </c>
      <c r="G1164" s="100" t="n">
        <v>12624.48</v>
      </c>
      <c r="H1164" s="74" t="inlineStr">
        <is>
          <t>Cálculo por número de clientes ativos</t>
        </is>
      </c>
    </row>
    <row r="1165">
      <c r="A1165" s="74" t="inlineStr">
        <is>
          <t>JUNHO/2026</t>
        </is>
      </c>
      <c r="B1165" s="74" t="inlineStr">
        <is>
          <t>Relacionamento</t>
        </is>
      </c>
      <c r="C1165" s="74" t="inlineStr">
        <is>
          <t>Relacionamento Dtel</t>
        </is>
      </c>
      <c r="D1165" s="74" t="inlineStr">
        <is>
          <t>DX2</t>
        </is>
      </c>
      <c r="E1165" s="151" t="n">
        <v>6445</v>
      </c>
      <c r="F1165" s="100" t="n">
        <v>3.23223677486643</v>
      </c>
      <c r="G1165" s="100" t="n">
        <v>20831.766014</v>
      </c>
      <c r="H1165" s="74" t="inlineStr">
        <is>
          <t>Cálculo por número de clientes ativos</t>
        </is>
      </c>
    </row>
    <row r="1166">
      <c r="A1166" s="74" t="inlineStr">
        <is>
          <t>JUNHO/2026</t>
        </is>
      </c>
      <c r="B1166" s="74" t="inlineStr">
        <is>
          <t>Relacionamento</t>
        </is>
      </c>
      <c r="C1166" s="74" t="inlineStr">
        <is>
          <t>Relacionamento Dtel</t>
        </is>
      </c>
      <c r="D1166" s="74" t="inlineStr">
        <is>
          <t>Solon Araújo</t>
        </is>
      </c>
      <c r="E1166" s="151" t="n">
        <v>14441</v>
      </c>
      <c r="F1166" s="100" t="n">
        <v>3.23223677486643</v>
      </c>
      <c r="G1166" s="100" t="n">
        <v>46676.731266</v>
      </c>
      <c r="H1166" s="74" t="inlineStr">
        <is>
          <t>Cálculo por número de clientes ativos</t>
        </is>
      </c>
    </row>
    <row r="1167">
      <c r="A1167" s="74" t="inlineStr">
        <is>
          <t>JUNHO/2026</t>
        </is>
      </c>
      <c r="B1167" s="74" t="inlineStr">
        <is>
          <t>Relacionamento</t>
        </is>
      </c>
      <c r="C1167" s="74" t="inlineStr">
        <is>
          <t>Relacionamento Dtel</t>
        </is>
      </c>
      <c r="D1167" s="74" t="inlineStr">
        <is>
          <t>Soares e Lins</t>
        </is>
      </c>
      <c r="E1167" s="151" t="n">
        <v>3704</v>
      </c>
      <c r="F1167" s="100" t="n">
        <v>3.23223677486643</v>
      </c>
      <c r="G1167" s="100" t="n">
        <v>11972.205014</v>
      </c>
      <c r="H1167" s="74" t="inlineStr">
        <is>
          <t>Cálculo por número de clientes ativos</t>
        </is>
      </c>
    </row>
    <row r="1168">
      <c r="A1168" s="74" t="inlineStr">
        <is>
          <t>JUNHO/2026</t>
        </is>
      </c>
      <c r="B1168" s="74" t="inlineStr">
        <is>
          <t>Relacionamento</t>
        </is>
      </c>
      <c r="C1168" s="74" t="inlineStr">
        <is>
          <t>Relacionamento Dtel</t>
        </is>
      </c>
      <c r="D1168" s="74" t="inlineStr">
        <is>
          <t>Soares e Silva</t>
        </is>
      </c>
      <c r="E1168" s="151" t="n">
        <v>6434</v>
      </c>
      <c r="F1168" s="100" t="n">
        <v>3.23223677486643</v>
      </c>
      <c r="G1168" s="100" t="n">
        <v>20796.211409</v>
      </c>
      <c r="H1168" s="74" t="inlineStr">
        <is>
          <t>Cálculo por número de clientes ativos</t>
        </is>
      </c>
    </row>
    <row r="1169">
      <c r="A1169" s="74" t="inlineStr">
        <is>
          <t>JUNHO/2026</t>
        </is>
      </c>
      <c r="B1169" s="74" t="inlineStr">
        <is>
          <t>Relacionamento</t>
        </is>
      </c>
      <c r="C1169" s="74" t="inlineStr">
        <is>
          <t>Relacionamento Dtel</t>
        </is>
      </c>
      <c r="D1169" s="74" t="inlineStr">
        <is>
          <t>Souza e Silva</t>
        </is>
      </c>
      <c r="E1169" s="151" t="n">
        <v>4749</v>
      </c>
      <c r="F1169" s="100" t="n">
        <v>3.23223677486643</v>
      </c>
      <c r="G1169" s="100" t="n">
        <v>15349.892444</v>
      </c>
      <c r="H1169" s="74" t="inlineStr">
        <is>
          <t>Cálculo por número de clientes ativos</t>
        </is>
      </c>
    </row>
    <row r="1170">
      <c r="A1170" s="74" t="inlineStr">
        <is>
          <t>JUNHO/2026</t>
        </is>
      </c>
      <c r="B1170" s="74" t="inlineStr">
        <is>
          <t>Relacionamento</t>
        </is>
      </c>
      <c r="C1170" s="74" t="inlineStr">
        <is>
          <t>Relacionamento Dtel</t>
        </is>
      </c>
      <c r="D1170" s="74" t="inlineStr">
        <is>
          <t>Voicenet</t>
        </is>
      </c>
      <c r="E1170" s="151" t="n">
        <v>4795</v>
      </c>
      <c r="F1170" s="100" t="n">
        <v>3.23223677486643</v>
      </c>
      <c r="G1170" s="100" t="n">
        <v>15498.575335</v>
      </c>
      <c r="H1170" s="74" t="inlineStr">
        <is>
          <t>Cálculo por número de clientes ativos</t>
        </is>
      </c>
    </row>
    <row r="1171">
      <c r="A1171" s="74" t="inlineStr">
        <is>
          <t>JULHO/2026</t>
        </is>
      </c>
      <c r="B1171" s="74" t="inlineStr">
        <is>
          <t>Relacionamento</t>
        </is>
      </c>
      <c r="C1171" s="74" t="inlineStr">
        <is>
          <t>Relacionamento Dtel</t>
        </is>
      </c>
      <c r="D1171" s="74" t="inlineStr">
        <is>
          <t>DX2</t>
        </is>
      </c>
      <c r="E1171" s="151" t="n">
        <v>6588</v>
      </c>
      <c r="F1171" s="100" t="n">
        <v>2.48</v>
      </c>
      <c r="G1171" s="100" t="n">
        <v>16338.24</v>
      </c>
      <c r="H1171" s="74" t="inlineStr">
        <is>
          <t>Cálculo por número de clientes ativos</t>
        </is>
      </c>
    </row>
    <row r="1172">
      <c r="A1172" s="74" t="inlineStr">
        <is>
          <t>JULHO/2026</t>
        </is>
      </c>
      <c r="B1172" s="74" t="inlineStr">
        <is>
          <t>Relacionamento</t>
        </is>
      </c>
      <c r="C1172" s="74" t="inlineStr">
        <is>
          <t>Relacionamento Dtel</t>
        </is>
      </c>
      <c r="D1172" s="74" t="inlineStr">
        <is>
          <t>Solon Araújo</t>
        </is>
      </c>
      <c r="E1172" s="151" t="n">
        <v>14689</v>
      </c>
      <c r="F1172" s="100" t="n">
        <v>2.48</v>
      </c>
      <c r="G1172" s="100" t="n">
        <v>36428.72</v>
      </c>
      <c r="H1172" s="74" t="inlineStr">
        <is>
          <t>Cálculo por número de clientes ativos</t>
        </is>
      </c>
    </row>
    <row r="1173">
      <c r="A1173" s="74" t="inlineStr">
        <is>
          <t>JULHO/2026</t>
        </is>
      </c>
      <c r="B1173" s="74" t="inlineStr">
        <is>
          <t>Relacionamento</t>
        </is>
      </c>
      <c r="C1173" s="74" t="inlineStr">
        <is>
          <t>Relacionamento Dtel</t>
        </is>
      </c>
      <c r="D1173" s="74" t="inlineStr">
        <is>
          <t>Soares e Lins</t>
        </is>
      </c>
      <c r="E1173" s="151" t="n">
        <v>3765</v>
      </c>
      <c r="F1173" s="100" t="n">
        <v>2.48</v>
      </c>
      <c r="G1173" s="100" t="n">
        <v>9337.200000000001</v>
      </c>
      <c r="H1173" s="74" t="inlineStr">
        <is>
          <t>Cálculo por número de clientes ativos</t>
        </is>
      </c>
    </row>
    <row r="1174">
      <c r="A1174" s="74" t="inlineStr">
        <is>
          <t>JULHO/2026</t>
        </is>
      </c>
      <c r="B1174" s="74" t="inlineStr">
        <is>
          <t>Relacionamento</t>
        </is>
      </c>
      <c r="C1174" s="74" t="inlineStr">
        <is>
          <t>Relacionamento Dtel</t>
        </is>
      </c>
      <c r="D1174" s="74" t="inlineStr">
        <is>
          <t>Soares e Silva</t>
        </is>
      </c>
      <c r="E1174" s="151" t="n">
        <v>6568</v>
      </c>
      <c r="F1174" s="100" t="n">
        <v>2.48</v>
      </c>
      <c r="G1174" s="100" t="n">
        <v>16288.64</v>
      </c>
      <c r="H1174" s="74" t="inlineStr">
        <is>
          <t>Cálculo por número de clientes ativos</t>
        </is>
      </c>
    </row>
    <row r="1175">
      <c r="A1175" s="74" t="inlineStr">
        <is>
          <t>JULHO/2026</t>
        </is>
      </c>
      <c r="B1175" s="74" t="inlineStr">
        <is>
          <t>Relacionamento</t>
        </is>
      </c>
      <c r="C1175" s="74" t="inlineStr">
        <is>
          <t>Relacionamento Dtel</t>
        </is>
      </c>
      <c r="D1175" s="74" t="inlineStr">
        <is>
          <t>Souza e Silva</t>
        </is>
      </c>
      <c r="E1175" s="151" t="n">
        <v>4805</v>
      </c>
      <c r="F1175" s="100" t="n">
        <v>2.48</v>
      </c>
      <c r="G1175" s="100" t="n">
        <v>11916.4</v>
      </c>
      <c r="H1175" s="74" t="inlineStr">
        <is>
          <t>Cálculo por número de clientes ativos</t>
        </is>
      </c>
    </row>
    <row r="1176">
      <c r="A1176" s="74" t="inlineStr">
        <is>
          <t>JULHO/2026</t>
        </is>
      </c>
      <c r="B1176" s="74" t="inlineStr">
        <is>
          <t>Relacionamento</t>
        </is>
      </c>
      <c r="C1176" s="74" t="inlineStr">
        <is>
          <t>Relacionamento Dtel</t>
        </is>
      </c>
      <c r="D1176" s="74" t="inlineStr">
        <is>
          <t>Voicenet</t>
        </is>
      </c>
      <c r="E1176" s="151" t="n">
        <v>4806</v>
      </c>
      <c r="F1176" s="100" t="n">
        <v>2.48</v>
      </c>
      <c r="G1176" s="100" t="n">
        <v>11918.88</v>
      </c>
      <c r="H1176" s="74" t="inlineStr">
        <is>
          <t>Cálculo por número de clientes ativos</t>
        </is>
      </c>
    </row>
    <row r="1177">
      <c r="A1177" s="74" t="inlineStr">
        <is>
          <t>MAIO/2026</t>
        </is>
      </c>
      <c r="B1177" s="74" t="inlineStr">
        <is>
          <t>Desenvolvimento</t>
        </is>
      </c>
      <c r="C1177" s="74" t="inlineStr">
        <is>
          <t>Setor de Desenvolvimento</t>
        </is>
      </c>
      <c r="D1177" s="74" t="inlineStr">
        <is>
          <t>DX2</t>
        </is>
      </c>
      <c r="E1177" s="151" t="n">
        <v>6280</v>
      </c>
      <c r="F1177" s="100" t="n">
        <v>0.108205784866059</v>
      </c>
      <c r="G1177" s="100" t="n">
        <v>679.532329</v>
      </c>
      <c r="H1177" s="74" t="inlineStr">
        <is>
          <t>Cálculo por número de clientes ativos</t>
        </is>
      </c>
    </row>
    <row r="1178">
      <c r="A1178" s="74" t="inlineStr">
        <is>
          <t>MAIO/2026</t>
        </is>
      </c>
      <c r="B1178" s="74" t="inlineStr">
        <is>
          <t>Desenvolvimento</t>
        </is>
      </c>
      <c r="C1178" s="74" t="inlineStr">
        <is>
          <t>Setor de Desenvolvimento</t>
        </is>
      </c>
      <c r="D1178" s="74" t="inlineStr">
        <is>
          <t>Solon Araújo</t>
        </is>
      </c>
      <c r="E1178" s="151" t="n">
        <v>14331</v>
      </c>
      <c r="F1178" s="100" t="n">
        <v>0.108205784866059</v>
      </c>
      <c r="G1178" s="100" t="n">
        <v>1550.697103</v>
      </c>
      <c r="H1178" s="74" t="inlineStr">
        <is>
          <t>Cálculo por número de clientes ativos</t>
        </is>
      </c>
    </row>
    <row r="1179">
      <c r="A1179" s="74" t="inlineStr">
        <is>
          <t>MAIO/2026</t>
        </is>
      </c>
      <c r="B1179" s="74" t="inlineStr">
        <is>
          <t>Desenvolvimento</t>
        </is>
      </c>
      <c r="C1179" s="74" t="inlineStr">
        <is>
          <t>Setor de Desenvolvimento</t>
        </is>
      </c>
      <c r="D1179" s="74" t="inlineStr">
        <is>
          <t>Soares e Lins</t>
        </is>
      </c>
      <c r="E1179" s="151" t="n">
        <v>3650</v>
      </c>
      <c r="F1179" s="100" t="n">
        <v>0.108205784866059</v>
      </c>
      <c r="G1179" s="100" t="n">
        <v>394.951115</v>
      </c>
      <c r="H1179" s="74" t="inlineStr">
        <is>
          <t>Cálculo por número de clientes ativos</t>
        </is>
      </c>
    </row>
    <row r="1180">
      <c r="A1180" s="74" t="inlineStr">
        <is>
          <t>MAIO/2026</t>
        </is>
      </c>
      <c r="B1180" s="74" t="inlineStr">
        <is>
          <t>Desenvolvimento</t>
        </is>
      </c>
      <c r="C1180" s="74" t="inlineStr">
        <is>
          <t>Setor de Desenvolvimento</t>
        </is>
      </c>
      <c r="D1180" s="74" t="inlineStr">
        <is>
          <t>Soares e Silva</t>
        </is>
      </c>
      <c r="E1180" s="151" t="n">
        <v>6396</v>
      </c>
      <c r="F1180" s="100" t="n">
        <v>0.108205784866059</v>
      </c>
      <c r="G1180" s="100" t="n">
        <v>692.0842</v>
      </c>
      <c r="H1180" s="74" t="inlineStr">
        <is>
          <t>Cálculo por número de clientes ativos</t>
        </is>
      </c>
    </row>
    <row r="1181">
      <c r="A1181" s="74" t="inlineStr">
        <is>
          <t>MAIO/2026</t>
        </is>
      </c>
      <c r="B1181" s="74" t="inlineStr">
        <is>
          <t>Desenvolvimento</t>
        </is>
      </c>
      <c r="C1181" s="74" t="inlineStr">
        <is>
          <t>Setor de Desenvolvimento</t>
        </is>
      </c>
      <c r="D1181" s="74" t="inlineStr">
        <is>
          <t>Souza e Silva</t>
        </is>
      </c>
      <c r="E1181" s="151" t="n">
        <v>4730</v>
      </c>
      <c r="F1181" s="100" t="n">
        <v>0.108205784866059</v>
      </c>
      <c r="G1181" s="100" t="n">
        <v>511.813362</v>
      </c>
      <c r="H1181" s="74" t="inlineStr">
        <is>
          <t>Cálculo por número de clientes ativos</t>
        </is>
      </c>
    </row>
    <row r="1182">
      <c r="A1182" s="74" t="inlineStr">
        <is>
          <t>MAIO/2026</t>
        </is>
      </c>
      <c r="B1182" s="74" t="inlineStr">
        <is>
          <t>Desenvolvimento</t>
        </is>
      </c>
      <c r="C1182" s="74" t="inlineStr">
        <is>
          <t>Setor de Desenvolvimento</t>
        </is>
      </c>
      <c r="D1182" s="74" t="inlineStr">
        <is>
          <t>Voicenet</t>
        </is>
      </c>
      <c r="E1182" s="151" t="n">
        <v>4782</v>
      </c>
      <c r="F1182" s="100" t="n">
        <v>0.108205784866059</v>
      </c>
      <c r="G1182" s="100" t="n">
        <v>517.440063</v>
      </c>
      <c r="H1182" s="74" t="inlineStr">
        <is>
          <t>Cálculo por número de clientes ativos</t>
        </is>
      </c>
    </row>
    <row r="1183">
      <c r="A1183" s="74" t="inlineStr">
        <is>
          <t>JUNHO/2026</t>
        </is>
      </c>
      <c r="B1183" s="74" t="inlineStr">
        <is>
          <t>Desenvolvimento</t>
        </is>
      </c>
      <c r="C1183" s="74" t="inlineStr">
        <is>
          <t>Setor de Desenvolvimento</t>
        </is>
      </c>
      <c r="D1183" s="74" t="inlineStr">
        <is>
          <t>DX2</t>
        </is>
      </c>
      <c r="E1183" s="151" t="n">
        <v>6445</v>
      </c>
      <c r="F1183" s="100" t="n">
        <v>0.119761365635941</v>
      </c>
      <c r="G1183" s="100" t="n">
        <v>771.862002</v>
      </c>
      <c r="H1183" s="74" t="inlineStr">
        <is>
          <t>Cálculo por número de clientes ativos</t>
        </is>
      </c>
    </row>
    <row r="1184">
      <c r="A1184" s="74" t="inlineStr">
        <is>
          <t>JUNHO/2026</t>
        </is>
      </c>
      <c r="B1184" s="74" t="inlineStr">
        <is>
          <t>Desenvolvimento</t>
        </is>
      </c>
      <c r="C1184" s="74" t="inlineStr">
        <is>
          <t>Setor de Desenvolvimento</t>
        </is>
      </c>
      <c r="D1184" s="74" t="inlineStr">
        <is>
          <t>Solon Araújo</t>
        </is>
      </c>
      <c r="E1184" s="151" t="n">
        <v>14441</v>
      </c>
      <c r="F1184" s="100" t="n">
        <v>0.119761365635941</v>
      </c>
      <c r="G1184" s="100" t="n">
        <v>1729.473881</v>
      </c>
      <c r="H1184" s="74" t="inlineStr">
        <is>
          <t>Cálculo por número de clientes ativos</t>
        </is>
      </c>
    </row>
    <row r="1185">
      <c r="A1185" s="74" t="inlineStr">
        <is>
          <t>JUNHO/2026</t>
        </is>
      </c>
      <c r="B1185" s="74" t="inlineStr">
        <is>
          <t>Desenvolvimento</t>
        </is>
      </c>
      <c r="C1185" s="74" t="inlineStr">
        <is>
          <t>Setor de Desenvolvimento</t>
        </is>
      </c>
      <c r="D1185" s="74" t="inlineStr">
        <is>
          <t>Soares e Lins</t>
        </is>
      </c>
      <c r="E1185" s="151" t="n">
        <v>3704</v>
      </c>
      <c r="F1185" s="100" t="n">
        <v>0.119761365635941</v>
      </c>
      <c r="G1185" s="100" t="n">
        <v>443.596098</v>
      </c>
      <c r="H1185" s="74" t="inlineStr">
        <is>
          <t>Cálculo por número de clientes ativos</t>
        </is>
      </c>
    </row>
    <row r="1186">
      <c r="A1186" s="74" t="inlineStr">
        <is>
          <t>JUNHO/2026</t>
        </is>
      </c>
      <c r="B1186" s="74" t="inlineStr">
        <is>
          <t>Desenvolvimento</t>
        </is>
      </c>
      <c r="C1186" s="74" t="inlineStr">
        <is>
          <t>Setor de Desenvolvimento</t>
        </is>
      </c>
      <c r="D1186" s="74" t="inlineStr">
        <is>
          <t>Soares e Silva</t>
        </is>
      </c>
      <c r="E1186" s="151" t="n">
        <v>6434</v>
      </c>
      <c r="F1186" s="100" t="n">
        <v>0.119761365635941</v>
      </c>
      <c r="G1186" s="100" t="n">
        <v>770.544627</v>
      </c>
      <c r="H1186" s="74" t="inlineStr">
        <is>
          <t>Cálculo por número de clientes ativos</t>
        </is>
      </c>
    </row>
    <row r="1187">
      <c r="A1187" s="74" t="inlineStr">
        <is>
          <t>JUNHO/2026</t>
        </is>
      </c>
      <c r="B1187" s="74" t="inlineStr">
        <is>
          <t>Desenvolvimento</t>
        </is>
      </c>
      <c r="C1187" s="74" t="inlineStr">
        <is>
          <t>Setor de Desenvolvimento</t>
        </is>
      </c>
      <c r="D1187" s="74" t="inlineStr">
        <is>
          <t>Souza e Silva</t>
        </is>
      </c>
      <c r="E1187" s="151" t="n">
        <v>4749</v>
      </c>
      <c r="F1187" s="100" t="n">
        <v>0.119761365635941</v>
      </c>
      <c r="G1187" s="100" t="n">
        <v>568.746725</v>
      </c>
      <c r="H1187" s="74" t="inlineStr">
        <is>
          <t>Cálculo por número de clientes ativos</t>
        </is>
      </c>
    </row>
    <row r="1188">
      <c r="A1188" s="74" t="inlineStr">
        <is>
          <t>JUNHO/2026</t>
        </is>
      </c>
      <c r="B1188" s="74" t="inlineStr">
        <is>
          <t>Desenvolvimento</t>
        </is>
      </c>
      <c r="C1188" s="74" t="inlineStr">
        <is>
          <t>Setor de Desenvolvimento</t>
        </is>
      </c>
      <c r="D1188" s="74" t="inlineStr">
        <is>
          <t>Voicenet</t>
        </is>
      </c>
      <c r="E1188" s="151" t="n">
        <v>4795</v>
      </c>
      <c r="F1188" s="100" t="n">
        <v>0.119761365635941</v>
      </c>
      <c r="G1188" s="100" t="n">
        <v>574.255748</v>
      </c>
      <c r="H1188" s="74" t="inlineStr">
        <is>
          <t>Cálculo por número de clientes ativos</t>
        </is>
      </c>
    </row>
    <row r="1189">
      <c r="A1189" s="74" t="inlineStr">
        <is>
          <t>JULHO/2026</t>
        </is>
      </c>
      <c r="B1189" s="74" t="inlineStr">
        <is>
          <t>Desenvolvimento</t>
        </is>
      </c>
      <c r="C1189" s="74" t="inlineStr">
        <is>
          <t>Setor de Desenvolvimento</t>
        </is>
      </c>
      <c r="D1189" s="74" t="inlineStr">
        <is>
          <t>DX2</t>
        </is>
      </c>
      <c r="E1189" s="151" t="n">
        <v>6588</v>
      </c>
      <c r="F1189" s="100" t="n">
        <v>0.11</v>
      </c>
      <c r="G1189" s="100" t="n">
        <v>724.6799999999999</v>
      </c>
      <c r="H1189" s="74" t="inlineStr">
        <is>
          <t>Cálculo por número de clientes ativos</t>
        </is>
      </c>
    </row>
    <row r="1190">
      <c r="A1190" s="74" t="inlineStr">
        <is>
          <t>JULHO/2026</t>
        </is>
      </c>
      <c r="B1190" s="74" t="inlineStr">
        <is>
          <t>Desenvolvimento</t>
        </is>
      </c>
      <c r="C1190" s="74" t="inlineStr">
        <is>
          <t>Setor de Desenvolvimento</t>
        </is>
      </c>
      <c r="D1190" s="74" t="inlineStr">
        <is>
          <t>Solon Araújo</t>
        </is>
      </c>
      <c r="E1190" s="151" t="n">
        <v>14689</v>
      </c>
      <c r="F1190" s="100" t="n">
        <v>0.11</v>
      </c>
      <c r="G1190" s="100" t="n">
        <v>1615.79</v>
      </c>
      <c r="H1190" s="74" t="inlineStr">
        <is>
          <t>Cálculo por número de clientes ativos</t>
        </is>
      </c>
    </row>
    <row r="1191">
      <c r="A1191" s="74" t="inlineStr">
        <is>
          <t>JULHO/2026</t>
        </is>
      </c>
      <c r="B1191" s="74" t="inlineStr">
        <is>
          <t>Desenvolvimento</t>
        </is>
      </c>
      <c r="C1191" s="74" t="inlineStr">
        <is>
          <t>Setor de Desenvolvimento</t>
        </is>
      </c>
      <c r="D1191" s="74" t="inlineStr">
        <is>
          <t>Soares e Lins</t>
        </is>
      </c>
      <c r="E1191" s="151" t="n">
        <v>3765</v>
      </c>
      <c r="F1191" s="100" t="n">
        <v>0.11</v>
      </c>
      <c r="G1191" s="100" t="n">
        <v>414.15</v>
      </c>
      <c r="H1191" s="74" t="inlineStr">
        <is>
          <t>Cálculo por número de clientes ativos</t>
        </is>
      </c>
    </row>
    <row r="1192">
      <c r="A1192" s="74" t="inlineStr">
        <is>
          <t>JULHO/2026</t>
        </is>
      </c>
      <c r="B1192" s="74" t="inlineStr">
        <is>
          <t>Desenvolvimento</t>
        </is>
      </c>
      <c r="C1192" s="74" t="inlineStr">
        <is>
          <t>Setor de Desenvolvimento</t>
        </is>
      </c>
      <c r="D1192" s="74" t="inlineStr">
        <is>
          <t>Soares e Silva</t>
        </is>
      </c>
      <c r="E1192" s="151" t="n">
        <v>6568</v>
      </c>
      <c r="F1192" s="100" t="n">
        <v>0.11</v>
      </c>
      <c r="G1192" s="100" t="n">
        <v>722.48</v>
      </c>
      <c r="H1192" s="74" t="inlineStr">
        <is>
          <t>Cálculo por número de clientes ativos</t>
        </is>
      </c>
    </row>
    <row r="1193">
      <c r="A1193" s="74" t="inlineStr">
        <is>
          <t>JULHO/2026</t>
        </is>
      </c>
      <c r="B1193" s="74" t="inlineStr">
        <is>
          <t>Desenvolvimento</t>
        </is>
      </c>
      <c r="C1193" s="74" t="inlineStr">
        <is>
          <t>Setor de Desenvolvimento</t>
        </is>
      </c>
      <c r="D1193" s="74" t="inlineStr">
        <is>
          <t>Souza e Silva</t>
        </is>
      </c>
      <c r="E1193" s="151" t="n">
        <v>4805</v>
      </c>
      <c r="F1193" s="100" t="n">
        <v>0.11</v>
      </c>
      <c r="G1193" s="100" t="n">
        <v>528.55</v>
      </c>
      <c r="H1193" s="74" t="inlineStr">
        <is>
          <t>Cálculo por número de clientes ativos</t>
        </is>
      </c>
    </row>
    <row r="1194">
      <c r="A1194" s="74" t="inlineStr">
        <is>
          <t>JULHO/2026</t>
        </is>
      </c>
      <c r="B1194" s="74" t="inlineStr">
        <is>
          <t>Desenvolvimento</t>
        </is>
      </c>
      <c r="C1194" s="74" t="inlineStr">
        <is>
          <t>Setor de Desenvolvimento</t>
        </is>
      </c>
      <c r="D1194" s="74" t="inlineStr">
        <is>
          <t>Voicenet</t>
        </is>
      </c>
      <c r="E1194" s="151" t="n">
        <v>4806</v>
      </c>
      <c r="F1194" s="100" t="n">
        <v>0.11</v>
      </c>
      <c r="G1194" s="100" t="n">
        <v>528.66</v>
      </c>
      <c r="H1194" s="74" t="inlineStr">
        <is>
          <t>Cálculo por número de clientes ativos</t>
        </is>
      </c>
    </row>
    <row r="1195">
      <c r="A1195" s="74" t="inlineStr">
        <is>
          <t>MAIO/2026</t>
        </is>
      </c>
      <c r="B1195" s="74" t="inlineStr">
        <is>
          <t>Contabilidade</t>
        </is>
      </c>
      <c r="C1195" s="74" t="inlineStr">
        <is>
          <t>Contabilidade</t>
        </is>
      </c>
      <c r="D1195" s="74" t="inlineStr">
        <is>
          <t>DX2</t>
        </is>
      </c>
      <c r="E1195" s="151" t="n">
        <v>6280</v>
      </c>
      <c r="F1195" s="100" t="n">
        <v>0.129588764549698</v>
      </c>
      <c r="G1195" s="100" t="n">
        <v>813.817441</v>
      </c>
      <c r="H1195" s="74" t="inlineStr">
        <is>
          <t>Cálculo por número de clientes ativos</t>
        </is>
      </c>
    </row>
    <row r="1196">
      <c r="A1196" s="74" t="inlineStr">
        <is>
          <t>MAIO/2026</t>
        </is>
      </c>
      <c r="B1196" s="74" t="inlineStr">
        <is>
          <t>Contabilidade</t>
        </is>
      </c>
      <c r="C1196" s="74" t="inlineStr">
        <is>
          <t>Contabilidade</t>
        </is>
      </c>
      <c r="D1196" s="74" t="inlineStr">
        <is>
          <t>Solon Araújo</t>
        </is>
      </c>
      <c r="E1196" s="151" t="n">
        <v>14331</v>
      </c>
      <c r="F1196" s="100" t="n">
        <v>0.129588764549698</v>
      </c>
      <c r="G1196" s="100" t="n">
        <v>1857.136585</v>
      </c>
      <c r="H1196" s="74" t="inlineStr">
        <is>
          <t>Cálculo por número de clientes ativos</t>
        </is>
      </c>
    </row>
    <row r="1197">
      <c r="A1197" s="74" t="inlineStr">
        <is>
          <t>MAIO/2026</t>
        </is>
      </c>
      <c r="B1197" s="74" t="inlineStr">
        <is>
          <t>Contabilidade</t>
        </is>
      </c>
      <c r="C1197" s="74" t="inlineStr">
        <is>
          <t>Contabilidade</t>
        </is>
      </c>
      <c r="D1197" s="74" t="inlineStr">
        <is>
          <t>Soares e Lins</t>
        </is>
      </c>
      <c r="E1197" s="151" t="n">
        <v>3650</v>
      </c>
      <c r="F1197" s="100" t="n">
        <v>0.129588764549698</v>
      </c>
      <c r="G1197" s="100" t="n">
        <v>472.998991</v>
      </c>
      <c r="H1197" s="74" t="inlineStr">
        <is>
          <t>Cálculo por número de clientes ativos</t>
        </is>
      </c>
    </row>
    <row r="1198">
      <c r="A1198" s="74" t="inlineStr">
        <is>
          <t>MAIO/2026</t>
        </is>
      </c>
      <c r="B1198" s="74" t="inlineStr">
        <is>
          <t>Contabilidade</t>
        </is>
      </c>
      <c r="C1198" s="74" t="inlineStr">
        <is>
          <t>Contabilidade</t>
        </is>
      </c>
      <c r="D1198" s="74" t="inlineStr">
        <is>
          <t>Soares e Silva</t>
        </is>
      </c>
      <c r="E1198" s="151" t="n">
        <v>6396</v>
      </c>
      <c r="F1198" s="100" t="n">
        <v>0.129588764549698</v>
      </c>
      <c r="G1198" s="100" t="n">
        <v>828.849738</v>
      </c>
      <c r="H1198" s="74" t="inlineStr">
        <is>
          <t>Cálculo por número de clientes ativos</t>
        </is>
      </c>
    </row>
    <row r="1199">
      <c r="A1199" s="74" t="inlineStr">
        <is>
          <t>MAIO/2026</t>
        </is>
      </c>
      <c r="B1199" s="74" t="inlineStr">
        <is>
          <t>Contabilidade</t>
        </is>
      </c>
      <c r="C1199" s="74" t="inlineStr">
        <is>
          <t>Contabilidade</t>
        </is>
      </c>
      <c r="D1199" s="74" t="inlineStr">
        <is>
          <t>Souza e Silva</t>
        </is>
      </c>
      <c r="E1199" s="151" t="n">
        <v>4730</v>
      </c>
      <c r="F1199" s="100" t="n">
        <v>0.129588764549698</v>
      </c>
      <c r="G1199" s="100" t="n">
        <v>612.9548559999999</v>
      </c>
      <c r="H1199" s="74" t="inlineStr">
        <is>
          <t>Cálculo por número de clientes ativos</t>
        </is>
      </c>
    </row>
    <row r="1200">
      <c r="A1200" s="74" t="inlineStr">
        <is>
          <t>MAIO/2026</t>
        </is>
      </c>
      <c r="B1200" s="74" t="inlineStr">
        <is>
          <t>Contabilidade</t>
        </is>
      </c>
      <c r="C1200" s="74" t="inlineStr">
        <is>
          <t>Contabilidade</t>
        </is>
      </c>
      <c r="D1200" s="74" t="inlineStr">
        <is>
          <t>Voicenet</t>
        </is>
      </c>
      <c r="E1200" s="151" t="n">
        <v>4782</v>
      </c>
      <c r="F1200" s="100" t="n">
        <v>0.129588764549698</v>
      </c>
      <c r="G1200" s="100" t="n">
        <v>619.693472</v>
      </c>
      <c r="H1200" s="74" t="inlineStr">
        <is>
          <t>Cálculo por número de clientes ativos</t>
        </is>
      </c>
    </row>
    <row r="1201">
      <c r="A1201" s="74" t="inlineStr">
        <is>
          <t>JUNHO/2026</t>
        </is>
      </c>
      <c r="B1201" s="74" t="inlineStr">
        <is>
          <t>Contabilidade</t>
        </is>
      </c>
      <c r="C1201" s="74" t="inlineStr">
        <is>
          <t>Contabilidade</t>
        </is>
      </c>
      <c r="D1201" s="74" t="inlineStr">
        <is>
          <t>DX2</t>
        </is>
      </c>
      <c r="E1201" s="151" t="n">
        <v>6445</v>
      </c>
      <c r="F1201" s="100" t="n">
        <v>0.180505814199124</v>
      </c>
      <c r="G1201" s="100" t="n">
        <v>1163.359973</v>
      </c>
      <c r="H1201" s="74" t="inlineStr">
        <is>
          <t>Cálculo por número de clientes ativos</t>
        </is>
      </c>
    </row>
    <row r="1202">
      <c r="A1202" s="74" t="inlineStr">
        <is>
          <t>JUNHO/2026</t>
        </is>
      </c>
      <c r="B1202" s="74" t="inlineStr">
        <is>
          <t>Contabilidade</t>
        </is>
      </c>
      <c r="C1202" s="74" t="inlineStr">
        <is>
          <t>Contabilidade</t>
        </is>
      </c>
      <c r="D1202" s="74" t="inlineStr">
        <is>
          <t>Solon Araújo</t>
        </is>
      </c>
      <c r="E1202" s="151" t="n">
        <v>14441</v>
      </c>
      <c r="F1202" s="100" t="n">
        <v>0.180505814199124</v>
      </c>
      <c r="G1202" s="100" t="n">
        <v>2606.684463</v>
      </c>
      <c r="H1202" s="74" t="inlineStr">
        <is>
          <t>Cálculo por número de clientes ativos</t>
        </is>
      </c>
    </row>
    <row r="1203">
      <c r="A1203" s="74" t="inlineStr">
        <is>
          <t>JUNHO/2026</t>
        </is>
      </c>
      <c r="B1203" s="74" t="inlineStr">
        <is>
          <t>Contabilidade</t>
        </is>
      </c>
      <c r="C1203" s="74" t="inlineStr">
        <is>
          <t>Contabilidade</t>
        </is>
      </c>
      <c r="D1203" s="74" t="inlineStr">
        <is>
          <t>Soares e Lins</t>
        </is>
      </c>
      <c r="E1203" s="151" t="n">
        <v>3704</v>
      </c>
      <c r="F1203" s="100" t="n">
        <v>0.180505814199124</v>
      </c>
      <c r="G1203" s="100" t="n">
        <v>668.593536</v>
      </c>
      <c r="H1203" s="74" t="inlineStr">
        <is>
          <t>Cálculo por número de clientes ativos</t>
        </is>
      </c>
    </row>
    <row r="1204">
      <c r="A1204" s="74" t="inlineStr">
        <is>
          <t>JUNHO/2026</t>
        </is>
      </c>
      <c r="B1204" s="74" t="inlineStr">
        <is>
          <t>Contabilidade</t>
        </is>
      </c>
      <c r="C1204" s="74" t="inlineStr">
        <is>
          <t>Contabilidade</t>
        </is>
      </c>
      <c r="D1204" s="74" t="inlineStr">
        <is>
          <t>Soares e Silva</t>
        </is>
      </c>
      <c r="E1204" s="151" t="n">
        <v>6434</v>
      </c>
      <c r="F1204" s="100" t="n">
        <v>0.180505814199124</v>
      </c>
      <c r="G1204" s="100" t="n">
        <v>1161.374409</v>
      </c>
      <c r="H1204" s="74" t="inlineStr">
        <is>
          <t>Cálculo por número de clientes ativos</t>
        </is>
      </c>
    </row>
    <row r="1205">
      <c r="A1205" s="74" t="inlineStr">
        <is>
          <t>JUNHO/2026</t>
        </is>
      </c>
      <c r="B1205" s="74" t="inlineStr">
        <is>
          <t>Contabilidade</t>
        </is>
      </c>
      <c r="C1205" s="74" t="inlineStr">
        <is>
          <t>Contabilidade</t>
        </is>
      </c>
      <c r="D1205" s="74" t="inlineStr">
        <is>
          <t>Souza e Silva</t>
        </is>
      </c>
      <c r="E1205" s="151" t="n">
        <v>4749</v>
      </c>
      <c r="F1205" s="100" t="n">
        <v>0.180505814199124</v>
      </c>
      <c r="G1205" s="100" t="n">
        <v>857.222112</v>
      </c>
      <c r="H1205" s="74" t="inlineStr">
        <is>
          <t>Cálculo por número de clientes ativos</t>
        </is>
      </c>
    </row>
    <row r="1206">
      <c r="A1206" s="74" t="inlineStr">
        <is>
          <t>JUNHO/2026</t>
        </is>
      </c>
      <c r="B1206" s="74" t="inlineStr">
        <is>
          <t>Contabilidade</t>
        </is>
      </c>
      <c r="C1206" s="74" t="inlineStr">
        <is>
          <t>Contabilidade</t>
        </is>
      </c>
      <c r="D1206" s="74" t="inlineStr">
        <is>
          <t>Voicenet</t>
        </is>
      </c>
      <c r="E1206" s="151" t="n">
        <v>4795</v>
      </c>
      <c r="F1206" s="100" t="n">
        <v>0.180505814199124</v>
      </c>
      <c r="G1206" s="100" t="n">
        <v>865.525379</v>
      </c>
      <c r="H1206" s="74" t="inlineStr">
        <is>
          <t>Cálculo por número de clientes ativos</t>
        </is>
      </c>
    </row>
    <row r="1207">
      <c r="A1207" s="74" t="inlineStr">
        <is>
          <t>JULHO/2026</t>
        </is>
      </c>
      <c r="B1207" s="74" t="inlineStr">
        <is>
          <t>Contabilidade</t>
        </is>
      </c>
      <c r="C1207" s="74" t="inlineStr">
        <is>
          <t>Contabilidade</t>
        </is>
      </c>
      <c r="D1207" s="74" t="inlineStr">
        <is>
          <t>DX2</t>
        </is>
      </c>
      <c r="E1207" s="151" t="n">
        <v>6588</v>
      </c>
      <c r="F1207" s="100" t="n">
        <v>0.169655906020616</v>
      </c>
      <c r="G1207" s="100" t="n">
        <v>1117.693109</v>
      </c>
      <c r="H1207" s="74" t="inlineStr">
        <is>
          <t>Cálculo por número de clientes ativos</t>
        </is>
      </c>
    </row>
    <row r="1208">
      <c r="A1208" s="74" t="inlineStr">
        <is>
          <t>JULHO/2026</t>
        </is>
      </c>
      <c r="B1208" s="74" t="inlineStr">
        <is>
          <t>Contabilidade</t>
        </is>
      </c>
      <c r="C1208" s="74" t="inlineStr">
        <is>
          <t>Contabilidade</t>
        </is>
      </c>
      <c r="D1208" s="74" t="inlineStr">
        <is>
          <t>Solon Araújo</t>
        </is>
      </c>
      <c r="E1208" s="151" t="n">
        <v>14689</v>
      </c>
      <c r="F1208" s="100" t="n">
        <v>0.169655906020616</v>
      </c>
      <c r="G1208" s="100" t="n">
        <v>2492.075604</v>
      </c>
      <c r="H1208" s="74" t="inlineStr">
        <is>
          <t>Cálculo por número de clientes ativos</t>
        </is>
      </c>
    </row>
    <row r="1209">
      <c r="A1209" s="74" t="inlineStr">
        <is>
          <t>JULHO/2026</t>
        </is>
      </c>
      <c r="B1209" s="74" t="inlineStr">
        <is>
          <t>Contabilidade</t>
        </is>
      </c>
      <c r="C1209" s="74" t="inlineStr">
        <is>
          <t>Contabilidade</t>
        </is>
      </c>
      <c r="D1209" s="74" t="inlineStr">
        <is>
          <t>Soares e Lins</t>
        </is>
      </c>
      <c r="E1209" s="151" t="n">
        <v>3765</v>
      </c>
      <c r="F1209" s="100" t="n">
        <v>0.169655906020616</v>
      </c>
      <c r="G1209" s="100" t="n">
        <v>638.754486</v>
      </c>
      <c r="H1209" s="74" t="inlineStr">
        <is>
          <t>Cálculo por número de clientes ativos</t>
        </is>
      </c>
    </row>
    <row r="1210">
      <c r="A1210" s="74" t="inlineStr">
        <is>
          <t>JULHO/2026</t>
        </is>
      </c>
      <c r="B1210" s="74" t="inlineStr">
        <is>
          <t>Contabilidade</t>
        </is>
      </c>
      <c r="C1210" s="74" t="inlineStr">
        <is>
          <t>Contabilidade</t>
        </is>
      </c>
      <c r="D1210" s="74" t="inlineStr">
        <is>
          <t>Soares e Silva</t>
        </is>
      </c>
      <c r="E1210" s="151" t="n">
        <v>6568</v>
      </c>
      <c r="F1210" s="100" t="n">
        <v>0.169655906020616</v>
      </c>
      <c r="G1210" s="100" t="n">
        <v>1114.299991</v>
      </c>
      <c r="H1210" s="74" t="inlineStr">
        <is>
          <t>Cálculo por número de clientes ativos</t>
        </is>
      </c>
    </row>
    <row r="1211">
      <c r="A1211" s="74" t="inlineStr">
        <is>
          <t>JULHO/2026</t>
        </is>
      </c>
      <c r="B1211" s="74" t="inlineStr">
        <is>
          <t>Contabilidade</t>
        </is>
      </c>
      <c r="C1211" s="74" t="inlineStr">
        <is>
          <t>Contabilidade</t>
        </is>
      </c>
      <c r="D1211" s="74" t="inlineStr">
        <is>
          <t>Souza e Silva</t>
        </is>
      </c>
      <c r="E1211" s="151" t="n">
        <v>4805</v>
      </c>
      <c r="F1211" s="100" t="n">
        <v>0.169655906020616</v>
      </c>
      <c r="G1211" s="100" t="n">
        <v>815.196628</v>
      </c>
      <c r="H1211" s="74" t="inlineStr">
        <is>
          <t>Cálculo por número de clientes ativos</t>
        </is>
      </c>
    </row>
    <row r="1212">
      <c r="A1212" s="74" t="inlineStr">
        <is>
          <t>JULHO/2026</t>
        </is>
      </c>
      <c r="B1212" s="74" t="inlineStr">
        <is>
          <t>Contabilidade</t>
        </is>
      </c>
      <c r="C1212" s="74" t="inlineStr">
        <is>
          <t>Contabilidade</t>
        </is>
      </c>
      <c r="D1212" s="74" t="inlineStr">
        <is>
          <t>Voicenet</t>
        </is>
      </c>
      <c r="E1212" s="151" t="n">
        <v>4806</v>
      </c>
      <c r="F1212" s="100" t="n">
        <v>0.169655906020616</v>
      </c>
      <c r="G1212" s="100" t="n">
        <v>815.366284</v>
      </c>
      <c r="H1212" s="74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2026-09-01T18:23:25Z</dcterms:modified>
  <cp:lastModifiedBy>Débora Carla</cp:lastModifiedBy>
  <cp:revision>0</cp:revision>
</cp:coreProperties>
</file>